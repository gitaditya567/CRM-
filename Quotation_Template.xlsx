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Data" state="hidden" r:id="rId4"/>
    <sheet sheetId="2" name="Quotation" state="visible" r:id="rId5"/>
  </sheets>
  <definedNames>
    <definedName name="Electrolux">MasterData!$K$2</definedName>
    <definedName name="Hatco">MasterData!$L$2:$L$6582</definedName>
    <definedName name="Morello_Forni">MasterData!$M$2</definedName>
    <definedName name="Robot_Coupe">MasterData!$N$2:$N$6</definedName>
    <definedName name="Santos">MasterData!$O$2:$O$4453</definedName>
    <definedName name="Sirman">MasterData!$P$2:$P$6</definedName>
    <definedName name="T_S">MasterData!$Q$2:$Q$5</definedName>
  </definedNames>
  <calcPr calcId="171027"/>
</workbook>
</file>

<file path=xl/sharedStrings.xml><?xml version="1.0" encoding="utf-8"?>
<sst xmlns="http://schemas.openxmlformats.org/spreadsheetml/2006/main" count="66327" uniqueCount="20300">
  <si>
    <t>Brand</t>
  </si>
  <si>
    <t>ModelNo</t>
  </si>
  <si>
    <t>Description</t>
  </si>
  <si>
    <t>HSN</t>
  </si>
  <si>
    <t>UOM</t>
  </si>
  <si>
    <t>Rate</t>
  </si>
  <si>
    <t>GSTRate</t>
  </si>
  <si>
    <t>Electrolux</t>
  </si>
  <si>
    <t>9PDD229798</t>
  </si>
  <si>
    <t>SKYLINE PREMIUMS OVEN 20 GN 2/1 - ELECTRIC - BOILER AISI 316L - 3-GLASS</t>
  </si>
  <si>
    <t>84198190</t>
  </si>
  <si>
    <t>PCS</t>
  </si>
  <si>
    <t>01.05.003.00</t>
  </si>
  <si>
    <t>MF.02.007</t>
  </si>
  <si>
    <t>303051</t>
  </si>
  <si>
    <t>00001B</t>
  </si>
  <si>
    <t>LF1532000I</t>
  </si>
  <si>
    <t>EX-1DP00-H</t>
  </si>
  <si>
    <t>Hatco</t>
  </si>
  <si>
    <t>PMG-60 SS TANK ASSY</t>
  </si>
  <si>
    <t/>
  </si>
  <si>
    <t>01.05.005.00</t>
  </si>
  <si>
    <t xml:space="preserve">49521  </t>
  </si>
  <si>
    <t>00002N</t>
  </si>
  <si>
    <t>LF1532060I2</t>
  </si>
  <si>
    <t>EX-1DP12-H</t>
  </si>
  <si>
    <t>PMG-100,200 SS TANK ASSY</t>
  </si>
  <si>
    <t>Morello Forni</t>
  </si>
  <si>
    <t>01.05.005.OS</t>
  </si>
  <si>
    <t>500289S</t>
  </si>
  <si>
    <t>00063R</t>
  </si>
  <si>
    <t>LF1532080I2</t>
  </si>
  <si>
    <t>EX-6WP00-H</t>
  </si>
  <si>
    <t>PMG-100,200 SS TANK ASSY,OS</t>
  </si>
  <si>
    <t>Robot Coupe</t>
  </si>
  <si>
    <t>02.01.007.00</t>
  </si>
  <si>
    <t>600018S</t>
  </si>
  <si>
    <t>01100N</t>
  </si>
  <si>
    <t>MF2215PS</t>
  </si>
  <si>
    <t>EX-6WP12-H</t>
  </si>
  <si>
    <t>REL,OPEN,240AC,SPDT,30RES</t>
  </si>
  <si>
    <t>Santos</t>
  </si>
  <si>
    <t>02.01.008.00</t>
  </si>
  <si>
    <t>89136</t>
  </si>
  <si>
    <t>01102N</t>
  </si>
  <si>
    <t>MF2220</t>
  </si>
  <si>
    <t>REL,OPEN,208/240AC,DPST,30RES</t>
  </si>
  <si>
    <t>Sirman</t>
  </si>
  <si>
    <t>02.01.010.00</t>
  </si>
  <si>
    <t>01103BAR</t>
  </si>
  <si>
    <t>REL,OPEN,120AC,2PST,30RES</t>
  </si>
  <si>
    <t>T&amp;S</t>
  </si>
  <si>
    <t>02.01.015.00</t>
  </si>
  <si>
    <t>01105N</t>
  </si>
  <si>
    <t>CON,STD,110/120AC,3P,50RES</t>
  </si>
  <si>
    <t>02.01.016.00</t>
  </si>
  <si>
    <t>01200B</t>
  </si>
  <si>
    <t>CON,STD,208/240AC,3P,50RES</t>
  </si>
  <si>
    <t>02.01.017.00</t>
  </si>
  <si>
    <t>01200P</t>
  </si>
  <si>
    <t>CON,STD,110/120AC,4P,50RES</t>
  </si>
  <si>
    <t>02.01.018.00</t>
  </si>
  <si>
    <t>01200PV</t>
  </si>
  <si>
    <t>CON,STD,208/240AC,4P,50RES</t>
  </si>
  <si>
    <t>02.01.028.00</t>
  </si>
  <si>
    <t>01201PV</t>
  </si>
  <si>
    <t>REL,CUBE,120AC,SPDTLATC,10RES</t>
  </si>
  <si>
    <t>02.01.031.00</t>
  </si>
  <si>
    <t>01214N</t>
  </si>
  <si>
    <t>REL,CUBE,120AC,3PDT,10RES</t>
  </si>
  <si>
    <t>02.01.040.00</t>
  </si>
  <si>
    <t>01214PV</t>
  </si>
  <si>
    <t>CON,STD,110/120AC,2P,50RES</t>
  </si>
  <si>
    <t>02.01.043.00</t>
  </si>
  <si>
    <t>01223P</t>
  </si>
  <si>
    <t>REL,CUBE,240AC,SPDTPLATC,10RES</t>
  </si>
  <si>
    <t>02.01.049.00</t>
  </si>
  <si>
    <t>01225B</t>
  </si>
  <si>
    <t>T-STAT CONT SS 24VDC OUT FAR</t>
  </si>
  <si>
    <t>02.01.056.00</t>
  </si>
  <si>
    <t>01225P</t>
  </si>
  <si>
    <t>T-STAT PROBE 3-CON 36" FAR</t>
  </si>
  <si>
    <t>02.01.057.00</t>
  </si>
  <si>
    <t>01225PV</t>
  </si>
  <si>
    <t>T-STAT PROBE 3-CON 48" FAR</t>
  </si>
  <si>
    <t>02.01.061.00</t>
  </si>
  <si>
    <t>01235B</t>
  </si>
  <si>
    <t>REL,MICRO,24DC,SPDT,10RES</t>
  </si>
  <si>
    <t>02.01.073.00</t>
  </si>
  <si>
    <t>01239B</t>
  </si>
  <si>
    <t>T-STAT CONT SS DUAL OUTPUT</t>
  </si>
  <si>
    <t>02.01.078.00</t>
  </si>
  <si>
    <t>01239P</t>
  </si>
  <si>
    <t>T-STAT PROBE RTD3 36" CEL</t>
  </si>
  <si>
    <t>02.01.079.00</t>
  </si>
  <si>
    <t>01239PV</t>
  </si>
  <si>
    <t>T-STAT PROBE 3-CON 48" CEL</t>
  </si>
  <si>
    <t>02.01.080.00</t>
  </si>
  <si>
    <t>01270B</t>
  </si>
  <si>
    <t>T-STAT PROBE 3-CON 77" CEL</t>
  </si>
  <si>
    <t>02.01.083.00</t>
  </si>
  <si>
    <t>01300B</t>
  </si>
  <si>
    <t>LIQUID LEVEL CONTROL FR-LC</t>
  </si>
  <si>
    <t>02.01.085.00</t>
  </si>
  <si>
    <t>01300N</t>
  </si>
  <si>
    <t>T-STAT PROBE SS RTD2 100OHM@32</t>
  </si>
  <si>
    <t>02.01.086.00</t>
  </si>
  <si>
    <t>01302N</t>
  </si>
  <si>
    <t>T-STAT CONT SS DUAL IN/OUT FAR</t>
  </si>
  <si>
    <t>02.01.087.00</t>
  </si>
  <si>
    <t>01310N</t>
  </si>
  <si>
    <t>T-STAT CONT SS DUAL IN/OUT C</t>
  </si>
  <si>
    <t>02.01.097.00</t>
  </si>
  <si>
    <t>01311N</t>
  </si>
  <si>
    <t>REL,CUBE,120AC,DPDT,35RES</t>
  </si>
  <si>
    <t>02.01.098.00</t>
  </si>
  <si>
    <t>01316T</t>
  </si>
  <si>
    <t>REL,CUBE,208/240AC,DPDT,35RES</t>
  </si>
  <si>
    <t>02.01.104.00</t>
  </si>
  <si>
    <t>01350BN</t>
  </si>
  <si>
    <t>REL,MINI,24DC,DPDT,30RES</t>
  </si>
  <si>
    <t>02.01.105.00</t>
  </si>
  <si>
    <t>01350N</t>
  </si>
  <si>
    <t>REL,MINI,240VAC,SPDT,30RES</t>
  </si>
  <si>
    <t>02.01.108.00</t>
  </si>
  <si>
    <t>01351N</t>
  </si>
  <si>
    <t>POTENTIOMETER W/7" LEADS</t>
  </si>
  <si>
    <t>02.01.113.00</t>
  </si>
  <si>
    <t>01352N</t>
  </si>
  <si>
    <t>POT W/7" LEADS METAL CASE</t>
  </si>
  <si>
    <t>02.01.116.00</t>
  </si>
  <si>
    <t>01365B</t>
  </si>
  <si>
    <t>REL,MINI,24VAC,DPDT,10RES</t>
  </si>
  <si>
    <t>02.01.117.00</t>
  </si>
  <si>
    <t>01366B</t>
  </si>
  <si>
    <t>POT W/36" LEADS METAL CASE</t>
  </si>
  <si>
    <t>02.01.122.00</t>
  </si>
  <si>
    <t>01380N</t>
  </si>
  <si>
    <t>PROBE FOR LEVEL CONTROL</t>
  </si>
  <si>
    <t>02.01.125.00</t>
  </si>
  <si>
    <t>01400B</t>
  </si>
  <si>
    <t>REL,MINI,SOCKET</t>
  </si>
  <si>
    <t>02.01.144.00</t>
  </si>
  <si>
    <t>01402B</t>
  </si>
  <si>
    <t>T-STAT PROBE NiCAD 48" FAR</t>
  </si>
  <si>
    <t>02.01.145.00</t>
  </si>
  <si>
    <t>01409B</t>
  </si>
  <si>
    <t>T-STAT PROBE NICAD 60"</t>
  </si>
  <si>
    <t>02.01.146.00</t>
  </si>
  <si>
    <t>01409T</t>
  </si>
  <si>
    <t>OBS TSTAT PROBE NiCAD 77" FAHR</t>
  </si>
  <si>
    <t>02.01.147.00</t>
  </si>
  <si>
    <t>01412B</t>
  </si>
  <si>
    <t>REL,CUBE,220/240AC,DPDT,30RES</t>
  </si>
  <si>
    <t>02.01.149.00</t>
  </si>
  <si>
    <t>01419B</t>
  </si>
  <si>
    <t>REL,CUBE,240VAC,3PST,30RES</t>
  </si>
  <si>
    <t>02.01.167.00</t>
  </si>
  <si>
    <t>01419T</t>
  </si>
  <si>
    <t>CON,STD,24VAC,3P,50RES</t>
  </si>
  <si>
    <t>02.01.169.00</t>
  </si>
  <si>
    <t>01435B</t>
  </si>
  <si>
    <t>TF HORIZ DISPLAY BRD</t>
  </si>
  <si>
    <t>02.01.170.00</t>
  </si>
  <si>
    <t>01446V1</t>
  </si>
  <si>
    <t>TF MAIN BOARD 4 TRIACS</t>
  </si>
  <si>
    <t>02.01.177.00</t>
  </si>
  <si>
    <t>01446V4</t>
  </si>
  <si>
    <t>TIMER,VERTICAL BOARD LAYOUT</t>
  </si>
  <si>
    <t>02.01.178.00</t>
  </si>
  <si>
    <t>01452B</t>
  </si>
  <si>
    <t>WIRING HARNESS,TF</t>
  </si>
  <si>
    <t>02.01.180.00</t>
  </si>
  <si>
    <t>01470B</t>
  </si>
  <si>
    <t>REL,MINI,220VAC,SPDT,30RES</t>
  </si>
  <si>
    <t>02.01.188.00</t>
  </si>
  <si>
    <t>01474B</t>
  </si>
  <si>
    <t>REL,MINI,208V,SPDT,30RES</t>
  </si>
  <si>
    <t>02.01.190.00</t>
  </si>
  <si>
    <t>01621N</t>
  </si>
  <si>
    <t>TF MAIN BOARD 2 TRIACS</t>
  </si>
  <si>
    <t>02.01.192.00</t>
  </si>
  <si>
    <t>02201AD</t>
  </si>
  <si>
    <t>PROBE,100 OHM,RTD</t>
  </si>
  <si>
    <t>02.01.194.00</t>
  </si>
  <si>
    <t>02201AG</t>
  </si>
  <si>
    <t>GFCI-GFRBF-OXE,120V,20A</t>
  </si>
  <si>
    <t>02.01.203.00</t>
  </si>
  <si>
    <t>02201BD</t>
  </si>
  <si>
    <t>PROBE,TEMP,10K NTC THERMISTOR</t>
  </si>
  <si>
    <t>02.01.204.00</t>
  </si>
  <si>
    <t>02201BG</t>
  </si>
  <si>
    <t>PROBE,TEMP/LVL,10K THERMISTOR</t>
  </si>
  <si>
    <t>02.01.205.00</t>
  </si>
  <si>
    <t>02201CD</t>
  </si>
  <si>
    <t>AUDIBLE ALARM,PIEZO,120V</t>
  </si>
  <si>
    <t>02.01.216.00</t>
  </si>
  <si>
    <t>02201CG</t>
  </si>
  <si>
    <t>TEMP/LVL 1K@25C PTC THER PROBE</t>
  </si>
  <si>
    <t>02.01.217.00</t>
  </si>
  <si>
    <t>02201DD</t>
  </si>
  <si>
    <t>INTERLOCK SW,HARTLAND CONTACT</t>
  </si>
  <si>
    <t>02.01.218.00</t>
  </si>
  <si>
    <t>02201DG</t>
  </si>
  <si>
    <t>CON,STD,120AC,3P,50RES</t>
  </si>
  <si>
    <t>02.01.222A.00</t>
  </si>
  <si>
    <t>02201ED</t>
  </si>
  <si>
    <t>CTRL,ELE,120V,185F SP,220F MAX</t>
  </si>
  <si>
    <t>02.01.222C.00</t>
  </si>
  <si>
    <t>02201EG</t>
  </si>
  <si>
    <t>CTRL,ELE,120V,190F SP,190F MAX</t>
  </si>
  <si>
    <t>02.01.222D.00</t>
  </si>
  <si>
    <t>02201FD</t>
  </si>
  <si>
    <t>02.01.222E.00</t>
  </si>
  <si>
    <t>02201GD</t>
  </si>
  <si>
    <t>CTRL,ELE,120V,190F SP,200F MAX</t>
  </si>
  <si>
    <t>02.01.222F.00</t>
  </si>
  <si>
    <t>02350B</t>
  </si>
  <si>
    <t>CTRL,ELE,120V,185F SP,250F MAX</t>
  </si>
  <si>
    <t>02.01.222G.00</t>
  </si>
  <si>
    <t>02365B</t>
  </si>
  <si>
    <t>02.01.222H.00</t>
  </si>
  <si>
    <t>02366B</t>
  </si>
  <si>
    <t>CTRL,ELE,120V,175F SP,220F MAX</t>
  </si>
  <si>
    <t>02.01.222J.00</t>
  </si>
  <si>
    <t>02409B</t>
  </si>
  <si>
    <t>CTRL,ELE,120V,165F SP,175F MAX</t>
  </si>
  <si>
    <t>02.01.222L.00</t>
  </si>
  <si>
    <t>02412B</t>
  </si>
  <si>
    <t>CTRL,ELE,120V,185F SP,210F MAX</t>
  </si>
  <si>
    <t>02.01.224.00</t>
  </si>
  <si>
    <t>02419B</t>
  </si>
  <si>
    <t>REL,CUBE,120VAC,3PST,30RES</t>
  </si>
  <si>
    <t>02.01.226.00</t>
  </si>
  <si>
    <t>02435B</t>
  </si>
  <si>
    <t>SERVC TF CTRL 10 PROG VERT BRD</t>
  </si>
  <si>
    <t>02.01.236.00</t>
  </si>
  <si>
    <t>02440B</t>
  </si>
  <si>
    <t>REL,MINI,120VAC,SPDT,15RES</t>
  </si>
  <si>
    <t>02.01.238.00</t>
  </si>
  <si>
    <t>02440V4</t>
  </si>
  <si>
    <t>PCB,HEATER WELL CONTROL</t>
  </si>
  <si>
    <t>02.01.247.00</t>
  </si>
  <si>
    <t>02446V1</t>
  </si>
  <si>
    <t>WATER PROBE,INNER SEAL</t>
  </si>
  <si>
    <t>02.01.248.00</t>
  </si>
  <si>
    <t>02446V4</t>
  </si>
  <si>
    <t>WATER PROBE,OUTER SEAL</t>
  </si>
  <si>
    <t>02.01.259H.00</t>
  </si>
  <si>
    <t>02450B</t>
  </si>
  <si>
    <t>T-STAT CONT 24VDC OUT 165FONLY</t>
  </si>
  <si>
    <t>02.01.261.00</t>
  </si>
  <si>
    <t>04100N</t>
  </si>
  <si>
    <t>PROBE,48",FOR 02.01.259.00</t>
  </si>
  <si>
    <t>02.01.262.00</t>
  </si>
  <si>
    <t>04200B</t>
  </si>
  <si>
    <t>CON,STD,24VAC,4P,50RES</t>
  </si>
  <si>
    <t>02.01.294.00</t>
  </si>
  <si>
    <t>04200N</t>
  </si>
  <si>
    <t>S.S. INF CONTROL,208-240v</t>
  </si>
  <si>
    <t>02.01.295.00</t>
  </si>
  <si>
    <t>04200NB</t>
  </si>
  <si>
    <t>CTRL,ELE,240V,185F SP,220F MAX</t>
  </si>
  <si>
    <t>02.01.295A.00</t>
  </si>
  <si>
    <t>04201N</t>
  </si>
  <si>
    <t>CTRL,ELE,240V,125C SP,125C MAX</t>
  </si>
  <si>
    <t>02.01.295C.00</t>
  </si>
  <si>
    <t>04214N</t>
  </si>
  <si>
    <t>CTRL,ELE,240V,190F SP,190F MAX</t>
  </si>
  <si>
    <t>02.01.295D.00</t>
  </si>
  <si>
    <t>04225B</t>
  </si>
  <si>
    <t>02.01.295E.00</t>
  </si>
  <si>
    <t>04239B</t>
  </si>
  <si>
    <t>CTRL,ELE,240V,190F SP,200F MAX</t>
  </si>
  <si>
    <t>02.01.295F.00</t>
  </si>
  <si>
    <t>04300B</t>
  </si>
  <si>
    <t>CTRL,ELE,240V,185F SP,250F MAX</t>
  </si>
  <si>
    <t>02.01.295L.00</t>
  </si>
  <si>
    <t>04300BN</t>
  </si>
  <si>
    <t>CTRL,ELE,240V,185F SP,210F MAX</t>
  </si>
  <si>
    <t>02.01.296.00</t>
  </si>
  <si>
    <t>04300N</t>
  </si>
  <si>
    <t>PROBE,SS BUTTON</t>
  </si>
  <si>
    <t>02.01.297.00</t>
  </si>
  <si>
    <t>04301N</t>
  </si>
  <si>
    <t>S.S. INF CONTROL,120V</t>
  </si>
  <si>
    <t>02.01.298.00</t>
  </si>
  <si>
    <t>04302N</t>
  </si>
  <si>
    <t>CONTROL,ELEC,INF,230V,30A</t>
  </si>
  <si>
    <t>02.01.300.00</t>
  </si>
  <si>
    <t>04310N</t>
  </si>
  <si>
    <t>POT W/7" LEADS,CW INCREASING</t>
  </si>
  <si>
    <t>02.01.302.00</t>
  </si>
  <si>
    <t>04311N</t>
  </si>
  <si>
    <t>REL,CUBE,24DC,DPDT,35RES</t>
  </si>
  <si>
    <t>02.01.316.00</t>
  </si>
  <si>
    <t>04365B</t>
  </si>
  <si>
    <t>PROBE,6",FOR 02.01.259.00</t>
  </si>
  <si>
    <t>02.01.317.00</t>
  </si>
  <si>
    <t>04366B</t>
  </si>
  <si>
    <t>PROBE ASSY,118",02.01.259.00</t>
  </si>
  <si>
    <t>02.01.318.00</t>
  </si>
  <si>
    <t>04380N</t>
  </si>
  <si>
    <t>REL,MINI,24DC,DPDT</t>
  </si>
  <si>
    <t>02.01.319.00</t>
  </si>
  <si>
    <t>04400BN</t>
  </si>
  <si>
    <t>USER INTERFACE BOARD,HZM</t>
  </si>
  <si>
    <t>02.01.322.00</t>
  </si>
  <si>
    <t>04400N</t>
  </si>
  <si>
    <t>TRIAC BOARD,HZM</t>
  </si>
  <si>
    <t>02.01.324.00</t>
  </si>
  <si>
    <t>04400NV4</t>
  </si>
  <si>
    <t>LED SENSOR BAR,HZM</t>
  </si>
  <si>
    <t>02.01.340.00</t>
  </si>
  <si>
    <t>04401N</t>
  </si>
  <si>
    <t>CONTROL BRD ASSY,12V AC TIMER</t>
  </si>
  <si>
    <t>02.01.341.00</t>
  </si>
  <si>
    <t>04402N</t>
  </si>
  <si>
    <t>02.01.343.00</t>
  </si>
  <si>
    <t>04403N</t>
  </si>
  <si>
    <t>CON,STD,120VAC,3P,50RES W/TAP</t>
  </si>
  <si>
    <t>02.01.344.00</t>
  </si>
  <si>
    <t>04404N</t>
  </si>
  <si>
    <t>PROBE,120",NICAD,TSTAT,F</t>
  </si>
  <si>
    <t>02.01.345.00</t>
  </si>
  <si>
    <t>04408B</t>
  </si>
  <si>
    <t>LED DRIVER,HZM</t>
  </si>
  <si>
    <t>02.01.346.00</t>
  </si>
  <si>
    <t>04418B</t>
  </si>
  <si>
    <t>PCB,TPT-120</t>
  </si>
  <si>
    <t>02.01.348.00</t>
  </si>
  <si>
    <t>04419B</t>
  </si>
  <si>
    <t>POWER PCB,HGSM</t>
  </si>
  <si>
    <t>02.01.349.00</t>
  </si>
  <si>
    <t>04426B</t>
  </si>
  <si>
    <t>CONTROL PCB,HGSM</t>
  </si>
  <si>
    <t>02.01.354.00</t>
  </si>
  <si>
    <t>04446V1</t>
  </si>
  <si>
    <t>T-STAT PROBE 3-WIRE 95</t>
  </si>
  <si>
    <t>02.01.358.00</t>
  </si>
  <si>
    <t>04446V4</t>
  </si>
  <si>
    <t>DIELECTRIC GREASE,.28 OZ PACKG</t>
  </si>
  <si>
    <t>02.01.360.00</t>
  </si>
  <si>
    <t>04480N</t>
  </si>
  <si>
    <t>PCB,TPT-208/240</t>
  </si>
  <si>
    <t>02.01.361.00</t>
  </si>
  <si>
    <t>09200S</t>
  </si>
  <si>
    <t>WASHER,TEFLON,WATER PROBE,35MM</t>
  </si>
  <si>
    <t>02.01.362.00</t>
  </si>
  <si>
    <t>09201S</t>
  </si>
  <si>
    <t>WATER SENSOR TEFLON SEAL RCTHW</t>
  </si>
  <si>
    <t>02.01.370.00</t>
  </si>
  <si>
    <t>09350B</t>
  </si>
  <si>
    <t>CONTROL ASSEMBLY,SAL-1</t>
  </si>
  <si>
    <t>02.01.379.00</t>
  </si>
  <si>
    <t>09366B</t>
  </si>
  <si>
    <t>PCB,TPT-120CA</t>
  </si>
  <si>
    <t>02.01.380.00</t>
  </si>
  <si>
    <t>09409B</t>
  </si>
  <si>
    <t>WATER LEVEL PROBE, LOW</t>
  </si>
  <si>
    <t>02.01.382.00</t>
  </si>
  <si>
    <t>09412B</t>
  </si>
  <si>
    <t>DISPLAY PCB,FM-5</t>
  </si>
  <si>
    <t>02.01.383.00</t>
  </si>
  <si>
    <t>09419B</t>
  </si>
  <si>
    <t>MAIN PCB TOUCH,FM-5</t>
  </si>
  <si>
    <t>02.01.384.00</t>
  </si>
  <si>
    <t>09435B</t>
  </si>
  <si>
    <t>TOUCH PCB,FM-5</t>
  </si>
  <si>
    <t>02.01.387.00</t>
  </si>
  <si>
    <t>09440B</t>
  </si>
  <si>
    <t>PROBE,NTC,CAREL</t>
  </si>
  <si>
    <t>02.01.391.00</t>
  </si>
  <si>
    <t>09446V1</t>
  </si>
  <si>
    <t>WATER LEVEL BOARD.TWO RELAY</t>
  </si>
  <si>
    <t>02.01.393.00</t>
  </si>
  <si>
    <t>09446V4</t>
  </si>
  <si>
    <t>PROBE,TEMP/LEVEL,10K,HCWBI</t>
  </si>
  <si>
    <t>02.01.394.00</t>
  </si>
  <si>
    <t>09450B</t>
  </si>
  <si>
    <t>T-STAT CONTROL,220VAC</t>
  </si>
  <si>
    <t>02.01.397.00</t>
  </si>
  <si>
    <t>1</t>
  </si>
  <si>
    <t>T-STAT PROBE NICAD 180"</t>
  </si>
  <si>
    <t>02.01.399.00</t>
  </si>
  <si>
    <t>10100</t>
  </si>
  <si>
    <t>GFCI 230V CE 16 AMP 10mA TRIP</t>
  </si>
  <si>
    <t>02.01.403.00</t>
  </si>
  <si>
    <t>10101</t>
  </si>
  <si>
    <t>REL,MINI,120VAC,SPDT,30RES</t>
  </si>
  <si>
    <t>02.01.407.00</t>
  </si>
  <si>
    <t>10102</t>
  </si>
  <si>
    <t>SS RELAY,25A,4-32VDC CONTROL</t>
  </si>
  <si>
    <t>02.01.408.00</t>
  </si>
  <si>
    <t>10103</t>
  </si>
  <si>
    <t>WATER LEVEL PROBE, MEDIUM</t>
  </si>
  <si>
    <t>02.01.409.00</t>
  </si>
  <si>
    <t>10104</t>
  </si>
  <si>
    <t>WATER LEVEL PROBE, HIGH</t>
  </si>
  <si>
    <t>02.01.410.00</t>
  </si>
  <si>
    <t>10105</t>
  </si>
  <si>
    <t>TEFLON FLOW WASH,8.2mmOD,4mmID</t>
  </si>
  <si>
    <t>02.01.411.00</t>
  </si>
  <si>
    <t>10106</t>
  </si>
  <si>
    <t>PCB,120,208,240V HEAT WELL CON</t>
  </si>
  <si>
    <t>02.01.418.00</t>
  </si>
  <si>
    <t>10107</t>
  </si>
  <si>
    <t>PROBE,60",FOR 02.01.259.00</t>
  </si>
  <si>
    <t>02.01.427.00</t>
  </si>
  <si>
    <t>10108</t>
  </si>
  <si>
    <t>REL,MINI,120V,SPDT,20RES,GOLD</t>
  </si>
  <si>
    <t>02.01.428.00</t>
  </si>
  <si>
    <t>10109</t>
  </si>
  <si>
    <t>POTENTIOMETER 2M OHM 14" LEADS</t>
  </si>
  <si>
    <t>02.01.429.00</t>
  </si>
  <si>
    <t>10110</t>
  </si>
  <si>
    <t>LED DRIVER,24V,35W</t>
  </si>
  <si>
    <t>02.01.432.00</t>
  </si>
  <si>
    <t>10200</t>
  </si>
  <si>
    <t>FILTER PCB</t>
  </si>
  <si>
    <t>02.01.435.00</t>
  </si>
  <si>
    <t>10300</t>
  </si>
  <si>
    <t>LED DRIVER,24V,60W</t>
  </si>
  <si>
    <t>02.01.437.00</t>
  </si>
  <si>
    <t>10301</t>
  </si>
  <si>
    <t>WEATHER COVER,45 X 45mm GFCI</t>
  </si>
  <si>
    <t>02.01.440.00</t>
  </si>
  <si>
    <t>10304</t>
  </si>
  <si>
    <t>T-STAT PROBE SS,RTD 1K OHM</t>
  </si>
  <si>
    <t>02.01.441.00</t>
  </si>
  <si>
    <t>10305</t>
  </si>
  <si>
    <t>MAIN PCB BOARD,TM3</t>
  </si>
  <si>
    <t>02.01.442.00</t>
  </si>
  <si>
    <t>10306</t>
  </si>
  <si>
    <t>CONTROL UI PCB,TM3</t>
  </si>
  <si>
    <t>02.01.443.00</t>
  </si>
  <si>
    <t>10400</t>
  </si>
  <si>
    <t>T-STAT CONT SS 1PR LIM 140-192</t>
  </si>
  <si>
    <t>02.01.444.00</t>
  </si>
  <si>
    <t>10400C</t>
  </si>
  <si>
    <t>T-STAT CONT SS 2-3 PR 140-192F</t>
  </si>
  <si>
    <t>02.01.445.00</t>
  </si>
  <si>
    <t>10401</t>
  </si>
  <si>
    <t>02.01.457.00</t>
  </si>
  <si>
    <t>10401C</t>
  </si>
  <si>
    <t>PROBE,TEMP &amp; HUMIDITY,I2C</t>
  </si>
  <si>
    <t>02.01.459.00</t>
  </si>
  <si>
    <t>10402</t>
  </si>
  <si>
    <t>REL,MINI,12DC,SPDT,10RES</t>
  </si>
  <si>
    <t>02.01.460.00</t>
  </si>
  <si>
    <t>10500</t>
  </si>
  <si>
    <t>36" CAREL PROBE,9" SHRINK WRAP</t>
  </si>
  <si>
    <t>02.01.461.00</t>
  </si>
  <si>
    <t>10502</t>
  </si>
  <si>
    <t>46" CAREL PROBE,9" SHRINK WRAP</t>
  </si>
  <si>
    <t>02.01.467.00</t>
  </si>
  <si>
    <t>10503</t>
  </si>
  <si>
    <t>PCB,6CHNL,10K NTC TEMP CONTROL</t>
  </si>
  <si>
    <t>02.01.468.00</t>
  </si>
  <si>
    <t>10504</t>
  </si>
  <si>
    <t>FOOD PROBE,IRNG-PC1-36</t>
  </si>
  <si>
    <t>02.01.471.00</t>
  </si>
  <si>
    <t>10505</t>
  </si>
  <si>
    <t>PROBE,10K,NTC,STAINLESS</t>
  </si>
  <si>
    <t>02.01.478.00</t>
  </si>
  <si>
    <t>10506</t>
  </si>
  <si>
    <t>CONTROL PCB, GMHDH-XPT</t>
  </si>
  <si>
    <t>02.01.479.00</t>
  </si>
  <si>
    <t>10600</t>
  </si>
  <si>
    <t>MAIN PCB,HEAT AND HUMIDITY CON</t>
  </si>
  <si>
    <t>02.01.480.00</t>
  </si>
  <si>
    <t>10601</t>
  </si>
  <si>
    <t>NTC PROBE,MDW-12-1X</t>
  </si>
  <si>
    <t>02.01.481.00</t>
  </si>
  <si>
    <t>10605</t>
  </si>
  <si>
    <t>MAIN PCB,INDUCTION,3600W</t>
  </si>
  <si>
    <t>02.01.481.02</t>
  </si>
  <si>
    <t>10606</t>
  </si>
  <si>
    <t>MAIN PCB,INDUCTION,3600W-CTR</t>
  </si>
  <si>
    <t>02.01.487.00</t>
  </si>
  <si>
    <t>10607</t>
  </si>
  <si>
    <t>PCB,STEPPER MTR EXT PWR SUPPLY</t>
  </si>
  <si>
    <t>02.01.488.00</t>
  </si>
  <si>
    <t>10608</t>
  </si>
  <si>
    <t>POT 2M OHM W/10" LEADS</t>
  </si>
  <si>
    <t>02.01.489.00</t>
  </si>
  <si>
    <t>10609</t>
  </si>
  <si>
    <t>POT 2M OHM W/14" LEADS</t>
  </si>
  <si>
    <t>02.01.490.00</t>
  </si>
  <si>
    <t>10610</t>
  </si>
  <si>
    <t>GFCI 208-240V 3 POLE</t>
  </si>
  <si>
    <t>02.01.493.00</t>
  </si>
  <si>
    <t>10613</t>
  </si>
  <si>
    <t>MAIN PCB TACTILE,FM-5</t>
  </si>
  <si>
    <t>02.01.495.00</t>
  </si>
  <si>
    <t>10700</t>
  </si>
  <si>
    <t>REL,24VDC,DPST,30A,600VAC</t>
  </si>
  <si>
    <t>02.01.505.00</t>
  </si>
  <si>
    <t>10700B</t>
  </si>
  <si>
    <t>PROBE,NTC 100K OHM,DIA 6X75MM</t>
  </si>
  <si>
    <t>02.01.506.00</t>
  </si>
  <si>
    <t>10701</t>
  </si>
  <si>
    <t>PROBE,NTC 100K OHM,THERMISTOR</t>
  </si>
  <si>
    <t>02.01.511.00</t>
  </si>
  <si>
    <t>10702</t>
  </si>
  <si>
    <t>PROBE PT-100, RWM, RCTWM</t>
  </si>
  <si>
    <t>02.01.519.00</t>
  </si>
  <si>
    <t>10703</t>
  </si>
  <si>
    <t>PTC PROBE,48",1K W/PLUG</t>
  </si>
  <si>
    <t>02.01.523.00</t>
  </si>
  <si>
    <t>10704</t>
  </si>
  <si>
    <t>PTC PROBE,60",1K W/PLUG</t>
  </si>
  <si>
    <t>02.01.524.00</t>
  </si>
  <si>
    <t>10705</t>
  </si>
  <si>
    <t>UI PCB,RWM,RCTWM</t>
  </si>
  <si>
    <t>02.01.525.00</t>
  </si>
  <si>
    <t>10710</t>
  </si>
  <si>
    <t>MAIN PCB,RWM,RCTWM</t>
  </si>
  <si>
    <t>02.01.530.00</t>
  </si>
  <si>
    <t>10711</t>
  </si>
  <si>
    <t>PROBE ASSEMBLY,IRCTHW</t>
  </si>
  <si>
    <t>02.01.532.00</t>
  </si>
  <si>
    <t>10712</t>
  </si>
  <si>
    <t>UI PCB,SNACK</t>
  </si>
  <si>
    <t>02.01.533.00</t>
  </si>
  <si>
    <t>10713</t>
  </si>
  <si>
    <t>MAIN PCB,SNACK</t>
  </si>
  <si>
    <t>02.01.533.01</t>
  </si>
  <si>
    <t>10714</t>
  </si>
  <si>
    <t>TMS2-1H MAIN BOARD</t>
  </si>
  <si>
    <t>02.01.539.00</t>
  </si>
  <si>
    <t>10715N</t>
  </si>
  <si>
    <t>CUBE CONTROL MODULE</t>
  </si>
  <si>
    <t>02.01.540.00</t>
  </si>
  <si>
    <t>10715NB</t>
  </si>
  <si>
    <t>FLOAT SWITCH,45MM</t>
  </si>
  <si>
    <t>02.01.541.00</t>
  </si>
  <si>
    <t>10718N</t>
  </si>
  <si>
    <t>CONTROL,UI&amp;TEMP LOW COST</t>
  </si>
  <si>
    <t>02.01.548.00</t>
  </si>
  <si>
    <t>10721</t>
  </si>
  <si>
    <t>REL,IRNG-2 FAN</t>
  </si>
  <si>
    <t>02.01.551.00</t>
  </si>
  <si>
    <t>10722</t>
  </si>
  <si>
    <t>MAIN PCB,230V,IWRM</t>
  </si>
  <si>
    <t>02.01.557.00</t>
  </si>
  <si>
    <t>10723</t>
  </si>
  <si>
    <t>UI PCB,RHW2,RCTHW2</t>
  </si>
  <si>
    <t>02.01.563.00</t>
  </si>
  <si>
    <t>10724</t>
  </si>
  <si>
    <t>LED DRIVER, 12V, 60W</t>
  </si>
  <si>
    <t>02.01.565.00</t>
  </si>
  <si>
    <t>10725</t>
  </si>
  <si>
    <t>EMI PCB,230V,IWRM</t>
  </si>
  <si>
    <t>02.01.567.00</t>
  </si>
  <si>
    <t>10726</t>
  </si>
  <si>
    <t>MAGNET SENSOR</t>
  </si>
  <si>
    <t>02.01.569.00</t>
  </si>
  <si>
    <t>10730B</t>
  </si>
  <si>
    <t>INDUCTION TFT-TOUCH CONTROL UI</t>
  </si>
  <si>
    <t>02.01.570.00</t>
  </si>
  <si>
    <t>10731</t>
  </si>
  <si>
    <t>T-STAT CONTROL,115VAC</t>
  </si>
  <si>
    <t>02.01.572.00</t>
  </si>
  <si>
    <t>10732</t>
  </si>
  <si>
    <t>PCB,120,208,240 FUSE,HEAT WELL</t>
  </si>
  <si>
    <t>02.01.574.00</t>
  </si>
  <si>
    <t>10732B</t>
  </si>
  <si>
    <t>CONTROL PCB,230V,IWRM</t>
  </si>
  <si>
    <t>02.01.585.00</t>
  </si>
  <si>
    <t>10741</t>
  </si>
  <si>
    <t>SCANNER,2D CODE,USB</t>
  </si>
  <si>
    <t>02.01.591.00</t>
  </si>
  <si>
    <t>10742</t>
  </si>
  <si>
    <t>SIEMENS V20 DRIVE</t>
  </si>
  <si>
    <t>02.01.597.00</t>
  </si>
  <si>
    <t>10800</t>
  </si>
  <si>
    <t>MAIN PCB,INDUCTION,3600W-IA</t>
  </si>
  <si>
    <t>02.01.598.00</t>
  </si>
  <si>
    <t>10900</t>
  </si>
  <si>
    <t>MAIN BOARD,FWM</t>
  </si>
  <si>
    <t>02.01.598.01</t>
  </si>
  <si>
    <t>10900B</t>
  </si>
  <si>
    <t>MAIN BOARD,RCTHW2</t>
  </si>
  <si>
    <t>02.01.598.02</t>
  </si>
  <si>
    <t>10900C</t>
  </si>
  <si>
    <t>MAIN BOARD,PANINI GRILL</t>
  </si>
  <si>
    <t>02.01.598.03</t>
  </si>
  <si>
    <t>10900CB</t>
  </si>
  <si>
    <t>MAIN BOARD,HBGBHC</t>
  </si>
  <si>
    <t>02.01.600.00</t>
  </si>
  <si>
    <t>10901</t>
  </si>
  <si>
    <t>REL,MINI,12VDC,DPDT,10RES</t>
  </si>
  <si>
    <t>02.01.602.00</t>
  </si>
  <si>
    <t>10901C</t>
  </si>
  <si>
    <t>PROBE,100 OHM RTD,AL,6DIAx18MM</t>
  </si>
  <si>
    <t>02.01.605.00</t>
  </si>
  <si>
    <t>10901N</t>
  </si>
  <si>
    <t>RELAY,220V/240V 25A</t>
  </si>
  <si>
    <t>02.01.608.00</t>
  </si>
  <si>
    <t>10903</t>
  </si>
  <si>
    <t>RELAY,12V 40A NO</t>
  </si>
  <si>
    <t>02.01.609.00</t>
  </si>
  <si>
    <t>10904</t>
  </si>
  <si>
    <t>02.01.613.00</t>
  </si>
  <si>
    <t>10905</t>
  </si>
  <si>
    <t>UART TO RS232 PCB,RCTHW2</t>
  </si>
  <si>
    <t>02.01.614.00</t>
  </si>
  <si>
    <t>10906</t>
  </si>
  <si>
    <t>DISPLAY W/CAP TOUCH,3.5 INCH</t>
  </si>
  <si>
    <t>02.01.615.00</t>
  </si>
  <si>
    <t>10906B</t>
  </si>
  <si>
    <t>WEIGHT SENSOR,TMS2</t>
  </si>
  <si>
    <t>02.01.620.00</t>
  </si>
  <si>
    <t>10907</t>
  </si>
  <si>
    <t>MN DISTRIBUTION BOARD</t>
  </si>
  <si>
    <t>02.01.621B.00</t>
  </si>
  <si>
    <t>10908</t>
  </si>
  <si>
    <t>MN MOBILE ANTENNA</t>
  </si>
  <si>
    <t>02.01.621C.00</t>
  </si>
  <si>
    <t>10909</t>
  </si>
  <si>
    <t>MN ROUTER,COMMISSIONED</t>
  </si>
  <si>
    <t>02.01.628.00</t>
  </si>
  <si>
    <t>10910</t>
  </si>
  <si>
    <t>CTRL,ELECTRONIC,THERM,100-240V</t>
  </si>
  <si>
    <t>02.01.628.US</t>
  </si>
  <si>
    <t>10912</t>
  </si>
  <si>
    <t>CTRL,ELECTRONIC,THERM,100-240V,US</t>
  </si>
  <si>
    <t>02.01.633.00</t>
  </si>
  <si>
    <t>10912B</t>
  </si>
  <si>
    <t>USB TO RS485 CONVERTER</t>
  </si>
  <si>
    <t>02.01.654.00</t>
  </si>
  <si>
    <t>10913</t>
  </si>
  <si>
    <t>MAIN PCB,GMHDH-3PT</t>
  </si>
  <si>
    <t>02.01.672.00</t>
  </si>
  <si>
    <t>10914</t>
  </si>
  <si>
    <t>TEMPERATURE SENSOR,NTC,100K OHM,XAP-2</t>
  </si>
  <si>
    <t>02.01.675.00</t>
  </si>
  <si>
    <t>10917</t>
  </si>
  <si>
    <t>RELAY AC100V-120V 25A,NO,TRM</t>
  </si>
  <si>
    <t>02.01.677.00</t>
  </si>
  <si>
    <t>10918</t>
  </si>
  <si>
    <t>PROBE,PT100,SS,DIA 6X45MM,180MM</t>
  </si>
  <si>
    <t>02.01.678.00</t>
  </si>
  <si>
    <t>10919</t>
  </si>
  <si>
    <t>FLOAT SWITCH,75MM</t>
  </si>
  <si>
    <t>02.01.680.01</t>
  </si>
  <si>
    <t>10920</t>
  </si>
  <si>
    <t>2.4" &amp; 2.8" LCD DISPLAY PCBA</t>
  </si>
  <si>
    <t>02.03.004.00</t>
  </si>
  <si>
    <t>10921</t>
  </si>
  <si>
    <t>FUSE HOLDER FOR AGC FUSE</t>
  </si>
  <si>
    <t>02.03.016.00</t>
  </si>
  <si>
    <t>10922</t>
  </si>
  <si>
    <t>FUSE BLOCK 600V CLASS CC</t>
  </si>
  <si>
    <t>02.03.022.00</t>
  </si>
  <si>
    <t>10924</t>
  </si>
  <si>
    <t>FUSE BLOCK 15A 600V 2P-G CLASS</t>
  </si>
  <si>
    <t>02.03.023.00</t>
  </si>
  <si>
    <t>10925</t>
  </si>
  <si>
    <t>FUSE BLOCK 30A 600V 2P-T CLASS</t>
  </si>
  <si>
    <t>02.03.053.00</t>
  </si>
  <si>
    <t>10933</t>
  </si>
  <si>
    <t>FUSE 20A 250V FAST ACTING</t>
  </si>
  <si>
    <t>02.03.068.00</t>
  </si>
  <si>
    <t>10934</t>
  </si>
  <si>
    <t>FUSE BLOCK 15A 480V 1P-G CLASS</t>
  </si>
  <si>
    <t>02.03.093.00</t>
  </si>
  <si>
    <t>10950B</t>
  </si>
  <si>
    <t>FUSE,DIA 6.4X31.8MM,10A,250V</t>
  </si>
  <si>
    <t>02.03.095.00</t>
  </si>
  <si>
    <t>10950CB</t>
  </si>
  <si>
    <t>FUSE 20A 250V FAST-ACTING</t>
  </si>
  <si>
    <t>02.05.010A.00</t>
  </si>
  <si>
    <t>11</t>
  </si>
  <si>
    <t>225W 240V FLEX BLANKET ELEM</t>
  </si>
  <si>
    <t>02.05.050E.00</t>
  </si>
  <si>
    <t>1100</t>
  </si>
  <si>
    <t>450W 240V HDW ELEMENT EXP</t>
  </si>
  <si>
    <t>02.05.051T.00</t>
  </si>
  <si>
    <t>1101</t>
  </si>
  <si>
    <t>450W 208V HDW ELEMENT</t>
  </si>
  <si>
    <t>02.05.052T.00</t>
  </si>
  <si>
    <t>1102</t>
  </si>
  <si>
    <t>450W 120V HDW ELEMENT</t>
  </si>
  <si>
    <t>02.05.053E.00</t>
  </si>
  <si>
    <t>1103</t>
  </si>
  <si>
    <t>450W 220V HDW ELEMENT EXP</t>
  </si>
  <si>
    <t>02.05.053T.00</t>
  </si>
  <si>
    <t>1104</t>
  </si>
  <si>
    <t>450W 220V HDW ELEMENT</t>
  </si>
  <si>
    <t>02.05.055.00</t>
  </si>
  <si>
    <t>1105</t>
  </si>
  <si>
    <t>450W 120V HDW-XN ELEMENT</t>
  </si>
  <si>
    <t>02.05.056.00</t>
  </si>
  <si>
    <t>1106</t>
  </si>
  <si>
    <t>450W 208V HDW-XN ELEMENT</t>
  </si>
  <si>
    <t>02.05.057E.00</t>
  </si>
  <si>
    <t>1107</t>
  </si>
  <si>
    <t>450W 220V HDW-XN ELEMENT EXP</t>
  </si>
  <si>
    <t>02.05.058.00</t>
  </si>
  <si>
    <t>1109</t>
  </si>
  <si>
    <t>450W 240V HDW-XN ELEMENT</t>
  </si>
  <si>
    <t>02.05.058E.00</t>
  </si>
  <si>
    <t>11101</t>
  </si>
  <si>
    <t>450W 240V HDW-XN ELEMENT EXP</t>
  </si>
  <si>
    <t>02.05.092.00</t>
  </si>
  <si>
    <t>11103</t>
  </si>
  <si>
    <t>130W 240V FOIL ELEMENT-90</t>
  </si>
  <si>
    <t>02.05.094.00</t>
  </si>
  <si>
    <t>1111</t>
  </si>
  <si>
    <t>100W 240V FOIL ELEMENT-70</t>
  </si>
  <si>
    <t>02.05.095.00</t>
  </si>
  <si>
    <t>1112</t>
  </si>
  <si>
    <t>175W 240V FOIL ELEMENT-108</t>
  </si>
  <si>
    <t>02.05.096.00</t>
  </si>
  <si>
    <t>1115</t>
  </si>
  <si>
    <t>150W 240V FOIL ELEMENT-96</t>
  </si>
  <si>
    <t>02.05.098.00</t>
  </si>
  <si>
    <t>11150</t>
  </si>
  <si>
    <t>GRS/BW-12 50W 120V FOIL ELE</t>
  </si>
  <si>
    <t>02.05.099.00</t>
  </si>
  <si>
    <t>11160</t>
  </si>
  <si>
    <t>GRS/BW-18 120W 120V 36 X 1 ELE</t>
  </si>
  <si>
    <t>02.05.100.00</t>
  </si>
  <si>
    <t>11200</t>
  </si>
  <si>
    <t>GRS/BW-24 150W 120V 54</t>
  </si>
  <si>
    <t>02.05.1003.00</t>
  </si>
  <si>
    <t>11200C</t>
  </si>
  <si>
    <t>168W 230V ROPE ELEM 102"</t>
  </si>
  <si>
    <t>02.05.1004.00</t>
  </si>
  <si>
    <t>11201</t>
  </si>
  <si>
    <t>206W 230V ROPE ELEM 103"</t>
  </si>
  <si>
    <t>02.05.1006.00</t>
  </si>
  <si>
    <t>11202</t>
  </si>
  <si>
    <t>178W 230V ROPE ELEM 93"</t>
  </si>
  <si>
    <t>02.05.1007.00</t>
  </si>
  <si>
    <t>11204NJ</t>
  </si>
  <si>
    <t>223W 230V ROPE ELEM 138"</t>
  </si>
  <si>
    <t>02.05.1008.00</t>
  </si>
  <si>
    <t>11204NN</t>
  </si>
  <si>
    <t>275W 230V ROPE ELEM 139"</t>
  </si>
  <si>
    <t>02.05.1009.00</t>
  </si>
  <si>
    <t>11300N</t>
  </si>
  <si>
    <t>204W 230V ROPE ELEM 137"</t>
  </si>
  <si>
    <t>02.05.101.00</t>
  </si>
  <si>
    <t>11300NB</t>
  </si>
  <si>
    <t>GRS/BW-30 185W 120V 66</t>
  </si>
  <si>
    <t>02.05.1012.00</t>
  </si>
  <si>
    <t>11302</t>
  </si>
  <si>
    <t>400W 120V BLKT HTR 9.75,12"EXT</t>
  </si>
  <si>
    <t>02.05.102.00</t>
  </si>
  <si>
    <t>11303</t>
  </si>
  <si>
    <t>GRS/BW-36 220W 120V 78</t>
  </si>
  <si>
    <t>02.05.1020.00</t>
  </si>
  <si>
    <t>11304</t>
  </si>
  <si>
    <t>500W 240V ELEM,WATER,GMHDH</t>
  </si>
  <si>
    <t>02.05.1022.00</t>
  </si>
  <si>
    <t>11305</t>
  </si>
  <si>
    <t>400W 120V BLKT HTR 6 x 78"</t>
  </si>
  <si>
    <t>02.05.1026.00</t>
  </si>
  <si>
    <t>11306N</t>
  </si>
  <si>
    <t>220W 240V ELEMENT,PWC-12</t>
  </si>
  <si>
    <t>02.05.1028.00</t>
  </si>
  <si>
    <t>11307</t>
  </si>
  <si>
    <t>880W 120V ELEM,TM3-10</t>
  </si>
  <si>
    <t>02.05.103.00</t>
  </si>
  <si>
    <t>11308</t>
  </si>
  <si>
    <t>GRS/BW-42 250W 120V 90</t>
  </si>
  <si>
    <t>02.05.1033.00</t>
  </si>
  <si>
    <t>11309</t>
  </si>
  <si>
    <t>880W 208V ELEM,TM3-10</t>
  </si>
  <si>
    <t>02.05.1037.00</t>
  </si>
  <si>
    <t>11310N</t>
  </si>
  <si>
    <t>480W 240V ELEM,AIR,GMHDH</t>
  </si>
  <si>
    <t>02.05.1049.00</t>
  </si>
  <si>
    <t>11313</t>
  </si>
  <si>
    <t>230W 120V BLKT HTR GRPWS-2424</t>
  </si>
  <si>
    <t>02.05.105.00</t>
  </si>
  <si>
    <t>11314</t>
  </si>
  <si>
    <t>GRS/BW-54 320W 120V 114</t>
  </si>
  <si>
    <t>02.05.1050.00</t>
  </si>
  <si>
    <t>11315</t>
  </si>
  <si>
    <t>185W 120V GRPWS-2424 BLKT,FRT</t>
  </si>
  <si>
    <t>02.05.1051.00</t>
  </si>
  <si>
    <t>11316NB</t>
  </si>
  <si>
    <t>ELE ASY,240V457W,TPT230 CENTER</t>
  </si>
  <si>
    <t>02.05.1052.00</t>
  </si>
  <si>
    <t>11318</t>
  </si>
  <si>
    <t>ELE ASY,120V342W,TPT230 SIDE</t>
  </si>
  <si>
    <t>02.05.1056.00</t>
  </si>
  <si>
    <t>11320</t>
  </si>
  <si>
    <t>830W 120V BLKT HTR GRSB 18x11</t>
  </si>
  <si>
    <t>02.05.1059.00</t>
  </si>
  <si>
    <t>11321</t>
  </si>
  <si>
    <t>ELEM,450W,120V,RWM,RCTWM</t>
  </si>
  <si>
    <t>02.05.106.00</t>
  </si>
  <si>
    <t>11322N</t>
  </si>
  <si>
    <t>350W 120V 126</t>
  </si>
  <si>
    <t>02.05.1060.00</t>
  </si>
  <si>
    <t>11323</t>
  </si>
  <si>
    <t>ELEM,450W,230V,RWM,RCTWM</t>
  </si>
  <si>
    <t>02.05.1073.00</t>
  </si>
  <si>
    <t>11324</t>
  </si>
  <si>
    <t>250W 120V,HDWTC,BASE BLANKET</t>
  </si>
  <si>
    <t>02.05.1074.00</t>
  </si>
  <si>
    <t>11325N</t>
  </si>
  <si>
    <t>50W 120V,HDWTC,SIDE BLANKET</t>
  </si>
  <si>
    <t>02.05.1079.00</t>
  </si>
  <si>
    <t>11326N</t>
  </si>
  <si>
    <t>272W 240V,HDWTC,BASE BLANKET</t>
  </si>
  <si>
    <t>02.05.1080.00</t>
  </si>
  <si>
    <t>11327</t>
  </si>
  <si>
    <t>55W 240V,HDWTC,SIDE BLANKET</t>
  </si>
  <si>
    <t>02.05.111.00</t>
  </si>
  <si>
    <t>11329</t>
  </si>
  <si>
    <t>GRS/BW-36 220W 208V 78</t>
  </si>
  <si>
    <t>02.05.1117.00</t>
  </si>
  <si>
    <t>11331</t>
  </si>
  <si>
    <t>350W 120V BLANKET ELEM</t>
  </si>
  <si>
    <t>02.05.1120.00</t>
  </si>
  <si>
    <t>11332</t>
  </si>
  <si>
    <t>350W 220/240V BLANKET ELEM</t>
  </si>
  <si>
    <t>02.05.1121.00</t>
  </si>
  <si>
    <t>11352</t>
  </si>
  <si>
    <t>ELEMENT,FLIP WAFFLE,675W,120V</t>
  </si>
  <si>
    <t>02.05.1122.00</t>
  </si>
  <si>
    <t>11360</t>
  </si>
  <si>
    <t>ELEMENT,FLIP WAFFLE,675W,230V</t>
  </si>
  <si>
    <t>02.05.1123.00</t>
  </si>
  <si>
    <t>11361</t>
  </si>
  <si>
    <t>ELEMENT,FLIP WAFFLE,675W,100V</t>
  </si>
  <si>
    <t>02.05.1124.00</t>
  </si>
  <si>
    <t>11366</t>
  </si>
  <si>
    <t>CARTRIDGE HEATER, 300W 120V</t>
  </si>
  <si>
    <t>02.05.1135.00</t>
  </si>
  <si>
    <t>11366B</t>
  </si>
  <si>
    <t>185W 208V BLKT,GRSB-8X16</t>
  </si>
  <si>
    <t>02.05.114.00</t>
  </si>
  <si>
    <t>11368</t>
  </si>
  <si>
    <t>GRS/BW-54 320W 208V 114</t>
  </si>
  <si>
    <t>02.05.1140.00</t>
  </si>
  <si>
    <t>11400</t>
  </si>
  <si>
    <t>ELEMENT,RCTHW2,1500W,240V</t>
  </si>
  <si>
    <t>02.05.1152.00</t>
  </si>
  <si>
    <t>11400B</t>
  </si>
  <si>
    <t>390W 208V BLKT HTR GRSB 18x17</t>
  </si>
  <si>
    <t>02.05.1153.00</t>
  </si>
  <si>
    <t>11400NC</t>
  </si>
  <si>
    <t>535W 240V HDM-X ELEMENT</t>
  </si>
  <si>
    <t>02.05.1154.00</t>
  </si>
  <si>
    <t>11401</t>
  </si>
  <si>
    <t>535W 240V HDM-XN ELEMENT</t>
  </si>
  <si>
    <t>02.05.1155.00</t>
  </si>
  <si>
    <t>11402</t>
  </si>
  <si>
    <t>1725W 240V ELEMENT,F1400</t>
  </si>
  <si>
    <t>02.05.116.00</t>
  </si>
  <si>
    <t>11403</t>
  </si>
  <si>
    <t>GRS/BW-66 385W 208V 138</t>
  </si>
  <si>
    <t>02.05.1161.00</t>
  </si>
  <si>
    <t>11404N</t>
  </si>
  <si>
    <t>280W 120V GRS2G-4620 BLKT ELEM</t>
  </si>
  <si>
    <t>02.05.1163.00</t>
  </si>
  <si>
    <t>11405</t>
  </si>
  <si>
    <t>SILICONE ELEM,24X18 230V/625W</t>
  </si>
  <si>
    <t>02.05.1164.00</t>
  </si>
  <si>
    <t>11410</t>
  </si>
  <si>
    <t>SILICONE ELEM,30X18 230V/810W</t>
  </si>
  <si>
    <t>02.05.1165.00</t>
  </si>
  <si>
    <t>11411</t>
  </si>
  <si>
    <t>SILICONE ELEM,36X18 230V/985W</t>
  </si>
  <si>
    <t>02.05.1167.00</t>
  </si>
  <si>
    <t>11412</t>
  </si>
  <si>
    <t>1310W 208V ELEM,TM3-10</t>
  </si>
  <si>
    <t>02.05.1168.00</t>
  </si>
  <si>
    <t>11413</t>
  </si>
  <si>
    <t>950W 208V ELEM,TM3-10</t>
  </si>
  <si>
    <t>02.05.118.00</t>
  </si>
  <si>
    <t>11415</t>
  </si>
  <si>
    <t>150W 120V 150</t>
  </si>
  <si>
    <t>02.05.120.00</t>
  </si>
  <si>
    <t>11419</t>
  </si>
  <si>
    <t>90W 120V 70</t>
  </si>
  <si>
    <t>02.05.122.00</t>
  </si>
  <si>
    <t>11420</t>
  </si>
  <si>
    <t>110W 120V 70</t>
  </si>
  <si>
    <t>02.05.126.00</t>
  </si>
  <si>
    <t>11421</t>
  </si>
  <si>
    <t>150W 120V FOIL ELEMENT-108</t>
  </si>
  <si>
    <t>02.05.127.00</t>
  </si>
  <si>
    <t>11422</t>
  </si>
  <si>
    <t>50W 120V FOIL ELEMENT-36</t>
  </si>
  <si>
    <t>02.05.129.00</t>
  </si>
  <si>
    <t>11430</t>
  </si>
  <si>
    <t>GRS-48 280W 120V FOIL ELEMENT</t>
  </si>
  <si>
    <t>02.05.131.00</t>
  </si>
  <si>
    <t>11430B</t>
  </si>
  <si>
    <t>120W 220V FOIL ELEMENT</t>
  </si>
  <si>
    <t>02.05.132.00</t>
  </si>
  <si>
    <t>11431</t>
  </si>
  <si>
    <t>185W 220V FOIL ELEMENT</t>
  </si>
  <si>
    <t>02.05.137.00</t>
  </si>
  <si>
    <t>11443</t>
  </si>
  <si>
    <t>150W 220V 54</t>
  </si>
  <si>
    <t>02.05.138.00</t>
  </si>
  <si>
    <t>11444</t>
  </si>
  <si>
    <t>220W 220V 78</t>
  </si>
  <si>
    <t>02.05.141.00</t>
  </si>
  <si>
    <t>1200</t>
  </si>
  <si>
    <t>280W 220V 102</t>
  </si>
  <si>
    <t>02.05.142.00</t>
  </si>
  <si>
    <t>1201</t>
  </si>
  <si>
    <t>320W 220V 114</t>
  </si>
  <si>
    <t>02.05.144.00</t>
  </si>
  <si>
    <t>1202</t>
  </si>
  <si>
    <t>385W 220V 138</t>
  </si>
  <si>
    <t>02.05.146.00</t>
  </si>
  <si>
    <t>1203</t>
  </si>
  <si>
    <t>120W 240V 36</t>
  </si>
  <si>
    <t>02.05.148.00</t>
  </si>
  <si>
    <t>1204</t>
  </si>
  <si>
    <t>185W 240V 66</t>
  </si>
  <si>
    <t>02.05.199.00</t>
  </si>
  <si>
    <t>1205</t>
  </si>
  <si>
    <t>400W 240V BLANKET HEATER</t>
  </si>
  <si>
    <t>02.05.203.00</t>
  </si>
  <si>
    <t>1206</t>
  </si>
  <si>
    <t>400W 120V BLK TYPE ROPE HEATR</t>
  </si>
  <si>
    <t>02.05.204.00</t>
  </si>
  <si>
    <t>1207</t>
  </si>
  <si>
    <t>150W 120V BLK TYPE ROPE HEATR</t>
  </si>
  <si>
    <t>02.05.205.00</t>
  </si>
  <si>
    <t>1208</t>
  </si>
  <si>
    <t>440W 120V BLK TYPE ROPE HEATR</t>
  </si>
  <si>
    <t>02.05.209.00</t>
  </si>
  <si>
    <t>1209</t>
  </si>
  <si>
    <t>350W 120V BLK TYPE ROPE HEATR</t>
  </si>
  <si>
    <t>02.05.210.00</t>
  </si>
  <si>
    <t>1210</t>
  </si>
  <si>
    <t>290W 120V BLK TYPE ROPE HEATR</t>
  </si>
  <si>
    <t>02.05.211.00</t>
  </si>
  <si>
    <t>12101</t>
  </si>
  <si>
    <t>315W 120V BLK TYPE ROPE HEATR</t>
  </si>
  <si>
    <t>02.05.212.00</t>
  </si>
  <si>
    <t>12102</t>
  </si>
  <si>
    <t>255W 120V BLK TYPE ROPE HEATR</t>
  </si>
  <si>
    <t>02.05.213.00</t>
  </si>
  <si>
    <t>12103</t>
  </si>
  <si>
    <t>270W 120V BLK TYPE ROPE HEATR</t>
  </si>
  <si>
    <t>02.05.214.00</t>
  </si>
  <si>
    <t>12104</t>
  </si>
  <si>
    <t>220W 120V BLK TYPE ROPE HEATR</t>
  </si>
  <si>
    <t>02.05.216.00</t>
  </si>
  <si>
    <t>12105</t>
  </si>
  <si>
    <t>480W 240V BLK TYPE ROPE HEATR</t>
  </si>
  <si>
    <t>02.05.217.00</t>
  </si>
  <si>
    <t>12106</t>
  </si>
  <si>
    <t>400W 240V BLK TYPE ROPE HEATR</t>
  </si>
  <si>
    <t>02.05.218.00</t>
  </si>
  <si>
    <t>12109</t>
  </si>
  <si>
    <t>385W 240V BLK TYPE ROPE HEATR</t>
  </si>
  <si>
    <t>02.05.219.00</t>
  </si>
  <si>
    <t>1211</t>
  </si>
  <si>
    <t>320W 240V BLK TYPE ROPE HEATR</t>
  </si>
  <si>
    <t>02.05.220.00</t>
  </si>
  <si>
    <t>12110</t>
  </si>
  <si>
    <t>350W 240V BLK TYPE ROPE HEATR</t>
  </si>
  <si>
    <t>02.05.221.00</t>
  </si>
  <si>
    <t>12111</t>
  </si>
  <si>
    <t>280W 240V BLK TYPE ROPE HEATR</t>
  </si>
  <si>
    <t>02.05.222.00</t>
  </si>
  <si>
    <t>12112</t>
  </si>
  <si>
    <t>300W 240V BLK TYPE ROPE HEATR</t>
  </si>
  <si>
    <t>02.05.224.00</t>
  </si>
  <si>
    <t>12113</t>
  </si>
  <si>
    <t>150W 220V BLK TYPE ROPE HEATR</t>
  </si>
  <si>
    <t>02.05.225.00</t>
  </si>
  <si>
    <t>12113B</t>
  </si>
  <si>
    <t>160W 120V BLK TYPE ROPE HEATR</t>
  </si>
  <si>
    <t>02.05.247.00</t>
  </si>
  <si>
    <t>12114</t>
  </si>
  <si>
    <t>OBS,450W 120V BNKT TYPE HEATER</t>
  </si>
  <si>
    <t>02.05.255.00</t>
  </si>
  <si>
    <t>12116</t>
  </si>
  <si>
    <t>240W 120V BLANKET HEATER</t>
  </si>
  <si>
    <t>02.05.258.00</t>
  </si>
  <si>
    <t>1212</t>
  </si>
  <si>
    <t>210W 120V BLANKET 35"x7" GRS</t>
  </si>
  <si>
    <t>02.05.259.00</t>
  </si>
  <si>
    <t>1213</t>
  </si>
  <si>
    <t>210W 208V BLANKET 35"x7" GRS</t>
  </si>
  <si>
    <t>02.05.260.00</t>
  </si>
  <si>
    <t>1214</t>
  </si>
  <si>
    <t>150W 120V BLANKET 7"x23" GRS</t>
  </si>
  <si>
    <t>02.05.264.00</t>
  </si>
  <si>
    <t>1215</t>
  </si>
  <si>
    <t>150W 240V BLK TYPE ROPE HEATR</t>
  </si>
  <si>
    <t>02.05.267.00</t>
  </si>
  <si>
    <t>1216</t>
  </si>
  <si>
    <t>120W 120V BLANKET 17"x7" GRS</t>
  </si>
  <si>
    <t>02.05.271.00</t>
  </si>
  <si>
    <t>1217</t>
  </si>
  <si>
    <t>150W 100V BLK TYPE ROPE HEATR</t>
  </si>
  <si>
    <t>02.05.272.00</t>
  </si>
  <si>
    <t>12200</t>
  </si>
  <si>
    <t>135W 120V BLK ROPE HTR GRKW-1</t>
  </si>
  <si>
    <t>02.05.273.00</t>
  </si>
  <si>
    <t>12200B</t>
  </si>
  <si>
    <t>275W 120V BLKT HTR GRSB 18x11</t>
  </si>
  <si>
    <t>02.05.274.00</t>
  </si>
  <si>
    <t>12201</t>
  </si>
  <si>
    <t>390W 120V BLKT HTR GRSB 18x17</t>
  </si>
  <si>
    <t>02.05.275.00</t>
  </si>
  <si>
    <t>12202</t>
  </si>
  <si>
    <t>610W 120V BLKT HTR GRSB 18x29</t>
  </si>
  <si>
    <t>02.05.276.00</t>
  </si>
  <si>
    <t>12204</t>
  </si>
  <si>
    <t>720W 120V BLKT HTR GRSB 18x35</t>
  </si>
  <si>
    <t>02.05.277.00</t>
  </si>
  <si>
    <t>12205</t>
  </si>
  <si>
    <t>275W 220V BLKT HTR GRSB 18x11</t>
  </si>
  <si>
    <t>02.05.278.00</t>
  </si>
  <si>
    <t>12210</t>
  </si>
  <si>
    <t>390W 220V BLKT HTR GRSB 18x17</t>
  </si>
  <si>
    <t>02.05.279.00</t>
  </si>
  <si>
    <t>12211</t>
  </si>
  <si>
    <t>610W 220V BLKT HTR GRSB 18x29</t>
  </si>
  <si>
    <t>02.05.280.00</t>
  </si>
  <si>
    <t>12213</t>
  </si>
  <si>
    <t>720W 220V BLKT HTR GRSB 18x35</t>
  </si>
  <si>
    <t>02.05.281.00</t>
  </si>
  <si>
    <t>12214</t>
  </si>
  <si>
    <t>275W 240V BLKT HTR GRSB 18x11</t>
  </si>
  <si>
    <t>02.05.282.00</t>
  </si>
  <si>
    <t>12215</t>
  </si>
  <si>
    <t>390W 240V BLKT HTR GRSB 18x17</t>
  </si>
  <si>
    <t>02.05.283.00</t>
  </si>
  <si>
    <t>12215B</t>
  </si>
  <si>
    <t>610W 240V BLKT HTR GRSB 18x29</t>
  </si>
  <si>
    <t>02.05.284.00</t>
  </si>
  <si>
    <t>12216</t>
  </si>
  <si>
    <t>720W 240V BLKT HTR GRSB 18x35</t>
  </si>
  <si>
    <t>02.05.287.00</t>
  </si>
  <si>
    <t>12218</t>
  </si>
  <si>
    <t>515W 120V BLK TYPE ROPE HEATR</t>
  </si>
  <si>
    <t>02.05.288.00</t>
  </si>
  <si>
    <t>12219</t>
  </si>
  <si>
    <t>425W 120V BLK TYPE ROPE HEATR</t>
  </si>
  <si>
    <t>02.05.291.00</t>
  </si>
  <si>
    <t>12220</t>
  </si>
  <si>
    <t>515W 240V BLK TYPE ROPE HEATR</t>
  </si>
  <si>
    <t>02.05.292.00</t>
  </si>
  <si>
    <t>12221</t>
  </si>
  <si>
    <t>425W 240V BLK TYPE ROPE HEATR</t>
  </si>
  <si>
    <t>02.05.293.00</t>
  </si>
  <si>
    <t>12225</t>
  </si>
  <si>
    <t>125W 120V GRHD BLANKET HEATER</t>
  </si>
  <si>
    <t>02.05.294.00</t>
  </si>
  <si>
    <t>12226</t>
  </si>
  <si>
    <t>125W 240V GRHD BLANKET HEATER</t>
  </si>
  <si>
    <t>02.05.295.00</t>
  </si>
  <si>
    <t>12227</t>
  </si>
  <si>
    <t>250W 120V GRHDH HUMIDITY BLNKT</t>
  </si>
  <si>
    <t>02.05.296.00</t>
  </si>
  <si>
    <t>12228</t>
  </si>
  <si>
    <t>250W 230V GRHDH HUMIDITY BLNKT</t>
  </si>
  <si>
    <t>02.05.300.00</t>
  </si>
  <si>
    <t>1223</t>
  </si>
  <si>
    <t>325W 240V BK FRYSTATION BLANKT</t>
  </si>
  <si>
    <t>02.05.301.00</t>
  </si>
  <si>
    <t>1225</t>
  </si>
  <si>
    <t>150W 230V CARVING STATION BLKT</t>
  </si>
  <si>
    <t>02.05.302.00</t>
  </si>
  <si>
    <t>1226</t>
  </si>
  <si>
    <t>100W 120V 6&amp;7.75 X 17 BLANKET</t>
  </si>
  <si>
    <t>02.05.303.00</t>
  </si>
  <si>
    <t>1228</t>
  </si>
  <si>
    <t>125W 120V 6&amp;7.75 X 23 BLANKET</t>
  </si>
  <si>
    <t>02.05.304.00</t>
  </si>
  <si>
    <t>1229</t>
  </si>
  <si>
    <t>150W 120V 6&amp;7.75 X 29 BLANKET</t>
  </si>
  <si>
    <t>02.05.305.00</t>
  </si>
  <si>
    <t>1230</t>
  </si>
  <si>
    <t>175W 120V 6&amp;7.75 X 35 BLANKET</t>
  </si>
  <si>
    <t>02.05.306.00</t>
  </si>
  <si>
    <t>12300</t>
  </si>
  <si>
    <t>125W 120V 9.75&amp;12 X 17 BLANKET</t>
  </si>
  <si>
    <t>02.05.307.00</t>
  </si>
  <si>
    <t>12300B</t>
  </si>
  <si>
    <t>175W 120V 9.75&amp;12 X 23 BLANKET</t>
  </si>
  <si>
    <t>02.05.308.00</t>
  </si>
  <si>
    <t>12301</t>
  </si>
  <si>
    <t>225W 120V 9.75&amp;12 X 29 BLANKET</t>
  </si>
  <si>
    <t>02.05.309.00</t>
  </si>
  <si>
    <t>12302</t>
  </si>
  <si>
    <t>275W 120V 9.75&amp;12 X 35 BLANKET</t>
  </si>
  <si>
    <t>02.05.310.00</t>
  </si>
  <si>
    <t>12303</t>
  </si>
  <si>
    <t>100W 230V 6&amp;7.75 X 17 BLANKET</t>
  </si>
  <si>
    <t>02.05.311.00</t>
  </si>
  <si>
    <t>12304</t>
  </si>
  <si>
    <t>125W 230V 6&amp;7.75 X 23 BLANKET</t>
  </si>
  <si>
    <t>02.05.312.00</t>
  </si>
  <si>
    <t>12305</t>
  </si>
  <si>
    <t>150W 230V 6&amp;7.75 X 29 BLANKET</t>
  </si>
  <si>
    <t>02.05.314.00</t>
  </si>
  <si>
    <t>12307</t>
  </si>
  <si>
    <t>125W 230V 9.75&amp;12 X 17 BLANKET</t>
  </si>
  <si>
    <t>02.05.315.00</t>
  </si>
  <si>
    <t>1231</t>
  </si>
  <si>
    <t>175W 230V 9.75&amp;12 X 23 BLANKET</t>
  </si>
  <si>
    <t>02.05.316.00</t>
  </si>
  <si>
    <t>12310</t>
  </si>
  <si>
    <t>225W 230V 9.75&amp;12 X 29 BLANKET</t>
  </si>
  <si>
    <t>02.05.317.00</t>
  </si>
  <si>
    <t>12311</t>
  </si>
  <si>
    <t>275W 230V 9.75&amp;12 X 35 BLANKET</t>
  </si>
  <si>
    <t>02.05.319.00</t>
  </si>
  <si>
    <t>12313</t>
  </si>
  <si>
    <t>215W 120V BLK TYPE ROPE HEATR</t>
  </si>
  <si>
    <t>02.05.326.00</t>
  </si>
  <si>
    <t>12314</t>
  </si>
  <si>
    <t>350W 120V BLK ROPEHTR 2BW-24</t>
  </si>
  <si>
    <t>02.05.327.00</t>
  </si>
  <si>
    <t>12314A</t>
  </si>
  <si>
    <t>450W 120V BLK ROPEHTR 2BW-30</t>
  </si>
  <si>
    <t>02.05.328.00</t>
  </si>
  <si>
    <t>1232</t>
  </si>
  <si>
    <t>550W 120V BLK ROPEHTR 2BW-36</t>
  </si>
  <si>
    <t>02.05.329.00</t>
  </si>
  <si>
    <t>12330B</t>
  </si>
  <si>
    <t>600W 120V BLK ROPEHTR 2BW-42</t>
  </si>
  <si>
    <t>02.05.330.00</t>
  </si>
  <si>
    <t>12335</t>
  </si>
  <si>
    <t>700W 120V BLK ROPEHTR 2BW-48</t>
  </si>
  <si>
    <t>02.05.331.00</t>
  </si>
  <si>
    <t>12336</t>
  </si>
  <si>
    <t>800W 120V BLK ROPEHTR 2BW-54</t>
  </si>
  <si>
    <t>02.05.332.00</t>
  </si>
  <si>
    <t>1234</t>
  </si>
  <si>
    <t>900W 120V BLK ROPEHTR 2BW-60</t>
  </si>
  <si>
    <t>02.05.333.00</t>
  </si>
  <si>
    <t>12341</t>
  </si>
  <si>
    <t>1000W 120V BLK ROPEHTR 2BW-66</t>
  </si>
  <si>
    <t>02.05.337.00</t>
  </si>
  <si>
    <t>12342</t>
  </si>
  <si>
    <t>400W 120V BLK HTR 41BK BASE</t>
  </si>
  <si>
    <t>02.05.338.00</t>
  </si>
  <si>
    <t>12343</t>
  </si>
  <si>
    <t>340W 120V BLK HTR 41BK SHELF</t>
  </si>
  <si>
    <t>02.05.339.00</t>
  </si>
  <si>
    <t>12344</t>
  </si>
  <si>
    <t>520W 120V BLK HTR 52BK BASE</t>
  </si>
  <si>
    <t>02.05.340.00</t>
  </si>
  <si>
    <t>12345</t>
  </si>
  <si>
    <t>445W 120V BLK HTR 52BK SHELF</t>
  </si>
  <si>
    <t>02.05.341.00</t>
  </si>
  <si>
    <t>12346</t>
  </si>
  <si>
    <t>275W 120V BLK TYPE ROPE HEATR</t>
  </si>
  <si>
    <t>02.05.343.00</t>
  </si>
  <si>
    <t>1235</t>
  </si>
  <si>
    <t>325W 120V BLK TYPE ROPE HEATR</t>
  </si>
  <si>
    <t>02.05.344.00</t>
  </si>
  <si>
    <t>1236</t>
  </si>
  <si>
    <t>250W 120V BLK TYPE ROPE HEATR</t>
  </si>
  <si>
    <t>02.05.347.00</t>
  </si>
  <si>
    <t>12360</t>
  </si>
  <si>
    <t>02.05.348.00</t>
  </si>
  <si>
    <t>12363</t>
  </si>
  <si>
    <t>02.05.349.00</t>
  </si>
  <si>
    <t>12365</t>
  </si>
  <si>
    <t>450W 120V BLK TYPE ROPE HEATR</t>
  </si>
  <si>
    <t>02.05.353.00</t>
  </si>
  <si>
    <t>12365B</t>
  </si>
  <si>
    <t>225W 120V BLK TYPE ROPE HEATR</t>
  </si>
  <si>
    <t>02.05.369.00</t>
  </si>
  <si>
    <t>12370</t>
  </si>
  <si>
    <t>350W 220V BLANKET HEATER</t>
  </si>
  <si>
    <t>02.05.370.00</t>
  </si>
  <si>
    <t>12375</t>
  </si>
  <si>
    <t>450W 220V BLANKET HEATER</t>
  </si>
  <si>
    <t>02.05.371.00</t>
  </si>
  <si>
    <t>1238</t>
  </si>
  <si>
    <t>550W 220V BLANKET HEATER</t>
  </si>
  <si>
    <t>02.05.373.00</t>
  </si>
  <si>
    <t>12380</t>
  </si>
  <si>
    <t>700W 220V BLANKET HEATER</t>
  </si>
  <si>
    <t>02.05.374.00</t>
  </si>
  <si>
    <t>1239</t>
  </si>
  <si>
    <t>800W 220V BLANKET HEATER</t>
  </si>
  <si>
    <t>02.05.378.00</t>
  </si>
  <si>
    <t>12400</t>
  </si>
  <si>
    <t>350W 240V BLANKET GR2BW-24 EXP</t>
  </si>
  <si>
    <t>02.05.379.00</t>
  </si>
  <si>
    <t>12400B</t>
  </si>
  <si>
    <t>450W 240V BLANKET GR2BW-30 EXP</t>
  </si>
  <si>
    <t>02.05.380.00</t>
  </si>
  <si>
    <t>12406</t>
  </si>
  <si>
    <t>550W 240V BLANKET GR2BW-36 EXP</t>
  </si>
  <si>
    <t>02.05.381.00</t>
  </si>
  <si>
    <t>12407</t>
  </si>
  <si>
    <t>600W 240V BLANKET GR2BW-42 EXP</t>
  </si>
  <si>
    <t>02.05.382.00</t>
  </si>
  <si>
    <t>12409</t>
  </si>
  <si>
    <t>700W 240V BLANKET GR2BW-48 EXP</t>
  </si>
  <si>
    <t>02.05.383.00</t>
  </si>
  <si>
    <t>12409B</t>
  </si>
  <si>
    <t>800W 240V BLANKET GR2BW-54 EXP</t>
  </si>
  <si>
    <t>02.05.391.00</t>
  </si>
  <si>
    <t>12410</t>
  </si>
  <si>
    <t>325W 240V BLANKET HEATER</t>
  </si>
  <si>
    <t>02.05.392.00</t>
  </si>
  <si>
    <t>12412</t>
  </si>
  <si>
    <t>250W 240V BLANKET HEATER</t>
  </si>
  <si>
    <t>02.05.405.00</t>
  </si>
  <si>
    <t>12412B</t>
  </si>
  <si>
    <t>325W 220V BLANKET HEATER</t>
  </si>
  <si>
    <t>02.05.406.00</t>
  </si>
  <si>
    <t>12413</t>
  </si>
  <si>
    <t>250W 220V BLANKET HEATER</t>
  </si>
  <si>
    <t>02.05.409.00</t>
  </si>
  <si>
    <t>12414</t>
  </si>
  <si>
    <t>400W 220V BLANKET HEATER</t>
  </si>
  <si>
    <t>02.05.410.00</t>
  </si>
  <si>
    <t>12415</t>
  </si>
  <si>
    <t>02.05.415.00</t>
  </si>
  <si>
    <t>12416</t>
  </si>
  <si>
    <t>1100W 120V HDW-MN ELEMENT</t>
  </si>
  <si>
    <t>02.05.436.00</t>
  </si>
  <si>
    <t>12417</t>
  </si>
  <si>
    <t>555W 120V GRSB18x30 BLKT</t>
  </si>
  <si>
    <t>02.05.437.00</t>
  </si>
  <si>
    <t>12418</t>
  </si>
  <si>
    <t>875W 120V GRSB30x30 BLKT</t>
  </si>
  <si>
    <t>02.05.438.00</t>
  </si>
  <si>
    <t>12418B</t>
  </si>
  <si>
    <t>1035W 208V GRSB36x30 BLKT</t>
  </si>
  <si>
    <t>02.05.442.00</t>
  </si>
  <si>
    <t>12419</t>
  </si>
  <si>
    <t>475W 120V GRSB 24" WIDE BLKT</t>
  </si>
  <si>
    <t>02.05.443.00</t>
  </si>
  <si>
    <t>12419B</t>
  </si>
  <si>
    <t>750W 120V GRSB 24" WIDE BLKT</t>
  </si>
  <si>
    <t>02.05.444.00</t>
  </si>
  <si>
    <t>12421</t>
  </si>
  <si>
    <t>875W 120V GRSB 24" WIDE BLKT</t>
  </si>
  <si>
    <t>02.05.445.00</t>
  </si>
  <si>
    <t>12424</t>
  </si>
  <si>
    <t>345W 120V SDS-24 BASE BLKT</t>
  </si>
  <si>
    <t>02.05.447.00</t>
  </si>
  <si>
    <t>12425</t>
  </si>
  <si>
    <t>430W 120V SDS-30 BASE BLKT</t>
  </si>
  <si>
    <t>02.05.449.00</t>
  </si>
  <si>
    <t>12430</t>
  </si>
  <si>
    <t>505W 120V SDS-36 BASE BLKT</t>
  </si>
  <si>
    <t>02.05.451.00</t>
  </si>
  <si>
    <t>12432</t>
  </si>
  <si>
    <t>560W 120V SDS-41 BASE BLKT</t>
  </si>
  <si>
    <t>02.05.452.00</t>
  </si>
  <si>
    <t>12435</t>
  </si>
  <si>
    <t>500W 120V SDS-41 SHELF BLKT</t>
  </si>
  <si>
    <t>02.05.456.00</t>
  </si>
  <si>
    <t>12438</t>
  </si>
  <si>
    <t>875W 240V GRSB30x30 BLKT</t>
  </si>
  <si>
    <t>02.05.457.00</t>
  </si>
  <si>
    <t>12439</t>
  </si>
  <si>
    <t>555W 220V GRSB18x30 BLKT</t>
  </si>
  <si>
    <t>02.05.458.00</t>
  </si>
  <si>
    <t>12440</t>
  </si>
  <si>
    <t>875W 220V GRSB30x30 BLKT</t>
  </si>
  <si>
    <t>02.05.459.00</t>
  </si>
  <si>
    <t>12441</t>
  </si>
  <si>
    <t>1035W 220V GRSB36x30 BLKT</t>
  </si>
  <si>
    <t>02.05.465.00</t>
  </si>
  <si>
    <t>12446V1</t>
  </si>
  <si>
    <t>234W 120V PWS-4218 BLKT</t>
  </si>
  <si>
    <t>02.05.468.00</t>
  </si>
  <si>
    <t>12447</t>
  </si>
  <si>
    <t>106W 120V PWS-24XX BLKT</t>
  </si>
  <si>
    <t>02.05.475.00</t>
  </si>
  <si>
    <t>12448</t>
  </si>
  <si>
    <t>249W 120V PWS-2424 BLKT</t>
  </si>
  <si>
    <t>02.05.486.00</t>
  </si>
  <si>
    <t>12449</t>
  </si>
  <si>
    <t>330W 120V BLKT FRY STATION</t>
  </si>
  <si>
    <t>02.05.491.00</t>
  </si>
  <si>
    <t>12480</t>
  </si>
  <si>
    <t>450W 120V GRJW-4 BLKT</t>
  </si>
  <si>
    <t>02.05.492.00</t>
  </si>
  <si>
    <t>1250</t>
  </si>
  <si>
    <t>360W 120V GRJW-3 BLKT</t>
  </si>
  <si>
    <t>02.05.494.00</t>
  </si>
  <si>
    <t>12500</t>
  </si>
  <si>
    <t>330W 240V GRFHS BLKT EXPORT</t>
  </si>
  <si>
    <t>02.05.500.00</t>
  </si>
  <si>
    <t>12500-12</t>
  </si>
  <si>
    <t>295W 120V BLKT HTR GRSB 14x17</t>
  </si>
  <si>
    <t>02.05.501.00</t>
  </si>
  <si>
    <t>12501</t>
  </si>
  <si>
    <t>475W 120V BLKT HTR GRSB 14x29</t>
  </si>
  <si>
    <t>02.05.502.00</t>
  </si>
  <si>
    <t>12502</t>
  </si>
  <si>
    <t>565W 120V BLKT HTR GRSB 14x35</t>
  </si>
  <si>
    <t>02.05.503.00</t>
  </si>
  <si>
    <t>12502R</t>
  </si>
  <si>
    <t>330W 120V GRFHS-26 BLANKET ELE</t>
  </si>
  <si>
    <t>02.05.504.00</t>
  </si>
  <si>
    <t>12503</t>
  </si>
  <si>
    <t>220W 120V GRFHS-16 BLANKET ELE</t>
  </si>
  <si>
    <t>02.05.505.00</t>
  </si>
  <si>
    <t>12504</t>
  </si>
  <si>
    <t>225W 100V 9.75&amp;12 X 29 BLANKET</t>
  </si>
  <si>
    <t>02.05.506.00</t>
  </si>
  <si>
    <t>1251</t>
  </si>
  <si>
    <t>275W 100V 9.75&amp;12 X 35 BLANKET</t>
  </si>
  <si>
    <t>02.05.507.00</t>
  </si>
  <si>
    <t>12510</t>
  </si>
  <si>
    <t>125W 100V GRHD BLANKET HEATER</t>
  </si>
  <si>
    <t>02.05.509E.00</t>
  </si>
  <si>
    <t>1252</t>
  </si>
  <si>
    <t>450W 100V HDW-XN ELEMENT EXP</t>
  </si>
  <si>
    <t>02.05.517.00</t>
  </si>
  <si>
    <t>12520</t>
  </si>
  <si>
    <t>175W 100V 9.75&amp;12 X 23 BLANKET</t>
  </si>
  <si>
    <t>02.05.524.00</t>
  </si>
  <si>
    <t>12521</t>
  </si>
  <si>
    <t>210W 120V BLKT HTR GRSB 14x11</t>
  </si>
  <si>
    <t>02.05.525.00</t>
  </si>
  <si>
    <t>12522</t>
  </si>
  <si>
    <t>125W 100V 9.75&amp;12 X 17 BLANKET</t>
  </si>
  <si>
    <t>02.05.528.00</t>
  </si>
  <si>
    <t>1253</t>
  </si>
  <si>
    <t>220W 230V GRFHS-16 BLANKET ELE</t>
  </si>
  <si>
    <t>02.05.529.00</t>
  </si>
  <si>
    <t>1254</t>
  </si>
  <si>
    <t>249W 230V PWS-2424 BLKT</t>
  </si>
  <si>
    <t>02.05.531.00</t>
  </si>
  <si>
    <t>1255</t>
  </si>
  <si>
    <t>320W 120V FHS-PT26 BLKT ELEM</t>
  </si>
  <si>
    <t>02.05.534.00</t>
  </si>
  <si>
    <t>1256</t>
  </si>
  <si>
    <t>320W 230V FHS-PT26 BLKT ELEM</t>
  </si>
  <si>
    <t>02.05.535.00</t>
  </si>
  <si>
    <t>1257</t>
  </si>
  <si>
    <t>330W 230V FHS-26 BLKT ELEM</t>
  </si>
  <si>
    <t>02.05.540.00</t>
  </si>
  <si>
    <t>1258</t>
  </si>
  <si>
    <t>325W 120V FOIL ELEM,LH FRONT</t>
  </si>
  <si>
    <t>02.05.541.00</t>
  </si>
  <si>
    <t>1259</t>
  </si>
  <si>
    <t>325W 120V FOIL ELEM,RH FRONT</t>
  </si>
  <si>
    <t>02.05.542.00</t>
  </si>
  <si>
    <t>1260</t>
  </si>
  <si>
    <t>150W 120V FOIL ELEM,LH REAR</t>
  </si>
  <si>
    <t>02.05.544.00</t>
  </si>
  <si>
    <t>1261</t>
  </si>
  <si>
    <t>340W 120V GRSB 24" WIDE BLKT</t>
  </si>
  <si>
    <t>02.05.545.00</t>
  </si>
  <si>
    <t>1262</t>
  </si>
  <si>
    <t>395W 120V GRSB24x30 BLKT</t>
  </si>
  <si>
    <t>02.05.549.00</t>
  </si>
  <si>
    <t>1264</t>
  </si>
  <si>
    <t>275W 100V BLKT HTR GRSB 18x11</t>
  </si>
  <si>
    <t>02.05.550.00</t>
  </si>
  <si>
    <t>1265</t>
  </si>
  <si>
    <t>390W 100V BLKT HTR GRSB 18x17</t>
  </si>
  <si>
    <t>02.05.551.00</t>
  </si>
  <si>
    <t>1266</t>
  </si>
  <si>
    <t>610W 100V BLKT HTR GRSB 18x29</t>
  </si>
  <si>
    <t>02.05.552.00</t>
  </si>
  <si>
    <t>1270</t>
  </si>
  <si>
    <t>720W 100V BLKT HTR GRSB 18x35</t>
  </si>
  <si>
    <t>02.05.555.00</t>
  </si>
  <si>
    <t>12701</t>
  </si>
  <si>
    <t>135W 120V BLKT HTR HDW,TOP</t>
  </si>
  <si>
    <t>02.05.556.00</t>
  </si>
  <si>
    <t>12702</t>
  </si>
  <si>
    <t>300W 120V BLKT HTR HDW,BOTTOM</t>
  </si>
  <si>
    <t>02.05.557.00</t>
  </si>
  <si>
    <t>12705</t>
  </si>
  <si>
    <t>90W 120V BLKT HTR HDW,CENTER</t>
  </si>
  <si>
    <t>02.05.558.00</t>
  </si>
  <si>
    <t>12706</t>
  </si>
  <si>
    <t>135W 220V BLKT HTR HDW,TOP</t>
  </si>
  <si>
    <t>02.05.559.00</t>
  </si>
  <si>
    <t>12709</t>
  </si>
  <si>
    <t>300W 220V BLKT HTR HDW,BOTTOM</t>
  </si>
  <si>
    <t>02.05.560.00</t>
  </si>
  <si>
    <t>12710</t>
  </si>
  <si>
    <t>90W 220V BLKT HTR HDW,CENTER</t>
  </si>
  <si>
    <t>02.05.561.00</t>
  </si>
  <si>
    <t>12711</t>
  </si>
  <si>
    <t>135W 240V BLKT HTR HDW,TOP</t>
  </si>
  <si>
    <t>02.05.562.00</t>
  </si>
  <si>
    <t>12712</t>
  </si>
  <si>
    <t>300W 240V BLKT HTR HDW,BOTTOM</t>
  </si>
  <si>
    <t>02.05.563.00</t>
  </si>
  <si>
    <t>12713B</t>
  </si>
  <si>
    <t>90W 240V BLKT HTR HDW,CENTER</t>
  </si>
  <si>
    <t>02.05.568.00</t>
  </si>
  <si>
    <t>12714</t>
  </si>
  <si>
    <t>210W 230V BLKT HTR GRSB 14x11</t>
  </si>
  <si>
    <t>02.05.569.00</t>
  </si>
  <si>
    <t>12801</t>
  </si>
  <si>
    <t>295W 230V BLKT HTR GRSB 14x17</t>
  </si>
  <si>
    <t>02.05.570.00</t>
  </si>
  <si>
    <t>12802</t>
  </si>
  <si>
    <t>475W 230V BLKT HTR GRSB 14x29</t>
  </si>
  <si>
    <t>02.05.576.00</t>
  </si>
  <si>
    <t>12803</t>
  </si>
  <si>
    <t>340W 230-240V GRSB 24" WD BLKT</t>
  </si>
  <si>
    <t>02.05.577.00</t>
  </si>
  <si>
    <t>12804</t>
  </si>
  <si>
    <t>475W 230-240V GRSB 24" WD BLKT</t>
  </si>
  <si>
    <t>02.05.578.00</t>
  </si>
  <si>
    <t>12902</t>
  </si>
  <si>
    <t>750W 230-240V GRSB 24" WD BLKT</t>
  </si>
  <si>
    <t>02.05.579.00</t>
  </si>
  <si>
    <t>1300</t>
  </si>
  <si>
    <t>875W 230-240V GRSB 24" WD BLKT</t>
  </si>
  <si>
    <t>02.05.595.00</t>
  </si>
  <si>
    <t>1301</t>
  </si>
  <si>
    <t>1360W 240V,ELEMENT,RHW</t>
  </si>
  <si>
    <t>02.05.600.00</t>
  </si>
  <si>
    <t>1302</t>
  </si>
  <si>
    <t>635W 120V BLKT HTR GRSS 18x24</t>
  </si>
  <si>
    <t>02.05.601.00</t>
  </si>
  <si>
    <t>1303</t>
  </si>
  <si>
    <t>780W 120V BLKT HTR GRSS 18x30</t>
  </si>
  <si>
    <t>02.05.602.00</t>
  </si>
  <si>
    <t>1304</t>
  </si>
  <si>
    <t>930W 120V BLKT HTR GRSS 18x36</t>
  </si>
  <si>
    <t>02.05.603.00</t>
  </si>
  <si>
    <t>1305</t>
  </si>
  <si>
    <t>635W 240V BLKT HTR GRSS 18x24</t>
  </si>
  <si>
    <t>02.05.604.00</t>
  </si>
  <si>
    <t>1307</t>
  </si>
  <si>
    <t>780W 240V BLKT HTR GRSS 18x30</t>
  </si>
  <si>
    <t>02.05.605.00</t>
  </si>
  <si>
    <t>1309</t>
  </si>
  <si>
    <t>930W 240V BLKT HTR GRSS 18x36</t>
  </si>
  <si>
    <t>02.05.630.00</t>
  </si>
  <si>
    <t>1310</t>
  </si>
  <si>
    <t>400W 120V BLKT HEX GRSSR-20</t>
  </si>
  <si>
    <t>02.05.632.00</t>
  </si>
  <si>
    <t>1311</t>
  </si>
  <si>
    <t>150W 120V BLKT HTR GRHW-1SGDH</t>
  </si>
  <si>
    <t>02.05.633.00</t>
  </si>
  <si>
    <t>1312</t>
  </si>
  <si>
    <t>120W 120V BLKT HTR GRHW-1SGDH</t>
  </si>
  <si>
    <t>02.05.636.00</t>
  </si>
  <si>
    <t>1313</t>
  </si>
  <si>
    <t>325W 120V BLKT HEX GRSSR-18</t>
  </si>
  <si>
    <t>02.05.639.00</t>
  </si>
  <si>
    <t>1314</t>
  </si>
  <si>
    <t>400W 240V BLKT HEX GRSSR-20</t>
  </si>
  <si>
    <t>02.05.640.00</t>
  </si>
  <si>
    <t>1317</t>
  </si>
  <si>
    <t>100W 120V BLK HTR GRCMW-1</t>
  </si>
  <si>
    <t>02.05.642.00</t>
  </si>
  <si>
    <t>1318</t>
  </si>
  <si>
    <t>1000W 220V ELEM,TM-10</t>
  </si>
  <si>
    <t>02.05.655.00</t>
  </si>
  <si>
    <t>1319</t>
  </si>
  <si>
    <t>425W 120V BLKT HTR 18 x 24</t>
  </si>
  <si>
    <t>02.05.656.00</t>
  </si>
  <si>
    <t>1323</t>
  </si>
  <si>
    <t>525W 120V BLKT HTR 18 x 30</t>
  </si>
  <si>
    <t>02.05.657.00</t>
  </si>
  <si>
    <t>1335</t>
  </si>
  <si>
    <t>630W 120V BLKT HTR 18 x 36</t>
  </si>
  <si>
    <t>02.05.658.00</t>
  </si>
  <si>
    <t>1336</t>
  </si>
  <si>
    <t>500W 240V BLKT HTR 18 x 24</t>
  </si>
  <si>
    <t>02.05.659.00</t>
  </si>
  <si>
    <t>1337</t>
  </si>
  <si>
    <t>625W 240V BLKT HTR 18 x 30</t>
  </si>
  <si>
    <t>02.05.660.00</t>
  </si>
  <si>
    <t>1338</t>
  </si>
  <si>
    <t>750W 240V BLKT HTR 18 x 36</t>
  </si>
  <si>
    <t>02.05.661.00</t>
  </si>
  <si>
    <t>1340</t>
  </si>
  <si>
    <t>110W 120V BLKT,QW-6,HIGH TEMP</t>
  </si>
  <si>
    <t>02.05.662.00</t>
  </si>
  <si>
    <t>1354</t>
  </si>
  <si>
    <t>02.05.663.00</t>
  </si>
  <si>
    <t>1355</t>
  </si>
  <si>
    <t>02.05.664.00</t>
  </si>
  <si>
    <t>1356</t>
  </si>
  <si>
    <t>02.05.665.00</t>
  </si>
  <si>
    <t>1360</t>
  </si>
  <si>
    <t>02.05.666.00</t>
  </si>
  <si>
    <t>1365</t>
  </si>
  <si>
    <t>02.05.667.00</t>
  </si>
  <si>
    <t>1366</t>
  </si>
  <si>
    <t>02.05.669.00</t>
  </si>
  <si>
    <t>1370</t>
  </si>
  <si>
    <t>1110W 120V BLKT HTR GRSS 20x37</t>
  </si>
  <si>
    <t>02.05.673.00</t>
  </si>
  <si>
    <t>1375</t>
  </si>
  <si>
    <t>350W 230V ELEM,12.25 X 20</t>
  </si>
  <si>
    <t>02.05.674.00</t>
  </si>
  <si>
    <t>1376</t>
  </si>
  <si>
    <t>900W 220V ELEM,TM-10</t>
  </si>
  <si>
    <t>02.05.675.00</t>
  </si>
  <si>
    <t>1380</t>
  </si>
  <si>
    <t>1000W 120V ELEM,TM-10</t>
  </si>
  <si>
    <t>02.05.676.00</t>
  </si>
  <si>
    <t>1402</t>
  </si>
  <si>
    <t>750W 120V ELEM,TM-10</t>
  </si>
  <si>
    <t>02.05.677.00</t>
  </si>
  <si>
    <t>1403</t>
  </si>
  <si>
    <t>700W 100V ELEM,TM-5</t>
  </si>
  <si>
    <t>02.05.678.00</t>
  </si>
  <si>
    <t>1404</t>
  </si>
  <si>
    <t>700W 120V ELEM,TM-5</t>
  </si>
  <si>
    <t>02.05.679.00</t>
  </si>
  <si>
    <t>1406</t>
  </si>
  <si>
    <t>700W 220V ELEM,TM-5</t>
  </si>
  <si>
    <t>02.05.680.00</t>
  </si>
  <si>
    <t>1407</t>
  </si>
  <si>
    <t>600W 100V ELEM,TM-5</t>
  </si>
  <si>
    <t>02.05.681.00</t>
  </si>
  <si>
    <t>1408</t>
  </si>
  <si>
    <t>600W 120V ELEM,TM-5</t>
  </si>
  <si>
    <t>02.05.682.00</t>
  </si>
  <si>
    <t>1409</t>
  </si>
  <si>
    <t>600W 220V ELEM,TM-5</t>
  </si>
  <si>
    <t>02.05.685.00</t>
  </si>
  <si>
    <t>1410</t>
  </si>
  <si>
    <t>100W 240V BLKT 8.1 x 12.5"</t>
  </si>
  <si>
    <t>02.05.707.00</t>
  </si>
  <si>
    <t>1412</t>
  </si>
  <si>
    <t>600W 120V 3SDS-39T BLKT</t>
  </si>
  <si>
    <t>02.05.708.00</t>
  </si>
  <si>
    <t>1413</t>
  </si>
  <si>
    <t>350W 120V BLKT,DCSBXXX-R</t>
  </si>
  <si>
    <t>02.05.709.00</t>
  </si>
  <si>
    <t>1414</t>
  </si>
  <si>
    <t>300W 100V BLANKET,GRHW-1SGDS</t>
  </si>
  <si>
    <t>02.05.710.00</t>
  </si>
  <si>
    <t>1415</t>
  </si>
  <si>
    <t>500W 120V BLKT,DCSBXXX-2420</t>
  </si>
  <si>
    <t>02.05.711.00</t>
  </si>
  <si>
    <t>1416</t>
  </si>
  <si>
    <t>800W 120V BLKT,DCSBXXX-3624</t>
  </si>
  <si>
    <t>02.05.712.00</t>
  </si>
  <si>
    <t>1417</t>
  </si>
  <si>
    <t>110W 240V BLKT,QW-6,HIGH TEMP</t>
  </si>
  <si>
    <t>02.05.713.00</t>
  </si>
  <si>
    <t>1419</t>
  </si>
  <si>
    <t>200W 220V ELEMENT MDW</t>
  </si>
  <si>
    <t>02.05.714.00</t>
  </si>
  <si>
    <t>1422</t>
  </si>
  <si>
    <t>350W 230V BLKT,DCSBXXX-R24</t>
  </si>
  <si>
    <t>02.05.715.00</t>
  </si>
  <si>
    <t>1435</t>
  </si>
  <si>
    <t>500W 230V BLKT,DCSBXXX-2420</t>
  </si>
  <si>
    <t>02.05.716.00</t>
  </si>
  <si>
    <t>1436</t>
  </si>
  <si>
    <t>800W 230V BLKT,DCSBXXX-3624</t>
  </si>
  <si>
    <t>02.05.719.00</t>
  </si>
  <si>
    <t>1437</t>
  </si>
  <si>
    <t>75W 120V BLANKET,GRS,5.25 X 13</t>
  </si>
  <si>
    <t>02.05.720.00</t>
  </si>
  <si>
    <t>1438</t>
  </si>
  <si>
    <t>280W 208V BLKT,GRSB-14X16</t>
  </si>
  <si>
    <t>02.05.721.00</t>
  </si>
  <si>
    <t>1439</t>
  </si>
  <si>
    <t>505W 208V BLKT,GRSB-26X16</t>
  </si>
  <si>
    <t>02.05.722.00</t>
  </si>
  <si>
    <t>1441</t>
  </si>
  <si>
    <t>615W 208V BLKT,GRSB-32X16</t>
  </si>
  <si>
    <t>02.05.723.00</t>
  </si>
  <si>
    <t>1442</t>
  </si>
  <si>
    <t>280W 240V BLKT,GRSB-14X16</t>
  </si>
  <si>
    <t>02.05.724.00</t>
  </si>
  <si>
    <t>1443</t>
  </si>
  <si>
    <t>505W 240V BLKT,GRSB-26X16</t>
  </si>
  <si>
    <t>02.05.725.00</t>
  </si>
  <si>
    <t>1444</t>
  </si>
  <si>
    <t>615W 240V BLKT,GRSB-32X16</t>
  </si>
  <si>
    <t>02.05.726.00</t>
  </si>
  <si>
    <t>1445</t>
  </si>
  <si>
    <t>206W 120V BLKT,GRPWS-2424,FRT</t>
  </si>
  <si>
    <t>02.05.738.00</t>
  </si>
  <si>
    <t>1447</t>
  </si>
  <si>
    <t>300W 120V BLKT,FSHC-7W,HUMID</t>
  </si>
  <si>
    <t>02.05.738.01</t>
  </si>
  <si>
    <t>1448</t>
  </si>
  <si>
    <t>300W 100V BLKT,FSHC-7W,HUMID</t>
  </si>
  <si>
    <t>02.05.738.02</t>
  </si>
  <si>
    <t>1449</t>
  </si>
  <si>
    <t>300W 230V BLKT,FSHC-7W,HUMID</t>
  </si>
  <si>
    <t>02.05.740.00</t>
  </si>
  <si>
    <t>1451</t>
  </si>
  <si>
    <t>BLNKET HEATER HZM-36 150W 120V</t>
  </si>
  <si>
    <t>02.05.743.00</t>
  </si>
  <si>
    <t>1452</t>
  </si>
  <si>
    <t>ELEMENT,1440W 120V,HW,CHW</t>
  </si>
  <si>
    <t>02.05.751.00</t>
  </si>
  <si>
    <t>1453</t>
  </si>
  <si>
    <t>BLNKET HEATER HZM-42 175W 120V</t>
  </si>
  <si>
    <t>02.05.752.00</t>
  </si>
  <si>
    <t>1455</t>
  </si>
  <si>
    <t>BLNKET HEATER HZM-24 100W 120V</t>
  </si>
  <si>
    <t>02.05.756.00</t>
  </si>
  <si>
    <t>1456</t>
  </si>
  <si>
    <t>475W 208V GRSB 24" WIDE BLKT</t>
  </si>
  <si>
    <t>02.05.760.00</t>
  </si>
  <si>
    <t>1457</t>
  </si>
  <si>
    <t>774W 240V ELEM,TM-5</t>
  </si>
  <si>
    <t>02.05.761.00</t>
  </si>
  <si>
    <t>1458</t>
  </si>
  <si>
    <t>1130W 240V ELEM,TM-10</t>
  </si>
  <si>
    <t>02.05.765.00</t>
  </si>
  <si>
    <t>1459</t>
  </si>
  <si>
    <t>1100W 220V ELEM,TM-10</t>
  </si>
  <si>
    <t>02.05.766.00</t>
  </si>
  <si>
    <t>1460</t>
  </si>
  <si>
    <t>800W 220V ELEM,TM-10</t>
  </si>
  <si>
    <t>02.05.767.00</t>
  </si>
  <si>
    <t>1461</t>
  </si>
  <si>
    <t>75W 240V BLKT ELEM,6 X 35.5</t>
  </si>
  <si>
    <t>02.05.768.00</t>
  </si>
  <si>
    <t>1471</t>
  </si>
  <si>
    <t>85W 120V BLKT ELEM,6.75 X 59</t>
  </si>
  <si>
    <t>02.05.771.00</t>
  </si>
  <si>
    <t>1472</t>
  </si>
  <si>
    <t>75W 120V BLKT ELEM,6.75 X 47</t>
  </si>
  <si>
    <t>02.05.772.00</t>
  </si>
  <si>
    <t>1474</t>
  </si>
  <si>
    <t>80W 120V BLKT ELEM,4 X 28</t>
  </si>
  <si>
    <t>02.05.774.00</t>
  </si>
  <si>
    <t>1480</t>
  </si>
  <si>
    <t>80W 120V BLKT ELEM,4 X 36</t>
  </si>
  <si>
    <t>02.05.775.00</t>
  </si>
  <si>
    <t>1482</t>
  </si>
  <si>
    <t>80W 120V BLKT ELEM,4 X 16</t>
  </si>
  <si>
    <t>02.05.780.00</t>
  </si>
  <si>
    <t>1500</t>
  </si>
  <si>
    <t>75W 120V BLKT ELEM,6 X 35.5</t>
  </si>
  <si>
    <t>02.05.781.00</t>
  </si>
  <si>
    <t>1501</t>
  </si>
  <si>
    <t>80W 120V BLKT ELEM,8 X 18</t>
  </si>
  <si>
    <t>02.05.783.00</t>
  </si>
  <si>
    <t>1502</t>
  </si>
  <si>
    <t>250W 120V BLKT ELEM,16 X 16</t>
  </si>
  <si>
    <t>02.05.788.00</t>
  </si>
  <si>
    <t>1503</t>
  </si>
  <si>
    <t>200W 120V BLKT ELEM,21 X 29</t>
  </si>
  <si>
    <t>02.05.789.00</t>
  </si>
  <si>
    <t>1600</t>
  </si>
  <si>
    <t>ELE ASY,60V267W,TPT120 SIDE</t>
  </si>
  <si>
    <t>02.05.792.00</t>
  </si>
  <si>
    <t>1601</t>
  </si>
  <si>
    <t>ELE ASY,120V340W,TPT120 CENTER</t>
  </si>
  <si>
    <t>02.05.798.00</t>
  </si>
  <si>
    <t>1602</t>
  </si>
  <si>
    <t>ELE ASY,208V520W,TPT208 CENTER</t>
  </si>
  <si>
    <t>02.05.799.00</t>
  </si>
  <si>
    <t>1603</t>
  </si>
  <si>
    <t>ELE ASY,104V390W,TPT208 SIDE</t>
  </si>
  <si>
    <t>02.05.808.00</t>
  </si>
  <si>
    <t>1604</t>
  </si>
  <si>
    <t>610W 208V BLKT HTR GRSB 18x29</t>
  </si>
  <si>
    <t>02.05.809.00</t>
  </si>
  <si>
    <t>1607</t>
  </si>
  <si>
    <t>250W 240V BLKT ELEM,16.5 X 36</t>
  </si>
  <si>
    <t>02.05.811.00</t>
  </si>
  <si>
    <t>1608</t>
  </si>
  <si>
    <t>ELE ASY,240V520W,TPT240 CENTER</t>
  </si>
  <si>
    <t>02.05.812.00</t>
  </si>
  <si>
    <t>1610</t>
  </si>
  <si>
    <t>ELE ASY,120V390W,TPT240 SIDE</t>
  </si>
  <si>
    <t>02.05.813.00</t>
  </si>
  <si>
    <t>1620</t>
  </si>
  <si>
    <t>950W 120V BLKT,20 X 30</t>
  </si>
  <si>
    <t>02.05.814.00</t>
  </si>
  <si>
    <t>1621</t>
  </si>
  <si>
    <t>300W 230V SILICONE HGSM-4060</t>
  </si>
  <si>
    <t>02.05.816.00</t>
  </si>
  <si>
    <t>1622</t>
  </si>
  <si>
    <t>250W 120V BLKT,18 X 29</t>
  </si>
  <si>
    <t>02.05.822.00</t>
  </si>
  <si>
    <t>1624</t>
  </si>
  <si>
    <t>173W 240V BLKT,GRSB-14X9</t>
  </si>
  <si>
    <t>02.05.823.00</t>
  </si>
  <si>
    <t>1625</t>
  </si>
  <si>
    <t>307W 240V BLKT,GRSB-26X9</t>
  </si>
  <si>
    <t>02.05.824.00</t>
  </si>
  <si>
    <t>1626</t>
  </si>
  <si>
    <t>377W 240V BLKT,GRSB-32X9</t>
  </si>
  <si>
    <t>02.05.827.00</t>
  </si>
  <si>
    <t>1630</t>
  </si>
  <si>
    <t>210W 240V BLKT HTR GRSB 14x11</t>
  </si>
  <si>
    <t>02.05.828.00</t>
  </si>
  <si>
    <t>1631</t>
  </si>
  <si>
    <t>OBS980W 208V ELEM ITQ TOASTER</t>
  </si>
  <si>
    <t>02.05.829.00</t>
  </si>
  <si>
    <t>1632</t>
  </si>
  <si>
    <t>125W 120V GRPWS-2418 BLKT,FRT</t>
  </si>
  <si>
    <t>02.05.830.00</t>
  </si>
  <si>
    <t>1700</t>
  </si>
  <si>
    <t>235W 120V BLKT HTR GRPWS-2418</t>
  </si>
  <si>
    <t>02.05.831.00</t>
  </si>
  <si>
    <t>1701</t>
  </si>
  <si>
    <t>175W 120V GRPWS-3618 BLKT,FRT</t>
  </si>
  <si>
    <t>02.05.832.00</t>
  </si>
  <si>
    <t>1702</t>
  </si>
  <si>
    <t>365W 120V BLKT HTR GRPWS-3618</t>
  </si>
  <si>
    <t>02.05.833.00</t>
  </si>
  <si>
    <t>18102</t>
  </si>
  <si>
    <t>230W 120V GRPWS-4818 BLKT,FRT</t>
  </si>
  <si>
    <t>02.05.834.00</t>
  </si>
  <si>
    <t>18105</t>
  </si>
  <si>
    <t>490W 120V BLKT HTR GRPWS-4818</t>
  </si>
  <si>
    <t>02.05.835.00</t>
  </si>
  <si>
    <t>18106</t>
  </si>
  <si>
    <t>02.05.836.00</t>
  </si>
  <si>
    <t>18109</t>
  </si>
  <si>
    <t>295W 120V BLKT HTR GRPWS-2424</t>
  </si>
  <si>
    <t>02.05.837.00</t>
  </si>
  <si>
    <t>18110</t>
  </si>
  <si>
    <t>230W 120V GRPWS-3624 BLKT,FRT</t>
  </si>
  <si>
    <t>02.05.838.00</t>
  </si>
  <si>
    <t>18111</t>
  </si>
  <si>
    <t>490W 120V BLKT HTR GRPWS-3624</t>
  </si>
  <si>
    <t>02.05.839.00</t>
  </si>
  <si>
    <t>18112</t>
  </si>
  <si>
    <t>290W 120V GRPWS-4824 BLKT,FRT</t>
  </si>
  <si>
    <t>02.05.840.00</t>
  </si>
  <si>
    <t>18113</t>
  </si>
  <si>
    <t>665W 120V BLKT HTR GRPWS-4824</t>
  </si>
  <si>
    <t>02.05.847.00</t>
  </si>
  <si>
    <t>18120</t>
  </si>
  <si>
    <t>ELE ASY,120V294W,TPT120CA CTR</t>
  </si>
  <si>
    <t>02.05.849.00</t>
  </si>
  <si>
    <t>18200</t>
  </si>
  <si>
    <t>ELE ASY,60V213W,TPT120CA SIDE</t>
  </si>
  <si>
    <t>02.05.851.00</t>
  </si>
  <si>
    <t>18200B</t>
  </si>
  <si>
    <t>ELEMENT,1200W 120V,HW,CHW</t>
  </si>
  <si>
    <t>02.05.852.00</t>
  </si>
  <si>
    <t>18201</t>
  </si>
  <si>
    <t>ELEMENT,1200W 230V,HW,CHW</t>
  </si>
  <si>
    <t>02.05.853.00</t>
  </si>
  <si>
    <t>18204</t>
  </si>
  <si>
    <t>450W 120V BLKT,GRCMW-WAWA</t>
  </si>
  <si>
    <t>02.05.854.00</t>
  </si>
  <si>
    <t>18205</t>
  </si>
  <si>
    <t>150W 120V BLKT,GRCMW-WAWA</t>
  </si>
  <si>
    <t>02.05.859.00</t>
  </si>
  <si>
    <t>18210</t>
  </si>
  <si>
    <t>1800W 230V WATER ELEM,FM-5</t>
  </si>
  <si>
    <t>02.05.860.00</t>
  </si>
  <si>
    <t>18211</t>
  </si>
  <si>
    <t>770W 100V ELEM,TM-5</t>
  </si>
  <si>
    <t>02.05.861.00</t>
  </si>
  <si>
    <t>18213</t>
  </si>
  <si>
    <t>620W 100V ELEM,TM-5</t>
  </si>
  <si>
    <t>02.05.862.00</t>
  </si>
  <si>
    <t>18214</t>
  </si>
  <si>
    <t>440W 208V BLKT HTR RH GRSB44HR</t>
  </si>
  <si>
    <t>02.05.863.00</t>
  </si>
  <si>
    <t>18215</t>
  </si>
  <si>
    <t>440W 208V BLKT HTR LH GRSB44HR</t>
  </si>
  <si>
    <t>02.05.864.00</t>
  </si>
  <si>
    <t>18215B</t>
  </si>
  <si>
    <t>260W 208V BLKT HTR RH GRSB34HR</t>
  </si>
  <si>
    <t>02.05.865.00</t>
  </si>
  <si>
    <t>18216</t>
  </si>
  <si>
    <t>260W 208V BLKT HTR LH GRSB34HR</t>
  </si>
  <si>
    <t>02.05.866.00</t>
  </si>
  <si>
    <t>18217</t>
  </si>
  <si>
    <t>390W 208V BLKT HTR 18.7X17.25</t>
  </si>
  <si>
    <t>02.05.867.00</t>
  </si>
  <si>
    <t>18218</t>
  </si>
  <si>
    <t>295W 208V BLKT HTR 17.25X13.7</t>
  </si>
  <si>
    <t>02.05.868.00</t>
  </si>
  <si>
    <t>18219</t>
  </si>
  <si>
    <t>475W 240V GRSB 24" WIDE BLKT</t>
  </si>
  <si>
    <t>02.05.869.00</t>
  </si>
  <si>
    <t>18220</t>
  </si>
  <si>
    <t>750W 240V GRSB 24" WIDE BLKT</t>
  </si>
  <si>
    <t>02.05.886.00</t>
  </si>
  <si>
    <t>18221</t>
  </si>
  <si>
    <t>2150W 240V ELEM ITQ-1C</t>
  </si>
  <si>
    <t>02.05.887.00</t>
  </si>
  <si>
    <t>18225</t>
  </si>
  <si>
    <t>OBS 1500W 240V,8 PASS,ITQ ELEM</t>
  </si>
  <si>
    <t>02.05.893.00</t>
  </si>
  <si>
    <t>18226</t>
  </si>
  <si>
    <t>375W 120V BLKT HTR SW-11QT</t>
  </si>
  <si>
    <t>02.05.897.00</t>
  </si>
  <si>
    <t>18227</t>
  </si>
  <si>
    <t>425W 100V BLKT HTR 18 x 24</t>
  </si>
  <si>
    <t>02.05.900.00</t>
  </si>
  <si>
    <t>18228</t>
  </si>
  <si>
    <t>02.05.903.00</t>
  </si>
  <si>
    <t>18230</t>
  </si>
  <si>
    <t>89W 120V ROPE ELEM 45"</t>
  </si>
  <si>
    <t>02.05.904.00</t>
  </si>
  <si>
    <t>18231</t>
  </si>
  <si>
    <t>111W 120V ROPE ELEM 66"</t>
  </si>
  <si>
    <t>02.05.905.00</t>
  </si>
  <si>
    <t>18232</t>
  </si>
  <si>
    <t>138W 120V ROPE ELEM 70"</t>
  </si>
  <si>
    <t>02.05.906.00</t>
  </si>
  <si>
    <t>18233</t>
  </si>
  <si>
    <t>132W 120V ROPE ELEM 69"</t>
  </si>
  <si>
    <t>02.05.907.00</t>
  </si>
  <si>
    <t>18235</t>
  </si>
  <si>
    <t>168W 120V ROPE ELEM 102"</t>
  </si>
  <si>
    <t>02.05.908.00</t>
  </si>
  <si>
    <t>18240</t>
  </si>
  <si>
    <t>206W 120V ROPE ELEM 103"</t>
  </si>
  <si>
    <t>02.05.909.00</t>
  </si>
  <si>
    <t>18243</t>
  </si>
  <si>
    <t>375W 120V BLKT HTR SW-7QT</t>
  </si>
  <si>
    <t>02.05.910.00</t>
  </si>
  <si>
    <t>18244C</t>
  </si>
  <si>
    <t>100W 120V BLKT HTR 12 x 28</t>
  </si>
  <si>
    <t>02.05.911.00</t>
  </si>
  <si>
    <t>18245</t>
  </si>
  <si>
    <t>205W 208V BLKT HTR 11.25X13.7</t>
  </si>
  <si>
    <t>02.05.913.00</t>
  </si>
  <si>
    <t>18246</t>
  </si>
  <si>
    <t>255W 208V BLKT HTR 11.25X18.7</t>
  </si>
  <si>
    <t>02.05.930.00</t>
  </si>
  <si>
    <t>18247</t>
  </si>
  <si>
    <t>206W 230V GRPWS-2424 BLKT,FRT</t>
  </si>
  <si>
    <t>02.05.935.00</t>
  </si>
  <si>
    <t>18250</t>
  </si>
  <si>
    <t>150W 120V BLANKET ELEM MVW</t>
  </si>
  <si>
    <t>02.05.936.00</t>
  </si>
  <si>
    <t>18251</t>
  </si>
  <si>
    <t>1800W 220V WATER ELEM,FM-5</t>
  </si>
  <si>
    <t>02.05.937.00</t>
  </si>
  <si>
    <t>18252</t>
  </si>
  <si>
    <t>275W 120V BLKT HTR HRDW WELL</t>
  </si>
  <si>
    <t>02.05.938.00</t>
  </si>
  <si>
    <t>18253</t>
  </si>
  <si>
    <t>178W 120V ROPE ELEM 93"</t>
  </si>
  <si>
    <t>02.05.939.00</t>
  </si>
  <si>
    <t>18254</t>
  </si>
  <si>
    <t>223W 120V ROPE ELEM 138"</t>
  </si>
  <si>
    <t>02.05.940.00</t>
  </si>
  <si>
    <t>18254G</t>
  </si>
  <si>
    <t>275W 120V ROPE ELEM 139"</t>
  </si>
  <si>
    <t>02.05.941.00</t>
  </si>
  <si>
    <t>18255</t>
  </si>
  <si>
    <t>101W 120V ROPE ELEM 65"</t>
  </si>
  <si>
    <t>02.05.942.00</t>
  </si>
  <si>
    <t>18256</t>
  </si>
  <si>
    <t>128W 120V ROPE ELEM 83"</t>
  </si>
  <si>
    <t>02.05.943.00</t>
  </si>
  <si>
    <t>18257</t>
  </si>
  <si>
    <t>153W 120V ROPE ELEM 101"</t>
  </si>
  <si>
    <t>02.05.945.00</t>
  </si>
  <si>
    <t>18258</t>
  </si>
  <si>
    <t>175W 120V BLKT HTR HRDW BOTTOM</t>
  </si>
  <si>
    <t>02.05.952.00</t>
  </si>
  <si>
    <t>18259</t>
  </si>
  <si>
    <t>1250W 120V,ELEMENT,RHW</t>
  </si>
  <si>
    <t>02.05.953.00</t>
  </si>
  <si>
    <t>18300</t>
  </si>
  <si>
    <t>1800W 230V ELEM ITQ-1CW/XBSEAL</t>
  </si>
  <si>
    <t>02.05.955.00</t>
  </si>
  <si>
    <t>18300B</t>
  </si>
  <si>
    <t>1500W 230V,8 PASS,ITQ ELEM 315</t>
  </si>
  <si>
    <t>02.05.956.00</t>
  </si>
  <si>
    <t>18301</t>
  </si>
  <si>
    <t>980W 230V,6 PASS,ITQ ELEM 315C</t>
  </si>
  <si>
    <t>02.05.960.00</t>
  </si>
  <si>
    <t>18302</t>
  </si>
  <si>
    <t>1650W 208V,8 PASS,ITQ ELEM 315</t>
  </si>
  <si>
    <t>02.05.961.00</t>
  </si>
  <si>
    <t>18303</t>
  </si>
  <si>
    <t>1050W 208V,6 PASS,ITQ ELEM 315</t>
  </si>
  <si>
    <t>02.05.972.00</t>
  </si>
  <si>
    <t>18304</t>
  </si>
  <si>
    <t>135W 120V BLKT HTR 13x20</t>
  </si>
  <si>
    <t>02.05.980.00</t>
  </si>
  <si>
    <t>18305</t>
  </si>
  <si>
    <t>89W 230V ROPE ELEM 45"</t>
  </si>
  <si>
    <t>02.05.981.00</t>
  </si>
  <si>
    <t>18309</t>
  </si>
  <si>
    <t>111W 230V ROPE ELEM 66"</t>
  </si>
  <si>
    <t>02.05.982.00</t>
  </si>
  <si>
    <t>18310</t>
  </si>
  <si>
    <t>138W 230V ROPE ELEM 70"</t>
  </si>
  <si>
    <t>02.05.983.00</t>
  </si>
  <si>
    <t>18311</t>
  </si>
  <si>
    <t>132W 230V ROPE ELEM 69"</t>
  </si>
  <si>
    <t>02.05.987.00</t>
  </si>
  <si>
    <t>18312</t>
  </si>
  <si>
    <t>1650W 240V,8 PASS,ITQ ELEM 315</t>
  </si>
  <si>
    <t>02.05.988.00</t>
  </si>
  <si>
    <t>18313</t>
  </si>
  <si>
    <t>1050W 240V,6 PASS,ITQ ELEM 315</t>
  </si>
  <si>
    <t>02.05.996.00</t>
  </si>
  <si>
    <t>18314</t>
  </si>
  <si>
    <t>1500W 208V,8 PASS,ITQ ELEM 315</t>
  </si>
  <si>
    <t>02.05.997.00</t>
  </si>
  <si>
    <t>18314B</t>
  </si>
  <si>
    <t>1500W 240V,8 PASS,ITQ ELEM 315</t>
  </si>
  <si>
    <t>02.05.998.00</t>
  </si>
  <si>
    <t>18317</t>
  </si>
  <si>
    <t>980W 208V,6 PASS,ITQ ELEM 315C</t>
  </si>
  <si>
    <t>02.05.999.00</t>
  </si>
  <si>
    <t>18318</t>
  </si>
  <si>
    <t>980W 240V,6 PASS,ITQ ELEM 315C</t>
  </si>
  <si>
    <t>02.07.010.00</t>
  </si>
  <si>
    <t>18319</t>
  </si>
  <si>
    <t>650W 240V CERAMIC ELEMENT</t>
  </si>
  <si>
    <t>02.08.570.01</t>
  </si>
  <si>
    <t>18324</t>
  </si>
  <si>
    <t>1050W 120V COIL ELE FSHC-6W1</t>
  </si>
  <si>
    <t>02.08.581.10</t>
  </si>
  <si>
    <t>18330B</t>
  </si>
  <si>
    <t>HWB 750W 208V RECT ELEM</t>
  </si>
  <si>
    <t>02.08.626.00</t>
  </si>
  <si>
    <t>18335</t>
  </si>
  <si>
    <t>500W 120V AIR ELEM,SERVE RITE</t>
  </si>
  <si>
    <t>02.08.647.01</t>
  </si>
  <si>
    <t>18336</t>
  </si>
  <si>
    <t>400W 120V AIR ELEMENT FSHC-EE</t>
  </si>
  <si>
    <t>02.08.647.02</t>
  </si>
  <si>
    <t>18337</t>
  </si>
  <si>
    <t>437W 230V AIR ELEMENT FSHC-EE</t>
  </si>
  <si>
    <t>02.08.650.01</t>
  </si>
  <si>
    <t>18338</t>
  </si>
  <si>
    <t>HWBI-S 750W 120V RECT ELEM</t>
  </si>
  <si>
    <t>02.08.650.02</t>
  </si>
  <si>
    <t>18340</t>
  </si>
  <si>
    <t>HWBI-S 1200W 120V RECT ELEM</t>
  </si>
  <si>
    <t>02.08.650.03</t>
  </si>
  <si>
    <t>18341</t>
  </si>
  <si>
    <t>HWBI-S 1200W 208V RECT ELEM</t>
  </si>
  <si>
    <t>02.08.650.04</t>
  </si>
  <si>
    <t>18342</t>
  </si>
  <si>
    <t>HWBI-S 1200W 240V RECT ELEM</t>
  </si>
  <si>
    <t>02.08.650.05</t>
  </si>
  <si>
    <t>18360</t>
  </si>
  <si>
    <t>HWBI-S 1200W 220V RECT ELEM</t>
  </si>
  <si>
    <t>02.08.662.00</t>
  </si>
  <si>
    <t>18363</t>
  </si>
  <si>
    <t>175W 120V ELEM HXM-24</t>
  </si>
  <si>
    <t>02.08.675.00</t>
  </si>
  <si>
    <t>18365</t>
  </si>
  <si>
    <t>920W 120V ELEM,HWBI DRY WELL</t>
  </si>
  <si>
    <t>02.08.704.00</t>
  </si>
  <si>
    <t>18365B</t>
  </si>
  <si>
    <t>715W 240V ELEM,FINNED,GMHDT-2</t>
  </si>
  <si>
    <t>02.08.715.05</t>
  </si>
  <si>
    <t>18366</t>
  </si>
  <si>
    <t>HWB 1650W 120V 4/3 ELEM</t>
  </si>
  <si>
    <t>02.08.715.06</t>
  </si>
  <si>
    <t>18366B</t>
  </si>
  <si>
    <t>HWB 1650W 208V 4/3 ELEM</t>
  </si>
  <si>
    <t>02.08.715.07</t>
  </si>
  <si>
    <t>18370</t>
  </si>
  <si>
    <t>HWB 1650W 240V 4/3 ELEM</t>
  </si>
  <si>
    <t>02.08.715.08</t>
  </si>
  <si>
    <t>18375</t>
  </si>
  <si>
    <t>HWB 1200W 220V 4/3 ELEM</t>
  </si>
  <si>
    <t>02.08.718.00</t>
  </si>
  <si>
    <t>18376</t>
  </si>
  <si>
    <t>ELEM, 220V, 660W, GM-30</t>
  </si>
  <si>
    <t>02.08.719.00</t>
  </si>
  <si>
    <t>18380</t>
  </si>
  <si>
    <t>ELEM, 220V, 800W, GM-36</t>
  </si>
  <si>
    <t>02.08.720.00</t>
  </si>
  <si>
    <t>18406</t>
  </si>
  <si>
    <t>ELEM, 220V, 950W, GM-42</t>
  </si>
  <si>
    <t>02.08.721.00</t>
  </si>
  <si>
    <t>18407</t>
  </si>
  <si>
    <t>ELEM, 220V, 1100W, GM-48</t>
  </si>
  <si>
    <t>02.08.722.00</t>
  </si>
  <si>
    <t>18408</t>
  </si>
  <si>
    <t>ELEM, 220V, 1250W, GM-54</t>
  </si>
  <si>
    <t>02.08.723.00</t>
  </si>
  <si>
    <t>18409</t>
  </si>
  <si>
    <t>ELEM, 220V, 1400W, GM-60</t>
  </si>
  <si>
    <t>02.08.724.00</t>
  </si>
  <si>
    <t>18409B</t>
  </si>
  <si>
    <t>ELEM, 220V, 1560W, GM-66</t>
  </si>
  <si>
    <t>02.08.727.00</t>
  </si>
  <si>
    <t>18410</t>
  </si>
  <si>
    <t>ELEM, 120V, 500W, GM-24</t>
  </si>
  <si>
    <t>02.08.728.00</t>
  </si>
  <si>
    <t>18412</t>
  </si>
  <si>
    <t>ELEM, 120V, 800W, GM-36</t>
  </si>
  <si>
    <t>02.08.729.00</t>
  </si>
  <si>
    <t>18412B</t>
  </si>
  <si>
    <t>ELEM, 120V, 1100W, GM-48</t>
  </si>
  <si>
    <t>02.08.739.00</t>
  </si>
  <si>
    <t>18413</t>
  </si>
  <si>
    <t>ELEM, 240V, 660W, GM-30</t>
  </si>
  <si>
    <t>02.08.740.00</t>
  </si>
  <si>
    <t>18414</t>
  </si>
  <si>
    <t>ELEM, 240V, 800W, GM-36</t>
  </si>
  <si>
    <t>02.08.741.00</t>
  </si>
  <si>
    <t>18415</t>
  </si>
  <si>
    <t>ELEM, 240V, 950W, GM-42</t>
  </si>
  <si>
    <t>02.08.742.00</t>
  </si>
  <si>
    <t>18418</t>
  </si>
  <si>
    <t>ELEM, 240V, 1100W, GM-48</t>
  </si>
  <si>
    <t>02.08.745.00</t>
  </si>
  <si>
    <t>18419</t>
  </si>
  <si>
    <t>ELEM, 240V, 1560W, GM-66</t>
  </si>
  <si>
    <t>02.08.747.00</t>
  </si>
  <si>
    <t>18419B</t>
  </si>
  <si>
    <t>ELEM, 240V, 1890W, GM-78</t>
  </si>
  <si>
    <t>02.08.748.00</t>
  </si>
  <si>
    <t>18421</t>
  </si>
  <si>
    <t>ELEM,FINS,1710W,120V,FS3HAC-24</t>
  </si>
  <si>
    <t>02.09.241.00</t>
  </si>
  <si>
    <t>18430</t>
  </si>
  <si>
    <t>900W 120V TQ ELEMENT</t>
  </si>
  <si>
    <t>02.09.242.00</t>
  </si>
  <si>
    <t>18432</t>
  </si>
  <si>
    <t>1100W 120V TQ ELEMENT</t>
  </si>
  <si>
    <t>02.09.243.00</t>
  </si>
  <si>
    <t>18435</t>
  </si>
  <si>
    <t>750W 208V TQ ELEMENT</t>
  </si>
  <si>
    <t>02.09.244.00</t>
  </si>
  <si>
    <t>18436</t>
  </si>
  <si>
    <t>900W 208V TQ ELEMENT</t>
  </si>
  <si>
    <t>02.09.245.00</t>
  </si>
  <si>
    <t>18437</t>
  </si>
  <si>
    <t>1100W 208V TQ ELEMENT</t>
  </si>
  <si>
    <t>02.09.246.00</t>
  </si>
  <si>
    <t>18438</t>
  </si>
  <si>
    <t>750W 240V TQ ELEMENT</t>
  </si>
  <si>
    <t>02.09.247.00</t>
  </si>
  <si>
    <t>18439</t>
  </si>
  <si>
    <t>900W 240V TQ ELEMENT</t>
  </si>
  <si>
    <t>02.09.248.00</t>
  </si>
  <si>
    <t>18440</t>
  </si>
  <si>
    <t>1100W 240V TQ ELEMENT</t>
  </si>
  <si>
    <t>02.09.249.00</t>
  </si>
  <si>
    <t>18441</t>
  </si>
  <si>
    <t>750W 230V TQ ELEMENT CE</t>
  </si>
  <si>
    <t>02.09.250.00</t>
  </si>
  <si>
    <t>18446V1</t>
  </si>
  <si>
    <t>900W 230V TQ ELEMENT CE</t>
  </si>
  <si>
    <t>02.09.251.00</t>
  </si>
  <si>
    <t>18447</t>
  </si>
  <si>
    <t>1000W 230V TQ ELEMENT CE</t>
  </si>
  <si>
    <t>02.09.252.00</t>
  </si>
  <si>
    <t>18448</t>
  </si>
  <si>
    <t>1150W 230V TQ ELEMENT CE</t>
  </si>
  <si>
    <t>02.09.253.00</t>
  </si>
  <si>
    <t>18449</t>
  </si>
  <si>
    <t>880W 120V TQ ELEMENT</t>
  </si>
  <si>
    <t>02.09.254.00</t>
  </si>
  <si>
    <t>18451</t>
  </si>
  <si>
    <t>1250W 208V TQ ELEMENT</t>
  </si>
  <si>
    <t>02.09.255.00</t>
  </si>
  <si>
    <t>18452</t>
  </si>
  <si>
    <t>650W 120V TQ ELEMENT</t>
  </si>
  <si>
    <t>02.09.256.00</t>
  </si>
  <si>
    <t>18452B</t>
  </si>
  <si>
    <t>1250W 240V TQ ELEMENT</t>
  </si>
  <si>
    <t>02.09.266E.00</t>
  </si>
  <si>
    <t>18480</t>
  </si>
  <si>
    <t>1050W 208V TQ 3 SLICE ELEMENT</t>
  </si>
  <si>
    <t>02.09.267E.00</t>
  </si>
  <si>
    <t>18500</t>
  </si>
  <si>
    <t>1260W 208V TQ 3 SLICE ELEMENT</t>
  </si>
  <si>
    <t>02.09.268E.00</t>
  </si>
  <si>
    <t>18501I</t>
  </si>
  <si>
    <t>1750W 208V TQ 3 SLICE ELEMENT</t>
  </si>
  <si>
    <t>02.09.269E.00</t>
  </si>
  <si>
    <t>18502</t>
  </si>
  <si>
    <t>1050W 240V TQ 3 SLICE ELEMENT</t>
  </si>
  <si>
    <t>02.09.270E.00</t>
  </si>
  <si>
    <t>18505</t>
  </si>
  <si>
    <t>1260W 240V TQ 3 SLICE ELEMENT</t>
  </si>
  <si>
    <t>02.09.271E.00</t>
  </si>
  <si>
    <t>18507</t>
  </si>
  <si>
    <t>1750W 240V TQ 3 SLICE ELEMENT</t>
  </si>
  <si>
    <t>02.09.294.00</t>
  </si>
  <si>
    <t>18508</t>
  </si>
  <si>
    <t>1500W 208V 6 PASS TOASTER ELEM</t>
  </si>
  <si>
    <t>02.09.302.00</t>
  </si>
  <si>
    <t>18510</t>
  </si>
  <si>
    <t>1500W 240V 6 PASS TOASTER ELEM</t>
  </si>
  <si>
    <t>02.09.303.00</t>
  </si>
  <si>
    <t>18515</t>
  </si>
  <si>
    <t>1500W 230V 6 PASS TOASTER ELEM</t>
  </si>
  <si>
    <t>02.09.304.00</t>
  </si>
  <si>
    <t>18520</t>
  </si>
  <si>
    <t>1650W 208V 6 PASS TOASTER ELEM</t>
  </si>
  <si>
    <t>02.09.305.00</t>
  </si>
  <si>
    <t>18521</t>
  </si>
  <si>
    <t>1650W 240V 6 PASS TOASTER ELEM</t>
  </si>
  <si>
    <t>02.09.306.00</t>
  </si>
  <si>
    <t>18524</t>
  </si>
  <si>
    <t>1650W 230V 6 PASS TOASTER ELEM</t>
  </si>
  <si>
    <t>02.09.307.00</t>
  </si>
  <si>
    <t>18525</t>
  </si>
  <si>
    <t>1350W 208V 6 PASS TOASTER ELEM</t>
  </si>
  <si>
    <t>02.09.308.00</t>
  </si>
  <si>
    <t>18526</t>
  </si>
  <si>
    <t>1350W 240V 6 PASS TOASTER ELEM</t>
  </si>
  <si>
    <t>02.09.309.00</t>
  </si>
  <si>
    <t>18604</t>
  </si>
  <si>
    <t>1350W 230V 6 PASS TOASTER ELEM</t>
  </si>
  <si>
    <t>02.09.311.00</t>
  </si>
  <si>
    <t>18605</t>
  </si>
  <si>
    <t>1100W 208V 6 PASS TOASTER ELEM</t>
  </si>
  <si>
    <t>02.09.312.00</t>
  </si>
  <si>
    <t>18606</t>
  </si>
  <si>
    <t>1100W 240V 6 PASS TOASTER ELEM</t>
  </si>
  <si>
    <t>02.09.313.00</t>
  </si>
  <si>
    <t>18611</t>
  </si>
  <si>
    <t>1100W 230V 6 PASS TOASTER ELEM</t>
  </si>
  <si>
    <t>02.09.314.00</t>
  </si>
  <si>
    <t>18615</t>
  </si>
  <si>
    <t>2000W 208V 6 PASS TOASTER ELEM</t>
  </si>
  <si>
    <t>02.09.315.00</t>
  </si>
  <si>
    <t>18616</t>
  </si>
  <si>
    <t>2000W 240V 6 PASS TOASTER ELEM</t>
  </si>
  <si>
    <t>02.09.316.00</t>
  </si>
  <si>
    <t>18618</t>
  </si>
  <si>
    <t>2000W 230V 6 PASS TOASTER ELEM</t>
  </si>
  <si>
    <t>02.09.317.00</t>
  </si>
  <si>
    <t>18619</t>
  </si>
  <si>
    <t>2200W 208V 6 PASS TOASTER ELEM</t>
  </si>
  <si>
    <t>02.09.318.00</t>
  </si>
  <si>
    <t>18620</t>
  </si>
  <si>
    <t>2200W 240V 6 PASS TOASTER ELEM</t>
  </si>
  <si>
    <t>02.09.319.00</t>
  </si>
  <si>
    <t>18621</t>
  </si>
  <si>
    <t>2200W 230V 6 PASS TOASTER ELEM</t>
  </si>
  <si>
    <t>02.09.320.00</t>
  </si>
  <si>
    <t>18622</t>
  </si>
  <si>
    <t>1800W 208V 6 PASS TOASTER ELEM</t>
  </si>
  <si>
    <t>02.09.321.00</t>
  </si>
  <si>
    <t>18623</t>
  </si>
  <si>
    <t>1800W 240V 6 PASS TOASTER ELEM</t>
  </si>
  <si>
    <t>02.09.322.00</t>
  </si>
  <si>
    <t>18624</t>
  </si>
  <si>
    <t>1800W 230V 6 PASS TOASTER ELEM</t>
  </si>
  <si>
    <t>02.10.016.00</t>
  </si>
  <si>
    <t>18626</t>
  </si>
  <si>
    <t>COIL ASSY,230V,IWRM</t>
  </si>
  <si>
    <t>02.10.036.00</t>
  </si>
  <si>
    <t>18627</t>
  </si>
  <si>
    <t>COIL ASSY,IRNG-PHC6</t>
  </si>
  <si>
    <t>02.11.001.00</t>
  </si>
  <si>
    <t>18628</t>
  </si>
  <si>
    <t>GASKET FOR MC BOOSTER</t>
  </si>
  <si>
    <t>02.11.012.00</t>
  </si>
  <si>
    <t>18629</t>
  </si>
  <si>
    <t>GASKET,ELEMENT (BOOSTER)</t>
  </si>
  <si>
    <t>02.12.001A.00</t>
  </si>
  <si>
    <t>18631</t>
  </si>
  <si>
    <t>BLOWER MOTOR CONNECTOR</t>
  </si>
  <si>
    <t>02.12.003B.00</t>
  </si>
  <si>
    <t>18633</t>
  </si>
  <si>
    <t>BASIC BLOWER MOTOR KIT 120VOLT</t>
  </si>
  <si>
    <t>02.12.004.00</t>
  </si>
  <si>
    <t>18634</t>
  </si>
  <si>
    <t>MOTOR,RACK 120V 60Hz FDW 1 RPM</t>
  </si>
  <si>
    <t>02.12.005.00</t>
  </si>
  <si>
    <t>18635</t>
  </si>
  <si>
    <t>MOTOR,RACK 120V 60Hz 2 RPM FS</t>
  </si>
  <si>
    <t>02.12.006.00</t>
  </si>
  <si>
    <t>18636</t>
  </si>
  <si>
    <t>MOTOR,BLOWR,AXIAL,230V 50/60Hz</t>
  </si>
  <si>
    <t>02.12.008A.00</t>
  </si>
  <si>
    <t>18637</t>
  </si>
  <si>
    <t>FAN,COOLING 120V 60Hz TQ</t>
  </si>
  <si>
    <t>02.12.010.00</t>
  </si>
  <si>
    <t>18638</t>
  </si>
  <si>
    <t>FAN,COOLING 230V 50/60Hz TQ</t>
  </si>
  <si>
    <t>02.12.011.00</t>
  </si>
  <si>
    <t>18641</t>
  </si>
  <si>
    <t>FAN,GUARD CHROME WIRE</t>
  </si>
  <si>
    <t>02.12.026.00</t>
  </si>
  <si>
    <t>18642</t>
  </si>
  <si>
    <t>MOTOR,RACK 240V 50Hz FDW</t>
  </si>
  <si>
    <t>02.12.030.00</t>
  </si>
  <si>
    <t>18643</t>
  </si>
  <si>
    <t>FAN,CIRCULATION 115V 60Hz</t>
  </si>
  <si>
    <t>02.12.039.00</t>
  </si>
  <si>
    <t>18645</t>
  </si>
  <si>
    <t>FAN,AXIAL 230V 50/60Hz</t>
  </si>
  <si>
    <t>02.12.047.00</t>
  </si>
  <si>
    <t>18646</t>
  </si>
  <si>
    <t>MOTOR,RACK220/240 50/60Hz 2RPM</t>
  </si>
  <si>
    <t>02.12.063.00</t>
  </si>
  <si>
    <t>18647</t>
  </si>
  <si>
    <t>FAN,GUARD CHROME WIRE,4000 SER</t>
  </si>
  <si>
    <t>02.12.076.00</t>
  </si>
  <si>
    <t>18651</t>
  </si>
  <si>
    <t>MOTOR,GEAR 208V 60Hz 11 RPM</t>
  </si>
  <si>
    <t>02.12.077.00</t>
  </si>
  <si>
    <t>1980</t>
  </si>
  <si>
    <t>MOTOR,GEAR 240V 60Hz 11 RPM</t>
  </si>
  <si>
    <t>02.12.079.00</t>
  </si>
  <si>
    <t>2107</t>
  </si>
  <si>
    <t>MOTOR,GEAR 230V 50Hz 11 RPM</t>
  </si>
  <si>
    <t>02.12.081.00</t>
  </si>
  <si>
    <t>2110</t>
  </si>
  <si>
    <t>MOTOR,GEAR 120V 60Hz 9 RPM</t>
  </si>
  <si>
    <t>02.12.088.01</t>
  </si>
  <si>
    <t>2123</t>
  </si>
  <si>
    <t>FAN BLADE,METAL,3",RH</t>
  </si>
  <si>
    <t>02.12.088.02</t>
  </si>
  <si>
    <t>2124</t>
  </si>
  <si>
    <t>FAN BLADE,METAL,2.625",RH</t>
  </si>
  <si>
    <t>02.12.096.00</t>
  </si>
  <si>
    <t>2125</t>
  </si>
  <si>
    <t>MOTOR,GEAR 230V 50Hz 11 RPMCCL</t>
  </si>
  <si>
    <t>02.12.101.00</t>
  </si>
  <si>
    <t>2126</t>
  </si>
  <si>
    <t>02.12.102.00</t>
  </si>
  <si>
    <t>2127</t>
  </si>
  <si>
    <t>MOTOR,GEAR 208-240V 60Hz 11RPM</t>
  </si>
  <si>
    <t>02.12.105.00</t>
  </si>
  <si>
    <t>2128</t>
  </si>
  <si>
    <t>MOTOR,BLOWR,AXIAL,115V 50/60Hz</t>
  </si>
  <si>
    <t>02.12.107.00</t>
  </si>
  <si>
    <t>2129</t>
  </si>
  <si>
    <t>FAN,AXIAL,3.62" SQ,115V</t>
  </si>
  <si>
    <t>02.12.107.01</t>
  </si>
  <si>
    <t>2137</t>
  </si>
  <si>
    <t>FAN,AXIAL,3.62" SQ,230V</t>
  </si>
  <si>
    <t>02.12.119.00</t>
  </si>
  <si>
    <t>2140</t>
  </si>
  <si>
    <t>MOTOR,BLOWER 230V 50Hz</t>
  </si>
  <si>
    <t>02.12.121.00</t>
  </si>
  <si>
    <t>2145</t>
  </si>
  <si>
    <t>MOTOR,BI-POLAR STEPPING</t>
  </si>
  <si>
    <t>02.12.125.00</t>
  </si>
  <si>
    <t>2146</t>
  </si>
  <si>
    <t>FAN,AXIAL,4.72SQx.98THK,12VDC</t>
  </si>
  <si>
    <t>02.12.136.00</t>
  </si>
  <si>
    <t>2147</t>
  </si>
  <si>
    <t>FAN FILTER KIT,4.72" SQUARE</t>
  </si>
  <si>
    <t>02.12.139.00</t>
  </si>
  <si>
    <t>2148</t>
  </si>
  <si>
    <t>FAN, AXIAL, 230V,50/60HZ,92X92,TRM</t>
  </si>
  <si>
    <t>02.12.141.00</t>
  </si>
  <si>
    <t>2149</t>
  </si>
  <si>
    <t>MOTOR,RACK,W/PIN,120 60Hz 1RPM</t>
  </si>
  <si>
    <t>02.12.142.00</t>
  </si>
  <si>
    <t>2151</t>
  </si>
  <si>
    <t>MOTOR,RACK,W/PIN,120 60Hz 2RPM</t>
  </si>
  <si>
    <t>02.12.143.00</t>
  </si>
  <si>
    <t>2152</t>
  </si>
  <si>
    <t>MOTOR,RACK,W/PIN,240 50H .8RPM</t>
  </si>
  <si>
    <t>02.12.144.00</t>
  </si>
  <si>
    <t>2153</t>
  </si>
  <si>
    <t>MOTOR,RACK,W/PIN,220/240 .8RPM</t>
  </si>
  <si>
    <t>02.12.146.00</t>
  </si>
  <si>
    <t>2154</t>
  </si>
  <si>
    <t>MOTOR,BLOWER,230V,50/60Hz,MDW</t>
  </si>
  <si>
    <t>02.12.147.00</t>
  </si>
  <si>
    <t>2155</t>
  </si>
  <si>
    <t>FAN GUARD,80mm FAN</t>
  </si>
  <si>
    <t>02.12.153.00</t>
  </si>
  <si>
    <t>2156</t>
  </si>
  <si>
    <t>FAN,AXIAL,2.362" SQ,115V</t>
  </si>
  <si>
    <t>02.12.154.00</t>
  </si>
  <si>
    <t>2157</t>
  </si>
  <si>
    <t>MOTOR,HWBI MED,120V 50/60Hz</t>
  </si>
  <si>
    <t>02.12.157.00</t>
  </si>
  <si>
    <t>2160</t>
  </si>
  <si>
    <t>FAN,CROSS FLOW,198mmX30mm,12DC</t>
  </si>
  <si>
    <t>02.12.158.00</t>
  </si>
  <si>
    <t>2165</t>
  </si>
  <si>
    <t>MOTOR,BI-POLAR STEPPING NEMA23</t>
  </si>
  <si>
    <t>02.12.163.00</t>
  </si>
  <si>
    <t>2166</t>
  </si>
  <si>
    <t>FAN,AXIAL,4.62"SQx.98",SPD,12V</t>
  </si>
  <si>
    <t>02.12.163A.00</t>
  </si>
  <si>
    <t>2167</t>
  </si>
  <si>
    <t>FAN,AXIAL,4.62"SQx.98",12V</t>
  </si>
  <si>
    <t>02.12.164.00</t>
  </si>
  <si>
    <t>2168</t>
  </si>
  <si>
    <t>FILTER,WIRE MESH,IRNG-HC1</t>
  </si>
  <si>
    <t>02.12.166.00</t>
  </si>
  <si>
    <t>2172</t>
  </si>
  <si>
    <t>FILTER ASSY,TM3-10,BLACK</t>
  </si>
  <si>
    <t>02.12.166A.00</t>
  </si>
  <si>
    <t>2173</t>
  </si>
  <si>
    <t>FILTER ASSY,TM3-10,NO MAGNT,SS</t>
  </si>
  <si>
    <t>02.12.169.00</t>
  </si>
  <si>
    <t>2174</t>
  </si>
  <si>
    <t>FAN,CROSS FLOW,198mmX40mm,12DC</t>
  </si>
  <si>
    <t>02.12.172.00</t>
  </si>
  <si>
    <t>2175</t>
  </si>
  <si>
    <t>FILTER,WIRE MESH,TM3-5,-5H</t>
  </si>
  <si>
    <t>02.12.175.00</t>
  </si>
  <si>
    <t>2177</t>
  </si>
  <si>
    <t>FAN,40MM,12VDC,IWRM-C1-1317-06</t>
  </si>
  <si>
    <t>02.12.180.00</t>
  </si>
  <si>
    <t>2179</t>
  </si>
  <si>
    <t>FAN,CROSS FLO,198MMx50MM,12VDC</t>
  </si>
  <si>
    <t>02.12.183.00</t>
  </si>
  <si>
    <t>2180</t>
  </si>
  <si>
    <t>FAN,70mm,12VDC,PWM,IWRMB1-1313</t>
  </si>
  <si>
    <t>02.12.194.00</t>
  </si>
  <si>
    <t>2190</t>
  </si>
  <si>
    <t>MTR,BLWR,AXIAL,115V 50/60HzCER</t>
  </si>
  <si>
    <t>02.12.196.00</t>
  </si>
  <si>
    <t>2200</t>
  </si>
  <si>
    <t>FAN, 80MM, 12VDC</t>
  </si>
  <si>
    <t>02.12.201.00</t>
  </si>
  <si>
    <t>2205</t>
  </si>
  <si>
    <t>MOTOR,BLOWER,AXIAL,230V,50/6Hz</t>
  </si>
  <si>
    <t>02.12.202.00</t>
  </si>
  <si>
    <t>2210</t>
  </si>
  <si>
    <t>FAN,AXIAL,2.362" SQ,230V</t>
  </si>
  <si>
    <t>02.12.203.00</t>
  </si>
  <si>
    <t>2303</t>
  </si>
  <si>
    <t>FAN, AXIAL, 115V, 50/60HZ,92X92,TRM</t>
  </si>
  <si>
    <t>02.12.215.00</t>
  </si>
  <si>
    <t>2304</t>
  </si>
  <si>
    <t>FILTER,WIRE MESH,IRNG-PCS-36</t>
  </si>
  <si>
    <t>02.12.218.00</t>
  </si>
  <si>
    <t>2312</t>
  </si>
  <si>
    <t>FAN,AXIAL,3.62X1.00,12VDC</t>
  </si>
  <si>
    <t>02.13.300.00</t>
  </si>
  <si>
    <t>2313</t>
  </si>
  <si>
    <t>CAPACITOR 1.0 MFD</t>
  </si>
  <si>
    <t>02.13.303.00</t>
  </si>
  <si>
    <t>2314</t>
  </si>
  <si>
    <t>.47 MFD CAP. W/HEAT SHRINK LDS</t>
  </si>
  <si>
    <t>02.13.306.00</t>
  </si>
  <si>
    <t>2317</t>
  </si>
  <si>
    <t>1.0 CAP 1.0 RES W/LEADS</t>
  </si>
  <si>
    <t>02.13.307.00</t>
  </si>
  <si>
    <t>2318</t>
  </si>
  <si>
    <t>.47 CAP .5 RES W/6" LEADS</t>
  </si>
  <si>
    <t>02.13.308.00</t>
  </si>
  <si>
    <t>2319</t>
  </si>
  <si>
    <t>VARISTOR,7MM,775V CLAMPING</t>
  </si>
  <si>
    <t>02.13.322.00</t>
  </si>
  <si>
    <t>2323</t>
  </si>
  <si>
    <t>POTENTIOMETER HARNESS,TQ</t>
  </si>
  <si>
    <t>02.13.324.00</t>
  </si>
  <si>
    <t>2324</t>
  </si>
  <si>
    <t>FILTER,ELECTRONIC NOISE,1 AMP</t>
  </si>
  <si>
    <t>02.13.325.00</t>
  </si>
  <si>
    <t>2327</t>
  </si>
  <si>
    <t>RESISTOR,100 OHM,5 WATT</t>
  </si>
  <si>
    <t>02.13.329.00</t>
  </si>
  <si>
    <t>2329</t>
  </si>
  <si>
    <t>POTENTIOMETER,TQ,SPEED ONLY</t>
  </si>
  <si>
    <t>02.13.338.00</t>
  </si>
  <si>
    <t>2330</t>
  </si>
  <si>
    <t>RHEOSTAT ASSY,500 OHM,25W,TM</t>
  </si>
  <si>
    <t>02.13.339.00</t>
  </si>
  <si>
    <t>2332</t>
  </si>
  <si>
    <t>RHEOSTAT ASSY,75 OHM,25W,TM</t>
  </si>
  <si>
    <t>02.13.350.00</t>
  </si>
  <si>
    <t>2334</t>
  </si>
  <si>
    <t>RHEOSTAT,W/DIODE,9"LDS,250 OHM</t>
  </si>
  <si>
    <t>02.13.358.00</t>
  </si>
  <si>
    <t>2335</t>
  </si>
  <si>
    <t>SURGE PROTECTOR,VARISTOR MOD</t>
  </si>
  <si>
    <t>02.13.360.00</t>
  </si>
  <si>
    <t>2336</t>
  </si>
  <si>
    <t>FILTER,EMI,8 AMP</t>
  </si>
  <si>
    <t>02.13.365.00</t>
  </si>
  <si>
    <t>2337</t>
  </si>
  <si>
    <t>.1 CAP W/6" LEADS</t>
  </si>
  <si>
    <t>02.13.368.00</t>
  </si>
  <si>
    <t>2338</t>
  </si>
  <si>
    <t>VARISTOR,10MM,360V CLAMPING</t>
  </si>
  <si>
    <t>02.13.370.00</t>
  </si>
  <si>
    <t>2340</t>
  </si>
  <si>
    <t>CAPACITOR .97 MFD 2.5kV</t>
  </si>
  <si>
    <t>02.13.372.00</t>
  </si>
  <si>
    <t>2341</t>
  </si>
  <si>
    <t>FILTER,EMI,DBL ST,20A,115-250V</t>
  </si>
  <si>
    <t>02.14.003.00</t>
  </si>
  <si>
    <t>2342</t>
  </si>
  <si>
    <t>TRM,#10,RING,10-12,BARREL</t>
  </si>
  <si>
    <t>02.14.004.00</t>
  </si>
  <si>
    <t>2343</t>
  </si>
  <si>
    <t>TRM,#10,RING,8,NONE</t>
  </si>
  <si>
    <t>02.14.005.00</t>
  </si>
  <si>
    <t>2345</t>
  </si>
  <si>
    <t>TRM,3/16,SOF,14-16,BARREL</t>
  </si>
  <si>
    <t>02.14.011.00</t>
  </si>
  <si>
    <t>2350</t>
  </si>
  <si>
    <t>TRM,3/16,SOF,18-22,BARREL</t>
  </si>
  <si>
    <t>02.14.016.00</t>
  </si>
  <si>
    <t>2352</t>
  </si>
  <si>
    <t>TRM,1/4,SOF,14-16,FULL,FUNNEL</t>
  </si>
  <si>
    <t>02.14.024.00</t>
  </si>
  <si>
    <t>2361</t>
  </si>
  <si>
    <t>TRM,1/4,SOF,14-16,BARREL</t>
  </si>
  <si>
    <t>02.14.030.00</t>
  </si>
  <si>
    <t>2363</t>
  </si>
  <si>
    <t>TRM,#10,RING,14-16,HI-TEMP</t>
  </si>
  <si>
    <t>02.14.058.00</t>
  </si>
  <si>
    <t>2365</t>
  </si>
  <si>
    <t>LUG,#4-14,W/LEG</t>
  </si>
  <si>
    <t>02.14.065.00</t>
  </si>
  <si>
    <t>2366</t>
  </si>
  <si>
    <t>TRM,#10,RING,8,BARREL</t>
  </si>
  <si>
    <t>02.14.071.00</t>
  </si>
  <si>
    <t>2371</t>
  </si>
  <si>
    <t>TRM,#6,RING,14-16,NONE</t>
  </si>
  <si>
    <t>02.14.073.00</t>
  </si>
  <si>
    <t>2375</t>
  </si>
  <si>
    <t>TRM,#10,RING,14-16,NONE</t>
  </si>
  <si>
    <t>02.14.075.00</t>
  </si>
  <si>
    <t>2376</t>
  </si>
  <si>
    <t>TRM,1/4,SOM,18-22,FULL,AMP</t>
  </si>
  <si>
    <t>02.14.118.00</t>
  </si>
  <si>
    <t>2380</t>
  </si>
  <si>
    <t>PLUG,MINI,2 CIR,FEM,.062SERIES</t>
  </si>
  <si>
    <t>02.14.119.00</t>
  </si>
  <si>
    <t>2402</t>
  </si>
  <si>
    <t>TRM,PIN,MALE,.062 SERIES,18-24</t>
  </si>
  <si>
    <t>02.14.190.00</t>
  </si>
  <si>
    <t>2403</t>
  </si>
  <si>
    <t>TERM,GTVE,1.5mm sq</t>
  </si>
  <si>
    <t>02.14.205.00</t>
  </si>
  <si>
    <t>2406</t>
  </si>
  <si>
    <t>TOOL,MALE/FEMALE WAGO CONN</t>
  </si>
  <si>
    <t>02.14.212.00</t>
  </si>
  <si>
    <t>2407</t>
  </si>
  <si>
    <t>TWO PIN FEMALE CON,2.5mm SPACE</t>
  </si>
  <si>
    <t>02.14.213.00</t>
  </si>
  <si>
    <t>2409</t>
  </si>
  <si>
    <t>TWO PIN MALE CON,2.5mm SPACE</t>
  </si>
  <si>
    <t>02.14.217.00</t>
  </si>
  <si>
    <t>2410</t>
  </si>
  <si>
    <t>FEMALE CONN,3 POLE,2.5mm PITCH</t>
  </si>
  <si>
    <t>02.14.218.00</t>
  </si>
  <si>
    <t>2411</t>
  </si>
  <si>
    <t>MALE CONN,3 POLE,2.5mm PITCH</t>
  </si>
  <si>
    <t>02.14.221.00</t>
  </si>
  <si>
    <t>2412</t>
  </si>
  <si>
    <t>WAGO,MALE CONN,15 POLE,SNAP-IN</t>
  </si>
  <si>
    <t>02.14.222.00</t>
  </si>
  <si>
    <t>2413</t>
  </si>
  <si>
    <t>WAGO,FEM,LOCK,STRAIN REL,15P</t>
  </si>
  <si>
    <t>02.15.005.00</t>
  </si>
  <si>
    <t>2414</t>
  </si>
  <si>
    <t>T-BLOCK 12P (N3CS-DC)</t>
  </si>
  <si>
    <t>02.15.007.00</t>
  </si>
  <si>
    <t>2419</t>
  </si>
  <si>
    <t>T-BLOCK 2P HEAVY DUTY</t>
  </si>
  <si>
    <t>02.15.008.00</t>
  </si>
  <si>
    <t>2422</t>
  </si>
  <si>
    <t>T-BLOCK 3P HEAVY DUTY</t>
  </si>
  <si>
    <t>02.15.012.00</t>
  </si>
  <si>
    <t>2430</t>
  </si>
  <si>
    <t>T-BLOCK 8P</t>
  </si>
  <si>
    <t>02.15.021.00</t>
  </si>
  <si>
    <t>2431</t>
  </si>
  <si>
    <t>T-BLOCK 3P #2/0 WIRE</t>
  </si>
  <si>
    <t>02.15.022.00</t>
  </si>
  <si>
    <t>2432</t>
  </si>
  <si>
    <t>T-BLOCK SECT WAGO 2P GREEN</t>
  </si>
  <si>
    <t>02.15.027.00</t>
  </si>
  <si>
    <t>2433</t>
  </si>
  <si>
    <t>T-BLOCK 30P PINCH SNAP MT 60</t>
  </si>
  <si>
    <t>02.15.029.00</t>
  </si>
  <si>
    <t>2434</t>
  </si>
  <si>
    <t>T-BLOCK 3P 44AMP "CE"</t>
  </si>
  <si>
    <t>02.15.032.00</t>
  </si>
  <si>
    <t>2435</t>
  </si>
  <si>
    <t>T-BLOCK 30P PINCH SNAP MT 100</t>
  </si>
  <si>
    <t>02.15.033.00</t>
  </si>
  <si>
    <t>2436</t>
  </si>
  <si>
    <t>T-BLOCK 8P PINCH SNAP MT 100</t>
  </si>
  <si>
    <t>02.15.034.00</t>
  </si>
  <si>
    <t>2437</t>
  </si>
  <si>
    <t>T-BLOCK 6P EURO STYLE</t>
  </si>
  <si>
    <t>02.15.037.00</t>
  </si>
  <si>
    <t>2438</t>
  </si>
  <si>
    <t>T-BLOCK 3P 30AMP CERAMIC 500V</t>
  </si>
  <si>
    <t>02.15.050.00</t>
  </si>
  <si>
    <t>2439</t>
  </si>
  <si>
    <t>T-BLOCK 2P 50AMP 8-14GA,SCREW</t>
  </si>
  <si>
    <t>02.15.057.00</t>
  </si>
  <si>
    <t>2440</t>
  </si>
  <si>
    <t>T-BLOCK 12P 76AMP 6mm</t>
  </si>
  <si>
    <t>02.15.085.00</t>
  </si>
  <si>
    <t>2441</t>
  </si>
  <si>
    <t>T-BLOCK,CERAMIC,24A,600V</t>
  </si>
  <si>
    <t>02.15.088.00</t>
  </si>
  <si>
    <t>2444</t>
  </si>
  <si>
    <t>T-BLOCK 5P 35A</t>
  </si>
  <si>
    <t>02.15.089.00</t>
  </si>
  <si>
    <t>2447</t>
  </si>
  <si>
    <t>WAGO FUSE T BLOCK</t>
  </si>
  <si>
    <t>02.15.090.00</t>
  </si>
  <si>
    <t>2448</t>
  </si>
  <si>
    <t>WAGO GROUNDING T BLOCK</t>
  </si>
  <si>
    <t>02.15.100.00</t>
  </si>
  <si>
    <t>2449</t>
  </si>
  <si>
    <t>T-BLOCK (3) POLE,22-12GA,30A</t>
  </si>
  <si>
    <t>02.16.001A.00</t>
  </si>
  <si>
    <t>2480</t>
  </si>
  <si>
    <t>T-STAT CONT MECH WET, 90-190</t>
  </si>
  <si>
    <t>02.16.002.00</t>
  </si>
  <si>
    <t>2502</t>
  </si>
  <si>
    <t>T-STAT CONT MECH DRY 81-192</t>
  </si>
  <si>
    <t>02.16.003.00</t>
  </si>
  <si>
    <t>2503</t>
  </si>
  <si>
    <t>T-STAT CONT MECH WET 112-192</t>
  </si>
  <si>
    <t>02.16.003A.00</t>
  </si>
  <si>
    <t>26101</t>
  </si>
  <si>
    <t>T-STAT CONT MECH WET XT, 90-190</t>
  </si>
  <si>
    <t>02.16.003B.00</t>
  </si>
  <si>
    <t>26103</t>
  </si>
  <si>
    <t>T-STAT CONT MECH WET 192F NI</t>
  </si>
  <si>
    <t>02.16.004.00</t>
  </si>
  <si>
    <t>26104</t>
  </si>
  <si>
    <t>T-STAT LIMIT MECH WET 205</t>
  </si>
  <si>
    <t>02.16.004A.00</t>
  </si>
  <si>
    <t>26105</t>
  </si>
  <si>
    <t>T-STAT LIMIT MECH WET 175 FIXED</t>
  </si>
  <si>
    <t>02.16.011.00</t>
  </si>
  <si>
    <t>26106</t>
  </si>
  <si>
    <t>T-STAT CONT MECH DRY 600</t>
  </si>
  <si>
    <t>02.16.014.00</t>
  </si>
  <si>
    <t>26107</t>
  </si>
  <si>
    <t>T-STAT LIMIT MECH SURFACE 190F</t>
  </si>
  <si>
    <t>02.16.016.00</t>
  </si>
  <si>
    <t>26110</t>
  </si>
  <si>
    <t>T-STAT CONT MECH WET 200WO EXT</t>
  </si>
  <si>
    <t>02.16.016A.00</t>
  </si>
  <si>
    <t>26111</t>
  </si>
  <si>
    <t>T-STAT CONT MECH CORN COOK 160</t>
  </si>
  <si>
    <t>02.16.021.00</t>
  </si>
  <si>
    <t>26112</t>
  </si>
  <si>
    <t>T-STAT,CONT,HUMIDITY,90-195</t>
  </si>
  <si>
    <t>02.16.022.00</t>
  </si>
  <si>
    <t>26115</t>
  </si>
  <si>
    <t>T-STAT CONT MECH DRY 108 MIDST</t>
  </si>
  <si>
    <t>02.16.024.00</t>
  </si>
  <si>
    <t>26117</t>
  </si>
  <si>
    <t>T-STAT CONT MECH WET 192</t>
  </si>
  <si>
    <t>02.16.025A.00</t>
  </si>
  <si>
    <t>26118</t>
  </si>
  <si>
    <t>T-STAT LIMIT MECH WET 210F MAN</t>
  </si>
  <si>
    <t>02.16.028.00</t>
  </si>
  <si>
    <t>26120</t>
  </si>
  <si>
    <t>T-STAT CONT MECH SURF FEN</t>
  </si>
  <si>
    <t>02.16.030.00</t>
  </si>
  <si>
    <t>26121</t>
  </si>
  <si>
    <t>T-STAT CONT MECH DRY 215F</t>
  </si>
  <si>
    <t>02.16.035.00</t>
  </si>
  <si>
    <t>26122</t>
  </si>
  <si>
    <t>T-STAT LIMIT MECH SURF 240F</t>
  </si>
  <si>
    <t>02.16.037.00</t>
  </si>
  <si>
    <t>26123</t>
  </si>
  <si>
    <t>T-STAT CONT MECH DRY 192F</t>
  </si>
  <si>
    <t>02.16.043.00</t>
  </si>
  <si>
    <t>26602</t>
  </si>
  <si>
    <t>T-STAT CONT DISP DRY 30-250</t>
  </si>
  <si>
    <t>02.16.044.00</t>
  </si>
  <si>
    <t>26701</t>
  </si>
  <si>
    <t>T-STAT TID DRY CELCIUS VERT</t>
  </si>
  <si>
    <t>02.16.049.00</t>
  </si>
  <si>
    <t>26702</t>
  </si>
  <si>
    <t>MECH DRUM THERMOMETER VERTICAL</t>
  </si>
  <si>
    <t>02.16.050.00</t>
  </si>
  <si>
    <t>26704</t>
  </si>
  <si>
    <t>MECH DRUM THERMOMTR HORIZONTAL</t>
  </si>
  <si>
    <t>02.16.053.00</t>
  </si>
  <si>
    <t>26705</t>
  </si>
  <si>
    <t>OBS,TSTAT,CNT,MECH,DRY,81-200F</t>
  </si>
  <si>
    <t>02.16.055.00</t>
  </si>
  <si>
    <t>26705C</t>
  </si>
  <si>
    <t>T-STAT CONT MECH DRY 285F</t>
  </si>
  <si>
    <t>02.16.060B.00</t>
  </si>
  <si>
    <t>26705b</t>
  </si>
  <si>
    <t>OBS TSTAT CONT MCH DRY 285F MX</t>
  </si>
  <si>
    <t>02.16.071.00</t>
  </si>
  <si>
    <t>26706</t>
  </si>
  <si>
    <t>T-STAT LIMIT MECH BULB 220F</t>
  </si>
  <si>
    <t>02.16.074.00</t>
  </si>
  <si>
    <t>26707</t>
  </si>
  <si>
    <t>02.16.106.00</t>
  </si>
  <si>
    <t>26707B</t>
  </si>
  <si>
    <t>T-STAT LIMIT MECH SURF 320 MAN</t>
  </si>
  <si>
    <t>02.16.116.00</t>
  </si>
  <si>
    <t>26707c</t>
  </si>
  <si>
    <t>02.16.120.00</t>
  </si>
  <si>
    <t>26708</t>
  </si>
  <si>
    <t>T-STAT LIMIT MECHSURF 105F N/O</t>
  </si>
  <si>
    <t>02.16.121.00</t>
  </si>
  <si>
    <t>26710</t>
  </si>
  <si>
    <t>T-STAT LIMIT MECH SURF 204 MAN</t>
  </si>
  <si>
    <t>02.16.122.00</t>
  </si>
  <si>
    <t>26714</t>
  </si>
  <si>
    <t>T-STAT LIMIT SURF 75C(167F)</t>
  </si>
  <si>
    <t>02.16.123.00</t>
  </si>
  <si>
    <t>26715</t>
  </si>
  <si>
    <t>T-STAT MECH SURF 75-300F</t>
  </si>
  <si>
    <t>02.16.131.00</t>
  </si>
  <si>
    <t>26716</t>
  </si>
  <si>
    <t>T-STAT CAPILARY,48",608F</t>
  </si>
  <si>
    <t>02.16.131.01</t>
  </si>
  <si>
    <t>26717</t>
  </si>
  <si>
    <t>T-STAT CAPILARY,96",608F</t>
  </si>
  <si>
    <t>02.16.132.00</t>
  </si>
  <si>
    <t>26718</t>
  </si>
  <si>
    <t>T-STAT HIGH LIMIT 240C</t>
  </si>
  <si>
    <t>02.16.139.00</t>
  </si>
  <si>
    <t>26719</t>
  </si>
  <si>
    <t>T-STAT BI-METAL,CERAMIC,400F</t>
  </si>
  <si>
    <t>02.16.140.00</t>
  </si>
  <si>
    <t>26722</t>
  </si>
  <si>
    <t>T-STAT BI-METAL,CERAMIC,265F</t>
  </si>
  <si>
    <t>02.16.143.00</t>
  </si>
  <si>
    <t>26725</t>
  </si>
  <si>
    <t>THERMOMETER,100-200F, 40-90C</t>
  </si>
  <si>
    <t>02.16.146.00</t>
  </si>
  <si>
    <t>26726</t>
  </si>
  <si>
    <t>T-STAT LIMIT MECH AIR 200F MAN</t>
  </si>
  <si>
    <t>02.16.152.00</t>
  </si>
  <si>
    <t>26728</t>
  </si>
  <si>
    <t>T-STAT LIMIT MECHSURF 175F N/O</t>
  </si>
  <si>
    <t>02.16.154.00</t>
  </si>
  <si>
    <t>26730B</t>
  </si>
  <si>
    <t>THERMAL DISC,KSD-166</t>
  </si>
  <si>
    <t>02.16.158.00</t>
  </si>
  <si>
    <t>26737</t>
  </si>
  <si>
    <t>T-STAT LIMIT MECH SURF 250 MAN</t>
  </si>
  <si>
    <t>02.16.160.00</t>
  </si>
  <si>
    <t>26742B</t>
  </si>
  <si>
    <t>T-STAT HIGH LIMIT,200C,RCTHW</t>
  </si>
  <si>
    <t>02.16.161.00</t>
  </si>
  <si>
    <t>26745</t>
  </si>
  <si>
    <t>T-STAT LIMIT MECH SURF 400F</t>
  </si>
  <si>
    <t>02.16.162.00</t>
  </si>
  <si>
    <t>26746</t>
  </si>
  <si>
    <t>T-STAT,PROBE,100K,NTC,3/8 NPT</t>
  </si>
  <si>
    <t>02.16.165.00</t>
  </si>
  <si>
    <t>26771</t>
  </si>
  <si>
    <t>T-STAT LIMIT MECHSURF 150F MAN</t>
  </si>
  <si>
    <t>02.16.169.00</t>
  </si>
  <si>
    <t>26772</t>
  </si>
  <si>
    <t>T-STAT,CAPILARY,2080 mm, 150C</t>
  </si>
  <si>
    <t>02.16.174.00</t>
  </si>
  <si>
    <t>26774</t>
  </si>
  <si>
    <t>TSTAT,LIMIT,93C,MAN RESET,2P</t>
  </si>
  <si>
    <t>02.16.177.00</t>
  </si>
  <si>
    <t>26775</t>
  </si>
  <si>
    <t>T-STAT LIMIT MECHSURF,120F N/O</t>
  </si>
  <si>
    <t>02.16.178.00</t>
  </si>
  <si>
    <t>26776</t>
  </si>
  <si>
    <t>T-STAT LIMIT MECHSURF 130F N/O</t>
  </si>
  <si>
    <t>02.16.181.00</t>
  </si>
  <si>
    <t>26777B</t>
  </si>
  <si>
    <t>T-STAT CONT MECH DRY 81-220F</t>
  </si>
  <si>
    <t>02.16.182.00</t>
  </si>
  <si>
    <t>26778</t>
  </si>
  <si>
    <t>THERMAL DISC,KSE-168</t>
  </si>
  <si>
    <t>02.16.183.00</t>
  </si>
  <si>
    <t>26779</t>
  </si>
  <si>
    <t>THERMOMETER,DIGITAL,24VAC</t>
  </si>
  <si>
    <t>02.16.184.00</t>
  </si>
  <si>
    <t>26780</t>
  </si>
  <si>
    <t>TEMPERATURE PROBE,50K,NTC</t>
  </si>
  <si>
    <t>02.16.185.00</t>
  </si>
  <si>
    <t>26781</t>
  </si>
  <si>
    <t>T-STAT 300F AUTORESET CER DISC</t>
  </si>
  <si>
    <t>02.16.186.00</t>
  </si>
  <si>
    <t>26782</t>
  </si>
  <si>
    <t>T-STAT LIMIT MECH AIR 200F AUT</t>
  </si>
  <si>
    <t>02.16.187.00</t>
  </si>
  <si>
    <t>26783</t>
  </si>
  <si>
    <t>TID S.S. LED FAH,NO PROBE</t>
  </si>
  <si>
    <t>02.16.188.00</t>
  </si>
  <si>
    <t>26784</t>
  </si>
  <si>
    <t>THERMAL DISC,115C,NO</t>
  </si>
  <si>
    <t>02.16.189.00</t>
  </si>
  <si>
    <t>26787</t>
  </si>
  <si>
    <t>THERMAL DISC,230C,NC,MAN RESET</t>
  </si>
  <si>
    <t>02.16.190.00</t>
  </si>
  <si>
    <t>26788</t>
  </si>
  <si>
    <t>CONTROLLER,ELEC,TSTAT,HWBI DRY</t>
  </si>
  <si>
    <t>02.16.192.00</t>
  </si>
  <si>
    <t>26791</t>
  </si>
  <si>
    <t>TSTAT,LIMIT,MECH,SURF,NC,275F</t>
  </si>
  <si>
    <t>02.16.193.00</t>
  </si>
  <si>
    <t>26800</t>
  </si>
  <si>
    <t>THERMAL DISC,200C,NC</t>
  </si>
  <si>
    <t>02.16.195.00</t>
  </si>
  <si>
    <t>26810</t>
  </si>
  <si>
    <t>02.16.196.00</t>
  </si>
  <si>
    <t>27100</t>
  </si>
  <si>
    <t>T-STAT LIMIT SURF 195F MAN RES</t>
  </si>
  <si>
    <t>02.16.200.00</t>
  </si>
  <si>
    <t>27101</t>
  </si>
  <si>
    <t>T-STAT 150C ASSEMBLY W/ WIRES</t>
  </si>
  <si>
    <t>02.16.201.00</t>
  </si>
  <si>
    <t>27102</t>
  </si>
  <si>
    <t>TSTAT,LIMIT,MECH,SURF,240F</t>
  </si>
  <si>
    <t>02.16.206.00</t>
  </si>
  <si>
    <t>27105</t>
  </si>
  <si>
    <t>02.16.209.00</t>
  </si>
  <si>
    <t>27200</t>
  </si>
  <si>
    <t>THERMAL DISC,140C NC</t>
  </si>
  <si>
    <t>02.16.211.00</t>
  </si>
  <si>
    <t>27201</t>
  </si>
  <si>
    <t>THERMAL DISC,160C NC</t>
  </si>
  <si>
    <t>02.16.213.00</t>
  </si>
  <si>
    <t>27202</t>
  </si>
  <si>
    <t>T-STAT LMIT MECH SURF 340F</t>
  </si>
  <si>
    <t>02.16.216.00</t>
  </si>
  <si>
    <t>27203</t>
  </si>
  <si>
    <t>TSTAT,LIMIT,MECH,NC,SURF,200C</t>
  </si>
  <si>
    <t>02.16.217.00</t>
  </si>
  <si>
    <t>27204</t>
  </si>
  <si>
    <t>THERMAL DISC,140C NO</t>
  </si>
  <si>
    <t>02.16.219.00</t>
  </si>
  <si>
    <t>27205</t>
  </si>
  <si>
    <t>THERMOSTAT,HIGH LIMIT,240C</t>
  </si>
  <si>
    <t>02.16.231.00</t>
  </si>
  <si>
    <t>27206</t>
  </si>
  <si>
    <t>T-STAT CONT MECH DRY 82-200F</t>
  </si>
  <si>
    <t>02.16.235.00</t>
  </si>
  <si>
    <t>27207</t>
  </si>
  <si>
    <t>THERMAL DISC,NC,160C,FLAT</t>
  </si>
  <si>
    <t>02.17.004.00</t>
  </si>
  <si>
    <t>27211</t>
  </si>
  <si>
    <t>TRANS 120VSEC:208/240PRI 80VA</t>
  </si>
  <si>
    <t>02.17.005.00</t>
  </si>
  <si>
    <t>27302</t>
  </si>
  <si>
    <t>TRANS 120VSEC:480PRI 80VA</t>
  </si>
  <si>
    <t>02.17.022.00</t>
  </si>
  <si>
    <t>27303</t>
  </si>
  <si>
    <t>TRANS 24VSEC:120PRI 5VA</t>
  </si>
  <si>
    <t>02.17.023.00</t>
  </si>
  <si>
    <t>27304</t>
  </si>
  <si>
    <t>TRANS 24VSEC:230PRI 10VA</t>
  </si>
  <si>
    <t>02.17.034.00</t>
  </si>
  <si>
    <t>27305</t>
  </si>
  <si>
    <t>TRANS 24VSEC:120PRI 40VA</t>
  </si>
  <si>
    <t>02.17.039.00</t>
  </si>
  <si>
    <t>27306</t>
  </si>
  <si>
    <t>TRANS 120VSEC:400PRI 80VA UR</t>
  </si>
  <si>
    <t>02.17.046.00</t>
  </si>
  <si>
    <t>27307</t>
  </si>
  <si>
    <t>TRANS 24VSEC:208/240PRI 50VA</t>
  </si>
  <si>
    <t>02.17.047.00</t>
  </si>
  <si>
    <t>27308</t>
  </si>
  <si>
    <t>FUSE CLIP,50VA TRANS</t>
  </si>
  <si>
    <t>02.17.048.00</t>
  </si>
  <si>
    <t>27309</t>
  </si>
  <si>
    <t>TRANS 230VSEC:380PRI 50VA CE</t>
  </si>
  <si>
    <t>02.17.049.00</t>
  </si>
  <si>
    <t>27314</t>
  </si>
  <si>
    <t>TRANS 120VSEC:208/240PRI 25VA</t>
  </si>
  <si>
    <t>02.17.050.00</t>
  </si>
  <si>
    <t>27317T</t>
  </si>
  <si>
    <t>TRANS 120VSEC:208/240PRI 50VA</t>
  </si>
  <si>
    <t>02.17.052.00</t>
  </si>
  <si>
    <t>27319</t>
  </si>
  <si>
    <t>TRANS 120VSEC:480PRI 25VA</t>
  </si>
  <si>
    <t>02.17.053.00</t>
  </si>
  <si>
    <t>27320</t>
  </si>
  <si>
    <t>TRANS 120VSEC:480PRI 50VA</t>
  </si>
  <si>
    <t>02.17.060.00</t>
  </si>
  <si>
    <t>27325B</t>
  </si>
  <si>
    <t>TRANS 24VSEC:115-230PRI 20VA</t>
  </si>
  <si>
    <t>02.17.061.00</t>
  </si>
  <si>
    <t>27326</t>
  </si>
  <si>
    <t>TRANS 230VSEC:415PRI 50VA CE</t>
  </si>
  <si>
    <t>02.17.064.00</t>
  </si>
  <si>
    <t>27327R</t>
  </si>
  <si>
    <t>SW PWR SUP,100-240VAC,12V,2.1A</t>
  </si>
  <si>
    <t>02.17.067.00</t>
  </si>
  <si>
    <t>27328</t>
  </si>
  <si>
    <t>SWITCHING POWER SUP,12VDC,15W</t>
  </si>
  <si>
    <t>02.17.069.00</t>
  </si>
  <si>
    <t>27329</t>
  </si>
  <si>
    <t>TRANS 120VSEC:230PRI 130VA</t>
  </si>
  <si>
    <t>02.17.074.00</t>
  </si>
  <si>
    <t>27331</t>
  </si>
  <si>
    <t>LED DRIVER,DC12 15W</t>
  </si>
  <si>
    <t>02.17.075.00</t>
  </si>
  <si>
    <t>27332</t>
  </si>
  <si>
    <t>TRANS 24VSEC:230PRI 20VA CE</t>
  </si>
  <si>
    <t>02.17.079.00</t>
  </si>
  <si>
    <t>27343G</t>
  </si>
  <si>
    <t>LED DRIVER,DC12 35W</t>
  </si>
  <si>
    <t>02.18.001.00</t>
  </si>
  <si>
    <t>27351</t>
  </si>
  <si>
    <t>WIRE 16GA YELLOW 200C</t>
  </si>
  <si>
    <t>02.18.002.00</t>
  </si>
  <si>
    <t>27352</t>
  </si>
  <si>
    <t>WIRE 14GA BLACK 200C</t>
  </si>
  <si>
    <t>02.18.003.00</t>
  </si>
  <si>
    <t>27353</t>
  </si>
  <si>
    <t>WIRE 14GA BLUE 200C</t>
  </si>
  <si>
    <t>02.18.004.00</t>
  </si>
  <si>
    <t>27359</t>
  </si>
  <si>
    <t>WIRE 14GA RED 200C</t>
  </si>
  <si>
    <t>02.18.005.00</t>
  </si>
  <si>
    <t>27362</t>
  </si>
  <si>
    <t>WIRE 12GA BLACK 200C</t>
  </si>
  <si>
    <t>02.18.006.00</t>
  </si>
  <si>
    <t>27364</t>
  </si>
  <si>
    <t>WIRE 12GA BLUE 200C</t>
  </si>
  <si>
    <t>02.18.007.00</t>
  </si>
  <si>
    <t>27365</t>
  </si>
  <si>
    <t>WIRE 12GA RED 200C</t>
  </si>
  <si>
    <t>02.18.008.00</t>
  </si>
  <si>
    <t>27368</t>
  </si>
  <si>
    <t>WIRE 10GA BLACK 200C</t>
  </si>
  <si>
    <t>02.18.009.00</t>
  </si>
  <si>
    <t>27370</t>
  </si>
  <si>
    <t>WIRE 10GA BLUE 200C</t>
  </si>
  <si>
    <t>02.18.010.00</t>
  </si>
  <si>
    <t>27371</t>
  </si>
  <si>
    <t>WIRE 10GA RED 200C</t>
  </si>
  <si>
    <t>02.18.012.00</t>
  </si>
  <si>
    <t>27372</t>
  </si>
  <si>
    <t>WIRE 12GA WHITE 200C</t>
  </si>
  <si>
    <t>02.18.013.00</t>
  </si>
  <si>
    <t>27373</t>
  </si>
  <si>
    <t>WIRE 12GA LT BROWN TGGT 250C</t>
  </si>
  <si>
    <t>02.18.016.00</t>
  </si>
  <si>
    <t>27374</t>
  </si>
  <si>
    <t>CORD 6-20/RT 20A 90C 48"</t>
  </si>
  <si>
    <t>02.18.017.00</t>
  </si>
  <si>
    <t>27375</t>
  </si>
  <si>
    <t>CORD 6-30/RT 25A 90C 52"</t>
  </si>
  <si>
    <t>02.18.025.00</t>
  </si>
  <si>
    <t>27376</t>
  </si>
  <si>
    <t>WIRE 18GA BLACK 200C</t>
  </si>
  <si>
    <t>02.18.026.00</t>
  </si>
  <si>
    <t>27377</t>
  </si>
  <si>
    <t>WIRE 18GA RED 200C</t>
  </si>
  <si>
    <t>02.18.027.00</t>
  </si>
  <si>
    <t>27378</t>
  </si>
  <si>
    <t>WIRE 18GA WHITE 200C</t>
  </si>
  <si>
    <t>02.18.028.00</t>
  </si>
  <si>
    <t>27379</t>
  </si>
  <si>
    <t>WIRE 18GA BLUE 200C</t>
  </si>
  <si>
    <t>02.18.031.00</t>
  </si>
  <si>
    <t>27400</t>
  </si>
  <si>
    <t>WIRE 14GA WHITE 200C</t>
  </si>
  <si>
    <t>02.18.035.00</t>
  </si>
  <si>
    <t>27401</t>
  </si>
  <si>
    <t>CORD 5-15/ST 15A 90C 132"</t>
  </si>
  <si>
    <t>02.18.036.00</t>
  </si>
  <si>
    <t>27402</t>
  </si>
  <si>
    <t>CORD 6-15/ST 15A 105C 75"</t>
  </si>
  <si>
    <t>02.18.038.00</t>
  </si>
  <si>
    <t>27403</t>
  </si>
  <si>
    <t>CORD CEE7/7/ST 16A 70C 78"</t>
  </si>
  <si>
    <t>02.18.039.00</t>
  </si>
  <si>
    <t>27404</t>
  </si>
  <si>
    <t>CORD 5-30/RT 25A 90C 82"</t>
  </si>
  <si>
    <t>02.18.040.00</t>
  </si>
  <si>
    <t>27405</t>
  </si>
  <si>
    <t>WIRE 16GA BLACK 200C</t>
  </si>
  <si>
    <t>02.18.041.00</t>
  </si>
  <si>
    <t>27406</t>
  </si>
  <si>
    <t>WIRE 16GA RED 200C</t>
  </si>
  <si>
    <t>02.18.042.00</t>
  </si>
  <si>
    <t>27406G</t>
  </si>
  <si>
    <t>WIRE 16GA WHITE 200C</t>
  </si>
  <si>
    <t>02.18.043.00</t>
  </si>
  <si>
    <t>27407</t>
  </si>
  <si>
    <t>WIRE 16GA BLUE 200C</t>
  </si>
  <si>
    <t>02.18.044.00</t>
  </si>
  <si>
    <t>27408</t>
  </si>
  <si>
    <t>WIRE 14GA GREEN TGGT 250C</t>
  </si>
  <si>
    <t>02.18.045.00</t>
  </si>
  <si>
    <t>27409</t>
  </si>
  <si>
    <t>WIRE 14GA WHITE MGT450C</t>
  </si>
  <si>
    <t>02.18.060.00</t>
  </si>
  <si>
    <t>27410</t>
  </si>
  <si>
    <t>WIRE 14GA GREEN 125C</t>
  </si>
  <si>
    <t>02.18.066.00</t>
  </si>
  <si>
    <t>27411</t>
  </si>
  <si>
    <t>CORD BS1363/RT 6A 60C 78"</t>
  </si>
  <si>
    <t>02.18.068.00</t>
  </si>
  <si>
    <t>27412</t>
  </si>
  <si>
    <t>CORD BS1363/RT 13A 70C 97"</t>
  </si>
  <si>
    <t>02.18.069.00</t>
  </si>
  <si>
    <t>27413</t>
  </si>
  <si>
    <t>WIRE 4GA BLACK SF2</t>
  </si>
  <si>
    <t>02.18.075.00</t>
  </si>
  <si>
    <t>27415</t>
  </si>
  <si>
    <t>CORD 3G-1.5MM 16A 250V 60C 82"</t>
  </si>
  <si>
    <t>02.18.077.00</t>
  </si>
  <si>
    <t>27416</t>
  </si>
  <si>
    <t>CORD CEE7/7/ST 10A 60C 78"</t>
  </si>
  <si>
    <t>02.18.082.00</t>
  </si>
  <si>
    <t>27417</t>
  </si>
  <si>
    <t>CORD 5-20/ST 18A 105C 135"</t>
  </si>
  <si>
    <t>02.18.084.00</t>
  </si>
  <si>
    <t>27418</t>
  </si>
  <si>
    <t>CORD 5-15/ST 13A 105C 138"</t>
  </si>
  <si>
    <t>02.18.085.00</t>
  </si>
  <si>
    <t>27419</t>
  </si>
  <si>
    <t>CORD 14-20/RT 20A 105C 78"</t>
  </si>
  <si>
    <t>02.18.089.00</t>
  </si>
  <si>
    <t>27420</t>
  </si>
  <si>
    <t>CORD 5-20/ST 18A 105C 78"</t>
  </si>
  <si>
    <t>02.18.090.00</t>
  </si>
  <si>
    <t>27421</t>
  </si>
  <si>
    <t>WIRE 18GA NPC W/RED TGS 250C</t>
  </si>
  <si>
    <t>02.18.091.00</t>
  </si>
  <si>
    <t>27422</t>
  </si>
  <si>
    <t>WIRE 18GA NATURAL TGS 250C</t>
  </si>
  <si>
    <t>02.18.092.00</t>
  </si>
  <si>
    <t>27423</t>
  </si>
  <si>
    <t>WIRE HIGH TEMP WITH RED TRACER</t>
  </si>
  <si>
    <t>02.18.093.00</t>
  </si>
  <si>
    <t>27424</t>
  </si>
  <si>
    <t>WIRE 14GA TAN W/BLK MGT 450C</t>
  </si>
  <si>
    <t>02.18.094.00</t>
  </si>
  <si>
    <t>27425</t>
  </si>
  <si>
    <t>WIRE 18GA VIOLET 200C</t>
  </si>
  <si>
    <t>02.18.095.00</t>
  </si>
  <si>
    <t>27426</t>
  </si>
  <si>
    <t>WIRE 18GA BROWN 200C</t>
  </si>
  <si>
    <t>02.18.097.00</t>
  </si>
  <si>
    <t>27427</t>
  </si>
  <si>
    <t>WIRE 14GA TAN W/BLK TGGT 250C</t>
  </si>
  <si>
    <t>02.18.1004.00</t>
  </si>
  <si>
    <t>27428</t>
  </si>
  <si>
    <t>CORD AS3112/ST 10A 75C 1.8 M</t>
  </si>
  <si>
    <t>02.18.103.00</t>
  </si>
  <si>
    <t>27429</t>
  </si>
  <si>
    <t>CORD 3G-2.5MM 25A 250V 60C 75"</t>
  </si>
  <si>
    <t>02.18.1030.00</t>
  </si>
  <si>
    <t>27430</t>
  </si>
  <si>
    <t>POTENTIOMETER HARN,TC3-XXXXXX</t>
  </si>
  <si>
    <t>02.18.1035J.00</t>
  </si>
  <si>
    <t>27431</t>
  </si>
  <si>
    <t>HARN,ADM,GM5AL-72</t>
  </si>
  <si>
    <t>02.18.1045.00</t>
  </si>
  <si>
    <t>27432</t>
  </si>
  <si>
    <t>HARN,PWR OUT FOR 02.01.467.00</t>
  </si>
  <si>
    <t>02.18.105.00</t>
  </si>
  <si>
    <t>27435</t>
  </si>
  <si>
    <t>CORD AS3112/ST 15A 75C 78"</t>
  </si>
  <si>
    <t>02.18.1053.00</t>
  </si>
  <si>
    <t>27438</t>
  </si>
  <si>
    <t>CORD CCC/RT 10A 70C 1.8M 3x1.5</t>
  </si>
  <si>
    <t>02.18.1054.00</t>
  </si>
  <si>
    <t>27439</t>
  </si>
  <si>
    <t>COMM HARNESS,175mm,RJ45</t>
  </si>
  <si>
    <t>02.18.1055.00</t>
  </si>
  <si>
    <t>27441</t>
  </si>
  <si>
    <t>HARN,UART COMM447/448,40" 105C</t>
  </si>
  <si>
    <t>02.18.106.00</t>
  </si>
  <si>
    <t>27442</t>
  </si>
  <si>
    <t>WIRE 14GA TAN W/RED TGGT 250C</t>
  </si>
  <si>
    <t>02.18.1061.00</t>
  </si>
  <si>
    <t>27443</t>
  </si>
  <si>
    <t>CORD,C13-BS,10A,3G/1.0,1.8M</t>
  </si>
  <si>
    <t>02.18.1064.00</t>
  </si>
  <si>
    <t>27450</t>
  </si>
  <si>
    <t>RJ45 SHIELDED CABLE.2000mm</t>
  </si>
  <si>
    <t>02.18.1079.00</t>
  </si>
  <si>
    <t>27451</t>
  </si>
  <si>
    <t>HARN,GMHDH CORD,SCHUKO</t>
  </si>
  <si>
    <t>02.18.1080.00</t>
  </si>
  <si>
    <t>27452</t>
  </si>
  <si>
    <t>50 PIN EXT CABLE &amp; 50 PIN CONN</t>
  </si>
  <si>
    <t>02.18.109.00</t>
  </si>
  <si>
    <t>27453</t>
  </si>
  <si>
    <t>CORD CEE7/7/ST 10A 60C 132"</t>
  </si>
  <si>
    <t>02.18.110.00</t>
  </si>
  <si>
    <t>27456</t>
  </si>
  <si>
    <t>CORD 16/3 13A 125V 105C 35"</t>
  </si>
  <si>
    <t>02.18.111.00</t>
  </si>
  <si>
    <t>27457</t>
  </si>
  <si>
    <t>CORD 6-20/ST 20A 105C 82"</t>
  </si>
  <si>
    <t>02.18.1115.00</t>
  </si>
  <si>
    <t>27458</t>
  </si>
  <si>
    <t>CORD BS1363/RT 13A COILED</t>
  </si>
  <si>
    <t>02.18.1125.00</t>
  </si>
  <si>
    <t>27459</t>
  </si>
  <si>
    <t>WIRE CABLE,INDUCTION,800MM</t>
  </si>
  <si>
    <t>02.18.1126.00</t>
  </si>
  <si>
    <t>27460</t>
  </si>
  <si>
    <t>CABLE,USB TYP A-JST XH-5,450MM</t>
  </si>
  <si>
    <t>02.18.1132.00</t>
  </si>
  <si>
    <t>27461</t>
  </si>
  <si>
    <t>CORD IEC309,30A,1PH,70C,2M</t>
  </si>
  <si>
    <t>02.18.1133.00</t>
  </si>
  <si>
    <t>27462</t>
  </si>
  <si>
    <t>CORD 5-15/VCTF 15A 105C 2M</t>
  </si>
  <si>
    <t>02.18.1160.00</t>
  </si>
  <si>
    <t>27463</t>
  </si>
  <si>
    <t>WIRE,BODY SIDE,HBGBHC-XX14</t>
  </si>
  <si>
    <t>02.18.119.00</t>
  </si>
  <si>
    <t>27464</t>
  </si>
  <si>
    <t>WIRE 14GA GREEN W/YELLOW 200C</t>
  </si>
  <si>
    <t>02.18.1193.00</t>
  </si>
  <si>
    <t>27465</t>
  </si>
  <si>
    <t>CORD,BS1363/RT 13A 60C,1.8M</t>
  </si>
  <si>
    <t>02.18.1217.00</t>
  </si>
  <si>
    <t>27470</t>
  </si>
  <si>
    <t>HARN,OPERATOR DISPLAY,F2G</t>
  </si>
  <si>
    <t>02.18.1218.00</t>
  </si>
  <si>
    <t>27476</t>
  </si>
  <si>
    <t>HARN,PASS THRU CUST DSPLY,F2G</t>
  </si>
  <si>
    <t>02.18.122.00</t>
  </si>
  <si>
    <t>27477</t>
  </si>
  <si>
    <t>CORD 6-30/RT 25A 90C 84"</t>
  </si>
  <si>
    <t>02.18.1277.00</t>
  </si>
  <si>
    <t>27478</t>
  </si>
  <si>
    <t>HARN,ACTUATOR,F2GP,W/PTC</t>
  </si>
  <si>
    <t>02.18.1278.00</t>
  </si>
  <si>
    <t>27479</t>
  </si>
  <si>
    <t>HARN,F2GP LATCH,JST-XHP-2</t>
  </si>
  <si>
    <t>02.18.1279.00</t>
  </si>
  <si>
    <t>27481</t>
  </si>
  <si>
    <t>HARN,F2GP RELAY,JST-XHP-3</t>
  </si>
  <si>
    <t>02.18.128.00</t>
  </si>
  <si>
    <t>27483</t>
  </si>
  <si>
    <t>CORD L14-20/ST 20A 105C 78"</t>
  </si>
  <si>
    <t>02.18.1280.00</t>
  </si>
  <si>
    <t>27484</t>
  </si>
  <si>
    <t>HARN,F2GP,18GA,JST-XHP-2</t>
  </si>
  <si>
    <t>02.18.1281.00</t>
  </si>
  <si>
    <t>27501</t>
  </si>
  <si>
    <t>HARN,F2GP,18GA,JST JUMPER</t>
  </si>
  <si>
    <t>02.18.1283.00</t>
  </si>
  <si>
    <t>27502</t>
  </si>
  <si>
    <t>CORD AS3112 10A COILED</t>
  </si>
  <si>
    <t>02.18.1288.00</t>
  </si>
  <si>
    <t>27503</t>
  </si>
  <si>
    <t>HARN,AUTO-THERMAL DISK ASSY,RCTHW2</t>
  </si>
  <si>
    <t>02.18.129.00</t>
  </si>
  <si>
    <t>27504</t>
  </si>
  <si>
    <t>CORD 5-15/RT 6A 105C 111" W/SW</t>
  </si>
  <si>
    <t>02.18.130.00</t>
  </si>
  <si>
    <t>27505</t>
  </si>
  <si>
    <t>CORD 5-15/RT 15A 90C 78"</t>
  </si>
  <si>
    <t>02.18.1315.00</t>
  </si>
  <si>
    <t>27505B</t>
  </si>
  <si>
    <t>HARN,SOCKET,C14,UL,IN,10A,90MM</t>
  </si>
  <si>
    <t>02.18.1319.00</t>
  </si>
  <si>
    <t>27507</t>
  </si>
  <si>
    <t>MP,RS-485 HARNESS</t>
  </si>
  <si>
    <t>02.18.132.00</t>
  </si>
  <si>
    <t>27508</t>
  </si>
  <si>
    <t>CORD L14-20/ST 20A 105C 132"</t>
  </si>
  <si>
    <t>02.18.134.00</t>
  </si>
  <si>
    <t>27509</t>
  </si>
  <si>
    <t>CORD CEE7/7/ST 6A 60C 74" W/SW</t>
  </si>
  <si>
    <t>02.18.141.00</t>
  </si>
  <si>
    <t>27510</t>
  </si>
  <si>
    <t>CORD L15-30/ST 25A 90C 78"</t>
  </si>
  <si>
    <t>02.18.1468.00</t>
  </si>
  <si>
    <t>27513</t>
  </si>
  <si>
    <t>COMMUNICATION HARNESS,RJ45,175MM,XAP-7</t>
  </si>
  <si>
    <t>02.18.1481.01</t>
  </si>
  <si>
    <t>27514</t>
  </si>
  <si>
    <t>CORD 18/3 10A 300V FLEX BLACK</t>
  </si>
  <si>
    <t>02.18.1519.00</t>
  </si>
  <si>
    <t>27515</t>
  </si>
  <si>
    <t>HARNESS, RELAY FOR 02.01.417.00</t>
  </si>
  <si>
    <t>02.18.1563.00</t>
  </si>
  <si>
    <t>27516</t>
  </si>
  <si>
    <t>CABLE ASSY,ENCODER,IRNG-PHC6</t>
  </si>
  <si>
    <t>02.18.157.00</t>
  </si>
  <si>
    <t>27517</t>
  </si>
  <si>
    <t>WIRE 16GA TAN MGT450C</t>
  </si>
  <si>
    <t>02.18.158.00</t>
  </si>
  <si>
    <t>27518</t>
  </si>
  <si>
    <t>WIRE 16GA TAN W/BLK MGT 450C</t>
  </si>
  <si>
    <t>02.18.160.01</t>
  </si>
  <si>
    <t>27519</t>
  </si>
  <si>
    <t>CORD 18/3 10A 300V 105C BLACK</t>
  </si>
  <si>
    <t>02.18.160.02</t>
  </si>
  <si>
    <t>27520</t>
  </si>
  <si>
    <t>CORD 18/3 10A 300V 105C WHITE</t>
  </si>
  <si>
    <t>02.18.160.03</t>
  </si>
  <si>
    <t>27522</t>
  </si>
  <si>
    <t>CORD 1mm2,3 COND 10A 300V 60C BLACK CE</t>
  </si>
  <si>
    <t>02.18.160.04</t>
  </si>
  <si>
    <t>27525</t>
  </si>
  <si>
    <t>CORD 1mm2,3 COND 10A 300V 60C WHITE CE</t>
  </si>
  <si>
    <t>02.18.161.01</t>
  </si>
  <si>
    <t>27527</t>
  </si>
  <si>
    <t>CORD 18/3 10A 125V 105C BLK CL</t>
  </si>
  <si>
    <t>02.18.161.02</t>
  </si>
  <si>
    <t>27529</t>
  </si>
  <si>
    <t>CORD 18/3 10A 125V 105C WHT CL</t>
  </si>
  <si>
    <t>02.18.161.03</t>
  </si>
  <si>
    <t>27550</t>
  </si>
  <si>
    <t>CRD 15MM 3 10A 300V 60C BLK CL</t>
  </si>
  <si>
    <t>02.18.161.04</t>
  </si>
  <si>
    <t>27550B</t>
  </si>
  <si>
    <t>CRD 15MM 3 10A 300V 60C WHT CL</t>
  </si>
  <si>
    <t>02.18.162.00</t>
  </si>
  <si>
    <t>27600</t>
  </si>
  <si>
    <t>CORD 6-50/RT 40A 75C 78"</t>
  </si>
  <si>
    <t>02.18.163.00</t>
  </si>
  <si>
    <t>27600B</t>
  </si>
  <si>
    <t>WIRE 18GA GREEN/YELLOW 200C</t>
  </si>
  <si>
    <t>02.18.172.00</t>
  </si>
  <si>
    <t>27601</t>
  </si>
  <si>
    <t>HARN,WIRING,COMPACT BOOSTER</t>
  </si>
  <si>
    <t>02.18.175A.00</t>
  </si>
  <si>
    <t>27602</t>
  </si>
  <si>
    <t>HARN,SINGLE HDW W/T-STAT,120V</t>
  </si>
  <si>
    <t>02.18.182.00</t>
  </si>
  <si>
    <t>27603</t>
  </si>
  <si>
    <t>HARN,WIR,FR 3-9 WO/LWCO WO/TRA</t>
  </si>
  <si>
    <t>02.18.185.00</t>
  </si>
  <si>
    <t>27604</t>
  </si>
  <si>
    <t>CORD 5-20/ST 20A 105C 78"</t>
  </si>
  <si>
    <t>02.18.186.00</t>
  </si>
  <si>
    <t>27609</t>
  </si>
  <si>
    <t>CORD L6-20/ST 20A 75C 78"</t>
  </si>
  <si>
    <t>02.18.206.00</t>
  </si>
  <si>
    <t>27610</t>
  </si>
  <si>
    <t>WIRE 16GA ORANGE 200C</t>
  </si>
  <si>
    <t>02.18.207.00</t>
  </si>
  <si>
    <t>27611</t>
  </si>
  <si>
    <t>CORD AS3112/ST 10A 75C 78"</t>
  </si>
  <si>
    <t>02.18.212.00</t>
  </si>
  <si>
    <t>27612</t>
  </si>
  <si>
    <t>WIRE 8GA GREEN/YELLOW 200C</t>
  </si>
  <si>
    <t>02.18.213.00</t>
  </si>
  <si>
    <t>27613</t>
  </si>
  <si>
    <t>WIRE 8GA GRN W/YEL X-LNK 125C</t>
  </si>
  <si>
    <t>02.18.214.00</t>
  </si>
  <si>
    <t>27615C</t>
  </si>
  <si>
    <t>WIRE 12GA GREEN/YELLOW 200C</t>
  </si>
  <si>
    <t>02.18.235.00</t>
  </si>
  <si>
    <t>27617</t>
  </si>
  <si>
    <t>WIRE HARNESS,TM</t>
  </si>
  <si>
    <t>02.18.252.00</t>
  </si>
  <si>
    <t>27618</t>
  </si>
  <si>
    <t>CORD CEE17/ST 16A 250V 60C 74"</t>
  </si>
  <si>
    <t>02.18.253.00</t>
  </si>
  <si>
    <t>27619</t>
  </si>
  <si>
    <t>CORD 18/3 10A 125V 105C 37.5"C</t>
  </si>
  <si>
    <t>02.18.261.00</t>
  </si>
  <si>
    <t>27620</t>
  </si>
  <si>
    <t>CORD 5-15/ST 13A 105C 41"</t>
  </si>
  <si>
    <t>02.18.277.00</t>
  </si>
  <si>
    <t>27623</t>
  </si>
  <si>
    <t>HARN,WIRING TQ-10</t>
  </si>
  <si>
    <t>02.18.278.00</t>
  </si>
  <si>
    <t>27623B</t>
  </si>
  <si>
    <t>CORD L5-20/ST 20A 105C 77"</t>
  </si>
  <si>
    <t>02.18.279.00</t>
  </si>
  <si>
    <t>27623T</t>
  </si>
  <si>
    <t>HARNESS,LIGHTS,FDWD</t>
  </si>
  <si>
    <t>02.18.283.00</t>
  </si>
  <si>
    <t>27624</t>
  </si>
  <si>
    <t>WIRE 8GA RED 150C XLPE</t>
  </si>
  <si>
    <t>02.18.284.00</t>
  </si>
  <si>
    <t>27625</t>
  </si>
  <si>
    <t>CORD 5-15/ST 15A 105C 84"</t>
  </si>
  <si>
    <t>02.18.285.00</t>
  </si>
  <si>
    <t>27626</t>
  </si>
  <si>
    <t>WIRE 10GA WHITE 200C</t>
  </si>
  <si>
    <t>02.18.286.00</t>
  </si>
  <si>
    <t>27627</t>
  </si>
  <si>
    <t>TEMP SENSOR ASSY,NTC,100K OHM</t>
  </si>
  <si>
    <t>02.18.293.00</t>
  </si>
  <si>
    <t>27627B</t>
  </si>
  <si>
    <t>WIRE HARNESS SET1,RHW-1B</t>
  </si>
  <si>
    <t>02.18.301.00</t>
  </si>
  <si>
    <t>27628</t>
  </si>
  <si>
    <t>HARN,WIR,FSD/FDWD,120V</t>
  </si>
  <si>
    <t>02.18.304.00</t>
  </si>
  <si>
    <t>27635</t>
  </si>
  <si>
    <t>HARN,WIR,TQ-20BA</t>
  </si>
  <si>
    <t>02.18.309.00</t>
  </si>
  <si>
    <t>27635T</t>
  </si>
  <si>
    <t>CORD L14-30/ST 25A 90C 78"</t>
  </si>
  <si>
    <t>02.18.320.00</t>
  </si>
  <si>
    <t>27638</t>
  </si>
  <si>
    <t>WIRE,18 GA,BLUE,PFA,250C</t>
  </si>
  <si>
    <t>02.18.321.00</t>
  </si>
  <si>
    <t>27644</t>
  </si>
  <si>
    <t>WIRE,18 GA,BROWN,PFA,250C</t>
  </si>
  <si>
    <t>02.18.324.00</t>
  </si>
  <si>
    <t>27645</t>
  </si>
  <si>
    <t>CORD 6-15/RT 15A 105C 17"</t>
  </si>
  <si>
    <t>02.18.342.00</t>
  </si>
  <si>
    <t>27645B</t>
  </si>
  <si>
    <t>WIRE 8GA BLACK 150C XLPE</t>
  </si>
  <si>
    <t>02.18.343.00</t>
  </si>
  <si>
    <t>27646</t>
  </si>
  <si>
    <t>WIRE 8GA BLUE 150C XLPE</t>
  </si>
  <si>
    <t>02.18.344.00</t>
  </si>
  <si>
    <t>27647</t>
  </si>
  <si>
    <t>WIRE 10GA BLACK 150C XLPE</t>
  </si>
  <si>
    <t>02.18.345.00</t>
  </si>
  <si>
    <t>27648</t>
  </si>
  <si>
    <t>WIRE 10GA BLUE 150C XLPE</t>
  </si>
  <si>
    <t>02.18.346.00</t>
  </si>
  <si>
    <t>27649</t>
  </si>
  <si>
    <t>WIRE 10GA RED 150C XLPE</t>
  </si>
  <si>
    <t>02.18.393.00</t>
  </si>
  <si>
    <t>27650</t>
  </si>
  <si>
    <t>HARN ASSY,RCTHW-1B,SENSOR</t>
  </si>
  <si>
    <t>02.18.410.00</t>
  </si>
  <si>
    <t>27651</t>
  </si>
  <si>
    <t>COMMUNICATION CABLE,HZM,17.5"</t>
  </si>
  <si>
    <t>02.18.428.00</t>
  </si>
  <si>
    <t>27652</t>
  </si>
  <si>
    <t>HARNESS,TMS-1</t>
  </si>
  <si>
    <t>02.18.429.00</t>
  </si>
  <si>
    <t>27653</t>
  </si>
  <si>
    <t>HARNESS,CONRTOL PANEL,TMS-1</t>
  </si>
  <si>
    <t>02.18.437.00</t>
  </si>
  <si>
    <t>27654</t>
  </si>
  <si>
    <t>FLEX CABLE,3X4mm2,HO7RN-F,ROLL</t>
  </si>
  <si>
    <t>02.18.447.00</t>
  </si>
  <si>
    <t>27655</t>
  </si>
  <si>
    <t>CORD 6-15/ST/PSE 12A 75C 60"</t>
  </si>
  <si>
    <t>02.18.452.00</t>
  </si>
  <si>
    <t>27656</t>
  </si>
  <si>
    <t>HARNESS,TPT,MINI SWITCH</t>
  </si>
  <si>
    <t>02.18.478.00</t>
  </si>
  <si>
    <t>27656V1</t>
  </si>
  <si>
    <t>USB CABLE,WATERPROOF BULKHD PL</t>
  </si>
  <si>
    <t>02.18.484.00</t>
  </si>
  <si>
    <t>27657</t>
  </si>
  <si>
    <t>HARNESS,TPT,POTENTIOMETER</t>
  </si>
  <si>
    <t>02.18.488.00</t>
  </si>
  <si>
    <t>27658</t>
  </si>
  <si>
    <t>HARN,INPUT POWER,QTS-1</t>
  </si>
  <si>
    <t>02.18.501.00</t>
  </si>
  <si>
    <t>27659</t>
  </si>
  <si>
    <t>RIBBON CABLE,200C,18",MOL-ITW</t>
  </si>
  <si>
    <t>02.18.507A.00</t>
  </si>
  <si>
    <t>27661</t>
  </si>
  <si>
    <t>CORD 5-15/ST 105C 1.8M</t>
  </si>
  <si>
    <t>02.18.508A.00</t>
  </si>
  <si>
    <t>27662</t>
  </si>
  <si>
    <t>CORD 6-15/ST 105C 1.8M</t>
  </si>
  <si>
    <t>02.18.513.00</t>
  </si>
  <si>
    <t>27665</t>
  </si>
  <si>
    <t>USB WATERPROOF CAP</t>
  </si>
  <si>
    <t>02.18.518.00</t>
  </si>
  <si>
    <t>27665B</t>
  </si>
  <si>
    <t>CORD,60227 IEC 53(RVV) 3X1.5mm</t>
  </si>
  <si>
    <t>02.18.518A.00</t>
  </si>
  <si>
    <t>27670</t>
  </si>
  <si>
    <t>02.18.522.00</t>
  </si>
  <si>
    <t>27673</t>
  </si>
  <si>
    <t>HARN,HWBI,ELEMENT/T-STAT</t>
  </si>
  <si>
    <t>02.18.524.00</t>
  </si>
  <si>
    <t>27675</t>
  </si>
  <si>
    <t>HARN,HWB,3' COND</t>
  </si>
  <si>
    <t>02.18.527.00</t>
  </si>
  <si>
    <t>27675B</t>
  </si>
  <si>
    <t>CORD TPT-230 HARN ASSY SCHUKO</t>
  </si>
  <si>
    <t>02.18.528.00</t>
  </si>
  <si>
    <t>27681</t>
  </si>
  <si>
    <t>CORD TPT-230 HARN ASSY BS1363</t>
  </si>
  <si>
    <t>02.18.533.00</t>
  </si>
  <si>
    <t>27682</t>
  </si>
  <si>
    <t>HARNESS,CORD,TPT-230,CCC</t>
  </si>
  <si>
    <t>02.18.552.00</t>
  </si>
  <si>
    <t>27685</t>
  </si>
  <si>
    <t>FAUCET DATA WIRE,FAUCET SIDE</t>
  </si>
  <si>
    <t>02.18.575.00</t>
  </si>
  <si>
    <t>27686</t>
  </si>
  <si>
    <t>HARN HW-FUL.CORD,5-15P</t>
  </si>
  <si>
    <t>02.18.584.00</t>
  </si>
  <si>
    <t>27700</t>
  </si>
  <si>
    <t>HARN,INPUT POWER,SAL-1 W/PTC</t>
  </si>
  <si>
    <t>02.18.585.00</t>
  </si>
  <si>
    <t>27701</t>
  </si>
  <si>
    <t>HARN CHW.CORD,5-15P</t>
  </si>
  <si>
    <t>02.18.586.00</t>
  </si>
  <si>
    <t>27702</t>
  </si>
  <si>
    <t>HARN HW.CORD,SCHUKO</t>
  </si>
  <si>
    <t>02.18.598.00</t>
  </si>
  <si>
    <t>27703</t>
  </si>
  <si>
    <t>CORD,3X1MM 2,CCC,10A,70C</t>
  </si>
  <si>
    <t>02.18.601.00</t>
  </si>
  <si>
    <t>27704</t>
  </si>
  <si>
    <t>CORD 6-30/RT 30A 90C 83"</t>
  </si>
  <si>
    <t>02.18.602.00</t>
  </si>
  <si>
    <t>27705</t>
  </si>
  <si>
    <t>HARN,CWB,120,240V,CAREL CONTR</t>
  </si>
  <si>
    <t>02.18.624.00</t>
  </si>
  <si>
    <t>27706</t>
  </si>
  <si>
    <t>HARN,SSR OUTPUT,W/TRMS</t>
  </si>
  <si>
    <t>02.18.673.00</t>
  </si>
  <si>
    <t>27707</t>
  </si>
  <si>
    <t>HARN,PROD SENSOR,450C,ITQ,60"</t>
  </si>
  <si>
    <t>02.18.675.00</t>
  </si>
  <si>
    <t>27708</t>
  </si>
  <si>
    <t>CORD 6-15/RT 15A 105C 47"</t>
  </si>
  <si>
    <t>02.18.685.00</t>
  </si>
  <si>
    <t>27709</t>
  </si>
  <si>
    <t>CUSTOMER SIDE CONNECTOR,QT GR3</t>
  </si>
  <si>
    <t>02.18.686.00</t>
  </si>
  <si>
    <t>27713</t>
  </si>
  <si>
    <t>CORD,JIS C8303 PSE 15A 75C 2M</t>
  </si>
  <si>
    <t>02.18.694.00</t>
  </si>
  <si>
    <t>27718</t>
  </si>
  <si>
    <t>WIRE 8GA GREEN 150C XLPE</t>
  </si>
  <si>
    <t>02.18.704.00</t>
  </si>
  <si>
    <t>27731</t>
  </si>
  <si>
    <t>02.18.757.00</t>
  </si>
  <si>
    <t>27733</t>
  </si>
  <si>
    <t>CORD,C13 TO 5-15P,15A,105C,72"</t>
  </si>
  <si>
    <t>02.18.777.00</t>
  </si>
  <si>
    <t>27734</t>
  </si>
  <si>
    <t>POTENTOMETER HARNESS,TM3</t>
  </si>
  <si>
    <t>02.18.783.00</t>
  </si>
  <si>
    <t>27735</t>
  </si>
  <si>
    <t>DATA LINE,TM3</t>
  </si>
  <si>
    <t>02.18.786.00</t>
  </si>
  <si>
    <t>27736</t>
  </si>
  <si>
    <t>CABLE,USB TYP A-JST XH-5,200MM</t>
  </si>
  <si>
    <t>02.18.787.00</t>
  </si>
  <si>
    <t>27737</t>
  </si>
  <si>
    <t>RIBBON CABLE,INDUCTION,MAIN-UI</t>
  </si>
  <si>
    <t>02.18.791.00</t>
  </si>
  <si>
    <t>27738</t>
  </si>
  <si>
    <t>HARN,MAIN WIRE,RCTHW-1B</t>
  </si>
  <si>
    <t>02.18.802.00</t>
  </si>
  <si>
    <t>27741</t>
  </si>
  <si>
    <t>CORD 5-15/ST 15A 105C 1.8M 18C</t>
  </si>
  <si>
    <t>02.18.833.00</t>
  </si>
  <si>
    <t>27742</t>
  </si>
  <si>
    <t>CONNECTOR CABLE,FEMALE,IRNG-PB1</t>
  </si>
  <si>
    <t>02.18.834.00</t>
  </si>
  <si>
    <t>27743</t>
  </si>
  <si>
    <t>CONNECTOR CABLE,MALE,IRNG-PB1</t>
  </si>
  <si>
    <t>02.18.837.00</t>
  </si>
  <si>
    <t>27744</t>
  </si>
  <si>
    <t>HARN,ITQ2C ELEMENT,SSR,T-BLOCK</t>
  </si>
  <si>
    <t>02.18.838.00</t>
  </si>
  <si>
    <t>27745</t>
  </si>
  <si>
    <t>CORD 5-15/ST 15A 90C 162"</t>
  </si>
  <si>
    <t>02.18.841.00</t>
  </si>
  <si>
    <t>27751</t>
  </si>
  <si>
    <t>DISPLAY FLAT CABLE, FM5</t>
  </si>
  <si>
    <t>02.18.843.00</t>
  </si>
  <si>
    <t>27752</t>
  </si>
  <si>
    <t>HARN,CDW-3N,ELEMENT,120V,230V</t>
  </si>
  <si>
    <t>02.18.847.00</t>
  </si>
  <si>
    <t>27753</t>
  </si>
  <si>
    <t>CABLE,4 COND,22 GA,105C</t>
  </si>
  <si>
    <t>02.18.859.00</t>
  </si>
  <si>
    <t>27754</t>
  </si>
  <si>
    <t>HARN,DUAL SSR,105C,IHDC-45</t>
  </si>
  <si>
    <t>02.18.862.00</t>
  </si>
  <si>
    <t>27755</t>
  </si>
  <si>
    <t>CORD 6-20/ST 20A 105C 1.8M</t>
  </si>
  <si>
    <t>02.18.863.00</t>
  </si>
  <si>
    <t>27756</t>
  </si>
  <si>
    <t>CORD BS1363/RT 13A 70C 1.8M</t>
  </si>
  <si>
    <t>02.18.865.00</t>
  </si>
  <si>
    <t>27757</t>
  </si>
  <si>
    <t>CORD CEE7/7/ST 16A 70C 1.8M</t>
  </si>
  <si>
    <t>02.18.873.00</t>
  </si>
  <si>
    <t>27758</t>
  </si>
  <si>
    <t>CABLE,USB TYP A-JST XH-5,750MM</t>
  </si>
  <si>
    <t>02.18.875.00</t>
  </si>
  <si>
    <t>27760</t>
  </si>
  <si>
    <t>HARN,COMM FOR 02.01.467.00</t>
  </si>
  <si>
    <t>02.18.876.00</t>
  </si>
  <si>
    <t>27801</t>
  </si>
  <si>
    <t>HARN,RELAY FOR 02.01.467.00</t>
  </si>
  <si>
    <t>02.18.895.00</t>
  </si>
  <si>
    <t>27805</t>
  </si>
  <si>
    <t>HARN,3.5MM PHONE SOCKET,800mm</t>
  </si>
  <si>
    <t>02.18.907.00</t>
  </si>
  <si>
    <t>27806</t>
  </si>
  <si>
    <t>CORD CCC/RT 15A 70C 1.8M</t>
  </si>
  <si>
    <t>02.18.908.00</t>
  </si>
  <si>
    <t>27811</t>
  </si>
  <si>
    <t>CORD AS3112/ST 15A 75C 1.8M</t>
  </si>
  <si>
    <t>02.18.911.00</t>
  </si>
  <si>
    <t>27812</t>
  </si>
  <si>
    <t>HARN,DUAL SSR,36",105C</t>
  </si>
  <si>
    <t>02.18.912.00</t>
  </si>
  <si>
    <t>27813</t>
  </si>
  <si>
    <t>HARN,DISPL PWR SUPP,40",105C</t>
  </si>
  <si>
    <t>02.18.914.00</t>
  </si>
  <si>
    <t>27815</t>
  </si>
  <si>
    <t>HARN,MAIN PWR SUPP,8",105C</t>
  </si>
  <si>
    <t>02.18.918.00</t>
  </si>
  <si>
    <t>27815B</t>
  </si>
  <si>
    <t>HARN,TQ3,ELEM,SSRS,T-BLOCK</t>
  </si>
  <si>
    <t>02.18.990.00</t>
  </si>
  <si>
    <t>27815T</t>
  </si>
  <si>
    <t>02.18.991.00</t>
  </si>
  <si>
    <t>27817</t>
  </si>
  <si>
    <t>CORD,C13 TO C14,15A,0.45M</t>
  </si>
  <si>
    <t>02.18.994.00</t>
  </si>
  <si>
    <t>27818</t>
  </si>
  <si>
    <t>WIRE CABLE,INDUCTION,520MM</t>
  </si>
  <si>
    <t>02.19.003.00</t>
  </si>
  <si>
    <t>27819</t>
  </si>
  <si>
    <t>NEMA 6-30R 30A 250V SNGL RECEP</t>
  </si>
  <si>
    <t>02.19.015.00</t>
  </si>
  <si>
    <t>27820</t>
  </si>
  <si>
    <t>SWITCH ROC DPST,125/250V,16AMP</t>
  </si>
  <si>
    <t>02.19.027.00</t>
  </si>
  <si>
    <t>27821</t>
  </si>
  <si>
    <t>SWITCH ROC SPST 10A 125V ILLUM</t>
  </si>
  <si>
    <t>02.19.028.00</t>
  </si>
  <si>
    <t>27822</t>
  </si>
  <si>
    <t>FUSE HOLDER PANEL MTG</t>
  </si>
  <si>
    <t>02.19.032.00</t>
  </si>
  <si>
    <t>27825</t>
  </si>
  <si>
    <t>SWITCH ROC SPST 5A 250V ILLUM</t>
  </si>
  <si>
    <t>02.19.062.00</t>
  </si>
  <si>
    <t>27826</t>
  </si>
  <si>
    <t>NEMA 5-20R 20A 125V SIN RECEP</t>
  </si>
  <si>
    <t>02.19.070G.00</t>
  </si>
  <si>
    <t>27827</t>
  </si>
  <si>
    <t>PILOT LT GREEN 120V .140 GRIP</t>
  </si>
  <si>
    <t>02.19.070R.00</t>
  </si>
  <si>
    <t>27834</t>
  </si>
  <si>
    <t>PILOT LT RED 12OV .140 GRIP</t>
  </si>
  <si>
    <t>02.19.071G.00</t>
  </si>
  <si>
    <t>27835</t>
  </si>
  <si>
    <t>PILOT LT GREEN 250V .140 GRIP</t>
  </si>
  <si>
    <t>02.19.071R.00</t>
  </si>
  <si>
    <t>27837</t>
  </si>
  <si>
    <t>PILOT LT RED 250V .140 GRIP</t>
  </si>
  <si>
    <t>02.19.075.00</t>
  </si>
  <si>
    <t>27838</t>
  </si>
  <si>
    <t>SWITCH ROC DPST 22A 120V RED</t>
  </si>
  <si>
    <t>02.19.076.00</t>
  </si>
  <si>
    <t>27839</t>
  </si>
  <si>
    <t>SWITCH ROC DPST 16A 250V GREEN</t>
  </si>
  <si>
    <t>02.19.079E.00</t>
  </si>
  <si>
    <t>27840</t>
  </si>
  <si>
    <t>SWITCH INF 240V 14GA LEAD EXP</t>
  </si>
  <si>
    <t>02.19.080.00</t>
  </si>
  <si>
    <t>27841</t>
  </si>
  <si>
    <t>SWITCH ROC DPST 16A 125V ILLUM</t>
  </si>
  <si>
    <t>02.19.081.00</t>
  </si>
  <si>
    <t>27842</t>
  </si>
  <si>
    <t>SWITCH ROC DPST 16A 250V ILLUM</t>
  </si>
  <si>
    <t>02.19.150.00</t>
  </si>
  <si>
    <t>27843</t>
  </si>
  <si>
    <t>PILOT LT GREEN 250V</t>
  </si>
  <si>
    <t>02.19.151.00</t>
  </si>
  <si>
    <t>27844</t>
  </si>
  <si>
    <t>PILOT LT RED 250V</t>
  </si>
  <si>
    <t>02.19.152.00</t>
  </si>
  <si>
    <t>27845</t>
  </si>
  <si>
    <t>PILOT LT YELLOW 250V</t>
  </si>
  <si>
    <t>02.19.153.00</t>
  </si>
  <si>
    <t>27846</t>
  </si>
  <si>
    <t>PILOT LT AMBER 125V</t>
  </si>
  <si>
    <t>02.19.154.00</t>
  </si>
  <si>
    <t>27852</t>
  </si>
  <si>
    <t>PILOT LT RED 125V</t>
  </si>
  <si>
    <t>02.19.155.00</t>
  </si>
  <si>
    <t>27854</t>
  </si>
  <si>
    <t>PILOT LT GREEN 125V</t>
  </si>
  <si>
    <t>02.19.157.00</t>
  </si>
  <si>
    <t>27855</t>
  </si>
  <si>
    <t>PILOT LT BLUE 250V</t>
  </si>
  <si>
    <t>02.19.161.00</t>
  </si>
  <si>
    <t>27856</t>
  </si>
  <si>
    <t>SWITCH ROC DPST 16A 250V</t>
  </si>
  <si>
    <t>02.19.162.00</t>
  </si>
  <si>
    <t>27862</t>
  </si>
  <si>
    <t>SWITCH MICRO 10A MIN 120/250V</t>
  </si>
  <si>
    <t>02.19.164.00</t>
  </si>
  <si>
    <t>27863</t>
  </si>
  <si>
    <t>SWITCH,SPNO,LED,DRY CIRCUIT</t>
  </si>
  <si>
    <t>02.19.168.00</t>
  </si>
  <si>
    <t>27864</t>
  </si>
  <si>
    <t>SWITCH TOG SPST 3A W/LEADS</t>
  </si>
  <si>
    <t>02.19.170.01</t>
  </si>
  <si>
    <t>27865</t>
  </si>
  <si>
    <t>TRACK STARTER 1/2" CONDUIT BLK</t>
  </si>
  <si>
    <t>02.19.170.02</t>
  </si>
  <si>
    <t>27871</t>
  </si>
  <si>
    <t>TRACK STARTER 1/2" CONDUIT WHT</t>
  </si>
  <si>
    <t>02.19.171.01</t>
  </si>
  <si>
    <t>27872</t>
  </si>
  <si>
    <t>TRACK OUTLET BOX COVER BLACK</t>
  </si>
  <si>
    <t>02.19.171.02</t>
  </si>
  <si>
    <t>27873</t>
  </si>
  <si>
    <t>TRACK OUTLET BOX COVER WHITE</t>
  </si>
  <si>
    <t>02.19.172.01</t>
  </si>
  <si>
    <t>27874</t>
  </si>
  <si>
    <t>TRACK ENDCAP BLACK</t>
  </si>
  <si>
    <t>02.19.172.02</t>
  </si>
  <si>
    <t>27875</t>
  </si>
  <si>
    <t>TRACK ENDCAP WHITE</t>
  </si>
  <si>
    <t>02.19.173.03</t>
  </si>
  <si>
    <t>27876</t>
  </si>
  <si>
    <t>TRACK 4' BLACK</t>
  </si>
  <si>
    <t>02.19.173.04</t>
  </si>
  <si>
    <t>27877</t>
  </si>
  <si>
    <t>TRACK 4' WHITE</t>
  </si>
  <si>
    <t>02.19.174.00</t>
  </si>
  <si>
    <t>27878</t>
  </si>
  <si>
    <t>SWITCH,SELECTOR,4 POSITION,TM</t>
  </si>
  <si>
    <t>02.19.177.00</t>
  </si>
  <si>
    <t>27879</t>
  </si>
  <si>
    <t>SW ROC SPST 22A 125V,16A 250V</t>
  </si>
  <si>
    <t>02.19.178.00</t>
  </si>
  <si>
    <t>27881</t>
  </si>
  <si>
    <t>SWITCH ROC DPST 250V 10A GREEN</t>
  </si>
  <si>
    <t>02.19.193.00</t>
  </si>
  <si>
    <t>27882</t>
  </si>
  <si>
    <t>SWITCH,DPDT,MICRO,20A</t>
  </si>
  <si>
    <t>02.19.194.00</t>
  </si>
  <si>
    <t>27883</t>
  </si>
  <si>
    <t>SWITCH,DIMMER,120V,50/60Hz,10A</t>
  </si>
  <si>
    <t>02.19.196.00</t>
  </si>
  <si>
    <t>27884</t>
  </si>
  <si>
    <t>SWITCH 3POS 16A 240V VDE</t>
  </si>
  <si>
    <t>02.19.206.00</t>
  </si>
  <si>
    <t>27885</t>
  </si>
  <si>
    <t>SWITCH,DIMMER,230V,50/60Hz,10A</t>
  </si>
  <si>
    <t>02.19.209.00</t>
  </si>
  <si>
    <t>27886</t>
  </si>
  <si>
    <t>SWITCH LAMP 16A 120/277V</t>
  </si>
  <si>
    <t>02.19.215.00</t>
  </si>
  <si>
    <t>28100</t>
  </si>
  <si>
    <t>SWITCH ROC DPST 15A 125V GREEN</t>
  </si>
  <si>
    <t>02.19.216.00</t>
  </si>
  <si>
    <t>28105</t>
  </si>
  <si>
    <t>SW,ROC,SPST,16A 250V</t>
  </si>
  <si>
    <t>02.19.218.00</t>
  </si>
  <si>
    <t>28200</t>
  </si>
  <si>
    <t>AIR INTERLOCK SWITCH</t>
  </si>
  <si>
    <t>02.19.219.00</t>
  </si>
  <si>
    <t>28200B</t>
  </si>
  <si>
    <t>SELECTION SW,5 POSITION,TMS</t>
  </si>
  <si>
    <t>02.19.220.00</t>
  </si>
  <si>
    <t>28201</t>
  </si>
  <si>
    <t>TIMER SWITCH,10 MINUTE</t>
  </si>
  <si>
    <t>02.19.227.00</t>
  </si>
  <si>
    <t>28202</t>
  </si>
  <si>
    <t>SWITCH ROC DPST 10A 250V RED</t>
  </si>
  <si>
    <t>02.19.232.00</t>
  </si>
  <si>
    <t>28203</t>
  </si>
  <si>
    <t>KNOB,TIMER,DIEHL</t>
  </si>
  <si>
    <t>02.19.239.00</t>
  </si>
  <si>
    <t>28204</t>
  </si>
  <si>
    <t>SWITCH,ROC,DPST,125V,GREEN</t>
  </si>
  <si>
    <t>02.19.240.00</t>
  </si>
  <si>
    <t>28205</t>
  </si>
  <si>
    <t>SWITCH,ROC,DPST,250V,GREEN</t>
  </si>
  <si>
    <t>02.19.241.00</t>
  </si>
  <si>
    <t>28206</t>
  </si>
  <si>
    <t>PILOT LIGHT,125V,RED</t>
  </si>
  <si>
    <t>02.19.242.00</t>
  </si>
  <si>
    <t>28207</t>
  </si>
  <si>
    <t>SWITCH ROC DPDT 10A 250V</t>
  </si>
  <si>
    <t>02.19.243.00</t>
  </si>
  <si>
    <t>28208</t>
  </si>
  <si>
    <t>PILOT LIGHT,250V,RED</t>
  </si>
  <si>
    <t>02.19.246.00</t>
  </si>
  <si>
    <t>28210</t>
  </si>
  <si>
    <t>FUSE HOLDER PANEL MTG 15A 600V</t>
  </si>
  <si>
    <t>02.19.248.00</t>
  </si>
  <si>
    <t>28210B</t>
  </si>
  <si>
    <t>SWITCH,ROC,SPST,16A,250V</t>
  </si>
  <si>
    <t>02.19.252.01</t>
  </si>
  <si>
    <t>28220</t>
  </si>
  <si>
    <t>TRACK JOINER, BLACK</t>
  </si>
  <si>
    <t>02.19.252.02</t>
  </si>
  <si>
    <t>28221</t>
  </si>
  <si>
    <t>TRACK JOINER, WHITE</t>
  </si>
  <si>
    <t>02.19.256.00</t>
  </si>
  <si>
    <t>28226</t>
  </si>
  <si>
    <t>PILOT LT RED 12VDC LED</t>
  </si>
  <si>
    <t>02.19.270.01</t>
  </si>
  <si>
    <t>28250</t>
  </si>
  <si>
    <t>TRACK PENDANT WAC BLACK</t>
  </si>
  <si>
    <t>02.19.270.02</t>
  </si>
  <si>
    <t>28300</t>
  </si>
  <si>
    <t>TRACK PENDANT WAC WHITE</t>
  </si>
  <si>
    <t>02.19.275.00</t>
  </si>
  <si>
    <t>28303</t>
  </si>
  <si>
    <t>TOG SWITCH,DPST,125/250V 16AMP</t>
  </si>
  <si>
    <t>02.19.299.00</t>
  </si>
  <si>
    <t>28308</t>
  </si>
  <si>
    <t>SWITCH,MICRO SPDT.1A 125V,LONG</t>
  </si>
  <si>
    <t>02.19.301.00</t>
  </si>
  <si>
    <t>28310</t>
  </si>
  <si>
    <t>SWITCH,MICRO,120/250V 15A,LONG</t>
  </si>
  <si>
    <t>02.19.303.00</t>
  </si>
  <si>
    <t>28311</t>
  </si>
  <si>
    <t>SWITCH DPST 22A125,16A250,BLK</t>
  </si>
  <si>
    <t>02.19.305.00</t>
  </si>
  <si>
    <t>28400</t>
  </si>
  <si>
    <t>PILOT LT AMBER 120V .312 HOLE</t>
  </si>
  <si>
    <t>02.19.312.00</t>
  </si>
  <si>
    <t>28404</t>
  </si>
  <si>
    <t>PROXIMITY SWITCH,FDWD</t>
  </si>
  <si>
    <t>02.19.321.00</t>
  </si>
  <si>
    <t>28405</t>
  </si>
  <si>
    <t>SWITCH,SS,22MM, MOMENTARY</t>
  </si>
  <si>
    <t>02.20.009.00</t>
  </si>
  <si>
    <t>28500</t>
  </si>
  <si>
    <t>1/2" CONDUIT LOCKNUT</t>
  </si>
  <si>
    <t>02.20.010A.00</t>
  </si>
  <si>
    <t>28500B</t>
  </si>
  <si>
    <t>1/2" CHASE NIPPLE</t>
  </si>
  <si>
    <t>02.20.011.00</t>
  </si>
  <si>
    <t>28501</t>
  </si>
  <si>
    <t>3/4" CONDUIT LOCKNUT</t>
  </si>
  <si>
    <t>02.20.018.00</t>
  </si>
  <si>
    <t>28501B</t>
  </si>
  <si>
    <t>3/8" GREENFIELD STRAIGHT CONN</t>
  </si>
  <si>
    <t>02.20.020.00</t>
  </si>
  <si>
    <t>28505</t>
  </si>
  <si>
    <t>1/2" GREENFIELD 90DEG ANG CON</t>
  </si>
  <si>
    <t>02.20.021.00</t>
  </si>
  <si>
    <t>28505B</t>
  </si>
  <si>
    <t>1/2" GREENFIELD STRT CON W/NUT</t>
  </si>
  <si>
    <t>02.20.022.00</t>
  </si>
  <si>
    <t>28510</t>
  </si>
  <si>
    <t>WIRE NUT PHENOLIC 150C</t>
  </si>
  <si>
    <t>02.20.026.00</t>
  </si>
  <si>
    <t>28510B</t>
  </si>
  <si>
    <t>1" DIA SCREENED PLUG</t>
  </si>
  <si>
    <t>02.20.027.00</t>
  </si>
  <si>
    <t>28511</t>
  </si>
  <si>
    <t>CIRCUIT BREAKER BOOT N3CS</t>
  </si>
  <si>
    <t>02.20.030.00</t>
  </si>
  <si>
    <t>28516</t>
  </si>
  <si>
    <t>7/8" SNAP PLUG BRT NI-PLT</t>
  </si>
  <si>
    <t>02.20.040.00</t>
  </si>
  <si>
    <t>28516B</t>
  </si>
  <si>
    <t>RUBBER BOOT FOR TOG SW</t>
  </si>
  <si>
    <t>02.20.043.00</t>
  </si>
  <si>
    <t>28517</t>
  </si>
  <si>
    <t>1/2" SNAP PLUG CHROME PLTD</t>
  </si>
  <si>
    <t>02.20.047.00</t>
  </si>
  <si>
    <t>28518</t>
  </si>
  <si>
    <t>02.20.052.00</t>
  </si>
  <si>
    <t>28519</t>
  </si>
  <si>
    <t>1/8NPSX3/4"NIPPLE(ZINC PLTD)</t>
  </si>
  <si>
    <t>02.20.053.00</t>
  </si>
  <si>
    <t>28522</t>
  </si>
  <si>
    <t>1/8-27 NPS LOCKNUT</t>
  </si>
  <si>
    <t>02.20.055.00</t>
  </si>
  <si>
    <t>28536</t>
  </si>
  <si>
    <t>CAPLUG 1"SQ TUBING PLTD</t>
  </si>
  <si>
    <t>02.20.056.00</t>
  </si>
  <si>
    <t>28538</t>
  </si>
  <si>
    <t>CAPLUG 1-1/2"SQ TUBING BLACK</t>
  </si>
  <si>
    <t>02.20.064.00</t>
  </si>
  <si>
    <t>28539</t>
  </si>
  <si>
    <t>1/2" INSULINER</t>
  </si>
  <si>
    <t>02.20.077.00</t>
  </si>
  <si>
    <t>28600</t>
  </si>
  <si>
    <t>CABLE TIE,105C,4.0"</t>
  </si>
  <si>
    <t>02.20.100.00</t>
  </si>
  <si>
    <t>28601</t>
  </si>
  <si>
    <t>.25 ID .50 OD MOTOR  BUSHING</t>
  </si>
  <si>
    <t>02.20.101.00</t>
  </si>
  <si>
    <t>28602</t>
  </si>
  <si>
    <t>FS RACK MOTOR SHORT STAND OFF</t>
  </si>
  <si>
    <t>02.20.111.00</t>
  </si>
  <si>
    <t>28603</t>
  </si>
  <si>
    <t>8 TERM MINI PLUG MALE</t>
  </si>
  <si>
    <t>02.20.112.00</t>
  </si>
  <si>
    <t>28604</t>
  </si>
  <si>
    <t>8 TERM MINI PLUG FEMALE</t>
  </si>
  <si>
    <t>02.20.202.00</t>
  </si>
  <si>
    <t>28605</t>
  </si>
  <si>
    <t>3/8" SNAP BUSHING</t>
  </si>
  <si>
    <t>02.20.206.00</t>
  </si>
  <si>
    <t>28606</t>
  </si>
  <si>
    <t>CORD GRIP RT ANG 5/8" SR-11</t>
  </si>
  <si>
    <t>02.20.206A.00</t>
  </si>
  <si>
    <t>28607</t>
  </si>
  <si>
    <t>CORD GRIP LW ONLY 5/8" SR-10</t>
  </si>
  <si>
    <t>02.20.209.00</t>
  </si>
  <si>
    <t>28608</t>
  </si>
  <si>
    <t>CORD GRIP,STRT,.600-.690 MAX</t>
  </si>
  <si>
    <t>02.20.211.00</t>
  </si>
  <si>
    <t>28608B</t>
  </si>
  <si>
    <t>.730 X .560 ADAPTER 7/8" HOLE</t>
  </si>
  <si>
    <t>02.20.212.00</t>
  </si>
  <si>
    <t>28609</t>
  </si>
  <si>
    <t>CORD GRIP,STRT,.400 MAX</t>
  </si>
  <si>
    <t>02.20.218.00</t>
  </si>
  <si>
    <t>28610</t>
  </si>
  <si>
    <t>1/4" SNAP PLUG BLACK</t>
  </si>
  <si>
    <t>02.20.220.00</t>
  </si>
  <si>
    <t>28620</t>
  </si>
  <si>
    <t>3/16" SNAP PLUG</t>
  </si>
  <si>
    <t>02.20.221.00</t>
  </si>
  <si>
    <t>28650</t>
  </si>
  <si>
    <t>WIRE NUT PORCELAIN 3-18 GA</t>
  </si>
  <si>
    <t>02.20.222.00</t>
  </si>
  <si>
    <t>28651</t>
  </si>
  <si>
    <t>WIRE NUT,PORCELAIN 5-18 GAUGE</t>
  </si>
  <si>
    <t>02.20.224.00</t>
  </si>
  <si>
    <t>28652</t>
  </si>
  <si>
    <t>CORD GRIP RT ANGLE(HPN)9/16"</t>
  </si>
  <si>
    <t>02.20.226.00</t>
  </si>
  <si>
    <t>28653</t>
  </si>
  <si>
    <t>CORD GRIP STR THRU(ST)7/8"DIA</t>
  </si>
  <si>
    <t>02.20.230.00</t>
  </si>
  <si>
    <t>28654</t>
  </si>
  <si>
    <t>9/16" SNAP BUSHING BLACK</t>
  </si>
  <si>
    <t>02.20.231.00</t>
  </si>
  <si>
    <t>28658</t>
  </si>
  <si>
    <t>21/32" SNAP PLUG BLACK</t>
  </si>
  <si>
    <t>02.20.232.00</t>
  </si>
  <si>
    <t>28659</t>
  </si>
  <si>
    <t>3/8" OPN/CLOSED BUSHING</t>
  </si>
  <si>
    <t>02.20.233.00</t>
  </si>
  <si>
    <t>28660</t>
  </si>
  <si>
    <t>HEYCO CORD GRIP</t>
  </si>
  <si>
    <t>02.20.236.00</t>
  </si>
  <si>
    <t>28661</t>
  </si>
  <si>
    <t>CORD GRIP SRT .425-.475 RANGE</t>
  </si>
  <si>
    <t>02.20.259A.00</t>
  </si>
  <si>
    <t>28665</t>
  </si>
  <si>
    <t>CORD GRIP LIQ TITE NUT,1/2"NPT</t>
  </si>
  <si>
    <t>02.20.269.00</t>
  </si>
  <si>
    <t>28666</t>
  </si>
  <si>
    <t>CORD GRIP 3/8" CONDUIT HUB</t>
  </si>
  <si>
    <t>02.20.270.00</t>
  </si>
  <si>
    <t>28667</t>
  </si>
  <si>
    <t>CORD GRIP 3/8" CONDUIT LOCKNUT</t>
  </si>
  <si>
    <t>02.20.273.01</t>
  </si>
  <si>
    <t>28668</t>
  </si>
  <si>
    <t>THRMAFLX 1/32 WALL SZ 2 6" LG</t>
  </si>
  <si>
    <t>02.20.276.00</t>
  </si>
  <si>
    <t>28669</t>
  </si>
  <si>
    <t>CORD GRIP,STRT,.325-.360 MAX</t>
  </si>
  <si>
    <t>02.20.283.00</t>
  </si>
  <si>
    <t>28670</t>
  </si>
  <si>
    <t>RUBBER BOOT FOR TOG SW HI-TEMP</t>
  </si>
  <si>
    <t>02.20.297.00</t>
  </si>
  <si>
    <t>28670B</t>
  </si>
  <si>
    <t>WAGO RECEPTICAL 5MM 8 POLE</t>
  </si>
  <si>
    <t>02.20.298.00</t>
  </si>
  <si>
    <t>28673</t>
  </si>
  <si>
    <t>WAGO PLUG 5MM 8 POLE</t>
  </si>
  <si>
    <t>02.20.301.00</t>
  </si>
  <si>
    <t>28700</t>
  </si>
  <si>
    <t>STEEL HICKEY 1.5</t>
  </si>
  <si>
    <t>02.20.303.00</t>
  </si>
  <si>
    <t>28701</t>
  </si>
  <si>
    <t>BUSHING,END CAP,1/8" IPS BLACK</t>
  </si>
  <si>
    <t>02.20.308.00</t>
  </si>
  <si>
    <t>28702</t>
  </si>
  <si>
    <t>HANGER BRACKET,ADJ,1/8" IPS</t>
  </si>
  <si>
    <t>02.20.324.00</t>
  </si>
  <si>
    <t>28703</t>
  </si>
  <si>
    <t>CORD GRIP LIQ TIGHT STRT W/NUT</t>
  </si>
  <si>
    <t>02.20.329.01</t>
  </si>
  <si>
    <t>28704</t>
  </si>
  <si>
    <t>3/8" GREENFIELD CONDUIT 3'LONG</t>
  </si>
  <si>
    <t>02.20.330.00</t>
  </si>
  <si>
    <t>28705</t>
  </si>
  <si>
    <t>CORD GRIP,RT ANGLE,.770 X .875</t>
  </si>
  <si>
    <t>02.20.331.00</t>
  </si>
  <si>
    <t>28706</t>
  </si>
  <si>
    <t>CORD GRIP LIQ TITE STRT .395</t>
  </si>
  <si>
    <t>02.20.332.00</t>
  </si>
  <si>
    <t>28750</t>
  </si>
  <si>
    <t>2 EAR CLAMP,9mm</t>
  </si>
  <si>
    <t>02.20.334.00</t>
  </si>
  <si>
    <t>28751</t>
  </si>
  <si>
    <t>EMT ANGLE COMP CONNECTOR,1/2"</t>
  </si>
  <si>
    <t>02.20.335.00</t>
  </si>
  <si>
    <t>28752</t>
  </si>
  <si>
    <t>UF CABLE CONNECTOR,1/2"</t>
  </si>
  <si>
    <t>02.20.342.00</t>
  </si>
  <si>
    <t>28753</t>
  </si>
  <si>
    <t>SOLENOID,120VAC,PULSE DUTY,TPT</t>
  </si>
  <si>
    <t>02.20.343.00</t>
  </si>
  <si>
    <t>28754</t>
  </si>
  <si>
    <t>PLUNGER,SOLENOID,TPT-120</t>
  </si>
  <si>
    <t>02.20.356.00</t>
  </si>
  <si>
    <t>28755</t>
  </si>
  <si>
    <t>CORD GRIP,STRT,.770 X .875</t>
  </si>
  <si>
    <t>02.20.359.00</t>
  </si>
  <si>
    <t>28800</t>
  </si>
  <si>
    <t>NIPPLE,3/8-18X7/8 ZINC PLT</t>
  </si>
  <si>
    <t>02.20.365.31</t>
  </si>
  <si>
    <t>28850</t>
  </si>
  <si>
    <t>SWIVEL,DCS,1/8" IPS,BRT NICKEL</t>
  </si>
  <si>
    <t>02.20.365.33</t>
  </si>
  <si>
    <t>28850B</t>
  </si>
  <si>
    <t>SWIVEL,DCS,1/8" IPS,BRT COPPER</t>
  </si>
  <si>
    <t>02.20.365.35</t>
  </si>
  <si>
    <t>28851</t>
  </si>
  <si>
    <t>SWIVEL,DCS,1/8" IPS,ANT BRASS</t>
  </si>
  <si>
    <t>02.20.365.36</t>
  </si>
  <si>
    <t>28852</t>
  </si>
  <si>
    <t>SWIVEL,DCS,1/8" IPS,ANT BRONZE</t>
  </si>
  <si>
    <t>02.20.366.00</t>
  </si>
  <si>
    <t>28853</t>
  </si>
  <si>
    <t>SHRINK TUBE,.280ID 1.375L</t>
  </si>
  <si>
    <t>02.20.369.00</t>
  </si>
  <si>
    <t>28854</t>
  </si>
  <si>
    <t>AC CORD BUSHING</t>
  </si>
  <si>
    <t>02.20.370.00</t>
  </si>
  <si>
    <t>28855</t>
  </si>
  <si>
    <t>CLAMP,CUSHIONED,.312 ID</t>
  </si>
  <si>
    <t>02.20.371.00</t>
  </si>
  <si>
    <t>28856</t>
  </si>
  <si>
    <t>CLAMP,CUSHIONED,.812 ID</t>
  </si>
  <si>
    <t>02.20.373.00</t>
  </si>
  <si>
    <t>28857</t>
  </si>
  <si>
    <t>1/2" GREENFIELD 90 SNAP CONN</t>
  </si>
  <si>
    <t>02.20.386.00</t>
  </si>
  <si>
    <t>28858</t>
  </si>
  <si>
    <t>SLEEVING,4MM,WHITE,200C</t>
  </si>
  <si>
    <t>02.20.407.00</t>
  </si>
  <si>
    <t>28859</t>
  </si>
  <si>
    <t>SOLENOID,240VAC,PULSE DUTY,TPT</t>
  </si>
  <si>
    <t>02.20.412.00</t>
  </si>
  <si>
    <t>28860</t>
  </si>
  <si>
    <t>WIRE NUT,5LVR,12-24GA,20A,105C</t>
  </si>
  <si>
    <t>02.20.438.00</t>
  </si>
  <si>
    <t>28865</t>
  </si>
  <si>
    <t>COVER,USB FEMALE,BLACK TAB</t>
  </si>
  <si>
    <t>02.20.447.00</t>
  </si>
  <si>
    <t>28865B</t>
  </si>
  <si>
    <t>CORD GRIP,RIGHT ANGLE</t>
  </si>
  <si>
    <t>02.20.451.00</t>
  </si>
  <si>
    <t>28866</t>
  </si>
  <si>
    <t>HEAT SHRINK TUBE,.280ID X 9"LG</t>
  </si>
  <si>
    <t>02.20.463.00</t>
  </si>
  <si>
    <t>28867</t>
  </si>
  <si>
    <t>CORD GRIP STR THRU,.550 x .625</t>
  </si>
  <si>
    <t>02.20.466.00</t>
  </si>
  <si>
    <t>28868</t>
  </si>
  <si>
    <t>WIRE NUT,LEVR,5,.75-2.5mm,105C</t>
  </si>
  <si>
    <t>02.20.476.00</t>
  </si>
  <si>
    <t>28869</t>
  </si>
  <si>
    <t>HEAT SHRINK,RED,15mm DIA</t>
  </si>
  <si>
    <t>02.20.482.00</t>
  </si>
  <si>
    <t>28870</t>
  </si>
  <si>
    <t>RUBBER SWITCH BOOT,ROCKER</t>
  </si>
  <si>
    <t>02.20.498.00</t>
  </si>
  <si>
    <t>28871</t>
  </si>
  <si>
    <t>CORD GRIP,5.5-6.3mm,SB5P-2</t>
  </si>
  <si>
    <t>02.20.502.00</t>
  </si>
  <si>
    <t>28872</t>
  </si>
  <si>
    <t>CORD GRIP LIQ TITE STRT SIP</t>
  </si>
  <si>
    <t>02.20.510.00</t>
  </si>
  <si>
    <t>28873</t>
  </si>
  <si>
    <t>CORD CLAMP RING,.343ID .75OD</t>
  </si>
  <si>
    <t>02.20.514.00</t>
  </si>
  <si>
    <t>28874</t>
  </si>
  <si>
    <t>BUSHING,.25ID x .375OD x .375L</t>
  </si>
  <si>
    <t>02.20.515.00</t>
  </si>
  <si>
    <t>28875</t>
  </si>
  <si>
    <t>USB CABLE,PANEL MOUNT,10.2"</t>
  </si>
  <si>
    <t>02.20.574.00</t>
  </si>
  <si>
    <t>28877</t>
  </si>
  <si>
    <t>CABLE TIE,S.S. 7.9"</t>
  </si>
  <si>
    <t>02.20.582.00</t>
  </si>
  <si>
    <t>28878</t>
  </si>
  <si>
    <t>CORD GRIP LIQUID TGHT FLEX PGT</t>
  </si>
  <si>
    <t>02.20.588.00</t>
  </si>
  <si>
    <t>28880</t>
  </si>
  <si>
    <t>USB 2.0 TYPE A TO MICRO B MALE</t>
  </si>
  <si>
    <t>02.20.672.01</t>
  </si>
  <si>
    <t>28886</t>
  </si>
  <si>
    <t>2 WIRE,16GA SLIP RING,DOMESTIC</t>
  </si>
  <si>
    <t>02.20.672.02</t>
  </si>
  <si>
    <t>28887</t>
  </si>
  <si>
    <t>2 WIRE,16GA SLIP RING,EXPORT</t>
  </si>
  <si>
    <t>02.21.024.00</t>
  </si>
  <si>
    <t>28888I</t>
  </si>
  <si>
    <t>LP GAS VALVE CONVERSION KIT</t>
  </si>
  <si>
    <t>02.21.025.00</t>
  </si>
  <si>
    <t>28889</t>
  </si>
  <si>
    <t>GAS VALVE NAT 3/4" W/LP KIT</t>
  </si>
  <si>
    <t>02.21.027.00</t>
  </si>
  <si>
    <t>28890</t>
  </si>
  <si>
    <t>PMG-100 PRES SWITCH BLUE -.13</t>
  </si>
  <si>
    <t>02.21.028.00</t>
  </si>
  <si>
    <t>28891</t>
  </si>
  <si>
    <t>PMG-200 PRESSWITCH WHITE -.28</t>
  </si>
  <si>
    <t>02.22.010.00</t>
  </si>
  <si>
    <t>28892</t>
  </si>
  <si>
    <t>RECT RIBBON 3500W 240V 17x12</t>
  </si>
  <si>
    <t>02.22.021.00</t>
  </si>
  <si>
    <t>28893</t>
  </si>
  <si>
    <t>275W 120V RIBBON HEATER</t>
  </si>
  <si>
    <t>02.22.023.00</t>
  </si>
  <si>
    <t>28894</t>
  </si>
  <si>
    <t>1000W 230V RIBBON HEATER</t>
  </si>
  <si>
    <t>02.22.025.00</t>
  </si>
  <si>
    <t>28895</t>
  </si>
  <si>
    <t>1500W 240V RIBBON HEATER</t>
  </si>
  <si>
    <t>02.22.027.00</t>
  </si>
  <si>
    <t>28896</t>
  </si>
  <si>
    <t>1500W 208V RIBBON HEATER</t>
  </si>
  <si>
    <t>02.22.030.00</t>
  </si>
  <si>
    <t>28897</t>
  </si>
  <si>
    <t>1000W 240V RIBBON HEATER</t>
  </si>
  <si>
    <t>02.30.041B.00</t>
  </si>
  <si>
    <t>28950</t>
  </si>
  <si>
    <t>LAMP HOLDER,SINGLE,ENDMNT ASSY</t>
  </si>
  <si>
    <t>02.30.041D.00</t>
  </si>
  <si>
    <t>28960</t>
  </si>
  <si>
    <t>FIBER WASHER INSULATOR,LAMP</t>
  </si>
  <si>
    <t>02.30.044S.00</t>
  </si>
  <si>
    <t>2901</t>
  </si>
  <si>
    <t>LAMP HOLD,SINGLE,24" LDS,200C</t>
  </si>
  <si>
    <t>02.30.068.00</t>
  </si>
  <si>
    <t>2I</t>
  </si>
  <si>
    <t>LAMP-250W,120V,RED,INF,CTD</t>
  </si>
  <si>
    <t>02.30.069.00</t>
  </si>
  <si>
    <t>2P</t>
  </si>
  <si>
    <t>LAMP-250W,120V,CLR,INF,CTD</t>
  </si>
  <si>
    <t>02.30.070.00</t>
  </si>
  <si>
    <t>3</t>
  </si>
  <si>
    <t>LAMP-250W,120V,RED,INF,UNCTD</t>
  </si>
  <si>
    <t>02.30.071.00</t>
  </si>
  <si>
    <t>3.4501e-27</t>
  </si>
  <si>
    <t>LAMP-250W,120V,CLR,INF,UNCTD</t>
  </si>
  <si>
    <t>02.30.073.00</t>
  </si>
  <si>
    <t>3.4501e-28</t>
  </si>
  <si>
    <t>LAMP SOCK,FLUORESCENT,SNAP IN</t>
  </si>
  <si>
    <t>02.30.076.00</t>
  </si>
  <si>
    <t>32101</t>
  </si>
  <si>
    <t>FSD LIGHT COVER</t>
  </si>
  <si>
    <t>02.30.077.00</t>
  </si>
  <si>
    <t>32102</t>
  </si>
  <si>
    <t>LAMP-21W,120V,30",FLUORESCENT</t>
  </si>
  <si>
    <t>02.30.081.00</t>
  </si>
  <si>
    <t>32103</t>
  </si>
  <si>
    <t>LAMP-60W,120V,CTD,CLEAR HALGN</t>
  </si>
  <si>
    <t>02.30.083.00</t>
  </si>
  <si>
    <t>32104</t>
  </si>
  <si>
    <t>LAMP-250W,240V,CLR,INF,UNCTD</t>
  </si>
  <si>
    <t>02.30.093.00</t>
  </si>
  <si>
    <t>32105</t>
  </si>
  <si>
    <t>LAMP-375W,120V,CLR,INF,UNCTD</t>
  </si>
  <si>
    <t>02.30.097.00</t>
  </si>
  <si>
    <t>32106</t>
  </si>
  <si>
    <t>LAMP-375W,120V,CLR,INF,CTD</t>
  </si>
  <si>
    <t>02.30.100.00</t>
  </si>
  <si>
    <t>32111</t>
  </si>
  <si>
    <t>LAMP-250W,240V,CLR,INF,CTD</t>
  </si>
  <si>
    <t>02.30.104.00</t>
  </si>
  <si>
    <t>32112</t>
  </si>
  <si>
    <t>LAMP HOLDER,END,60" LEADS,200C</t>
  </si>
  <si>
    <t>02.30.116.00</t>
  </si>
  <si>
    <t>32113</t>
  </si>
  <si>
    <t>LAMPHOLD,SINGLE,36" 450C LEADS</t>
  </si>
  <si>
    <t>02.30.121.00</t>
  </si>
  <si>
    <t>32114B</t>
  </si>
  <si>
    <t>CANDELABRA LAMP BASE,120V,75W</t>
  </si>
  <si>
    <t>02.30.122.00</t>
  </si>
  <si>
    <t>32114C</t>
  </si>
  <si>
    <t>LAMP-50W,120V,XENON,CLR</t>
  </si>
  <si>
    <t>02.30.126.00</t>
  </si>
  <si>
    <t>32114D</t>
  </si>
  <si>
    <t>LAMP-300W,240V,QUARTZ,SERVE RT</t>
  </si>
  <si>
    <t>02.30.135.00</t>
  </si>
  <si>
    <t>32114E</t>
  </si>
  <si>
    <t>BALLAST,120 TO 277V,50/60Hz</t>
  </si>
  <si>
    <t>02.30.139.00</t>
  </si>
  <si>
    <t>32115</t>
  </si>
  <si>
    <t>LAMP HOLDER,HALOGN,TYPE 7,300C</t>
  </si>
  <si>
    <t>02.30.140.00</t>
  </si>
  <si>
    <t>32116</t>
  </si>
  <si>
    <t>LAMP HOLDER,ASM,HAL,TYPE 7,300C</t>
  </si>
  <si>
    <t>02.30.145.00</t>
  </si>
  <si>
    <t>32117</t>
  </si>
  <si>
    <t>LAMP HOLDER,END,41" LEADS.250C</t>
  </si>
  <si>
    <t>02.30.150.00</t>
  </si>
  <si>
    <t>32118</t>
  </si>
  <si>
    <t>LAMP-150W,130V,QUARTZ</t>
  </si>
  <si>
    <t>02.30.151.00</t>
  </si>
  <si>
    <t>32119</t>
  </si>
  <si>
    <t>LAMP-150W,240V,QUARTZ,SERVE RT</t>
  </si>
  <si>
    <t>02.30.154.00</t>
  </si>
  <si>
    <t>32120</t>
  </si>
  <si>
    <t>LAMP-19W,120/277V,36",LED TUBE</t>
  </si>
  <si>
    <t>02.30.155.00</t>
  </si>
  <si>
    <t>32121</t>
  </si>
  <si>
    <t>LAMP HOLDER,END MNT,E27</t>
  </si>
  <si>
    <t>02.30.159.00</t>
  </si>
  <si>
    <t>32122</t>
  </si>
  <si>
    <t>LED FLEX STRIP,HZM-24,2.4W</t>
  </si>
  <si>
    <t>02.30.161.00</t>
  </si>
  <si>
    <t>32123</t>
  </si>
  <si>
    <t>LED FLEX STRIP,HZM-36,3.7W</t>
  </si>
  <si>
    <t>02.30.162.00</t>
  </si>
  <si>
    <t>32124</t>
  </si>
  <si>
    <t>LED FLEX STRIP,HZM-42,4.3W</t>
  </si>
  <si>
    <t>02.30.163.00</t>
  </si>
  <si>
    <t>32125</t>
  </si>
  <si>
    <t>LED FLEX STRIP,HZM-48,5.0W</t>
  </si>
  <si>
    <t>02.30.164.00</t>
  </si>
  <si>
    <t>32126</t>
  </si>
  <si>
    <t>LED FLEX STRIP,HZM-54,5.6W</t>
  </si>
  <si>
    <t>02.30.165.00</t>
  </si>
  <si>
    <t>32127</t>
  </si>
  <si>
    <t>LED FLEX STRIP,HZM-60,6.3W</t>
  </si>
  <si>
    <t>02.30.166.00</t>
  </si>
  <si>
    <t>32128</t>
  </si>
  <si>
    <t>LED FLEXSTRIP,HZMXXD POST,2.8W</t>
  </si>
  <si>
    <t>02.30.167.00</t>
  </si>
  <si>
    <t>32129</t>
  </si>
  <si>
    <t>LED FLEX STRIP,HZMXX POST,1.7W</t>
  </si>
  <si>
    <t>02.30.169.00</t>
  </si>
  <si>
    <t>32130</t>
  </si>
  <si>
    <t>DBL CONTACT,BAY BASE,200C LEAD</t>
  </si>
  <si>
    <t>02.30.174.00</t>
  </si>
  <si>
    <t>32132</t>
  </si>
  <si>
    <t>LED FLEX STRIP,SW2,2.6W</t>
  </si>
  <si>
    <t>02.30.179.00</t>
  </si>
  <si>
    <t>32133</t>
  </si>
  <si>
    <t>BALLAST,1LMP,220-240V,50/60 CE</t>
  </si>
  <si>
    <t>02.30.205.00</t>
  </si>
  <si>
    <t>32134</t>
  </si>
  <si>
    <t>LED CHANNEL ASSY,16.375 3050K WW</t>
  </si>
  <si>
    <t>02.30.206.00</t>
  </si>
  <si>
    <t>32135</t>
  </si>
  <si>
    <t>LED CHANNEL ASSY,22.375 3050K WW</t>
  </si>
  <si>
    <t>02.30.207.00</t>
  </si>
  <si>
    <t>32136</t>
  </si>
  <si>
    <t>LED CHANNEL ASSY,28.375 3050K WW</t>
  </si>
  <si>
    <t>02.30.208.00</t>
  </si>
  <si>
    <t>32137</t>
  </si>
  <si>
    <t>LED CHANNEL ASSY,34.375 3050K WW</t>
  </si>
  <si>
    <t>02.30.209.00</t>
  </si>
  <si>
    <t>32138</t>
  </si>
  <si>
    <t>LED CHANNEL ASSY,40.375 3050K WW</t>
  </si>
  <si>
    <t>02.30.210.00</t>
  </si>
  <si>
    <t>32141</t>
  </si>
  <si>
    <t>LED CHANNEL ASSY,46.375 3050K WW</t>
  </si>
  <si>
    <t>02.30.211.00</t>
  </si>
  <si>
    <t>32143</t>
  </si>
  <si>
    <t>LED CHANNEL ASSY,52.375 3050K WW</t>
  </si>
  <si>
    <t>02.30.212.00</t>
  </si>
  <si>
    <t>32144</t>
  </si>
  <si>
    <t>LED CHANNEL ASSY,58.375 3050K WW</t>
  </si>
  <si>
    <t>02.30.213.00</t>
  </si>
  <si>
    <t>32146</t>
  </si>
  <si>
    <t>LED CHANNEL ASSY,64.375 3050K WW</t>
  </si>
  <si>
    <t>02.30.214.00</t>
  </si>
  <si>
    <t>32147</t>
  </si>
  <si>
    <t>LED CHANNEL ASSY,70.375 3050K WW</t>
  </si>
  <si>
    <t>02.30.215.00</t>
  </si>
  <si>
    <t>32147B</t>
  </si>
  <si>
    <t>LED FLEX STRIP,10mm,WW,16" LG</t>
  </si>
  <si>
    <t>02.30.216.00</t>
  </si>
  <si>
    <t>32147C</t>
  </si>
  <si>
    <t>LED FLEX STRIP,10mm,WW,36" LG</t>
  </si>
  <si>
    <t>02.30.217.00</t>
  </si>
  <si>
    <t>32148</t>
  </si>
  <si>
    <t>LED CHANNEL MOUNTING CLIP</t>
  </si>
  <si>
    <t>02.30.218.00</t>
  </si>
  <si>
    <t>32149</t>
  </si>
  <si>
    <t>LAMP HOLDER,END,24" LEADS,200C</t>
  </si>
  <si>
    <t>02.30.219.00</t>
  </si>
  <si>
    <t>32150</t>
  </si>
  <si>
    <t>LED LAMP,12V 5W</t>
  </si>
  <si>
    <t>02.30.223.00</t>
  </si>
  <si>
    <t>32151</t>
  </si>
  <si>
    <t>LED CHANNEL ASSY,16.375 4100K NW</t>
  </si>
  <si>
    <t>02.30.224.00</t>
  </si>
  <si>
    <t>32160</t>
  </si>
  <si>
    <t>LED CHANNEL ASSY,22.375 4100K NW</t>
  </si>
  <si>
    <t>02.30.225.00</t>
  </si>
  <si>
    <t>32161</t>
  </si>
  <si>
    <t>LED CHANNEL ASSY,28.375 4100K NW</t>
  </si>
  <si>
    <t>02.30.226.00</t>
  </si>
  <si>
    <t>32162B</t>
  </si>
  <si>
    <t>LED CHANNEL ASSY,34.375 4100K NW</t>
  </si>
  <si>
    <t>02.30.227.00</t>
  </si>
  <si>
    <t>32165</t>
  </si>
  <si>
    <t>LED CHANNEL ASSY,40.375 4100K NW</t>
  </si>
  <si>
    <t>02.30.228.00</t>
  </si>
  <si>
    <t>32166</t>
  </si>
  <si>
    <t>LED CHANNEL ASSY,46.375 4100K NW</t>
  </si>
  <si>
    <t>02.30.229.00</t>
  </si>
  <si>
    <t>32167</t>
  </si>
  <si>
    <t>LED CHANNEL ASSY,52.375 4100K NW</t>
  </si>
  <si>
    <t>02.30.230.00</t>
  </si>
  <si>
    <t>32168</t>
  </si>
  <si>
    <t>LED CHANNEL ASSY,58.375 4100K NW</t>
  </si>
  <si>
    <t>02.30.231.00</t>
  </si>
  <si>
    <t>32169</t>
  </si>
  <si>
    <t>LED CHANNEL ASSY,64.375 4100K NW</t>
  </si>
  <si>
    <t>02.30.232.00</t>
  </si>
  <si>
    <t>32170</t>
  </si>
  <si>
    <t>LED CHANNEL ASSY,70.375 4100K NW</t>
  </si>
  <si>
    <t>02.30.234.00</t>
  </si>
  <si>
    <t>32171</t>
  </si>
  <si>
    <t>LED FLEX STRIP,10mm,WW,12" LG</t>
  </si>
  <si>
    <t>02.30.235.00</t>
  </si>
  <si>
    <t>32172</t>
  </si>
  <si>
    <t>LED FLEX STRIP,10mm,WW,32" LG</t>
  </si>
  <si>
    <t>02.30.251.00</t>
  </si>
  <si>
    <t>32173</t>
  </si>
  <si>
    <t>DUAL LED CHANNEL ASSY,34.375</t>
  </si>
  <si>
    <t>02.30.256.00</t>
  </si>
  <si>
    <t>32174</t>
  </si>
  <si>
    <t>DUAL LED CHANNEL ASSY,64.375</t>
  </si>
  <si>
    <t>02.30.257.00</t>
  </si>
  <si>
    <t>32175</t>
  </si>
  <si>
    <t>DUAL LED CHANNEL ASSY,70.375</t>
  </si>
  <si>
    <t>02.30.265.00</t>
  </si>
  <si>
    <t>32176</t>
  </si>
  <si>
    <t>LAMP-40W,130V,CTD</t>
  </si>
  <si>
    <t>02.30.266.00</t>
  </si>
  <si>
    <t>32177</t>
  </si>
  <si>
    <t>LAMP-40W,250V,CTD</t>
  </si>
  <si>
    <t>02.30.269.00</t>
  </si>
  <si>
    <t>32178</t>
  </si>
  <si>
    <t>LED LAMP,12V 5W,L535MM</t>
  </si>
  <si>
    <t>02.30.290.00</t>
  </si>
  <si>
    <t>32200</t>
  </si>
  <si>
    <t>LED LAMP,12V 5.1W,3050K,-30</t>
  </si>
  <si>
    <t>02.30.291.00</t>
  </si>
  <si>
    <t>32201</t>
  </si>
  <si>
    <t>LED LAMP,12V 6.1W,3050K,-36</t>
  </si>
  <si>
    <t>02.30.292.00</t>
  </si>
  <si>
    <t>32202</t>
  </si>
  <si>
    <t>LED LAMP,12V 6.9W,3050K,-42</t>
  </si>
  <si>
    <t>02.30.293.00</t>
  </si>
  <si>
    <t>32203</t>
  </si>
  <si>
    <t>LED LAMP,12V 7.7W,3050K,-48</t>
  </si>
  <si>
    <t>02.30.294.00</t>
  </si>
  <si>
    <t>32204</t>
  </si>
  <si>
    <t>LED LAMP,12V 8.3W,3050K,-54</t>
  </si>
  <si>
    <t>02.30.295.00</t>
  </si>
  <si>
    <t>32205</t>
  </si>
  <si>
    <t>LED LAMP,12V 8.9W,3050K,-60</t>
  </si>
  <si>
    <t>02.30.296.00</t>
  </si>
  <si>
    <t>32206</t>
  </si>
  <si>
    <t>LED LAMP,12V 9.5W,3050K,-66</t>
  </si>
  <si>
    <t>02.30.298.00</t>
  </si>
  <si>
    <t>32210</t>
  </si>
  <si>
    <t>LED LAMP,12V 10.1W,3050K,-78</t>
  </si>
  <si>
    <t>02.30.308.00</t>
  </si>
  <si>
    <t>32211E</t>
  </si>
  <si>
    <t>LED LAMP,12V 3.5W,4000K,-30</t>
  </si>
  <si>
    <t>02.30.318.00</t>
  </si>
  <si>
    <t>32212</t>
  </si>
  <si>
    <t>LED FLEX STRIP,10mm,WW,24" LG</t>
  </si>
  <si>
    <t>02.30.326.00</t>
  </si>
  <si>
    <t>32213</t>
  </si>
  <si>
    <t>BULB,240V,250W,WHITE IN-RD CTD</t>
  </si>
  <si>
    <t>02.30.335.00</t>
  </si>
  <si>
    <t>32214</t>
  </si>
  <si>
    <t>UVC LAMP,SINGLE PIN, G36T5L</t>
  </si>
  <si>
    <t>02.30.337.00</t>
  </si>
  <si>
    <t>32215</t>
  </si>
  <si>
    <t>UVC LAMP,SINGLE PIN, G10T5L</t>
  </si>
  <si>
    <t>02.40.001.00</t>
  </si>
  <si>
    <t>32216</t>
  </si>
  <si>
    <t>LIQUID LEVEL SENSING PROBE BO</t>
  </si>
  <si>
    <t>02.40.002.00</t>
  </si>
  <si>
    <t>32217</t>
  </si>
  <si>
    <t>DIODE-ALL TOASTERS</t>
  </si>
  <si>
    <t>02.40.015.00</t>
  </si>
  <si>
    <t>32218</t>
  </si>
  <si>
    <t>FHX LWCO PROBE SHORT</t>
  </si>
  <si>
    <t>02.40.045.00</t>
  </si>
  <si>
    <t>32219</t>
  </si>
  <si>
    <t>LWCO PROBE W/90 DEG BEND</t>
  </si>
  <si>
    <t>02.40.051.00</t>
  </si>
  <si>
    <t>32220</t>
  </si>
  <si>
    <t>DIODE,ZENER,13V 5W AXIAL</t>
  </si>
  <si>
    <t>02.41.001.00</t>
  </si>
  <si>
    <t>32221</t>
  </si>
  <si>
    <t>FUSE BLOCK 60A 300V 2P 2/0 LUG</t>
  </si>
  <si>
    <t>02.41.005.00</t>
  </si>
  <si>
    <t>32222</t>
  </si>
  <si>
    <t>FUSE BLOCK 60A 300V 2P 2/0DUAL</t>
  </si>
  <si>
    <t>02.41.010.00</t>
  </si>
  <si>
    <t>32226</t>
  </si>
  <si>
    <t>FUSE BLOCK 60A 300V 3P 2/0 LUG</t>
  </si>
  <si>
    <t>02.41.015.00</t>
  </si>
  <si>
    <t>32227</t>
  </si>
  <si>
    <t>FUSE BLOCK 60A 300V 4P 2/0 LUG</t>
  </si>
  <si>
    <t>02.41.020.00</t>
  </si>
  <si>
    <t>32228</t>
  </si>
  <si>
    <t>FUSE BLOCK 60A 300V 4P</t>
  </si>
  <si>
    <t>02.41.021.00</t>
  </si>
  <si>
    <t>32229</t>
  </si>
  <si>
    <t>02.41.022.00</t>
  </si>
  <si>
    <t>32230</t>
  </si>
  <si>
    <t>02.41.030.00</t>
  </si>
  <si>
    <t>32231</t>
  </si>
  <si>
    <t>FUSE BLOCK 60A 600V 3P</t>
  </si>
  <si>
    <t>03.01.003.00</t>
  </si>
  <si>
    <t>32232</t>
  </si>
  <si>
    <t>T/P GAUGE</t>
  </si>
  <si>
    <t>03.01.005.00</t>
  </si>
  <si>
    <t>32233</t>
  </si>
  <si>
    <t>DIAL IND THERM FAHR &amp; CELSIUS</t>
  </si>
  <si>
    <t>03.01.011.00</t>
  </si>
  <si>
    <t>32235C</t>
  </si>
  <si>
    <t>REGULATOR,MINITURE,PRESSURE</t>
  </si>
  <si>
    <t>03.01.012.00</t>
  </si>
  <si>
    <t>32240</t>
  </si>
  <si>
    <t>GAUGE,PRESSURE,0-60 PSI</t>
  </si>
  <si>
    <t>03.02.001.00</t>
  </si>
  <si>
    <t>32244</t>
  </si>
  <si>
    <t>3/4" BALL VALVE,BRONZE</t>
  </si>
  <si>
    <t>03.02.001A.00</t>
  </si>
  <si>
    <t>32245</t>
  </si>
  <si>
    <t>1-1/4 EXTENSION STEM KIT</t>
  </si>
  <si>
    <t>03.02.001B.00</t>
  </si>
  <si>
    <t>32246</t>
  </si>
  <si>
    <t>BALL VALVE HANDLE</t>
  </si>
  <si>
    <t>03.02.002.00</t>
  </si>
  <si>
    <t>32247</t>
  </si>
  <si>
    <t>3/4" SWEAT BALL VALVE</t>
  </si>
  <si>
    <t>03.02.004.00</t>
  </si>
  <si>
    <t>32248</t>
  </si>
  <si>
    <t>PRESSURE REDUCING VALVE-IRON</t>
  </si>
  <si>
    <t>03.02.015.00</t>
  </si>
  <si>
    <t>32249</t>
  </si>
  <si>
    <t>BRASS REGULATING VALVE</t>
  </si>
  <si>
    <t>03.02.020.00</t>
  </si>
  <si>
    <t>32250</t>
  </si>
  <si>
    <t>RELIEF VALVE,T/P 150 PSI 210F</t>
  </si>
  <si>
    <t>03.02.022.00</t>
  </si>
  <si>
    <t>32251D</t>
  </si>
  <si>
    <t>T/P RELIEF VALVE (40XL-Z2)</t>
  </si>
  <si>
    <t>03.02.025.00</t>
  </si>
  <si>
    <t>32251G</t>
  </si>
  <si>
    <t>MANUAL SHUT OFF VALVE, NO LOCK</t>
  </si>
  <si>
    <t>03.02.026.00</t>
  </si>
  <si>
    <t>32252</t>
  </si>
  <si>
    <t>SOLENOID VALVE 240V. 50/60Hz</t>
  </si>
  <si>
    <t>03.02.027.00</t>
  </si>
  <si>
    <t>32253</t>
  </si>
  <si>
    <t>PMG-100 3/4" GAS SHUTOFF VALVE</t>
  </si>
  <si>
    <t>03.02.029.00</t>
  </si>
  <si>
    <t>32254</t>
  </si>
  <si>
    <t>FHX BALL VALVE HEX EXTEN</t>
  </si>
  <si>
    <t>03.02.030.00</t>
  </si>
  <si>
    <t>32255</t>
  </si>
  <si>
    <t>FHX BALL VALVE STOP PLATE</t>
  </si>
  <si>
    <t>03.02.032.00</t>
  </si>
  <si>
    <t>32256</t>
  </si>
  <si>
    <t>VALVE,DELTROL FRONT BRKT,24VAC</t>
  </si>
  <si>
    <t>03.02.033.00</t>
  </si>
  <si>
    <t>32257</t>
  </si>
  <si>
    <t>SOLENOID VALVE 24V. 50/60Hz SS</t>
  </si>
  <si>
    <t>03.02.038.00</t>
  </si>
  <si>
    <t>32258</t>
  </si>
  <si>
    <t>VALVE,BALL,3/4",STD PORT,SS</t>
  </si>
  <si>
    <t>03.02.039.00</t>
  </si>
  <si>
    <t>32259</t>
  </si>
  <si>
    <t>BACKPRES REL VLV 1/2NPT 125PSI</t>
  </si>
  <si>
    <t>03.02.048.00</t>
  </si>
  <si>
    <t>32261</t>
  </si>
  <si>
    <t>SOLENOID VALVE 120V 60Hz</t>
  </si>
  <si>
    <t>03.02.048A.00</t>
  </si>
  <si>
    <t>32262</t>
  </si>
  <si>
    <t>SOLENOID VALVE 240V 50/60Hz</t>
  </si>
  <si>
    <t>03.02.067.00</t>
  </si>
  <si>
    <t>32263</t>
  </si>
  <si>
    <t>LFFBV-3C-M1</t>
  </si>
  <si>
    <t>03.02.074.00</t>
  </si>
  <si>
    <t>32264</t>
  </si>
  <si>
    <t>FLOW RESTRICTOR,2GPM,3/4" FPT</t>
  </si>
  <si>
    <t>03.02.075.00</t>
  </si>
  <si>
    <t>32265</t>
  </si>
  <si>
    <t>THERMAL EXPANSION VALVE,1/8TON</t>
  </si>
  <si>
    <t>03.02.076.00</t>
  </si>
  <si>
    <t>32266D</t>
  </si>
  <si>
    <t>THERMAL EXPANSION VALVE,1/4TON</t>
  </si>
  <si>
    <t>03.02.080.00</t>
  </si>
  <si>
    <t>32266G</t>
  </si>
  <si>
    <t>SOLENOID VALVE,ACC 230V</t>
  </si>
  <si>
    <t>03.02.081.00</t>
  </si>
  <si>
    <t>32270D</t>
  </si>
  <si>
    <t>SOLENOID VALVE,REFRIGERANT</t>
  </si>
  <si>
    <t>03.02.082.00</t>
  </si>
  <si>
    <t>32270G</t>
  </si>
  <si>
    <t>SOLENOID COIL,120V,50/60HZ</t>
  </si>
  <si>
    <t>03.02.083.00</t>
  </si>
  <si>
    <t>32271</t>
  </si>
  <si>
    <t>BACKFLOW PREVENTER VALVE,G1/2"</t>
  </si>
  <si>
    <t>03.02.084.00</t>
  </si>
  <si>
    <t>32272</t>
  </si>
  <si>
    <t>SOLENOID COIL,208-240V,50/60HZ</t>
  </si>
  <si>
    <t>03.02.085.00</t>
  </si>
  <si>
    <t>32273</t>
  </si>
  <si>
    <t>VALVE,TUBE,3/4" OD</t>
  </si>
  <si>
    <t>03.02.086.00</t>
  </si>
  <si>
    <t>32274</t>
  </si>
  <si>
    <t>DOUBLE SOLENOID VALVE,AC,230V</t>
  </si>
  <si>
    <t>03.02.087.00</t>
  </si>
  <si>
    <t>32275</t>
  </si>
  <si>
    <t>SOLENOID VALVE,AC,230V</t>
  </si>
  <si>
    <t>03.02.088.00</t>
  </si>
  <si>
    <t>32276</t>
  </si>
  <si>
    <t>WATER PUMP,12VDC,6W,BRUSHLESS</t>
  </si>
  <si>
    <t>03.02.089.00</t>
  </si>
  <si>
    <t>32277</t>
  </si>
  <si>
    <t>SOLENOID VALVE 120V</t>
  </si>
  <si>
    <t>03.02.092.00</t>
  </si>
  <si>
    <t>32278</t>
  </si>
  <si>
    <t>SOLENOID,NORMALLY CLOSED VALVE</t>
  </si>
  <si>
    <t>03.02.094.00</t>
  </si>
  <si>
    <t>32279</t>
  </si>
  <si>
    <t>VALVE,UNION CONN,1/4" OD TUBE</t>
  </si>
  <si>
    <t>03.02.095.00</t>
  </si>
  <si>
    <t>32280</t>
  </si>
  <si>
    <t>SOL VALVE,220VAC INSTALL FLNG</t>
  </si>
  <si>
    <t>03.02.096.00</t>
  </si>
  <si>
    <t>32281</t>
  </si>
  <si>
    <t>SOL VALVE,220VAC QUICK CONNECT</t>
  </si>
  <si>
    <t>03.02.097.00</t>
  </si>
  <si>
    <t>32282</t>
  </si>
  <si>
    <t>DRAIN PLUG,3/8"</t>
  </si>
  <si>
    <t>03.02.099.00</t>
  </si>
  <si>
    <t>32283</t>
  </si>
  <si>
    <t>VALVE,DELTROL,DSVP12N,24VAC</t>
  </si>
  <si>
    <t>03.02.101.00</t>
  </si>
  <si>
    <t>32284</t>
  </si>
  <si>
    <t>03.02.102.00</t>
  </si>
  <si>
    <t>32285</t>
  </si>
  <si>
    <t>03.04.001.00</t>
  </si>
  <si>
    <t>32286</t>
  </si>
  <si>
    <t>COPPER MANIFOLD-PLATED,3CS</t>
  </si>
  <si>
    <t>03.04.011.00</t>
  </si>
  <si>
    <t>32287</t>
  </si>
  <si>
    <t>3/4" 45DEG ELL NI-PLT COP TUBE</t>
  </si>
  <si>
    <t>03.05.009.00</t>
  </si>
  <si>
    <t>32290</t>
  </si>
  <si>
    <t>3/4" 90DEG CAST BRS ELL C/FSPS</t>
  </si>
  <si>
    <t>03.05.016.00</t>
  </si>
  <si>
    <t>32291</t>
  </si>
  <si>
    <t>1/2"X1-3/4" BRASS BUSHING</t>
  </si>
  <si>
    <t>03.05.055.00</t>
  </si>
  <si>
    <t>32300B</t>
  </si>
  <si>
    <t>PMG-100 3/16 x 3/8 SILIC. TUBE</t>
  </si>
  <si>
    <t>03.05.057.00</t>
  </si>
  <si>
    <t>32300C</t>
  </si>
  <si>
    <t>PMG-100 3/4x3/4 BRASS HEX NIPL</t>
  </si>
  <si>
    <t>03.05.058.00</t>
  </si>
  <si>
    <t>32310</t>
  </si>
  <si>
    <t>BRASS HOSE CONN W/SHOULDER</t>
  </si>
  <si>
    <t>03.05.061.00</t>
  </si>
  <si>
    <t>32314</t>
  </si>
  <si>
    <t>WATERTREAT UNIT 9799110 W/CART</t>
  </si>
  <si>
    <t>03.05.061A.00</t>
  </si>
  <si>
    <t>32320D</t>
  </si>
  <si>
    <t>WATERTREAT CARTRIDGE EV979922</t>
  </si>
  <si>
    <t>03.05.061B.00</t>
  </si>
  <si>
    <t>32320G</t>
  </si>
  <si>
    <t>WATERTREAT REP O-RING SCALTROL</t>
  </si>
  <si>
    <t>03.05.069.00</t>
  </si>
  <si>
    <t>32326</t>
  </si>
  <si>
    <t>BUSHING,HEX,SS,3/4"MPT-3/8"FPT</t>
  </si>
  <si>
    <t>03.05.077.00</t>
  </si>
  <si>
    <t>32327</t>
  </si>
  <si>
    <t>3/4" COPPER ADAPTER,CXF WROT</t>
  </si>
  <si>
    <t>03.05.079.00</t>
  </si>
  <si>
    <t>32329</t>
  </si>
  <si>
    <t>FILTER,WATER,IN LINE,1/4"</t>
  </si>
  <si>
    <t>03.05.081.00</t>
  </si>
  <si>
    <t>32331</t>
  </si>
  <si>
    <t>TEE,COPPER,SOLDER,1x1x3/4"</t>
  </si>
  <si>
    <t>03.05.084.00</t>
  </si>
  <si>
    <t>32332</t>
  </si>
  <si>
    <t>PIPE,1" COPPER,5.25" LONG</t>
  </si>
  <si>
    <t>03.05.085.00</t>
  </si>
  <si>
    <t>32334</t>
  </si>
  <si>
    <t>PIPE,1" COPPER,12.75" LONG</t>
  </si>
  <si>
    <t>03.05.086.00</t>
  </si>
  <si>
    <t>32335</t>
  </si>
  <si>
    <t>COPPER ADAPT,1" CXF WROUGHT</t>
  </si>
  <si>
    <t>03.05.096.00</t>
  </si>
  <si>
    <t>32342</t>
  </si>
  <si>
    <t>1"NPT MALE PLUG,LEAD FREE</t>
  </si>
  <si>
    <t>03.05.102.00</t>
  </si>
  <si>
    <t>32343</t>
  </si>
  <si>
    <t>PILOT TUBE,1/4 X 24",SS</t>
  </si>
  <si>
    <t>03.05.109.00</t>
  </si>
  <si>
    <t>32344</t>
  </si>
  <si>
    <t>1" NPSM BRASS DRAIN,4" LONG</t>
  </si>
  <si>
    <t>03.05.115.00</t>
  </si>
  <si>
    <t>32345</t>
  </si>
  <si>
    <t>VALVE,WATER FILTRATION SYSTEM</t>
  </si>
  <si>
    <t>03.05.116.00</t>
  </si>
  <si>
    <t>32401</t>
  </si>
  <si>
    <t>4FC-S WATER FILTER CARTRIDGE</t>
  </si>
  <si>
    <t>03.05.117.00</t>
  </si>
  <si>
    <t>32402</t>
  </si>
  <si>
    <t>BARB,1/2" STRT X 3/8"NPTF MALE</t>
  </si>
  <si>
    <t>03.05.142.00</t>
  </si>
  <si>
    <t>32403</t>
  </si>
  <si>
    <t>RO SYSTEM,LOW VOLUME</t>
  </si>
  <si>
    <t>03.05.146.00</t>
  </si>
  <si>
    <t>32404</t>
  </si>
  <si>
    <t>STRAINER,IN-LINE,1/4" OD TUBE</t>
  </si>
  <si>
    <t>03.08.001.00</t>
  </si>
  <si>
    <t>32406</t>
  </si>
  <si>
    <t>3/8" 90 STD CAST BR STR ELL</t>
  </si>
  <si>
    <t>03.08.012.00</t>
  </si>
  <si>
    <t>32408</t>
  </si>
  <si>
    <t>3/4" 90 SS STR ELBOW MSPS/FSPS</t>
  </si>
  <si>
    <t>03.11.004.00</t>
  </si>
  <si>
    <t>32409</t>
  </si>
  <si>
    <t>3/8"X1-1/2 BR PIPE NIPPLE</t>
  </si>
  <si>
    <t>03.12.002.00</t>
  </si>
  <si>
    <t>32411</t>
  </si>
  <si>
    <t>NATURAL GAS ORIFICES #55</t>
  </si>
  <si>
    <t>03.12.011.00</t>
  </si>
  <si>
    <t>32412</t>
  </si>
  <si>
    <t>LP GAS PILOT #10 ORIFICE</t>
  </si>
  <si>
    <t>03.12.012.00</t>
  </si>
  <si>
    <t>32413</t>
  </si>
  <si>
    <t>PMG-100,200 40mm GAS BURNER</t>
  </si>
  <si>
    <t>03.12.015.00</t>
  </si>
  <si>
    <t>32414</t>
  </si>
  <si>
    <t>PMG-100 GAS MANIFOLD</t>
  </si>
  <si>
    <t>03.12.016.00</t>
  </si>
  <si>
    <t>32415</t>
  </si>
  <si>
    <t>PMG-100 1/8" #34 NAT ORIFICE</t>
  </si>
  <si>
    <t>03.12.019.00</t>
  </si>
  <si>
    <t>32420</t>
  </si>
  <si>
    <t>PMG-200 GAS MANIFOLD</t>
  </si>
  <si>
    <t>03.12.020.00</t>
  </si>
  <si>
    <t>32421</t>
  </si>
  <si>
    <t>PMG-200 1/8" #35 NAT ORIFICE</t>
  </si>
  <si>
    <t>03.12.021.00</t>
  </si>
  <si>
    <t>32422</t>
  </si>
  <si>
    <t>PMG-100/200 1/8" #50 LP ORIF</t>
  </si>
  <si>
    <t>03.12.026.00</t>
  </si>
  <si>
    <t>32423</t>
  </si>
  <si>
    <t>NATURAL GAS ORIFICES #37</t>
  </si>
  <si>
    <t>03.12.045.00</t>
  </si>
  <si>
    <t>32430</t>
  </si>
  <si>
    <t>EVAP COIL,2 PAN,3/8" TUBING</t>
  </si>
  <si>
    <t>03.12.051.00</t>
  </si>
  <si>
    <t>32431</t>
  </si>
  <si>
    <t>HOSE,FLEX,1/2X14.5OAL W/ANCHOR</t>
  </si>
  <si>
    <t>03.13.002.00</t>
  </si>
  <si>
    <t>32432</t>
  </si>
  <si>
    <t>SIGHT GLASS,INDICATOR-MOISTURE</t>
  </si>
  <si>
    <t>03.13.003.00</t>
  </si>
  <si>
    <t>32433</t>
  </si>
  <si>
    <t>FILTER-DRIER</t>
  </si>
  <si>
    <t>03.13.004.00</t>
  </si>
  <si>
    <t>32440</t>
  </si>
  <si>
    <t>FAN MOTOR</t>
  </si>
  <si>
    <t>03.13.005.00</t>
  </si>
  <si>
    <t>32441</t>
  </si>
  <si>
    <t>FAN BLADE</t>
  </si>
  <si>
    <t>03.13.007.00</t>
  </si>
  <si>
    <t>32442</t>
  </si>
  <si>
    <t>CONDENSING UNIT,1/4 HP,115V</t>
  </si>
  <si>
    <t>03.13.009.00</t>
  </si>
  <si>
    <t>32443</t>
  </si>
  <si>
    <t>CONDENSING UNIT,1/2 HP,115V</t>
  </si>
  <si>
    <t>03.13.010.00</t>
  </si>
  <si>
    <t>32444</t>
  </si>
  <si>
    <t>ACCUMULATOR</t>
  </si>
  <si>
    <t>03.13.012.00</t>
  </si>
  <si>
    <t>32450</t>
  </si>
  <si>
    <t>SERVICE VALVE</t>
  </si>
  <si>
    <t>03.13.013.00</t>
  </si>
  <si>
    <t>32451</t>
  </si>
  <si>
    <t>COMPRESSOR</t>
  </si>
  <si>
    <t>03.13.014.00</t>
  </si>
  <si>
    <t>32452</t>
  </si>
  <si>
    <t>FAN SHROUD</t>
  </si>
  <si>
    <t>03.13.015.00</t>
  </si>
  <si>
    <t>32460</t>
  </si>
  <si>
    <t>RELAY</t>
  </si>
  <si>
    <t>03.13.016.00</t>
  </si>
  <si>
    <t>32461</t>
  </si>
  <si>
    <t>STARTER</t>
  </si>
  <si>
    <t>03.13.017.00</t>
  </si>
  <si>
    <t>32463</t>
  </si>
  <si>
    <t>AIR CONDENSER</t>
  </si>
  <si>
    <t>03.13.018.00</t>
  </si>
  <si>
    <t>32464</t>
  </si>
  <si>
    <t>03.13.019.00</t>
  </si>
  <si>
    <t>32501</t>
  </si>
  <si>
    <t>03.13.020.00</t>
  </si>
  <si>
    <t>32502</t>
  </si>
  <si>
    <t>03.13.021.00</t>
  </si>
  <si>
    <t>32503</t>
  </si>
  <si>
    <t>03.13.022.00</t>
  </si>
  <si>
    <t>32504</t>
  </si>
  <si>
    <t>03.13.024.00</t>
  </si>
  <si>
    <t>32505</t>
  </si>
  <si>
    <t>03.13.025.00</t>
  </si>
  <si>
    <t>32506</t>
  </si>
  <si>
    <t>03.13.026.00</t>
  </si>
  <si>
    <t>32510</t>
  </si>
  <si>
    <t>03.13.029.00</t>
  </si>
  <si>
    <t>32520</t>
  </si>
  <si>
    <t>CONDENSER SHROUD</t>
  </si>
  <si>
    <t>03.13.031.00</t>
  </si>
  <si>
    <t>32520B</t>
  </si>
  <si>
    <t>03.13.043.00</t>
  </si>
  <si>
    <t>32522</t>
  </si>
  <si>
    <t>FAN MOTOR EXP</t>
  </si>
  <si>
    <t>03.13.045.00</t>
  </si>
  <si>
    <t>32523</t>
  </si>
  <si>
    <t>RELAY EXP</t>
  </si>
  <si>
    <t>03.13.046.00</t>
  </si>
  <si>
    <t>32524</t>
  </si>
  <si>
    <t>STARTER EXP</t>
  </si>
  <si>
    <t>03.13.064.00</t>
  </si>
  <si>
    <t>32525</t>
  </si>
  <si>
    <t>COND UNIT,1/3HP,115V</t>
  </si>
  <si>
    <t>03.13.066.00</t>
  </si>
  <si>
    <t>32526</t>
  </si>
  <si>
    <t>COND UNIT,1/3HP,220-240V 50HZ</t>
  </si>
  <si>
    <t>03.13.067.00</t>
  </si>
  <si>
    <t>32527</t>
  </si>
  <si>
    <t>COND UNIT,3/8HP,220-240V 50HZ</t>
  </si>
  <si>
    <t>03.13.069.00</t>
  </si>
  <si>
    <t>32528</t>
  </si>
  <si>
    <t>COND UNIT,1/3HP,220-240V 60HZ</t>
  </si>
  <si>
    <t>03.13.070.00</t>
  </si>
  <si>
    <t>32529</t>
  </si>
  <si>
    <t>COND UNIT,1/2HP,220-240V 60HZ</t>
  </si>
  <si>
    <t>03.13.071.00</t>
  </si>
  <si>
    <t>32529B</t>
  </si>
  <si>
    <t>03.13.072.00</t>
  </si>
  <si>
    <t>32530</t>
  </si>
  <si>
    <t>03.13.073.00</t>
  </si>
  <si>
    <t>32531</t>
  </si>
  <si>
    <t>03.13.074.00</t>
  </si>
  <si>
    <t>32532</t>
  </si>
  <si>
    <t>FAN GUARD</t>
  </si>
  <si>
    <t>03.13.075.00</t>
  </si>
  <si>
    <t>32533</t>
  </si>
  <si>
    <t>03.13.076.00</t>
  </si>
  <si>
    <t>32540</t>
  </si>
  <si>
    <t>03.13.077.00</t>
  </si>
  <si>
    <t>32540B</t>
  </si>
  <si>
    <t>03.13.078.00</t>
  </si>
  <si>
    <t>32543</t>
  </si>
  <si>
    <t>03.13.079.00</t>
  </si>
  <si>
    <t>32544</t>
  </si>
  <si>
    <t>03.13.080.00</t>
  </si>
  <si>
    <t>32546</t>
  </si>
  <si>
    <t>03.13.081.00</t>
  </si>
  <si>
    <t>32547</t>
  </si>
  <si>
    <t>03.13.082.00</t>
  </si>
  <si>
    <t>32549</t>
  </si>
  <si>
    <t>03.13.083.00</t>
  </si>
  <si>
    <t>32551</t>
  </si>
  <si>
    <t>03.13.084.00</t>
  </si>
  <si>
    <t>32552</t>
  </si>
  <si>
    <t>03.13.085.00</t>
  </si>
  <si>
    <t>32555</t>
  </si>
  <si>
    <t>03.13.086.00</t>
  </si>
  <si>
    <t>32556</t>
  </si>
  <si>
    <t>03.13.087.00</t>
  </si>
  <si>
    <t>32557</t>
  </si>
  <si>
    <t>03.13.089.00</t>
  </si>
  <si>
    <t>32558</t>
  </si>
  <si>
    <t>03.13.090.00</t>
  </si>
  <si>
    <t>32559</t>
  </si>
  <si>
    <t>03.13.091.00</t>
  </si>
  <si>
    <t>32560</t>
  </si>
  <si>
    <t>03.13.092.00</t>
  </si>
  <si>
    <t>32561</t>
  </si>
  <si>
    <t>03.13.093.00</t>
  </si>
  <si>
    <t>32562</t>
  </si>
  <si>
    <t>03.13.094.00</t>
  </si>
  <si>
    <t>32563</t>
  </si>
  <si>
    <t>03.13.095.00</t>
  </si>
  <si>
    <t>32564</t>
  </si>
  <si>
    <t>03.13.096.00</t>
  </si>
  <si>
    <t>32571</t>
  </si>
  <si>
    <t>03.13.097.00</t>
  </si>
  <si>
    <t>32572</t>
  </si>
  <si>
    <t>03.13.098.00</t>
  </si>
  <si>
    <t>32573</t>
  </si>
  <si>
    <t>03.13.099.00</t>
  </si>
  <si>
    <t>32574</t>
  </si>
  <si>
    <t>03.13.100.00</t>
  </si>
  <si>
    <t>32583</t>
  </si>
  <si>
    <t>03.13.101.00</t>
  </si>
  <si>
    <t>32583B</t>
  </si>
  <si>
    <t>03.13.102.00</t>
  </si>
  <si>
    <t>32600</t>
  </si>
  <si>
    <t>03.13.103.00</t>
  </si>
  <si>
    <t>32600B</t>
  </si>
  <si>
    <t>03.13.104.00</t>
  </si>
  <si>
    <t>32601</t>
  </si>
  <si>
    <t>03.13.105.00</t>
  </si>
  <si>
    <t>32601B</t>
  </si>
  <si>
    <t>03.13.106.00</t>
  </si>
  <si>
    <t>32602</t>
  </si>
  <si>
    <t>03.13.107.00</t>
  </si>
  <si>
    <t>32603</t>
  </si>
  <si>
    <t>03.13.108.00</t>
  </si>
  <si>
    <t>32604</t>
  </si>
  <si>
    <t>SWITCH,HIGH PRESSURE CONTROL</t>
  </si>
  <si>
    <t>03.13.112.00</t>
  </si>
  <si>
    <t>32605</t>
  </si>
  <si>
    <t>CONDENS UNIT,1/5 HP,115V,R513A</t>
  </si>
  <si>
    <t>03.13.113.00</t>
  </si>
  <si>
    <t>32606</t>
  </si>
  <si>
    <t>CONDENS UNIT,1/3 HP,115V,R513A</t>
  </si>
  <si>
    <t>03.13.114.00</t>
  </si>
  <si>
    <t>32611</t>
  </si>
  <si>
    <t>CONDENS UNIT,5/8 HP,115V,R513A</t>
  </si>
  <si>
    <t>03.13.116.00</t>
  </si>
  <si>
    <t>32618</t>
  </si>
  <si>
    <t>COND,3/8HP,220/240V,50HZ,R513A</t>
  </si>
  <si>
    <t>03.13.117.00</t>
  </si>
  <si>
    <t>32619</t>
  </si>
  <si>
    <t>COND,1/2HP,220/240V,50HZ,R513A</t>
  </si>
  <si>
    <t>03.13.118.00</t>
  </si>
  <si>
    <t>32620</t>
  </si>
  <si>
    <t>COND,1/3HP,220V,50/60HZ,R513A</t>
  </si>
  <si>
    <t>03.13.119.00</t>
  </si>
  <si>
    <t>32621</t>
  </si>
  <si>
    <t>COND,5/8HP,208/230V,60HZ,R513A</t>
  </si>
  <si>
    <t>03.13.120.00</t>
  </si>
  <si>
    <t>32622</t>
  </si>
  <si>
    <t>EXTERNAL PROTECTOR</t>
  </si>
  <si>
    <t>03.13.121.00</t>
  </si>
  <si>
    <t>32623</t>
  </si>
  <si>
    <t>03.13.122.00</t>
  </si>
  <si>
    <t>32624</t>
  </si>
  <si>
    <t>03.13.123.00</t>
  </si>
  <si>
    <t>32625</t>
  </si>
  <si>
    <t>03.13.124.00</t>
  </si>
  <si>
    <t>32627</t>
  </si>
  <si>
    <t>03.13.125.00</t>
  </si>
  <si>
    <t>32628</t>
  </si>
  <si>
    <t>03.13.126.00</t>
  </si>
  <si>
    <t>32628B</t>
  </si>
  <si>
    <t>03.13.127.00</t>
  </si>
  <si>
    <t>32650</t>
  </si>
  <si>
    <t>03.13.128.00</t>
  </si>
  <si>
    <t>32651</t>
  </si>
  <si>
    <t>03.13.129.00</t>
  </si>
  <si>
    <t>32652</t>
  </si>
  <si>
    <t>03.13.131.00</t>
  </si>
  <si>
    <t>32653</t>
  </si>
  <si>
    <t>03.13.132.00</t>
  </si>
  <si>
    <t>32654</t>
  </si>
  <si>
    <t>PRESSURE CONTROL</t>
  </si>
  <si>
    <t>03.13.133.00</t>
  </si>
  <si>
    <t>32655</t>
  </si>
  <si>
    <t>03.13.134.00</t>
  </si>
  <si>
    <t>32656</t>
  </si>
  <si>
    <t>03.13.135.00</t>
  </si>
  <si>
    <t>32657</t>
  </si>
  <si>
    <t>03.13.136.00</t>
  </si>
  <si>
    <t>32658</t>
  </si>
  <si>
    <t>03.13.137.00</t>
  </si>
  <si>
    <t>32659</t>
  </si>
  <si>
    <t>03.13.138.00</t>
  </si>
  <si>
    <t>32661</t>
  </si>
  <si>
    <t>03.13.139.00</t>
  </si>
  <si>
    <t>32662</t>
  </si>
  <si>
    <t>03.13.140.00</t>
  </si>
  <si>
    <t>32663</t>
  </si>
  <si>
    <t>03.13.141.00</t>
  </si>
  <si>
    <t>32664</t>
  </si>
  <si>
    <t>SIGHT GLASS</t>
  </si>
  <si>
    <t>03.13.142.00</t>
  </si>
  <si>
    <t>32665</t>
  </si>
  <si>
    <t>FILTER DRIER</t>
  </si>
  <si>
    <t>03.13.143.00</t>
  </si>
  <si>
    <t>32666</t>
  </si>
  <si>
    <t>03.13.144.00</t>
  </si>
  <si>
    <t>32667</t>
  </si>
  <si>
    <t>03.13.145.00</t>
  </si>
  <si>
    <t>32668</t>
  </si>
  <si>
    <t>SERVICE VALVE 1/2</t>
  </si>
  <si>
    <t>03.13.146.00</t>
  </si>
  <si>
    <t>32669</t>
  </si>
  <si>
    <t>03.13.147.00</t>
  </si>
  <si>
    <t>32671</t>
  </si>
  <si>
    <t>03.13.148.00</t>
  </si>
  <si>
    <t>32672</t>
  </si>
  <si>
    <t>03.13.149.00</t>
  </si>
  <si>
    <t>32673</t>
  </si>
  <si>
    <t>RUN CAPACITOR</t>
  </si>
  <si>
    <t>03.13.150.00</t>
  </si>
  <si>
    <t>32701E</t>
  </si>
  <si>
    <t>CAP &amp; RELAY ASSM</t>
  </si>
  <si>
    <t>03.13.152.00</t>
  </si>
  <si>
    <t>32704B</t>
  </si>
  <si>
    <t>03.13.153.00</t>
  </si>
  <si>
    <t>32707</t>
  </si>
  <si>
    <t>03.13.154.00</t>
  </si>
  <si>
    <t>32708</t>
  </si>
  <si>
    <t>03.13.155.00</t>
  </si>
  <si>
    <t>32709</t>
  </si>
  <si>
    <t>03.13.156.00</t>
  </si>
  <si>
    <t>32710B</t>
  </si>
  <si>
    <t>03.13.157.00</t>
  </si>
  <si>
    <t>32710S</t>
  </si>
  <si>
    <t>03.13.158.00</t>
  </si>
  <si>
    <t>32715</t>
  </si>
  <si>
    <t>03.13.159.00</t>
  </si>
  <si>
    <t>32716</t>
  </si>
  <si>
    <t>03.13.160.00</t>
  </si>
  <si>
    <t>32717</t>
  </si>
  <si>
    <t>03.13.161.00</t>
  </si>
  <si>
    <t>32717B</t>
  </si>
  <si>
    <t>03.13.162.00</t>
  </si>
  <si>
    <t>32718</t>
  </si>
  <si>
    <t>03.13.163.00</t>
  </si>
  <si>
    <t>32719</t>
  </si>
  <si>
    <t>03.13.164.00</t>
  </si>
  <si>
    <t>32747</t>
  </si>
  <si>
    <t>03.14.001.00</t>
  </si>
  <si>
    <t>32749</t>
  </si>
  <si>
    <t>3/4" SS TEE FSPS/FSPS/FSPS</t>
  </si>
  <si>
    <t>03.30.009.00</t>
  </si>
  <si>
    <t>32755</t>
  </si>
  <si>
    <t>3/4" COPPER OUTLET PIPE LC</t>
  </si>
  <si>
    <t>03.30.010.00</t>
  </si>
  <si>
    <t>32755B</t>
  </si>
  <si>
    <t>3/4" INLET TUBE ASSY NI PLTD</t>
  </si>
  <si>
    <t>03.30.014.00</t>
  </si>
  <si>
    <t>32791</t>
  </si>
  <si>
    <t>INLET TUBE,SM COMPACT,DIMPLED</t>
  </si>
  <si>
    <t>03.30.015.00</t>
  </si>
  <si>
    <t>32791B</t>
  </si>
  <si>
    <t>INLET TUBE,LG COMPACT,DIMPLED</t>
  </si>
  <si>
    <t>03.30.017.00</t>
  </si>
  <si>
    <t>32800</t>
  </si>
  <si>
    <t>INLET TUBE,LC OEM,27-39KW</t>
  </si>
  <si>
    <t>03.30.018.00</t>
  </si>
  <si>
    <t>32800A</t>
  </si>
  <si>
    <t>1/4" FLEXIBLE TUBE,42.5" LG</t>
  </si>
  <si>
    <t>03.30.024.00</t>
  </si>
  <si>
    <t>32801</t>
  </si>
  <si>
    <t>1/4" FLEXIBLE TUBE,49" LG</t>
  </si>
  <si>
    <t>03.30.025.00</t>
  </si>
  <si>
    <t>32802</t>
  </si>
  <si>
    <t>1/4" FLEXIBLE TUBE,55.5" LG</t>
  </si>
  <si>
    <t>03.30.026.00</t>
  </si>
  <si>
    <t>32805</t>
  </si>
  <si>
    <t>1/4" FLEXIBLE TUBE,62" LG</t>
  </si>
  <si>
    <t>03.30.027.00</t>
  </si>
  <si>
    <t>32808</t>
  </si>
  <si>
    <t>1/4" FLEXIBLE TUBE,68.5" LG</t>
  </si>
  <si>
    <t>03.30.028.00</t>
  </si>
  <si>
    <t>32809</t>
  </si>
  <si>
    <t>1/4" FLEXIBLE TUBE,72" LG</t>
  </si>
  <si>
    <t>03.30.029.00</t>
  </si>
  <si>
    <t>32810</t>
  </si>
  <si>
    <t>3/8" FLEXIBLE TUBE,42.5" LG</t>
  </si>
  <si>
    <t>03.30.030.00</t>
  </si>
  <si>
    <t>32811</t>
  </si>
  <si>
    <t>3/8" FLEXIBLE TUBE,49" LG</t>
  </si>
  <si>
    <t>03.30.031.00</t>
  </si>
  <si>
    <t>32812</t>
  </si>
  <si>
    <t>3/8" FLEXIBLE TUBE,55.5" LG</t>
  </si>
  <si>
    <t>03.30.032.00</t>
  </si>
  <si>
    <t>32814</t>
  </si>
  <si>
    <t>3/8" FLEXIBLE TUBE,62" LG</t>
  </si>
  <si>
    <t>03.30.033.00</t>
  </si>
  <si>
    <t>32823</t>
  </si>
  <si>
    <t>3/8" FLEXIBLE TUBE,68.5" LG</t>
  </si>
  <si>
    <t>03.30.034.00</t>
  </si>
  <si>
    <t>32824</t>
  </si>
  <si>
    <t>3/8" FLEXIBLE TUBE,72" LG</t>
  </si>
  <si>
    <t>03.40.019.00</t>
  </si>
  <si>
    <t>32826</t>
  </si>
  <si>
    <t>3/4" EXTENSION PIECE</t>
  </si>
  <si>
    <t>03.40.022.00</t>
  </si>
  <si>
    <t>32827</t>
  </si>
  <si>
    <t>3/4" BULKHEAD FITTING-FS</t>
  </si>
  <si>
    <t>03.40.023.00</t>
  </si>
  <si>
    <t>32828</t>
  </si>
  <si>
    <t>3/4" BULKHEAD JAM NUT</t>
  </si>
  <si>
    <t>03.40.034.00</t>
  </si>
  <si>
    <t>32830</t>
  </si>
  <si>
    <t>2 WAY SOLENOID VALVE 220V,240V</t>
  </si>
  <si>
    <t>03.40.042.00</t>
  </si>
  <si>
    <t>32831</t>
  </si>
  <si>
    <t>1/4" NYLO-SEAL TUBING (NAT)</t>
  </si>
  <si>
    <t>03.40.043.00</t>
  </si>
  <si>
    <t>32832</t>
  </si>
  <si>
    <t>MALE CONN 3/8"PIPE TO 1/4"TUBE</t>
  </si>
  <si>
    <t>03.40.044.00</t>
  </si>
  <si>
    <t>32833</t>
  </si>
  <si>
    <t>WATER FILL CUP</t>
  </si>
  <si>
    <t>03.40.051.00</t>
  </si>
  <si>
    <t>32834</t>
  </si>
  <si>
    <t>.750" ID B-44 TYGON TUBING</t>
  </si>
  <si>
    <t>03.40.053.00</t>
  </si>
  <si>
    <t>32836</t>
  </si>
  <si>
    <t>1/4" ID TUBING</t>
  </si>
  <si>
    <t>03.40.056.00</t>
  </si>
  <si>
    <t>32837</t>
  </si>
  <si>
    <t>3/8" MPT DRAIN SHUT OFF CPLG</t>
  </si>
  <si>
    <t>03.40.057.00</t>
  </si>
  <si>
    <t>32838</t>
  </si>
  <si>
    <t>SHOCK ABSORBER 3/4" MALE</t>
  </si>
  <si>
    <t>03.40.059.00</t>
  </si>
  <si>
    <t>32839</t>
  </si>
  <si>
    <t>O-RING 1.312ID .096 FDA SILIC</t>
  </si>
  <si>
    <t>03.40.060.00</t>
  </si>
  <si>
    <t>32840</t>
  </si>
  <si>
    <t>TUBE BRUSH,1.25 DIA</t>
  </si>
  <si>
    <t>03.40.061.00</t>
  </si>
  <si>
    <t>32841</t>
  </si>
  <si>
    <t>HOSE CLAMP SS W/LINER</t>
  </si>
  <si>
    <t>03.40.062F.00</t>
  </si>
  <si>
    <t>33100</t>
  </si>
  <si>
    <t>1.5" ID TUBE 3.562" LG</t>
  </si>
  <si>
    <t>03.40.062R.00</t>
  </si>
  <si>
    <t>33101</t>
  </si>
  <si>
    <t>1.5" ID TUBE 1.25" LG</t>
  </si>
  <si>
    <t>03.40.078.00</t>
  </si>
  <si>
    <t>33102</t>
  </si>
  <si>
    <t>1/4"FPT-1/4" FLARE CONNECT,SS</t>
  </si>
  <si>
    <t>03.40.081.00</t>
  </si>
  <si>
    <t>33103</t>
  </si>
  <si>
    <t>1/4" OD LLDPE TUBING</t>
  </si>
  <si>
    <t>03.40.082.00</t>
  </si>
  <si>
    <t>33104</t>
  </si>
  <si>
    <t>1/4"MPT X 1/4" PUSHON,LIQUIfit</t>
  </si>
  <si>
    <t>03.40.083.00</t>
  </si>
  <si>
    <t>33105</t>
  </si>
  <si>
    <t>3/8"MPT-1/4"PUSHON,LIQUIfit</t>
  </si>
  <si>
    <t>03.40.084.00</t>
  </si>
  <si>
    <t>33106</t>
  </si>
  <si>
    <t>1/4"MPT X 1/4"STEM ADAPT,LIQUI</t>
  </si>
  <si>
    <t>03.40.085.00</t>
  </si>
  <si>
    <t>33107</t>
  </si>
  <si>
    <t>1/4"PUSHON BLKHEAD UNION,LIQUI</t>
  </si>
  <si>
    <t>03.40.089.00</t>
  </si>
  <si>
    <t>33108</t>
  </si>
  <si>
    <t>3/4"ID SILICONE TUBE RRI75X1OD</t>
  </si>
  <si>
    <t>03.40.103.00</t>
  </si>
  <si>
    <t>33109</t>
  </si>
  <si>
    <t>3/8" FPT BACK FLOW PREVENTER</t>
  </si>
  <si>
    <t>03.40.104.00</t>
  </si>
  <si>
    <t>33113</t>
  </si>
  <si>
    <t>BARB,3/8" STRAIGHT X 3/8" MPT</t>
  </si>
  <si>
    <t>03.40.107.00</t>
  </si>
  <si>
    <t>33114</t>
  </si>
  <si>
    <t>TUBE,3/8" PVC,REIN,100'LONG</t>
  </si>
  <si>
    <t>03.40.127.00</t>
  </si>
  <si>
    <t>33115</t>
  </si>
  <si>
    <t>FAUCET,R1/2",G1/2",MALE ELBOW</t>
  </si>
  <si>
    <t>03.40.129.00</t>
  </si>
  <si>
    <t>33116</t>
  </si>
  <si>
    <t>DRAIN FTG,1/2NPSC,ALUM,FEMALE</t>
  </si>
  <si>
    <t>03.40.130.00</t>
  </si>
  <si>
    <t>33117</t>
  </si>
  <si>
    <t>INLET FITTING,1/2NPSC,8.2ID</t>
  </si>
  <si>
    <t>03.40.133.00</t>
  </si>
  <si>
    <t>33118</t>
  </si>
  <si>
    <t>TUBING,SILICONE,16mm ID</t>
  </si>
  <si>
    <t>03.40.136.00</t>
  </si>
  <si>
    <t>33120</t>
  </si>
  <si>
    <t>FITTING,1/2"NPT MALE,16mm BARB</t>
  </si>
  <si>
    <t>03.40.138.00</t>
  </si>
  <si>
    <t>33121</t>
  </si>
  <si>
    <t>ELBOW,12.5mm BARB,G1/2",RCTHW</t>
  </si>
  <si>
    <t>03.40.139.00</t>
  </si>
  <si>
    <t>33122</t>
  </si>
  <si>
    <t>FITTING,1/2"NPT FEM,16mm BARB</t>
  </si>
  <si>
    <t>03.40.146.00</t>
  </si>
  <si>
    <t>33123</t>
  </si>
  <si>
    <t>TUBING,CLEAR sili 1/2ID .800OD</t>
  </si>
  <si>
    <t>03.40.152.00</t>
  </si>
  <si>
    <t>33125</t>
  </si>
  <si>
    <t>1/4"MPT x 1/4" STEM ADAPTER</t>
  </si>
  <si>
    <t>03.40.153.00</t>
  </si>
  <si>
    <t>33128</t>
  </si>
  <si>
    <t>1/4" PUSH ON BULKHEAD UNION</t>
  </si>
  <si>
    <t>03.40.154.00</t>
  </si>
  <si>
    <t>33130</t>
  </si>
  <si>
    <t>TUBING, SILICONE, 9MM,I.D.</t>
  </si>
  <si>
    <t>03.40.155.00</t>
  </si>
  <si>
    <t>33131</t>
  </si>
  <si>
    <t>FITTING,TANK OUTLET,14mm/G1/4"</t>
  </si>
  <si>
    <t>03.40.156.00</t>
  </si>
  <si>
    <t>33145</t>
  </si>
  <si>
    <t>O-RING,SILICONE,11.8 ID 1.8DIA</t>
  </si>
  <si>
    <t>03.40.157.00</t>
  </si>
  <si>
    <t>33200</t>
  </si>
  <si>
    <t>GASKET,TANK TOP,FM-5</t>
  </si>
  <si>
    <t>03.40.158.00</t>
  </si>
  <si>
    <t>33200B</t>
  </si>
  <si>
    <t>GASKET,ELEMENT TOP,FM-5</t>
  </si>
  <si>
    <t>03.40.159.00</t>
  </si>
  <si>
    <t>33200C</t>
  </si>
  <si>
    <t>FITTING,EL,12mm BARB X G1/4</t>
  </si>
  <si>
    <t>03.40.160.00</t>
  </si>
  <si>
    <t>33200CB</t>
  </si>
  <si>
    <t>O-RING,SILICONE,44 ID 2.65 DIA</t>
  </si>
  <si>
    <t>03.40.161.00</t>
  </si>
  <si>
    <t>33200CE</t>
  </si>
  <si>
    <t>SILICONE ELBOW PIPE,FM-5</t>
  </si>
  <si>
    <t>03.40.162.00</t>
  </si>
  <si>
    <t>33200CEB</t>
  </si>
  <si>
    <t>SILICONE TUBE,11 OD, 8 ID</t>
  </si>
  <si>
    <t>03.40.163.00</t>
  </si>
  <si>
    <t>33200E</t>
  </si>
  <si>
    <t>FITTING STRT,1/4 TUBE TO G3/4"</t>
  </si>
  <si>
    <t>03.40.164.00</t>
  </si>
  <si>
    <t>33200EB</t>
  </si>
  <si>
    <t>PE PLASTIC PIPE,1/4" OD</t>
  </si>
  <si>
    <t>03.40.166.00</t>
  </si>
  <si>
    <t>33200GE</t>
  </si>
  <si>
    <t>SILICONE TUBE,13 OD, 9 ID</t>
  </si>
  <si>
    <t>03.40.167.00</t>
  </si>
  <si>
    <t>33200GEB</t>
  </si>
  <si>
    <t>WATER OUTLET,FM-5</t>
  </si>
  <si>
    <t>03.40.169.00</t>
  </si>
  <si>
    <t>33201</t>
  </si>
  <si>
    <t>FITTING,STRT,1/4 TUBE TO G1/2"</t>
  </si>
  <si>
    <t>03.40.174.00</t>
  </si>
  <si>
    <t>33201C</t>
  </si>
  <si>
    <t>FILTER HEAD,3/8" CONN,3M</t>
  </si>
  <si>
    <t>03.40.177.00</t>
  </si>
  <si>
    <t>33202</t>
  </si>
  <si>
    <t>FAUCET UPPER BODY,FM-5</t>
  </si>
  <si>
    <t>03.40.178.00</t>
  </si>
  <si>
    <t>33203</t>
  </si>
  <si>
    <t>MOUNTING CONNECTOR,FAUCET</t>
  </si>
  <si>
    <t>03.40.179.00</t>
  </si>
  <si>
    <t>33204</t>
  </si>
  <si>
    <t>MOUNTING RING,FAUCET</t>
  </si>
  <si>
    <t>03.40.180.00</t>
  </si>
  <si>
    <t>33204B</t>
  </si>
  <si>
    <t>FIXED NUT,FAUCET</t>
  </si>
  <si>
    <t>03.40.185.00</t>
  </si>
  <si>
    <t>33206</t>
  </si>
  <si>
    <t>VENT TUBE ASSY,FM-5</t>
  </si>
  <si>
    <t>03.40.186.00</t>
  </si>
  <si>
    <t>33206B</t>
  </si>
  <si>
    <t>FAUCET DRAIN SCREW/SP,FM-5</t>
  </si>
  <si>
    <t>03.40.187.00</t>
  </si>
  <si>
    <t>33207</t>
  </si>
  <si>
    <t>O-RING,SILICONE,28 ID 2.65 DIA</t>
  </si>
  <si>
    <t>03.40.189.00</t>
  </si>
  <si>
    <t>33207E</t>
  </si>
  <si>
    <t>3/8" STEM TO 1/4" QUICK FITTNG</t>
  </si>
  <si>
    <t>03.40.190.00</t>
  </si>
  <si>
    <t>33208</t>
  </si>
  <si>
    <t>SILICONE WASH,19OD,12ID,FM-5</t>
  </si>
  <si>
    <t>03.40.193.00</t>
  </si>
  <si>
    <t>33209</t>
  </si>
  <si>
    <t>DRAIN FTG,1/2NPSC,SS,FEMALE</t>
  </si>
  <si>
    <t>03.40.201.00</t>
  </si>
  <si>
    <t>33209B</t>
  </si>
  <si>
    <t>FITTING,16.5mm BARB X G3/4</t>
  </si>
  <si>
    <t>03.40.203.00</t>
  </si>
  <si>
    <t>33209C</t>
  </si>
  <si>
    <t>SILICONE WASH,24mmOD 15mmID</t>
  </si>
  <si>
    <t>03.40.206.00</t>
  </si>
  <si>
    <t>33210</t>
  </si>
  <si>
    <t>FILTER CARTRIDGE,HF10-MS,3M</t>
  </si>
  <si>
    <t>03.40.209.00</t>
  </si>
  <si>
    <t>33211</t>
  </si>
  <si>
    <t>TEE,PUSH ON,1/4" OD TUBE</t>
  </si>
  <si>
    <t>03.40.211.00</t>
  </si>
  <si>
    <t>33212</t>
  </si>
  <si>
    <t>FILTER HEAD,QLIX,3/8",EVERPURE</t>
  </si>
  <si>
    <t>03.40.212.00</t>
  </si>
  <si>
    <t>33217</t>
  </si>
  <si>
    <t>FILTER CARTRIDGE,2FC-S,EVERPUR</t>
  </si>
  <si>
    <t>03.40.215.00</t>
  </si>
  <si>
    <t>33218</t>
  </si>
  <si>
    <t>4 FT DRAIN HOSE, FDWDB</t>
  </si>
  <si>
    <t>03.40.219.00</t>
  </si>
  <si>
    <t>33219</t>
  </si>
  <si>
    <t>TEE,COMPRESSION,1/4" OD TUBE</t>
  </si>
  <si>
    <t>03.40.220.00</t>
  </si>
  <si>
    <t>33222</t>
  </si>
  <si>
    <t>TUBE INSRT,COMP,SS,1/4"OD TUBE</t>
  </si>
  <si>
    <t>03.40.221.00</t>
  </si>
  <si>
    <t>33223</t>
  </si>
  <si>
    <t>ONE WAY FITTING,1/4" TO 1/4"</t>
  </si>
  <si>
    <t>03.40.231.00</t>
  </si>
  <si>
    <t>33225</t>
  </si>
  <si>
    <t>TANK CONNECT TUBING,.5ID,FDWDB</t>
  </si>
  <si>
    <t>03.40.245.00</t>
  </si>
  <si>
    <t>33225C</t>
  </si>
  <si>
    <t>FITTING,END PLUG,1/4"</t>
  </si>
  <si>
    <t>03.40.248.00</t>
  </si>
  <si>
    <t>33226</t>
  </si>
  <si>
    <t>COUPLING,304 SS,1/2" NPSC FEM</t>
  </si>
  <si>
    <t>03.40.296.00</t>
  </si>
  <si>
    <t>33230</t>
  </si>
  <si>
    <t>FLEX TUBE,SS,G 1/2,95mm</t>
  </si>
  <si>
    <t>04.01.012.00</t>
  </si>
  <si>
    <t>33235</t>
  </si>
  <si>
    <t>TANK MTG STRAP CLIP LG &amp; SM CM</t>
  </si>
  <si>
    <t>04.01.013.00</t>
  </si>
  <si>
    <t>33236</t>
  </si>
  <si>
    <t>LEG 6" S.S.ADJ</t>
  </si>
  <si>
    <t>04.01.014.00</t>
  </si>
  <si>
    <t>33237</t>
  </si>
  <si>
    <t>S.S.ADJ LEG FOR DECK MTG.</t>
  </si>
  <si>
    <t>04.01.033.01</t>
  </si>
  <si>
    <t>33238</t>
  </si>
  <si>
    <t>SC BASE FRONT ASSY,BLACK</t>
  </si>
  <si>
    <t>04.01.038.00</t>
  </si>
  <si>
    <t>33240</t>
  </si>
  <si>
    <t>TOGGLE SWITCH GUARD</t>
  </si>
  <si>
    <t>04.01.115.00</t>
  </si>
  <si>
    <t>33245</t>
  </si>
  <si>
    <t>COMPONENT MTG BRKT FOR MC-10</t>
  </si>
  <si>
    <t>04.01.124.06</t>
  </si>
  <si>
    <t>33251</t>
  </si>
  <si>
    <t>MC JACKET ASSY,SILVER</t>
  </si>
  <si>
    <t>04.01.125.01</t>
  </si>
  <si>
    <t>33252</t>
  </si>
  <si>
    <t>MC BASE DRIP PROOF,BLACK</t>
  </si>
  <si>
    <t>04.01.125.OS</t>
  </si>
  <si>
    <t>33253</t>
  </si>
  <si>
    <t>MC BASE DRIP PROOF,OS</t>
  </si>
  <si>
    <t>04.01.126.00</t>
  </si>
  <si>
    <t>33254</t>
  </si>
  <si>
    <t>SS MC JACKET ASSY DRIP PROOF</t>
  </si>
  <si>
    <t>04.01.127.00</t>
  </si>
  <si>
    <t>33255</t>
  </si>
  <si>
    <t>SS MC BASE DRIP PROOF</t>
  </si>
  <si>
    <t>04.01.128.00</t>
  </si>
  <si>
    <t>33256</t>
  </si>
  <si>
    <t>MC EMBOSSED FRONT COVER</t>
  </si>
  <si>
    <t>04.01.222.00</t>
  </si>
  <si>
    <t>34100</t>
  </si>
  <si>
    <t>LC DRIP PROOF FRT CVR W/HOLES</t>
  </si>
  <si>
    <t>04.01.272.00</t>
  </si>
  <si>
    <t>34101</t>
  </si>
  <si>
    <t>POWER PANEL,LC,EZ</t>
  </si>
  <si>
    <t>04.01.273.00</t>
  </si>
  <si>
    <t>34102C</t>
  </si>
  <si>
    <t>COMPONENT BRKT,LC,STYLE A</t>
  </si>
  <si>
    <t>04.01.277.00</t>
  </si>
  <si>
    <t>34103</t>
  </si>
  <si>
    <t>COMPONENET BRKT,SC,EZ</t>
  </si>
  <si>
    <t>04.01.284.00</t>
  </si>
  <si>
    <t>34104</t>
  </si>
  <si>
    <t>THERM/LIMIT MOUNT BRKT,SC,LC</t>
  </si>
  <si>
    <t>04.01.294.00</t>
  </si>
  <si>
    <t>34104C</t>
  </si>
  <si>
    <t>CTRL PNL SIDE BRKT,LC,RH</t>
  </si>
  <si>
    <t>04.01.295.00</t>
  </si>
  <si>
    <t>34105</t>
  </si>
  <si>
    <t>CTRL PNL SIDE BRKT,LC,LH</t>
  </si>
  <si>
    <t>04.01.319.00</t>
  </si>
  <si>
    <t>34105C</t>
  </si>
  <si>
    <t>ABB 8-3 BACK ENCLOSURE,STD</t>
  </si>
  <si>
    <t>04.01.320.00</t>
  </si>
  <si>
    <t>34106</t>
  </si>
  <si>
    <t>ABB 8-3 FRONT ENCLOSURE,STD</t>
  </si>
  <si>
    <t>04.01.322.00</t>
  </si>
  <si>
    <t>34107</t>
  </si>
  <si>
    <t>ABB 11-6 FRONT ENCLOSURE,STD</t>
  </si>
  <si>
    <t>04.01.339.00</t>
  </si>
  <si>
    <t>34108</t>
  </si>
  <si>
    <t>ABB 8-3 FRONT ENCLOSURE,FUSED</t>
  </si>
  <si>
    <t>04.01.358.00</t>
  </si>
  <si>
    <t>34109</t>
  </si>
  <si>
    <t>COVER,ABB BOOSTER,JACKSON</t>
  </si>
  <si>
    <t>04.01.363.01</t>
  </si>
  <si>
    <t>34109C</t>
  </si>
  <si>
    <t>BASE,FRT ASSY LC W ETC CRS,BLK</t>
  </si>
  <si>
    <t>04.01.365.00</t>
  </si>
  <si>
    <t>34110</t>
  </si>
  <si>
    <t>FRONT COVER,SMALL COMPACT ETC</t>
  </si>
  <si>
    <t>04.01.366.00</t>
  </si>
  <si>
    <t>34111</t>
  </si>
  <si>
    <t>FRONT COVER,LARGE COMPACT ETC</t>
  </si>
  <si>
    <t>04.03.035.00</t>
  </si>
  <si>
    <t>34112</t>
  </si>
  <si>
    <t>CONTROL PANEL,IMPERIAL BOOSTER</t>
  </si>
  <si>
    <t>04.03.044.OS</t>
  </si>
  <si>
    <t>34200</t>
  </si>
  <si>
    <t>BASE FRONT IMP W/ETC,CRS,OS</t>
  </si>
  <si>
    <t>04.05.004.00</t>
  </si>
  <si>
    <t>34200B</t>
  </si>
  <si>
    <t>TK 2/S TOASTER FRAME TOP</t>
  </si>
  <si>
    <t>04.05.005.00</t>
  </si>
  <si>
    <t>34201</t>
  </si>
  <si>
    <t>TK 3/S TOASTER FRAME TOP</t>
  </si>
  <si>
    <t>04.05.050.00</t>
  </si>
  <si>
    <t>34201B</t>
  </si>
  <si>
    <t>2/S TOAST COLLECTOR PAN</t>
  </si>
  <si>
    <t>04.05.051.00</t>
  </si>
  <si>
    <t>34202</t>
  </si>
  <si>
    <t>3/S STANDARD COLLECTOR PAN</t>
  </si>
  <si>
    <t>04.05.060.00</t>
  </si>
  <si>
    <t>34203</t>
  </si>
  <si>
    <t>BUSS BAR,"U"SHAPE,2.688"LONG</t>
  </si>
  <si>
    <t>04.05.061.00</t>
  </si>
  <si>
    <t>34204</t>
  </si>
  <si>
    <t>BUSS BAR,HAT SHAPE,5"SPACING</t>
  </si>
  <si>
    <t>04.05.062.00</t>
  </si>
  <si>
    <t>34205</t>
  </si>
  <si>
    <t>BUSS BAR,FLAT,1-1/4" SPACING</t>
  </si>
  <si>
    <t>04.05.063.00</t>
  </si>
  <si>
    <t>34206</t>
  </si>
  <si>
    <t>BUSS BAR,HAT SHAPE,2 1/2" SPAC</t>
  </si>
  <si>
    <t>04.05.070.00</t>
  </si>
  <si>
    <t>34207</t>
  </si>
  <si>
    <t>FLAT BUSS BAR 4.125 LG</t>
  </si>
  <si>
    <t>04.05.073.00</t>
  </si>
  <si>
    <t>34208</t>
  </si>
  <si>
    <t>TQ-XXX WIRE FEED RAMP</t>
  </si>
  <si>
    <t>04.05.074.00</t>
  </si>
  <si>
    <t>34209</t>
  </si>
  <si>
    <t>TQ EXTENDED FEED RAMP</t>
  </si>
  <si>
    <t>04.05.075.00</t>
  </si>
  <si>
    <t>34210</t>
  </si>
  <si>
    <t>TQ WIRE FEED RAMP-EXTENDED</t>
  </si>
  <si>
    <t>04.05.101.00</t>
  </si>
  <si>
    <t>34211</t>
  </si>
  <si>
    <t>TK 2/S BASKET GUIDE</t>
  </si>
  <si>
    <t>04.05.1046.01</t>
  </si>
  <si>
    <t>34300</t>
  </si>
  <si>
    <t>FRONT PANEL,TM3-10,-10H,BLACK</t>
  </si>
  <si>
    <t>04.05.1048.00</t>
  </si>
  <si>
    <t>34301</t>
  </si>
  <si>
    <t>FRAME RH, TM3</t>
  </si>
  <si>
    <t>04.05.1050.003</t>
  </si>
  <si>
    <t>34302</t>
  </si>
  <si>
    <t>TOP/SIDE CVR,TM3-10,-10H,RED</t>
  </si>
  <si>
    <t>04.05.1050.01</t>
  </si>
  <si>
    <t>34404</t>
  </si>
  <si>
    <t>TOP/SIDE CVR,TM3-10,-10H,BLACK</t>
  </si>
  <si>
    <t>04.05.1053.00</t>
  </si>
  <si>
    <t>34405</t>
  </si>
  <si>
    <t>AIR INTAKE,TM3-10,-10H</t>
  </si>
  <si>
    <t>04.05.1054.00</t>
  </si>
  <si>
    <t>34412</t>
  </si>
  <si>
    <t>TOAST CHUTE,TM3-10,-10H</t>
  </si>
  <si>
    <t>04.05.1062.00</t>
  </si>
  <si>
    <t>34421-1</t>
  </si>
  <si>
    <t>FEED RAMP,TM3-10,-10H</t>
  </si>
  <si>
    <t>04.05.1065.00</t>
  </si>
  <si>
    <t>34421-2</t>
  </si>
  <si>
    <t>FRONT PANEL,TM3-5,-5H,SS</t>
  </si>
  <si>
    <t>04.05.1073.00</t>
  </si>
  <si>
    <t>34422</t>
  </si>
  <si>
    <t>TOAST CHUTE,TM3-5,-5H</t>
  </si>
  <si>
    <t>04.05.1077.00</t>
  </si>
  <si>
    <t>34423-1</t>
  </si>
  <si>
    <t>FEED RAMP,TM3-5,-5H</t>
  </si>
  <si>
    <t>04.05.1078.00</t>
  </si>
  <si>
    <t>34423-2</t>
  </si>
  <si>
    <t>TOP/SIDE CVR,TM3-5,-5H,SS</t>
  </si>
  <si>
    <t>04.05.1083.00</t>
  </si>
  <si>
    <t>34423-3</t>
  </si>
  <si>
    <t>HEAT SHIELD,TQ3-10</t>
  </si>
  <si>
    <t>04.05.121.00</t>
  </si>
  <si>
    <t>34424</t>
  </si>
  <si>
    <t>TK 3/S BASKET GUIDE</t>
  </si>
  <si>
    <t>04.05.122.00</t>
  </si>
  <si>
    <t>34430</t>
  </si>
  <si>
    <t>3/S CONVEYOR BASKET STD</t>
  </si>
  <si>
    <t>04.05.123.00</t>
  </si>
  <si>
    <t>34431</t>
  </si>
  <si>
    <t>3/S HOLD DOWN BAR STD</t>
  </si>
  <si>
    <t>04.05.124.00</t>
  </si>
  <si>
    <t>34433</t>
  </si>
  <si>
    <t>3/S CONVEYOR BASKET 5 1/2"HIGH</t>
  </si>
  <si>
    <t>04.05.128.00</t>
  </si>
  <si>
    <t>34434</t>
  </si>
  <si>
    <t>TK2 TOP INSULATION SUPPORT</t>
  </si>
  <si>
    <t>04.05.129.00</t>
  </si>
  <si>
    <t>34435</t>
  </si>
  <si>
    <t>TK3 TOP INSULATION SUPPORT</t>
  </si>
  <si>
    <t>04.05.141.00</t>
  </si>
  <si>
    <t>34436</t>
  </si>
  <si>
    <t>TRH BASKET GUIDE</t>
  </si>
  <si>
    <t>04.05.142.00</t>
  </si>
  <si>
    <t>34445</t>
  </si>
  <si>
    <t>2/S CONVEYOR BASKET STD</t>
  </si>
  <si>
    <t>04.05.143.00</t>
  </si>
  <si>
    <t>34446</t>
  </si>
  <si>
    <t>2/S HOLD DOWN BAR STD</t>
  </si>
  <si>
    <t>04.05.144.00</t>
  </si>
  <si>
    <t>34447</t>
  </si>
  <si>
    <t>TRH DAMPING SPRING</t>
  </si>
  <si>
    <t>04.05.207.00</t>
  </si>
  <si>
    <t>34448</t>
  </si>
  <si>
    <t>TQ BEARING SUPPORT</t>
  </si>
  <si>
    <t>04.05.211.00</t>
  </si>
  <si>
    <t>34470A</t>
  </si>
  <si>
    <t>TQ-300 TOAST TRAY ANODIZED</t>
  </si>
  <si>
    <t>04.05.215.00</t>
  </si>
  <si>
    <t>34470F</t>
  </si>
  <si>
    <t>TQ VANE ASSEMBLY</t>
  </si>
  <si>
    <t>04.05.216.00</t>
  </si>
  <si>
    <t>34470F-3</t>
  </si>
  <si>
    <t>TQ-300 RAMP</t>
  </si>
  <si>
    <t>04.05.218.00</t>
  </si>
  <si>
    <t>34470H</t>
  </si>
  <si>
    <t>TQ-300 CRUMB TRAY ASSEMBLY</t>
  </si>
  <si>
    <t>04.05.234.00</t>
  </si>
  <si>
    <t>34470H-3</t>
  </si>
  <si>
    <t>TQ-700 CRUMB TRAY ASSEMBLY</t>
  </si>
  <si>
    <t>04.05.235.00</t>
  </si>
  <si>
    <t>34471</t>
  </si>
  <si>
    <t>TQ-700 RAMP</t>
  </si>
  <si>
    <t>04.05.238.00</t>
  </si>
  <si>
    <t>34479</t>
  </si>
  <si>
    <t>TQ-700 TOAST TRAY ANODIZED</t>
  </si>
  <si>
    <t>04.05.286.00</t>
  </si>
  <si>
    <t>34479-3</t>
  </si>
  <si>
    <t>BEARING WITH BRKT, .375ID</t>
  </si>
  <si>
    <t>04.05.303.00</t>
  </si>
  <si>
    <t>34480-11</t>
  </si>
  <si>
    <t>PANEL,RH,SIDE COVER,TQ-800</t>
  </si>
  <si>
    <t>04.05.309.01</t>
  </si>
  <si>
    <t>34480-12</t>
  </si>
  <si>
    <t>COVER,SUPPORT,TQ-800,1800,BLK</t>
  </si>
  <si>
    <t>04.05.310.00</t>
  </si>
  <si>
    <t>34480-33</t>
  </si>
  <si>
    <t>PAN,TQ TOAST COLLECTOR,</t>
  </si>
  <si>
    <t>04.05.311.00</t>
  </si>
  <si>
    <t>34481-11</t>
  </si>
  <si>
    <t>TOAST CHUTE,TQ-800</t>
  </si>
  <si>
    <t>04.05.312.00</t>
  </si>
  <si>
    <t>34481-12</t>
  </si>
  <si>
    <t>BAFFLE,AIR INTAKE,TQ</t>
  </si>
  <si>
    <t>04.05.314.00</t>
  </si>
  <si>
    <t>34481-13</t>
  </si>
  <si>
    <t>BRACKET,TOP ELEMENT,TQ-800H</t>
  </si>
  <si>
    <t>04.05.317.00</t>
  </si>
  <si>
    <t>34481A</t>
  </si>
  <si>
    <t>FEED RAMP,TQ,STANDARD</t>
  </si>
  <si>
    <t>04.05.319.00</t>
  </si>
  <si>
    <t>34482-1</t>
  </si>
  <si>
    <t>PANEL,LH,SIDE COVER,TQ-800</t>
  </si>
  <si>
    <t>04.05.321.00</t>
  </si>
  <si>
    <t>34483-1</t>
  </si>
  <si>
    <t>HEAT SHIELD,TQ</t>
  </si>
  <si>
    <t>04.05.323.00</t>
  </si>
  <si>
    <t>34484</t>
  </si>
  <si>
    <t>CRUMBTRAY FRONT PNL,TQ,2 SLICE</t>
  </si>
  <si>
    <t>04.05.327.00</t>
  </si>
  <si>
    <t>34485</t>
  </si>
  <si>
    <t>COVER,TOP,TQ-400</t>
  </si>
  <si>
    <t>04.05.329.00</t>
  </si>
  <si>
    <t>34486</t>
  </si>
  <si>
    <t>PANEL,RH,SIDE COVER,TQ SHORT</t>
  </si>
  <si>
    <t>04.05.330.00</t>
  </si>
  <si>
    <t>34491</t>
  </si>
  <si>
    <t>PANEL,REAR,TQ SHORT</t>
  </si>
  <si>
    <t>04.05.332.01</t>
  </si>
  <si>
    <t>34492</t>
  </si>
  <si>
    <t>COVER,SUPPORT,TQ-400,BLK</t>
  </si>
  <si>
    <t>04.05.333.00</t>
  </si>
  <si>
    <t>34492B</t>
  </si>
  <si>
    <t>TOAST CHUTE,TQ-400</t>
  </si>
  <si>
    <t>04.05.335.00</t>
  </si>
  <si>
    <t>34494</t>
  </si>
  <si>
    <t>BRACKET,TOP,1-ELEMENT,TQ SHORT</t>
  </si>
  <si>
    <t>04.05.336.00</t>
  </si>
  <si>
    <t>34495</t>
  </si>
  <si>
    <t>BRACKET,LOWER ELEMENT,TQ</t>
  </si>
  <si>
    <t>04.05.337.00</t>
  </si>
  <si>
    <t>34496</t>
  </si>
  <si>
    <t>FEED RAMP,TQ SHORT</t>
  </si>
  <si>
    <t>04.05.338.00</t>
  </si>
  <si>
    <t>34498</t>
  </si>
  <si>
    <t>PANEL,LH,SIDE COVER,TQ SHORT</t>
  </si>
  <si>
    <t>04.05.350.00</t>
  </si>
  <si>
    <t>34499</t>
  </si>
  <si>
    <t>REFLECTOR ASSY,UPPER,TQ-800H</t>
  </si>
  <si>
    <t>04.05.351.00</t>
  </si>
  <si>
    <t>345.01</t>
  </si>
  <si>
    <t>REFLECTOR ASSY,LOWER,TQ-800</t>
  </si>
  <si>
    <t>04.05.357.00</t>
  </si>
  <si>
    <t>3450.1</t>
  </si>
  <si>
    <t>BRACKET,TOP ELEMENT,TQ-800</t>
  </si>
  <si>
    <t>04.05.358.00</t>
  </si>
  <si>
    <t>34500-1</t>
  </si>
  <si>
    <t>REFLECTOR ASSY,UPPER,TQ-800</t>
  </si>
  <si>
    <t>04.05.359.00</t>
  </si>
  <si>
    <t>34500-2</t>
  </si>
  <si>
    <t>REFLECTOR ASSY,UPPER,TQ-400</t>
  </si>
  <si>
    <t>04.05.360.00</t>
  </si>
  <si>
    <t>34500-31</t>
  </si>
  <si>
    <t>REFLECTOR ASSY,LOWER,TQ-400</t>
  </si>
  <si>
    <t>04.05.363.00</t>
  </si>
  <si>
    <t>34500-32</t>
  </si>
  <si>
    <t>TOAST CHUTE,TQ-10</t>
  </si>
  <si>
    <t>04.05.366.00</t>
  </si>
  <si>
    <t>34502</t>
  </si>
  <si>
    <t>TQ 2 SLICE SS CONVEYOR SHAFT</t>
  </si>
  <si>
    <t>04.05.377.00</t>
  </si>
  <si>
    <t>34503</t>
  </si>
  <si>
    <t>HEAT SHIELD,LOWER,TQ-800</t>
  </si>
  <si>
    <t>04.05.379.01</t>
  </si>
  <si>
    <t>34505</t>
  </si>
  <si>
    <t>COVER,TOP,TQ-10,BLACK</t>
  </si>
  <si>
    <t>04.05.380.00</t>
  </si>
  <si>
    <t>34508</t>
  </si>
  <si>
    <t>CHIMNEY,TQ-1200,800</t>
  </si>
  <si>
    <t>04.05.384.00</t>
  </si>
  <si>
    <t>37102</t>
  </si>
  <si>
    <t>PANTQ-800,1200TOASTCOLLECT</t>
  </si>
  <si>
    <t>04.05.386.00</t>
  </si>
  <si>
    <t>37105I</t>
  </si>
  <si>
    <t>TQ SHAFT ASSEMBLY 1.15 WHEEL</t>
  </si>
  <si>
    <t>04.05.387.00</t>
  </si>
  <si>
    <t>37106</t>
  </si>
  <si>
    <t>BEARING ASSY,3/8" FLANGE W/NUT</t>
  </si>
  <si>
    <t>04.05.425.00</t>
  </si>
  <si>
    <t>37107</t>
  </si>
  <si>
    <t>FEED RAMP,TQ-800,8 SLICE</t>
  </si>
  <si>
    <t>04.05.430.00</t>
  </si>
  <si>
    <t>37108</t>
  </si>
  <si>
    <t>PANEL,RH,SIDE COVER,TQ-400H</t>
  </si>
  <si>
    <t>04.05.431.00</t>
  </si>
  <si>
    <t>37109</t>
  </si>
  <si>
    <t>PANEL,LH,SIDE COVER,TQ-400H</t>
  </si>
  <si>
    <t>04.05.433.00</t>
  </si>
  <si>
    <t>37110</t>
  </si>
  <si>
    <t>COVER,TOP,TQ-400H,SS,UNFIN</t>
  </si>
  <si>
    <t>04.05.457.00</t>
  </si>
  <si>
    <t>37125P</t>
  </si>
  <si>
    <t>TOAST CHUTE,TQ-20</t>
  </si>
  <si>
    <t>04.05.465.00</t>
  </si>
  <si>
    <t>37131I</t>
  </si>
  <si>
    <t>TQ SHAFT ASY 1.15 WHL 3 SLICE</t>
  </si>
  <si>
    <t>04.05.474.00</t>
  </si>
  <si>
    <t>37133I</t>
  </si>
  <si>
    <t>HEAT SHIELD,TQ 3 SLICE,LOWER</t>
  </si>
  <si>
    <t>04.05.477.00</t>
  </si>
  <si>
    <t>37135I</t>
  </si>
  <si>
    <t>BAFFLE,TQ 3 SLICE,AIR INTAKE</t>
  </si>
  <si>
    <t>04.05.478.00</t>
  </si>
  <si>
    <t>37137</t>
  </si>
  <si>
    <t>COVER,TOP,TQ 3 SLICE,SS</t>
  </si>
  <si>
    <t>04.05.479.00</t>
  </si>
  <si>
    <t>37139</t>
  </si>
  <si>
    <t>TOAST CHUTE,TQ 3 SLICE</t>
  </si>
  <si>
    <t>04.05.482.00</t>
  </si>
  <si>
    <t>37155P</t>
  </si>
  <si>
    <t>CHIMNEY,TQ 3 SLICE</t>
  </si>
  <si>
    <t>04.05.483.00</t>
  </si>
  <si>
    <t>37160</t>
  </si>
  <si>
    <t>PANTQ3SLICETOASTCOLLECTOR</t>
  </si>
  <si>
    <t>04.05.485.00</t>
  </si>
  <si>
    <t>37165</t>
  </si>
  <si>
    <t>FEED RAMP,TQ-1800</t>
  </si>
  <si>
    <t>04.05.489.00</t>
  </si>
  <si>
    <t>37171</t>
  </si>
  <si>
    <t>HEAT SHIELD,TQ-20,LOWER</t>
  </si>
  <si>
    <t>04.05.491.00</t>
  </si>
  <si>
    <t>37175</t>
  </si>
  <si>
    <t>TQ SHAFT ASY 1.15 WHL (3)</t>
  </si>
  <si>
    <t>04.05.563.00</t>
  </si>
  <si>
    <t>37176</t>
  </si>
  <si>
    <t>SIDE COVER,RH,TM</t>
  </si>
  <si>
    <t>04.05.564.00</t>
  </si>
  <si>
    <t>37180</t>
  </si>
  <si>
    <t>SIDE COVER,LH,TM</t>
  </si>
  <si>
    <t>04.05.565.00</t>
  </si>
  <si>
    <t>37183</t>
  </si>
  <si>
    <t>PANEL,BACK,TM-5</t>
  </si>
  <si>
    <t>04.05.575.00</t>
  </si>
  <si>
    <t>37184</t>
  </si>
  <si>
    <t>BRKT,ELEMENT,TM</t>
  </si>
  <si>
    <t>04.05.582.00</t>
  </si>
  <si>
    <t>37188</t>
  </si>
  <si>
    <t>CONVEYOR OUT PLATE,TM-5</t>
  </si>
  <si>
    <t>04.05.583.00</t>
  </si>
  <si>
    <t>37189</t>
  </si>
  <si>
    <t>TOAST CHUTE,TM-5</t>
  </si>
  <si>
    <t>04.05.584.00</t>
  </si>
  <si>
    <t>37190</t>
  </si>
  <si>
    <t>REAR,TOAST TRAY,TM-5</t>
  </si>
  <si>
    <t>04.05.585.00</t>
  </si>
  <si>
    <t>37191</t>
  </si>
  <si>
    <t>INNER TOP AIR DUCT,TM-5</t>
  </si>
  <si>
    <t>04.05.605.00</t>
  </si>
  <si>
    <t>37192</t>
  </si>
  <si>
    <t>FRAME ASSEMBLY,RH,TM</t>
  </si>
  <si>
    <t>04.05.606.00</t>
  </si>
  <si>
    <t>37193</t>
  </si>
  <si>
    <t>FRAME ASSEMBLY,LH,TM</t>
  </si>
  <si>
    <t>04.05.610.00</t>
  </si>
  <si>
    <t>37194</t>
  </si>
  <si>
    <t>SHAFT ASSY,TM-5</t>
  </si>
  <si>
    <t>04.05.611.00</t>
  </si>
  <si>
    <t>37195</t>
  </si>
  <si>
    <t>FEED RAMP,TM-5</t>
  </si>
  <si>
    <t>04.05.612.00</t>
  </si>
  <si>
    <t>37196</t>
  </si>
  <si>
    <t>UPPER REFLECTOR ASSY,TM-5</t>
  </si>
  <si>
    <t>04.05.613.00</t>
  </si>
  <si>
    <t>37197</t>
  </si>
  <si>
    <t>LOWER REFLECTOR ASSY,TM-5</t>
  </si>
  <si>
    <t>04.05.615.00</t>
  </si>
  <si>
    <t>37198</t>
  </si>
  <si>
    <t>UPPER REFLECTOR ASSY,TM-10</t>
  </si>
  <si>
    <t>04.05.616.00</t>
  </si>
  <si>
    <t>37199</t>
  </si>
  <si>
    <t>LOWER REFLECTOR ASSY,TM-10</t>
  </si>
  <si>
    <t>04.05.620.00</t>
  </si>
  <si>
    <t>37202</t>
  </si>
  <si>
    <t>PANEL,BACK,TM-10</t>
  </si>
  <si>
    <t>04.05.627.00</t>
  </si>
  <si>
    <t>37203</t>
  </si>
  <si>
    <t>CONVEYOR OUT PLATE,TM-10</t>
  </si>
  <si>
    <t>04.05.628.00</t>
  </si>
  <si>
    <t>37204</t>
  </si>
  <si>
    <t>TOAST CHUTE,TM-10</t>
  </si>
  <si>
    <t>04.05.629.00</t>
  </si>
  <si>
    <t>37205</t>
  </si>
  <si>
    <t>REAR,TOAST TRAY,TM-10</t>
  </si>
  <si>
    <t>04.05.631.00</t>
  </si>
  <si>
    <t>37206</t>
  </si>
  <si>
    <t>BAFFLE PLT,INNER TOP,TM-10</t>
  </si>
  <si>
    <t>04.05.640.00</t>
  </si>
  <si>
    <t>37207</t>
  </si>
  <si>
    <t>FEED RAMP,TM-10</t>
  </si>
  <si>
    <t>04.05.643.00</t>
  </si>
  <si>
    <t>37209</t>
  </si>
  <si>
    <t>BRKT,CONTROL PANEL,TPT-120</t>
  </si>
  <si>
    <t>04.05.644.00</t>
  </si>
  <si>
    <t>37213</t>
  </si>
  <si>
    <t>CONTROL PANEL,TPT-120</t>
  </si>
  <si>
    <t>04.05.692.00</t>
  </si>
  <si>
    <t>37213B</t>
  </si>
  <si>
    <t>BELT SUPPORT,TQ-20BA</t>
  </si>
  <si>
    <t>04.05.747.00</t>
  </si>
  <si>
    <t>37220C</t>
  </si>
  <si>
    <t>BRACKET,TOP ELEMENT,TM</t>
  </si>
  <si>
    <t>04.05.750.00</t>
  </si>
  <si>
    <t>37230</t>
  </si>
  <si>
    <t>BRACKET,TOP ELEMENT,TM-H</t>
  </si>
  <si>
    <t>04.05.778.00</t>
  </si>
  <si>
    <t>37230B</t>
  </si>
  <si>
    <t>WIRE GUIDE,TOAST,RIGHT,TPT</t>
  </si>
  <si>
    <t>04.05.781.00</t>
  </si>
  <si>
    <t>37231</t>
  </si>
  <si>
    <t>WIRE GUIDE,TOAST,LEFT,TPT</t>
  </si>
  <si>
    <t>04.05.783.00</t>
  </si>
  <si>
    <t>37232</t>
  </si>
  <si>
    <t>CARRIAGE ASSY,TPT</t>
  </si>
  <si>
    <t>04.05.795.00</t>
  </si>
  <si>
    <t>37233</t>
  </si>
  <si>
    <t>CRUMB TRAY ASSEMBLY,TPT3</t>
  </si>
  <si>
    <t>04.05.825.00</t>
  </si>
  <si>
    <t>37234</t>
  </si>
  <si>
    <t>BEARING BRACKET ASSY,ITQ</t>
  </si>
  <si>
    <t>04.05.828.00</t>
  </si>
  <si>
    <t>37240</t>
  </si>
  <si>
    <t>SIDE COVER,CONVEYOR,LH,ITQ</t>
  </si>
  <si>
    <t>04.05.829.00</t>
  </si>
  <si>
    <t>37245</t>
  </si>
  <si>
    <t>SIDE COVER,CONVEYOR,RH,ITQ</t>
  </si>
  <si>
    <t>04.05.863.00</t>
  </si>
  <si>
    <t>37301</t>
  </si>
  <si>
    <t>BELT SUPPORT,ABOVE ELEMENT,ITQ</t>
  </si>
  <si>
    <t>04.05.874.00</t>
  </si>
  <si>
    <t>37302</t>
  </si>
  <si>
    <t>BELT SUPPORT,ELEMENT BRKT,ITQ</t>
  </si>
  <si>
    <t>04.05.897.00</t>
  </si>
  <si>
    <t>37303</t>
  </si>
  <si>
    <t>BRACKET,BOTTOM ELEMENT,ITQ</t>
  </si>
  <si>
    <t>04.05.906.00</t>
  </si>
  <si>
    <t>37313</t>
  </si>
  <si>
    <t>REAR,TOAST TRAY,TM-5,HORIZ</t>
  </si>
  <si>
    <t>04.05.920.00</t>
  </si>
  <si>
    <t>37330</t>
  </si>
  <si>
    <t>TOP COVER,ITQ</t>
  </si>
  <si>
    <t>04.05.921.00</t>
  </si>
  <si>
    <t>37340</t>
  </si>
  <si>
    <t>TOAST CHUTE,HARDCOAT,ITQ</t>
  </si>
  <si>
    <t>04.05.932.00</t>
  </si>
  <si>
    <t>37341</t>
  </si>
  <si>
    <t>SHAFT ASSY,DRIVE,ITQ</t>
  </si>
  <si>
    <t>04.05.933.00</t>
  </si>
  <si>
    <t>37342</t>
  </si>
  <si>
    <t>SHAFT ASSY,FRONT,ITQ</t>
  </si>
  <si>
    <t>04.05.934.00</t>
  </si>
  <si>
    <t>37405C</t>
  </si>
  <si>
    <t>TUBING,SS,1/4OD .028T X 10.75</t>
  </si>
  <si>
    <t>04.05.935.00</t>
  </si>
  <si>
    <t>37406P</t>
  </si>
  <si>
    <t>THREADED ROD,PLT,8-32X12"</t>
  </si>
  <si>
    <t>04.05.940.00</t>
  </si>
  <si>
    <t>37416</t>
  </si>
  <si>
    <t>BRACKET,TOP ELEMENT,ITQ</t>
  </si>
  <si>
    <t>04.05.946.00</t>
  </si>
  <si>
    <t>37430</t>
  </si>
  <si>
    <t>TOP REFLECTOR ASSY,ITQ</t>
  </si>
  <si>
    <t>04.05.947.00</t>
  </si>
  <si>
    <t>37434</t>
  </si>
  <si>
    <t>LOWER REFLECTOR ASSY,ITQ</t>
  </si>
  <si>
    <t>04.05.959.00</t>
  </si>
  <si>
    <t>37437</t>
  </si>
  <si>
    <t>SIDE COVER,RH,ITQ,NO LOGO</t>
  </si>
  <si>
    <t>04.05.973.00</t>
  </si>
  <si>
    <t>37438</t>
  </si>
  <si>
    <t>COVER,LH,INSULATION,ITQ-2C</t>
  </si>
  <si>
    <t>04.05.974.00</t>
  </si>
  <si>
    <t>37439</t>
  </si>
  <si>
    <t>COVER,RH,INSULATION,ITQ-2C</t>
  </si>
  <si>
    <t>04.05.975.00</t>
  </si>
  <si>
    <t>37440</t>
  </si>
  <si>
    <t>BRKT,TOP ELEM,ITQ-2C</t>
  </si>
  <si>
    <t>04.05.988.00</t>
  </si>
  <si>
    <t>37441</t>
  </si>
  <si>
    <t>SIDE COVER,LH,ITQ-2C</t>
  </si>
  <si>
    <t>04.06.007.01</t>
  </si>
  <si>
    <t>37442</t>
  </si>
  <si>
    <t>BASE ASSY,3CS 1&amp;2 ELEM,BLK</t>
  </si>
  <si>
    <t>04.06.007.OS</t>
  </si>
  <si>
    <t>37443</t>
  </si>
  <si>
    <t>BASE ASSY,3CS 1&amp;2 ELEM,OS</t>
  </si>
  <si>
    <t>04.06.009.00</t>
  </si>
  <si>
    <t>37451</t>
  </si>
  <si>
    <t>BASE ASSY 3CS 1&amp;2 ELEM S.S.</t>
  </si>
  <si>
    <t>04.06.015.01</t>
  </si>
  <si>
    <t>37452</t>
  </si>
  <si>
    <t>COVER,BOT,3CS/FR 1&amp;2 ELE,BLK</t>
  </si>
  <si>
    <t>04.06.015.OS</t>
  </si>
  <si>
    <t>37453</t>
  </si>
  <si>
    <t>COVER,BOT,3CS/FR 1&amp;2 ELE,OS</t>
  </si>
  <si>
    <t>04.06.016.01</t>
  </si>
  <si>
    <t>37454</t>
  </si>
  <si>
    <t>BOT COVER,3CS,3 ELEMT,BLK</t>
  </si>
  <si>
    <t>04.06.016.OS</t>
  </si>
  <si>
    <t>37456</t>
  </si>
  <si>
    <t>BOT COVER,3CS,3 ELEMT,OS</t>
  </si>
  <si>
    <t>04.06.017.00</t>
  </si>
  <si>
    <t>37457</t>
  </si>
  <si>
    <t>3CS/FR 1&amp;2 ELEM S.S.BOTTOM COV</t>
  </si>
  <si>
    <t>04.06.018.00</t>
  </si>
  <si>
    <t>37458</t>
  </si>
  <si>
    <t>3CS 3 ELEM S.S.BOTTOM COVER</t>
  </si>
  <si>
    <t>04.06.021.06</t>
  </si>
  <si>
    <t>37460</t>
  </si>
  <si>
    <t>END PLT,REAR 3CS/FR,1&amp;2ELM,SLV</t>
  </si>
  <si>
    <t>04.06.022.06</t>
  </si>
  <si>
    <t>37465</t>
  </si>
  <si>
    <t>END PLT,REAR 3CS/FR,3 ELMT,SLV</t>
  </si>
  <si>
    <t>04.06.070.00</t>
  </si>
  <si>
    <t>37470</t>
  </si>
  <si>
    <t>END CVR 1,2 ELEM 3CS/FR 2-HOLE</t>
  </si>
  <si>
    <t>04.06.073.00</t>
  </si>
  <si>
    <t>37480</t>
  </si>
  <si>
    <t>END CVR 3 ELEM 3CS/FR 2 HOLE</t>
  </si>
  <si>
    <t>04.06.074.00</t>
  </si>
  <si>
    <t>37482</t>
  </si>
  <si>
    <t>END CVR 3 ELEM 3CS/FR 3 HOLE</t>
  </si>
  <si>
    <t>04.06.076.01</t>
  </si>
  <si>
    <t>37483</t>
  </si>
  <si>
    <t>FRONT PLT,1&amp;2 ELEM 3CS/FR,BLK</t>
  </si>
  <si>
    <t>04.06.076.OS</t>
  </si>
  <si>
    <t>37604</t>
  </si>
  <si>
    <t>FRONT PLT,1&amp;2 ELEM 3CS/FR,OS</t>
  </si>
  <si>
    <t>04.06.077.00</t>
  </si>
  <si>
    <t>37605</t>
  </si>
  <si>
    <t>3CS/FR 1,2 ELE SS BASE FRONT</t>
  </si>
  <si>
    <t>04.06.082.00</t>
  </si>
  <si>
    <t>37606</t>
  </si>
  <si>
    <t>3CS/FR 3 ELE SS BASE FRONT</t>
  </si>
  <si>
    <t>04.06.087.06</t>
  </si>
  <si>
    <t>37607</t>
  </si>
  <si>
    <t>JACKET,3CS&amp;FR HTRS,1&amp;2 ELM,SLV</t>
  </si>
  <si>
    <t>04.06.088.00</t>
  </si>
  <si>
    <t>37608</t>
  </si>
  <si>
    <t>3CS/FR 1,2 ELEM SS JACKET</t>
  </si>
  <si>
    <t>04.06.089.06</t>
  </si>
  <si>
    <t>37612</t>
  </si>
  <si>
    <t>JACKET,3CS &amp;FR,2&amp;3 ELEM,SLV</t>
  </si>
  <si>
    <t>04.06.090.00</t>
  </si>
  <si>
    <t>37613</t>
  </si>
  <si>
    <t>3CS/FR 3 ELEM SS JACKET</t>
  </si>
  <si>
    <t>04.06.113.01</t>
  </si>
  <si>
    <t>37614</t>
  </si>
  <si>
    <t>BASE ASSY,3CS,2&amp;3 ELEM,BLK</t>
  </si>
  <si>
    <t>04.06.113.OS</t>
  </si>
  <si>
    <t>37615</t>
  </si>
  <si>
    <t>BASE ASSY,3CS,2&amp;3 ELEM,OS</t>
  </si>
  <si>
    <t>04.06.114.00</t>
  </si>
  <si>
    <t>37617</t>
  </si>
  <si>
    <t>.3S/FR 3 ELEM S.S.BASE</t>
  </si>
  <si>
    <t>04.06.204.00</t>
  </si>
  <si>
    <t>37618</t>
  </si>
  <si>
    <t>SINK BAFFLE PLATE RECON HTR</t>
  </si>
  <si>
    <t>04.06.210.00</t>
  </si>
  <si>
    <t>37621</t>
  </si>
  <si>
    <t>TUBULAR LEGS 1" DIA 34" LONG</t>
  </si>
  <si>
    <t>04.06.222.01</t>
  </si>
  <si>
    <t>37622</t>
  </si>
  <si>
    <t>FHX SIDE PANEL BLACK</t>
  </si>
  <si>
    <t>04.06.222.OS</t>
  </si>
  <si>
    <t>37625</t>
  </si>
  <si>
    <t>FHX SIDE PANEL,OS</t>
  </si>
  <si>
    <t>04.06.223.00</t>
  </si>
  <si>
    <t>37626</t>
  </si>
  <si>
    <t>FHX FRONT HEAD STRAP</t>
  </si>
  <si>
    <t>04.06.224.00</t>
  </si>
  <si>
    <t>37627</t>
  </si>
  <si>
    <t>FHX REAR HEAD STRAP</t>
  </si>
  <si>
    <t>04.06.232.00</t>
  </si>
  <si>
    <t>37628</t>
  </si>
  <si>
    <t>FHX SIDE PANEL S.S.</t>
  </si>
  <si>
    <t>04.06.245.00</t>
  </si>
  <si>
    <t>37642</t>
  </si>
  <si>
    <t>HH2 SS TOP ASSY</t>
  </si>
  <si>
    <t>04.06.246.01</t>
  </si>
  <si>
    <t>37650</t>
  </si>
  <si>
    <t>HH2 WRAPPER ASSY,BLK</t>
  </si>
  <si>
    <t>04.06.246.OS</t>
  </si>
  <si>
    <t>37651</t>
  </si>
  <si>
    <t>HH2 WRAPPER ASSY,OS</t>
  </si>
  <si>
    <t>04.06.247.00</t>
  </si>
  <si>
    <t>37652</t>
  </si>
  <si>
    <t>HH2 SS WRAPPER ASSY</t>
  </si>
  <si>
    <t>04.06.248.00</t>
  </si>
  <si>
    <t>37653</t>
  </si>
  <si>
    <t>HH2 3 ELEM FRONT CONTROL PANEL</t>
  </si>
  <si>
    <t>04.06.254.00</t>
  </si>
  <si>
    <t>37654</t>
  </si>
  <si>
    <t>BALL VALVE ACTUATOR SWITCH ARM</t>
  </si>
  <si>
    <t>04.06.259.01</t>
  </si>
  <si>
    <t>37655</t>
  </si>
  <si>
    <t>HH2 WRAP ASY AUTO FILL,BLK</t>
  </si>
  <si>
    <t>04.06.263.00</t>
  </si>
  <si>
    <t>37656</t>
  </si>
  <si>
    <t>HH2 3 ELE FRT PNL W/BI CPI</t>
  </si>
  <si>
    <t>04.06.281.00</t>
  </si>
  <si>
    <t>37657</t>
  </si>
  <si>
    <t>VENTED BOTTOM,FULL SIZE PAN</t>
  </si>
  <si>
    <t>04.06.353.00</t>
  </si>
  <si>
    <t>37658</t>
  </si>
  <si>
    <t>FRONT CONNECTOR GUARD,HH2</t>
  </si>
  <si>
    <t>04.08.042.00</t>
  </si>
  <si>
    <t>37659</t>
  </si>
  <si>
    <t>GR HANGER TAB</t>
  </si>
  <si>
    <t>04.08.042.01</t>
  </si>
  <si>
    <t>37660</t>
  </si>
  <si>
    <t>GR HANGER TAB,BLACK</t>
  </si>
  <si>
    <t>04.08.044.00</t>
  </si>
  <si>
    <t>37661</t>
  </si>
  <si>
    <t>GR WALL MOUNTING BRKT</t>
  </si>
  <si>
    <t>04.08.055.00</t>
  </si>
  <si>
    <t>37662</t>
  </si>
  <si>
    <t>SERVICE END CVR,STD,3.0"LG</t>
  </si>
  <si>
    <t>04.08.060.00</t>
  </si>
  <si>
    <t>37663</t>
  </si>
  <si>
    <t>NON-ADJ LEG FLG CLEAR ANODIZED</t>
  </si>
  <si>
    <t>04.08.065.00</t>
  </si>
  <si>
    <t>37664</t>
  </si>
  <si>
    <t>SERVICE END CVR,SLANT,LH,3.0"</t>
  </si>
  <si>
    <t>04.08.066.00</t>
  </si>
  <si>
    <t>37665</t>
  </si>
  <si>
    <t>SERVICE END CVR,SLANT,RH,3.0"</t>
  </si>
  <si>
    <t>04.08.067.00</t>
  </si>
  <si>
    <t>37667</t>
  </si>
  <si>
    <t>END CVR,3" LAMP,2.938"LG</t>
  </si>
  <si>
    <t>04.08.117.00</t>
  </si>
  <si>
    <t>37668</t>
  </si>
  <si>
    <t>10" WIRE GUARD-CERAMIC ELEMENT</t>
  </si>
  <si>
    <t>04.08.121.00</t>
  </si>
  <si>
    <t>37669</t>
  </si>
  <si>
    <t>6" WIRE GUARD-CERAMIC ELEMENT</t>
  </si>
  <si>
    <t>04.08.133.00</t>
  </si>
  <si>
    <t>37670</t>
  </si>
  <si>
    <t>10" SS WIRE GUARD-CERAMIC ELE</t>
  </si>
  <si>
    <t>04.08.150.00</t>
  </si>
  <si>
    <t>37671</t>
  </si>
  <si>
    <t>END CVR,HI-GLO,3.0"LG</t>
  </si>
  <si>
    <t>04.08.170.00</t>
  </si>
  <si>
    <t>37672</t>
  </si>
  <si>
    <t>6" EMITTER WIREGUARD 15" LONG</t>
  </si>
  <si>
    <t>04.08.171.00</t>
  </si>
  <si>
    <t>37673</t>
  </si>
  <si>
    <t>6" EMITTER WIREGUARD 22" LONG</t>
  </si>
  <si>
    <t>04.08.172.00</t>
  </si>
  <si>
    <t>37674</t>
  </si>
  <si>
    <t>6" EMITTER WIREGUARD 28" LONG</t>
  </si>
  <si>
    <t>04.08.173.00</t>
  </si>
  <si>
    <t>37675</t>
  </si>
  <si>
    <t>6" EMITTER WIREGUARD 19.063 LG</t>
  </si>
  <si>
    <t>04.08.453.01</t>
  </si>
  <si>
    <t>37676</t>
  </si>
  <si>
    <t>NON-ADJ LEG FLG CLEAR UGA</t>
  </si>
  <si>
    <t>04.08.469.00</t>
  </si>
  <si>
    <t>37678</t>
  </si>
  <si>
    <t>T-LEG END MOUNT STABILIZER</t>
  </si>
  <si>
    <t>04.08.479.00</t>
  </si>
  <si>
    <t>37679</t>
  </si>
  <si>
    <t>GR36 SS STD REFLECTOR</t>
  </si>
  <si>
    <t>04.08.482.00</t>
  </si>
  <si>
    <t>37680</t>
  </si>
  <si>
    <t>GR72 SS STD REFLECTOR</t>
  </si>
  <si>
    <t>04.08.486.00</t>
  </si>
  <si>
    <t>37681</t>
  </si>
  <si>
    <t>END CVR,MOUNT BRKT,GR</t>
  </si>
  <si>
    <t>04.08.530.00</t>
  </si>
  <si>
    <t>37682</t>
  </si>
  <si>
    <t>SPACE,NONADJ LEG FLG CLEAR ANO</t>
  </si>
  <si>
    <t>04.08.531.00</t>
  </si>
  <si>
    <t>37683</t>
  </si>
  <si>
    <t>WIREGUARD,GRCMW,17" LONG</t>
  </si>
  <si>
    <t>04.08.549.00</t>
  </si>
  <si>
    <t>37684</t>
  </si>
  <si>
    <t>BRKT,ADJ ANGLE,1-2" DROP,UGA</t>
  </si>
  <si>
    <t>04.08.551.00</t>
  </si>
  <si>
    <t>37685</t>
  </si>
  <si>
    <t>GR S.S.ADJ TUBULAR SET</t>
  </si>
  <si>
    <t>04.08.553.00</t>
  </si>
  <si>
    <t>37686</t>
  </si>
  <si>
    <t>END CVR,SUPPORT,3.1",301SS</t>
  </si>
  <si>
    <t>04.08.554.00</t>
  </si>
  <si>
    <t>37687</t>
  </si>
  <si>
    <t>END CVR,WIRING,1.875",301SS</t>
  </si>
  <si>
    <t>04.08.599.00</t>
  </si>
  <si>
    <t>37690</t>
  </si>
  <si>
    <t>GR HANGER TAB,3.75"</t>
  </si>
  <si>
    <t>04.09.051.00</t>
  </si>
  <si>
    <t>37710</t>
  </si>
  <si>
    <t>END PLT,6",RH</t>
  </si>
  <si>
    <t>04.09.057.00</t>
  </si>
  <si>
    <t>37711</t>
  </si>
  <si>
    <t>END PLT,6",LH,W/WRG COMP BRKT</t>
  </si>
  <si>
    <t>04.09.060A.00</t>
  </si>
  <si>
    <t>37720</t>
  </si>
  <si>
    <t>END CVR,STD,3.0"LG TUB LG</t>
  </si>
  <si>
    <t>04.09.078.00</t>
  </si>
  <si>
    <t>37721</t>
  </si>
  <si>
    <t>GREY PLASTIC BULLNOSE CORNER</t>
  </si>
  <si>
    <t>04.09.078BK.00</t>
  </si>
  <si>
    <t>37724</t>
  </si>
  <si>
    <t>BLACK PLASTIC BULLNOSE CORNER</t>
  </si>
  <si>
    <t>04.09.114.00</t>
  </si>
  <si>
    <t>37725</t>
  </si>
  <si>
    <t>END PLT,9",RH</t>
  </si>
  <si>
    <t>04.09.115.00</t>
  </si>
  <si>
    <t>37750</t>
  </si>
  <si>
    <t>END PLT,9",LH,W/WRG COMP BRKT</t>
  </si>
  <si>
    <t>04.09.177.00</t>
  </si>
  <si>
    <t>37763</t>
  </si>
  <si>
    <t>RMB-3 COVER PLATE 5.5" LONG</t>
  </si>
  <si>
    <t>04.09.178.00</t>
  </si>
  <si>
    <t>37775</t>
  </si>
  <si>
    <t>RMB-7 COVER PLATE 9" LONG</t>
  </si>
  <si>
    <t>04.09.181.00</t>
  </si>
  <si>
    <t>38101</t>
  </si>
  <si>
    <t>14" REMOTE SWITCH BOX COVER</t>
  </si>
  <si>
    <t>04.09.200.00</t>
  </si>
  <si>
    <t>38102</t>
  </si>
  <si>
    <t>TRIVET,FULL SIZE,PLATED</t>
  </si>
  <si>
    <t>04.09.201.00</t>
  </si>
  <si>
    <t>38150</t>
  </si>
  <si>
    <t>END PLT,6",FRT,FF/FFB W/O SUP</t>
  </si>
  <si>
    <t>04.09.202.00</t>
  </si>
  <si>
    <t>38160</t>
  </si>
  <si>
    <t>END PLT,6",REAR,FF/FFB W/BRKT</t>
  </si>
  <si>
    <t>04.09.205.00</t>
  </si>
  <si>
    <t>38200</t>
  </si>
  <si>
    <t>PAN,FULL SIZE,2-1/2" DEEP,22GA</t>
  </si>
  <si>
    <t>04.09.206.00</t>
  </si>
  <si>
    <t>38201</t>
  </si>
  <si>
    <t>PAN,FULL SIZE,4" DEEP,22GA</t>
  </si>
  <si>
    <t>04.09.208.00</t>
  </si>
  <si>
    <t>38202</t>
  </si>
  <si>
    <t>TRIVET,1/2 SIZE,PLATED</t>
  </si>
  <si>
    <t>04.09.210.00</t>
  </si>
  <si>
    <t>38203NJ</t>
  </si>
  <si>
    <t>PAN,1/2 SIZE,2-1/2" DEEP,22GA</t>
  </si>
  <si>
    <t>04.09.213.00</t>
  </si>
  <si>
    <t>38300</t>
  </si>
  <si>
    <t>TONGS,9" LONG SS</t>
  </si>
  <si>
    <t>04.09.214.00</t>
  </si>
  <si>
    <t>38300B</t>
  </si>
  <si>
    <t>PAN GRIPPER</t>
  </si>
  <si>
    <t>04.09.218.00</t>
  </si>
  <si>
    <t>38321</t>
  </si>
  <si>
    <t>PAN,1/3 SIZE,2-1/2" DEEP</t>
  </si>
  <si>
    <t>04.09.224.00</t>
  </si>
  <si>
    <t>38327</t>
  </si>
  <si>
    <t>TRIVET,1/2 SIZE,SS</t>
  </si>
  <si>
    <t>04.09.226.00</t>
  </si>
  <si>
    <t>38328B</t>
  </si>
  <si>
    <t>PAN LID,1/2 SIZE,PLASTIC</t>
  </si>
  <si>
    <t>04.09.227.00</t>
  </si>
  <si>
    <t>38352</t>
  </si>
  <si>
    <t>PAN,1/4 SIZE,AMBER PLASTIC</t>
  </si>
  <si>
    <t>04.09.229.00</t>
  </si>
  <si>
    <t>38353</t>
  </si>
  <si>
    <t>TRIVET,FULL SIZE,SS</t>
  </si>
  <si>
    <t>04.09.230.00</t>
  </si>
  <si>
    <t>38354</t>
  </si>
  <si>
    <t>PAN,FULL SIZE,6" DEEP,22GA</t>
  </si>
  <si>
    <t>04.09.231.00</t>
  </si>
  <si>
    <t>38355</t>
  </si>
  <si>
    <t>PAN,SPILLAGE,HDW</t>
  </si>
  <si>
    <t>04.09.235.00</t>
  </si>
  <si>
    <t>38357</t>
  </si>
  <si>
    <t>PAN,15x20x5" DEEP</t>
  </si>
  <si>
    <t>04.09.236.00</t>
  </si>
  <si>
    <t>38361</t>
  </si>
  <si>
    <t>PAN,1/2 SIZE,SS,4" DEEP</t>
  </si>
  <si>
    <t>04.09.402.00</t>
  </si>
  <si>
    <t>38363</t>
  </si>
  <si>
    <t>1"DIAX4"LG PT POST FFB UPPER</t>
  </si>
  <si>
    <t>04.09.404.00</t>
  </si>
  <si>
    <t>38364</t>
  </si>
  <si>
    <t>SWIVEL SUPT W/NUT &amp; 2 WASHERS</t>
  </si>
  <si>
    <t>04.09.405.00</t>
  </si>
  <si>
    <t>38365</t>
  </si>
  <si>
    <t>END PLT,6",REAR,FFB W/ELEM SUP</t>
  </si>
  <si>
    <t>04.09.409.00</t>
  </si>
  <si>
    <t>38366</t>
  </si>
  <si>
    <t>HOLD DOWN CLAMP</t>
  </si>
  <si>
    <t>04.09.410.00</t>
  </si>
  <si>
    <t>38370</t>
  </si>
  <si>
    <t>PAN RAIL FOR HEATED BASE</t>
  </si>
  <si>
    <t>04.09.420.00</t>
  </si>
  <si>
    <t>38372</t>
  </si>
  <si>
    <t>1 1/4" SQ ALUMINUM EXTRUSION</t>
  </si>
  <si>
    <t>04.09.420K.00</t>
  </si>
  <si>
    <t>38375</t>
  </si>
  <si>
    <t>1 1/4" SQ ALUM EXTR BLACK</t>
  </si>
  <si>
    <t>04.09.430.00</t>
  </si>
  <si>
    <t>38376</t>
  </si>
  <si>
    <t>FRYSTATION,BOTTOM SUPPORT BRKT</t>
  </si>
  <si>
    <t>04.09.431.00</t>
  </si>
  <si>
    <t>38378</t>
  </si>
  <si>
    <t>FRYSTATION SUPPORT HOUSING</t>
  </si>
  <si>
    <t>04.09.456.00</t>
  </si>
  <si>
    <t>38380</t>
  </si>
  <si>
    <t>END PLT,12",RH CONRTOL GRAIHL</t>
  </si>
  <si>
    <t>04.09.462.00</t>
  </si>
  <si>
    <t>38382</t>
  </si>
  <si>
    <t>INFRABLACK POST MTG BRKT</t>
  </si>
  <si>
    <t>04.09.478.00</t>
  </si>
  <si>
    <t>38401</t>
  </si>
  <si>
    <t>RIBBON,8PLT BAG TRAY HRDCT</t>
  </si>
  <si>
    <t>04.09.479.00</t>
  </si>
  <si>
    <t>38401C</t>
  </si>
  <si>
    <t>RIBBON,5PLT BOX TRAY HRDCT</t>
  </si>
  <si>
    <t>04.09.489.00</t>
  </si>
  <si>
    <t>38402</t>
  </si>
  <si>
    <t>RIBBON,9PLT BAG TRAY HRDCT</t>
  </si>
  <si>
    <t>04.09.490.00</t>
  </si>
  <si>
    <t>38403</t>
  </si>
  <si>
    <t>RIBBON,6PLT BOX TRAY HRDCT</t>
  </si>
  <si>
    <t>04.09.491.00</t>
  </si>
  <si>
    <t>38404</t>
  </si>
  <si>
    <t>20" REMOTE SWITCH BOX COVER</t>
  </si>
  <si>
    <t>04.09.505.00</t>
  </si>
  <si>
    <t>38405</t>
  </si>
  <si>
    <t>END CVR,PIVOT POST,CTR HOLE</t>
  </si>
  <si>
    <t>04.09.506.00</t>
  </si>
  <si>
    <t>38406</t>
  </si>
  <si>
    <t>END CVR,PIVOT POST,OFF CENTER</t>
  </si>
  <si>
    <t>04.09.520.00</t>
  </si>
  <si>
    <t>38407</t>
  </si>
  <si>
    <t>GRFF BASE ASSY</t>
  </si>
  <si>
    <t>04.09.523.00</t>
  </si>
  <si>
    <t>38409</t>
  </si>
  <si>
    <t>SUP POST,RH,GRFF</t>
  </si>
  <si>
    <t>04.09.524.00</t>
  </si>
  <si>
    <t>38410</t>
  </si>
  <si>
    <t>SUP POST,LH,GRFF</t>
  </si>
  <si>
    <t>04.09.525.00</t>
  </si>
  <si>
    <t>38411</t>
  </si>
  <si>
    <t>SUP POST,RH,UGFF</t>
  </si>
  <si>
    <t>04.09.526.00</t>
  </si>
  <si>
    <t>38411B</t>
  </si>
  <si>
    <t>SUP POST,LH,UGFF</t>
  </si>
  <si>
    <t>04.09.590.00</t>
  </si>
  <si>
    <t>38412</t>
  </si>
  <si>
    <t>COVER PLATE,2x4 BOX, .480 HOLE</t>
  </si>
  <si>
    <t>04.09.603.00</t>
  </si>
  <si>
    <t>38413</t>
  </si>
  <si>
    <t>END PLT,3",W/KNOCKOUT</t>
  </si>
  <si>
    <t>04.09.610.00</t>
  </si>
  <si>
    <t>38414</t>
  </si>
  <si>
    <t>PAN,SAUTE,10",ALUM,TEFLON</t>
  </si>
  <si>
    <t>04.09.626.00</t>
  </si>
  <si>
    <t>38418</t>
  </si>
  <si>
    <t>COVER PLATE SUPPORT 3"SEC</t>
  </si>
  <si>
    <t>04.09.649.00</t>
  </si>
  <si>
    <t>38419</t>
  </si>
  <si>
    <t>CONTROL COVER,INFINITE,GRIBW</t>
  </si>
  <si>
    <t>04.09.676.00</t>
  </si>
  <si>
    <t>38419C</t>
  </si>
  <si>
    <t>PAN,FULL SIZE,6"DEEP,22GA,PERF</t>
  </si>
  <si>
    <t>04.09.701.00</t>
  </si>
  <si>
    <t>38420</t>
  </si>
  <si>
    <t>PAN,11 QT ROUND</t>
  </si>
  <si>
    <t>04.09.702.00</t>
  </si>
  <si>
    <t>38421</t>
  </si>
  <si>
    <t>PAN,7 QT ROUND,SS</t>
  </si>
  <si>
    <t>04.09.703.00</t>
  </si>
  <si>
    <t>38422</t>
  </si>
  <si>
    <t>PAN,4-1/8 QT ROUND</t>
  </si>
  <si>
    <t>04.09.704.00</t>
  </si>
  <si>
    <t>38423</t>
  </si>
  <si>
    <t>LID,W/NOTCH,11 QT ROUND</t>
  </si>
  <si>
    <t>04.09.705.00</t>
  </si>
  <si>
    <t>38424</t>
  </si>
  <si>
    <t>LID,W/NOTCH,7 QT ROUND</t>
  </si>
  <si>
    <t>04.09.711.00</t>
  </si>
  <si>
    <t>38425</t>
  </si>
  <si>
    <t>LID,W/NOTCH,4 QT ROUND</t>
  </si>
  <si>
    <t>04.09.746.00</t>
  </si>
  <si>
    <t>38426</t>
  </si>
  <si>
    <t>LID,4QT,HINGED,SOUP WELL</t>
  </si>
  <si>
    <t>04.09.769.00</t>
  </si>
  <si>
    <t>38427</t>
  </si>
  <si>
    <t>LID,7QT,HINGED,SOUP WELL</t>
  </si>
  <si>
    <t>04.09.770.00</t>
  </si>
  <si>
    <t>38428</t>
  </si>
  <si>
    <t>LID,11QT,HINGED,SOUP WELL</t>
  </si>
  <si>
    <t>04.09.780.00</t>
  </si>
  <si>
    <t>40100</t>
  </si>
  <si>
    <t>SS SHELF,18" X 42"</t>
  </si>
  <si>
    <t>04.09.821.00</t>
  </si>
  <si>
    <t>40100C</t>
  </si>
  <si>
    <t>COVER,GRIBW-2014D</t>
  </si>
  <si>
    <t>04.09.827.00</t>
  </si>
  <si>
    <t>40101</t>
  </si>
  <si>
    <t>GRILL GRATE,TMS-1</t>
  </si>
  <si>
    <t>04.09.828.00</t>
  </si>
  <si>
    <t>40102</t>
  </si>
  <si>
    <t>DRIP TRAY ASSY,TMS-1</t>
  </si>
  <si>
    <t>04.09.872.00</t>
  </si>
  <si>
    <t>40102C</t>
  </si>
  <si>
    <t>HEAT SINK,SOLID STATE RELAY</t>
  </si>
  <si>
    <t>04.09.876.00</t>
  </si>
  <si>
    <t>40103</t>
  </si>
  <si>
    <t>GRILL GRATE,QTS-24</t>
  </si>
  <si>
    <t>04.09.877.00</t>
  </si>
  <si>
    <t>40103IE</t>
  </si>
  <si>
    <t>PAN,1/2 SIZE,6" DEEP,22GA</t>
  </si>
  <si>
    <t>04.09.921.00</t>
  </si>
  <si>
    <t>40104</t>
  </si>
  <si>
    <t>WIRE SHELF,GMHDT-2,SS</t>
  </si>
  <si>
    <t>04.09.926.00</t>
  </si>
  <si>
    <t>40105</t>
  </si>
  <si>
    <t>HUMIDITY PAN,GMHDT-2PT</t>
  </si>
  <si>
    <t>04.09.933.00</t>
  </si>
  <si>
    <t>40106</t>
  </si>
  <si>
    <t>TRIVET FOR 265 X 205MM PAN,SS</t>
  </si>
  <si>
    <t>04.09.937.00</t>
  </si>
  <si>
    <t>40107</t>
  </si>
  <si>
    <t>FOOD PAN,265 X 205 X 25MM</t>
  </si>
  <si>
    <t>04.10.018.00</t>
  </si>
  <si>
    <t>40108</t>
  </si>
  <si>
    <t>END PLT,15",RH,NO BRKT</t>
  </si>
  <si>
    <t>04.10.028.00</t>
  </si>
  <si>
    <t>40110</t>
  </si>
  <si>
    <t>END PLT,15",LH</t>
  </si>
  <si>
    <t>04.10.102.00</t>
  </si>
  <si>
    <t>40110C</t>
  </si>
  <si>
    <t>W1 WIRE SHELF</t>
  </si>
  <si>
    <t>04.10.130.00</t>
  </si>
  <si>
    <t>40200</t>
  </si>
  <si>
    <t>CORD GRIP B-UP ROUND .625x.550</t>
  </si>
  <si>
    <t>04.11.003.00</t>
  </si>
  <si>
    <t>40201</t>
  </si>
  <si>
    <t>4" COVER PLATE 3" SECTION</t>
  </si>
  <si>
    <t>04.11.006.00</t>
  </si>
  <si>
    <t>40202</t>
  </si>
  <si>
    <t>HL ADJ HANGING BRKT</t>
  </si>
  <si>
    <t>04.11.106.01</t>
  </si>
  <si>
    <t>40206</t>
  </si>
  <si>
    <t>REAR BASE POST,LW-2,BLACK</t>
  </si>
  <si>
    <t>04.11.153.00</t>
  </si>
  <si>
    <t>40207</t>
  </si>
  <si>
    <t>DL CABLE BOX BRACKET</t>
  </si>
  <si>
    <t>04.11.160.00</t>
  </si>
  <si>
    <t>40208</t>
  </si>
  <si>
    <t>DL TOP INSERT PLT,RT MNT LAMP</t>
  </si>
  <si>
    <t>04.11.192.31</t>
  </si>
  <si>
    <t>40300</t>
  </si>
  <si>
    <t>DL CANOPY ADJ BRIGHT NICKEL</t>
  </si>
  <si>
    <t>04.11.226.03</t>
  </si>
  <si>
    <t>40301</t>
  </si>
  <si>
    <t>CHECK RING,1.75" WARM RED</t>
  </si>
  <si>
    <t>04.11.228.02</t>
  </si>
  <si>
    <t>40303</t>
  </si>
  <si>
    <t>1/8" X 1" COUPLR GRAY GRANITE</t>
  </si>
  <si>
    <t>04.11.229.01</t>
  </si>
  <si>
    <t>40304</t>
  </si>
  <si>
    <t>DL CANOPY WO SW BLACK</t>
  </si>
  <si>
    <t>04.11.229.09</t>
  </si>
  <si>
    <t>40305</t>
  </si>
  <si>
    <t>DL CANOPY WO SW BOLD BLACK</t>
  </si>
  <si>
    <t>04.11.230.03</t>
  </si>
  <si>
    <t>40306</t>
  </si>
  <si>
    <t>DL CANOPY W/SW WARM RED</t>
  </si>
  <si>
    <t>04.11.231.01</t>
  </si>
  <si>
    <t>40307</t>
  </si>
  <si>
    <t>DL CANOPY ADJ BLACK</t>
  </si>
  <si>
    <t>04.11.231.09</t>
  </si>
  <si>
    <t>40308</t>
  </si>
  <si>
    <t>DL CANOPY ADJ BOLD BLACK</t>
  </si>
  <si>
    <t>04.11.231.12</t>
  </si>
  <si>
    <t>40310</t>
  </si>
  <si>
    <t>DL CANOPY ADJ GLOSSY GRAY</t>
  </si>
  <si>
    <t>04.11.231.21</t>
  </si>
  <si>
    <t>40311</t>
  </si>
  <si>
    <t>DL CANOPY ADJ ANTIQUE COPPER</t>
  </si>
  <si>
    <t>04.11.236.00</t>
  </si>
  <si>
    <t>40314</t>
  </si>
  <si>
    <t>1/8 IPS 72" LG PIPE TBE</t>
  </si>
  <si>
    <t>04.11.238.31</t>
  </si>
  <si>
    <t>40500</t>
  </si>
  <si>
    <t>DL LAMP CANOPY CHROME .640 HOL</t>
  </si>
  <si>
    <t>04.11.238.33</t>
  </si>
  <si>
    <t>40500B</t>
  </si>
  <si>
    <t>DL LAMP CANOPY COPPER .640 HOL</t>
  </si>
  <si>
    <t>04.11.238.35</t>
  </si>
  <si>
    <t>40501</t>
  </si>
  <si>
    <t>DL LAMP CANOPY ANT BS .640 HOL</t>
  </si>
  <si>
    <t>04.11.240.34</t>
  </si>
  <si>
    <t>40502</t>
  </si>
  <si>
    <t>DL CANOPY ANTNI W/SW .640 HOLE</t>
  </si>
  <si>
    <t>04.11.241.31</t>
  </si>
  <si>
    <t>40503</t>
  </si>
  <si>
    <t>DL TUBE,5/8"OD,BRIGHT NICKEL</t>
  </si>
  <si>
    <t>04.11.241.33</t>
  </si>
  <si>
    <t>40503B</t>
  </si>
  <si>
    <t>DL TUBE,5/8"OD,BRIGHT COPPER</t>
  </si>
  <si>
    <t>04.11.241.35</t>
  </si>
  <si>
    <t>40504</t>
  </si>
  <si>
    <t>DL TUBE,5/8"OD,ANTIQUE BRASS</t>
  </si>
  <si>
    <t>04.11.241.36</t>
  </si>
  <si>
    <t>40505</t>
  </si>
  <si>
    <t>DL TUBE,5/8"OD,ANTIQUE BRONZE</t>
  </si>
  <si>
    <t>04.11.264.12</t>
  </si>
  <si>
    <t>40509</t>
  </si>
  <si>
    <t>1/8"IPS X 72" PIPE,GLOSSY GRAY</t>
  </si>
  <si>
    <t>04.11.266.12</t>
  </si>
  <si>
    <t>40510</t>
  </si>
  <si>
    <t>1" OD X 1.566" LG TUBE,GL GRAY</t>
  </si>
  <si>
    <t>04.11.268.00</t>
  </si>
  <si>
    <t>40515</t>
  </si>
  <si>
    <t>WIRE GUARD,DL-500 PLATED</t>
  </si>
  <si>
    <t>04.11.278.00</t>
  </si>
  <si>
    <t>40515B</t>
  </si>
  <si>
    <t>DL ANTI ROTATION KEY W/DIMPLE</t>
  </si>
  <si>
    <t>04.11.288.00</t>
  </si>
  <si>
    <t>40515V4</t>
  </si>
  <si>
    <t>DL CANOPY BRKT,RT/RTR MOUNT</t>
  </si>
  <si>
    <t>04.11.293.00</t>
  </si>
  <si>
    <t>40520</t>
  </si>
  <si>
    <t>SOCKET CAP W/STEM,DL,3"</t>
  </si>
  <si>
    <t>04.11.309.31</t>
  </si>
  <si>
    <t>40521</t>
  </si>
  <si>
    <t>CHECK RING,2" 1/8 SLIP BR NICK</t>
  </si>
  <si>
    <t>04.11.310.01</t>
  </si>
  <si>
    <t>40522</t>
  </si>
  <si>
    <t>CHECK RING,2" 1/4 SLIP BLACK</t>
  </si>
  <si>
    <t>04.11.312.34</t>
  </si>
  <si>
    <t>40527</t>
  </si>
  <si>
    <t>DL 2" ENCL TUBE W/SW ANT NICK</t>
  </si>
  <si>
    <t>04.11.348.01</t>
  </si>
  <si>
    <t>40528</t>
  </si>
  <si>
    <t>AS/AST, CENTER COUPLING, BLACK</t>
  </si>
  <si>
    <t>04.11.348.09</t>
  </si>
  <si>
    <t>40530</t>
  </si>
  <si>
    <t>AS/AST, CENTER COUPLING, BLBLK</t>
  </si>
  <si>
    <t>04.11.348.19</t>
  </si>
  <si>
    <t>40533</t>
  </si>
  <si>
    <t>AS/AST, CENTER COUPLING, SMWHT</t>
  </si>
  <si>
    <t>04.11.348.32</t>
  </si>
  <si>
    <t>40534</t>
  </si>
  <si>
    <t>AS/AST, CENTER COUPLING, BRBRS</t>
  </si>
  <si>
    <t>04.11.349.01</t>
  </si>
  <si>
    <t>40536</t>
  </si>
  <si>
    <t>AS/AST, TOP COLLAR, CRS, BLACK</t>
  </si>
  <si>
    <t>04.11.349.09</t>
  </si>
  <si>
    <t>40537</t>
  </si>
  <si>
    <t>AS/AST, TOP COLLAR, CRS, BLBLK</t>
  </si>
  <si>
    <t>04.11.349.19</t>
  </si>
  <si>
    <t>40538</t>
  </si>
  <si>
    <t>AS/AST, TOP COLLAR, CRS, SMWHT</t>
  </si>
  <si>
    <t>04.11.349.32</t>
  </si>
  <si>
    <t>40540</t>
  </si>
  <si>
    <t>AS/AST, TOP COLLAR, CRS, BRBRS</t>
  </si>
  <si>
    <t>04.11.351.09</t>
  </si>
  <si>
    <t>40541</t>
  </si>
  <si>
    <t>AS/AST,3/8 TUBE,3.00 LNG,BLBLK</t>
  </si>
  <si>
    <t>04.11.354.01</t>
  </si>
  <si>
    <t>40542</t>
  </si>
  <si>
    <t>DL CANOPY,.9CTR NO SWTCH,BLACK</t>
  </si>
  <si>
    <t>04.11.357.01</t>
  </si>
  <si>
    <t>40551</t>
  </si>
  <si>
    <t>AS/AST,3/8 TUBE,8.50 LNG,BLACK</t>
  </si>
  <si>
    <t>04.11.359.09</t>
  </si>
  <si>
    <t>40552</t>
  </si>
  <si>
    <t>AS/AST,5/8 TUBE,2.188LNG,BDBLK</t>
  </si>
  <si>
    <t>04.11.361.01</t>
  </si>
  <si>
    <t>40555</t>
  </si>
  <si>
    <t>AS/AST,5/8 TUBE,8.00 LNG,BLACK</t>
  </si>
  <si>
    <t>04.11.363.01</t>
  </si>
  <si>
    <t>40561</t>
  </si>
  <si>
    <t>AS/AST,5/8 TUBE,30.363 L,BLACK</t>
  </si>
  <si>
    <t>04.11.363.32</t>
  </si>
  <si>
    <t>40562</t>
  </si>
  <si>
    <t>AS/AST,5/8 TUBE,30.363 L,BRBRS</t>
  </si>
  <si>
    <t>04.11.364.01</t>
  </si>
  <si>
    <t>40600</t>
  </si>
  <si>
    <t>AS/AST,3/8 TUBE,31.0 LNG,BLACK</t>
  </si>
  <si>
    <t>04.11.364.32</t>
  </si>
  <si>
    <t>40601</t>
  </si>
  <si>
    <t>AS/AST,3/8 TUBE,31.0 LNG,BRBRS</t>
  </si>
  <si>
    <t>04.11.365.00</t>
  </si>
  <si>
    <t>40603</t>
  </si>
  <si>
    <t>AS SLEEVE BEARING</t>
  </si>
  <si>
    <t>04.11.609.09</t>
  </si>
  <si>
    <t>40604</t>
  </si>
  <si>
    <t>DL CANOPY,RC,BD BLK</t>
  </si>
  <si>
    <t>04.11.609.12</t>
  </si>
  <si>
    <t>40606</t>
  </si>
  <si>
    <t>DL CANOPY,RC,GL GRY</t>
  </si>
  <si>
    <t>04.11.611.00</t>
  </si>
  <si>
    <t>40607</t>
  </si>
  <si>
    <t>DL,DLH,DLL RC CORD BUSHING</t>
  </si>
  <si>
    <t>04.12.006.00</t>
  </si>
  <si>
    <t>40609</t>
  </si>
  <si>
    <t>GRSDS-36 SIGN HOLDER INSERT</t>
  </si>
  <si>
    <t>04.12.007.00</t>
  </si>
  <si>
    <t>40610</t>
  </si>
  <si>
    <t>GRSDS-41 SIGN HOLDER INSERT</t>
  </si>
  <si>
    <t>04.12.008.00</t>
  </si>
  <si>
    <t>40611</t>
  </si>
  <si>
    <t>GRSDS-52 SIGN HOLDER INSERT</t>
  </si>
  <si>
    <t>04.12.009.00</t>
  </si>
  <si>
    <t>40612</t>
  </si>
  <si>
    <t>GRSDS-30 SIGN HOLDER INSERT</t>
  </si>
  <si>
    <t>04.12.014.00</t>
  </si>
  <si>
    <t>40613</t>
  </si>
  <si>
    <t>GRSDS-24 SIGN HOLDER INSERT</t>
  </si>
  <si>
    <t>04.12.038.00</t>
  </si>
  <si>
    <t>40614</t>
  </si>
  <si>
    <t>END PANEL,REMOVABLE,GRKW</t>
  </si>
  <si>
    <t>04.12.131.00</t>
  </si>
  <si>
    <t>40615</t>
  </si>
  <si>
    <t>SUPPORT TRIM 30" BREATH PROTEC</t>
  </si>
  <si>
    <t>04.12.191.00</t>
  </si>
  <si>
    <t>40616</t>
  </si>
  <si>
    <t>END PANEL,GRBW, REMOV ACRYLIC</t>
  </si>
  <si>
    <t>04.12.193.00</t>
  </si>
  <si>
    <t>40617</t>
  </si>
  <si>
    <t>GRBW-30 ACRYLIC FRONT PANEL</t>
  </si>
  <si>
    <t>04.12.196.00</t>
  </si>
  <si>
    <t>40618</t>
  </si>
  <si>
    <t>GRBW-48 ACRYLIC FRONT PANEL</t>
  </si>
  <si>
    <t>04.12.201.00</t>
  </si>
  <si>
    <t>40621</t>
  </si>
  <si>
    <t>END PANEL,GRBW,ACRYLIC W/CUT</t>
  </si>
  <si>
    <t>04.12.237.00</t>
  </si>
  <si>
    <t>40623</t>
  </si>
  <si>
    <t>PANEL,GRSDH-52D FRONT</t>
  </si>
  <si>
    <t>04.12.321.00</t>
  </si>
  <si>
    <t>40624</t>
  </si>
  <si>
    <t>SIGN HOLDER INSERT,LFST,22.625</t>
  </si>
  <si>
    <t>04.12.322.00</t>
  </si>
  <si>
    <t>40625</t>
  </si>
  <si>
    <t>SIGN HOLDER INSERT,LFST,31.938</t>
  </si>
  <si>
    <t>04.12.323.00</t>
  </si>
  <si>
    <t>40625B</t>
  </si>
  <si>
    <t>SIGN HOLDER INSERT,LFST,45.000</t>
  </si>
  <si>
    <t>04.12.342.00</t>
  </si>
  <si>
    <t>40630</t>
  </si>
  <si>
    <t>SNEEZE GUARD,GRSDH-30</t>
  </si>
  <si>
    <t>04.12.344.00</t>
  </si>
  <si>
    <t>40640</t>
  </si>
  <si>
    <t>SNEEZE GUARD,GRSDH-41</t>
  </si>
  <si>
    <t>04.12.347.00</t>
  </si>
  <si>
    <t>40640B</t>
  </si>
  <si>
    <t>SNEEZE GUARD,GRSDH-60</t>
  </si>
  <si>
    <t>04.12.407.00</t>
  </si>
  <si>
    <t>40651</t>
  </si>
  <si>
    <t>END PANEL,POLY,GRSDS-XXD</t>
  </si>
  <si>
    <t>04.12.409.00</t>
  </si>
  <si>
    <t>40651N</t>
  </si>
  <si>
    <t>END PANEL,POLY,GRSDS-XXT</t>
  </si>
  <si>
    <t>04.12.450.00</t>
  </si>
  <si>
    <t>40652</t>
  </si>
  <si>
    <t>WINDOW,SECURITY,3.3x2.6x.125</t>
  </si>
  <si>
    <t>04.12.467.00</t>
  </si>
  <si>
    <t>40653</t>
  </si>
  <si>
    <t>SIGN HOLDER INSERT,FS2HAC-42</t>
  </si>
  <si>
    <t>04.12.473.00</t>
  </si>
  <si>
    <t>40654</t>
  </si>
  <si>
    <t>SIGN HOLDER INSERT,FS2HAC-36</t>
  </si>
  <si>
    <t>04.12.483.00</t>
  </si>
  <si>
    <t>40656</t>
  </si>
  <si>
    <t>SIGN HOLDER INSERT,FS2HAC-30</t>
  </si>
  <si>
    <t>04.12.484.00</t>
  </si>
  <si>
    <t>40657</t>
  </si>
  <si>
    <t>SIGN HOLDER INSERT,FS2HAC-24</t>
  </si>
  <si>
    <t>04.12.487.00</t>
  </si>
  <si>
    <t>40658</t>
  </si>
  <si>
    <t>END PNL,POLY,GRSDS-XXD SIDE SW</t>
  </si>
  <si>
    <t>04.15.054.00</t>
  </si>
  <si>
    <t>40659</t>
  </si>
  <si>
    <t>GRSDS-24 SS CHANNEL DIVIDER</t>
  </si>
  <si>
    <t>04.15.075.00</t>
  </si>
  <si>
    <t>40660</t>
  </si>
  <si>
    <t>GRSDS-60 SS CHANNEL DIVIDER</t>
  </si>
  <si>
    <t>04.15.1025.01</t>
  </si>
  <si>
    <t>40661</t>
  </si>
  <si>
    <t>SDS-36 CARDSTRIP BOTSHLF,BLACK</t>
  </si>
  <si>
    <t>04.15.1026.00</t>
  </si>
  <si>
    <t>40662B</t>
  </si>
  <si>
    <t>SIGN HLDR,6.5",GRSDS-36,UNFIN</t>
  </si>
  <si>
    <t>04.15.112.00</t>
  </si>
  <si>
    <t>40663</t>
  </si>
  <si>
    <t>GRSDS GR2SD DIV ROD 22.875"</t>
  </si>
  <si>
    <t>04.15.1228.00</t>
  </si>
  <si>
    <t>40665</t>
  </si>
  <si>
    <t>6" INFRA-BLACK END COVER</t>
  </si>
  <si>
    <t>04.15.133.00</t>
  </si>
  <si>
    <t>40670</t>
  </si>
  <si>
    <t>GRSDS-36 BOTTOM SHELF-HRDCTD</t>
  </si>
  <si>
    <t>04.15.1372.00</t>
  </si>
  <si>
    <t>40700</t>
  </si>
  <si>
    <t>SIGN HOLDER ASSY,GRSDH-36,BASE</t>
  </si>
  <si>
    <t>04.15.143.00</t>
  </si>
  <si>
    <t>40701</t>
  </si>
  <si>
    <t>GRSDS 30 SIGN HOLDER ASSY</t>
  </si>
  <si>
    <t>04.15.144.00</t>
  </si>
  <si>
    <t>40702</t>
  </si>
  <si>
    <t>GRSDS 36 SIGN HOLDER ASSY</t>
  </si>
  <si>
    <t>04.15.144.12</t>
  </si>
  <si>
    <t>40703</t>
  </si>
  <si>
    <t>GRSDS 36 SIGN HOLDER GLOSSGRAY</t>
  </si>
  <si>
    <t>04.15.145.00</t>
  </si>
  <si>
    <t>40704</t>
  </si>
  <si>
    <t>GRSDS 41 SIGN HOLDER ASSY</t>
  </si>
  <si>
    <t>04.15.275.00</t>
  </si>
  <si>
    <t>40705</t>
  </si>
  <si>
    <t>DIVIDER ROD,GRSDH,18.25"</t>
  </si>
  <si>
    <t>04.15.299.00</t>
  </si>
  <si>
    <t>40706</t>
  </si>
  <si>
    <t>END PLT,18",(3) 6" SECT</t>
  </si>
  <si>
    <t>04.15.753.00</t>
  </si>
  <si>
    <t>40707</t>
  </si>
  <si>
    <t>GRSDS-30 SS CHANNEL DIVIDER</t>
  </si>
  <si>
    <t>04.15.754.00</t>
  </si>
  <si>
    <t>40707B</t>
  </si>
  <si>
    <t>GRSDS-36 SS CHANNEL DIVIDER</t>
  </si>
  <si>
    <t>04.15.755.00</t>
  </si>
  <si>
    <t>40707C</t>
  </si>
  <si>
    <t>GRSDS-41 SS CHANNEL DIVIDER</t>
  </si>
  <si>
    <t>04.15.756.00</t>
  </si>
  <si>
    <t>40708</t>
  </si>
  <si>
    <t>GRSDS-52 SS CHANNEL DIVIDER</t>
  </si>
  <si>
    <t>04.15.998.00</t>
  </si>
  <si>
    <t>40714</t>
  </si>
  <si>
    <t>BRACKET,GRSD,FLIP DOOR CENTER</t>
  </si>
  <si>
    <t>04.16.488.00</t>
  </si>
  <si>
    <t>40715</t>
  </si>
  <si>
    <t>LEG 6" SS ADJ 1/2x3/4" LG STUD</t>
  </si>
  <si>
    <t>04.16.517.00</t>
  </si>
  <si>
    <t>40716</t>
  </si>
  <si>
    <t>HDW VENT SLIDE</t>
  </si>
  <si>
    <t>04.16.518.00</t>
  </si>
  <si>
    <t>40717</t>
  </si>
  <si>
    <t>HDW DRAWER FRAME ASSEMBLY</t>
  </si>
  <si>
    <t>04.16.520.00</t>
  </si>
  <si>
    <t>40718</t>
  </si>
  <si>
    <t>HDW ELEMENT CLIP</t>
  </si>
  <si>
    <t>04.16.538.00</t>
  </si>
  <si>
    <t>40719</t>
  </si>
  <si>
    <t>HDW 3 DRAWER SIDE PANEL</t>
  </si>
  <si>
    <t>04.16.543.00</t>
  </si>
  <si>
    <t>40722</t>
  </si>
  <si>
    <t>HDW SS HOOD</t>
  </si>
  <si>
    <t>04.16.547.00</t>
  </si>
  <si>
    <t>40725</t>
  </si>
  <si>
    <t>HDW 3/8-16 LEG BRACKET</t>
  </si>
  <si>
    <t>04.16.551.00</t>
  </si>
  <si>
    <t>40726</t>
  </si>
  <si>
    <t>HDW 1/2-13 LEG BRACKET</t>
  </si>
  <si>
    <t>04.16.552.00</t>
  </si>
  <si>
    <t>40728</t>
  </si>
  <si>
    <t>HDW BUILD IN TOP/BOTTOM</t>
  </si>
  <si>
    <t>04.16.554.00</t>
  </si>
  <si>
    <t>40730B</t>
  </si>
  <si>
    <t>HDW-2B SIDE PANEL</t>
  </si>
  <si>
    <t>04.16.635.00</t>
  </si>
  <si>
    <t>40733</t>
  </si>
  <si>
    <t>HDW 2" CASTER W/MOUNTING PLATE</t>
  </si>
  <si>
    <t>04.16.638.00</t>
  </si>
  <si>
    <t>40734</t>
  </si>
  <si>
    <t>HDW SEALED BEARING DRWR ROLLER</t>
  </si>
  <si>
    <t>04.16.645.00</t>
  </si>
  <si>
    <t>40736</t>
  </si>
  <si>
    <t>HDW 2" LOCK CASTER W/MTG PLT</t>
  </si>
  <si>
    <t>04.16.700.00</t>
  </si>
  <si>
    <t>40737</t>
  </si>
  <si>
    <t>HDW-XN SS HOOD</t>
  </si>
  <si>
    <t>04.16.705.00</t>
  </si>
  <si>
    <t>40738</t>
  </si>
  <si>
    <t>HDW-1N SIDE PANEL</t>
  </si>
  <si>
    <t>04.16.706.00</t>
  </si>
  <si>
    <t>40742</t>
  </si>
  <si>
    <t>HDW-2N SIDE PANEL</t>
  </si>
  <si>
    <t>04.16.707.00</t>
  </si>
  <si>
    <t>40742B</t>
  </si>
  <si>
    <t>HDW-3N SIDE PANEL</t>
  </si>
  <si>
    <t>04.16.709.00</t>
  </si>
  <si>
    <t>40743</t>
  </si>
  <si>
    <t>HDW-XBN TOP AND BOTTOM</t>
  </si>
  <si>
    <t>04.16.711.00</t>
  </si>
  <si>
    <t>40745</t>
  </si>
  <si>
    <t>HDW-2BN BACK PANEL</t>
  </si>
  <si>
    <t>04.16.715.00</t>
  </si>
  <si>
    <t>40746</t>
  </si>
  <si>
    <t>HDW-2BN SIDE PANEL</t>
  </si>
  <si>
    <t>04.16.722.00</t>
  </si>
  <si>
    <t>40751A</t>
  </si>
  <si>
    <t>HDW-XN VENT SLIDE</t>
  </si>
  <si>
    <t>04.16.724.00</t>
  </si>
  <si>
    <t>40752A</t>
  </si>
  <si>
    <t>HDW-XN HEAT BAFFLE</t>
  </si>
  <si>
    <t>04.16.725.00</t>
  </si>
  <si>
    <t>40753A</t>
  </si>
  <si>
    <t>HDW-XN HEAT BAFFLE ASSEMBLY</t>
  </si>
  <si>
    <t>04.16.731.00</t>
  </si>
  <si>
    <t>40754A</t>
  </si>
  <si>
    <t>1/2" CONDUIT 5' LONG</t>
  </si>
  <si>
    <t>04.16.732.00</t>
  </si>
  <si>
    <t>40756A</t>
  </si>
  <si>
    <t>HDW CHIP GUARD</t>
  </si>
  <si>
    <t>04.16.733.00</t>
  </si>
  <si>
    <t>40757A</t>
  </si>
  <si>
    <t>HDW-XN STD BASE ASSY NEW</t>
  </si>
  <si>
    <t>04.16.754.00</t>
  </si>
  <si>
    <t>40758A</t>
  </si>
  <si>
    <t>T-STAT GUARD 2MN</t>
  </si>
  <si>
    <t>04.16.808.00</t>
  </si>
  <si>
    <t>40759A</t>
  </si>
  <si>
    <t>HDW-R CORE SIDES/BOTTOM-ITC</t>
  </si>
  <si>
    <t>04.16.815.00</t>
  </si>
  <si>
    <t>40760A</t>
  </si>
  <si>
    <t>HDW-R UPPER CORE BEZEL-ITC</t>
  </si>
  <si>
    <t>04.16.816.00</t>
  </si>
  <si>
    <t>40761A</t>
  </si>
  <si>
    <t>HDW-R LOWER CORE BEZEL-ITC</t>
  </si>
  <si>
    <t>04.16.817.00</t>
  </si>
  <si>
    <t>40762A</t>
  </si>
  <si>
    <t>HDW CONTROL ASSY-ITC</t>
  </si>
  <si>
    <t>04.16.828.00</t>
  </si>
  <si>
    <t>40763A</t>
  </si>
  <si>
    <t>HDW-R SINGLE CORE BEZEL-ITC</t>
  </si>
  <si>
    <t>04.16.829.00</t>
  </si>
  <si>
    <t>40764A</t>
  </si>
  <si>
    <t>HDWN CHIP GUARD</t>
  </si>
  <si>
    <t>04.16.916.00</t>
  </si>
  <si>
    <t>40765A</t>
  </si>
  <si>
    <t>DRAWER STOP,HDW-3N-MN</t>
  </si>
  <si>
    <t>04.16.929.01</t>
  </si>
  <si>
    <t>40768A</t>
  </si>
  <si>
    <t>HOOD,CDW-3N,BLACK</t>
  </si>
  <si>
    <t>04.16.975.00</t>
  </si>
  <si>
    <t>40769A</t>
  </si>
  <si>
    <t>PANEL,SIDE,HDMS-2,SS</t>
  </si>
  <si>
    <t>04.17.001.00</t>
  </si>
  <si>
    <t>40770</t>
  </si>
  <si>
    <t>MAGNET STRIKER PLATE (PLATED)</t>
  </si>
  <si>
    <t>04.17.002.00</t>
  </si>
  <si>
    <t>40771</t>
  </si>
  <si>
    <t>MAGNET STRIKE PLATE SPACER</t>
  </si>
  <si>
    <t>04.17.009.00</t>
  </si>
  <si>
    <t>40772</t>
  </si>
  <si>
    <t>DOOR HINGE,FS</t>
  </si>
  <si>
    <t>04.17.010.00</t>
  </si>
  <si>
    <t>40774</t>
  </si>
  <si>
    <t>SLANT RACK (3) TRAY FSD</t>
  </si>
  <si>
    <t>04.17.012B.00</t>
  </si>
  <si>
    <t>40775</t>
  </si>
  <si>
    <t>FS REMOVABLE SHELF MULTIPURP</t>
  </si>
  <si>
    <t>04.17.013A.00</t>
  </si>
  <si>
    <t>40776</t>
  </si>
  <si>
    <t>FSDT 3 SHELF ANGLE RACK</t>
  </si>
  <si>
    <t>04.17.013B.00</t>
  </si>
  <si>
    <t>40777B</t>
  </si>
  <si>
    <t>REMOVABLE SHELF</t>
  </si>
  <si>
    <t>04.17.014.00</t>
  </si>
  <si>
    <t>40778</t>
  </si>
  <si>
    <t>FST 5 TIER CIRCLE PAN RACK</t>
  </si>
  <si>
    <t>04.17.019A.00</t>
  </si>
  <si>
    <t>40779</t>
  </si>
  <si>
    <t>SPCL SLANT RACK SHELF</t>
  </si>
  <si>
    <t>04.17.027.00</t>
  </si>
  <si>
    <t>40780</t>
  </si>
  <si>
    <t>SLANT RACK (4) TRAY FST</t>
  </si>
  <si>
    <t>04.17.029.00</t>
  </si>
  <si>
    <t>40781</t>
  </si>
  <si>
    <t>FS 4 TIER CIRCLE PAN RACK</t>
  </si>
  <si>
    <t>04.17.030.00</t>
  </si>
  <si>
    <t>40782</t>
  </si>
  <si>
    <t>FST 4 TIER CIRCLE PAN RACK</t>
  </si>
  <si>
    <t>04.17.031.00</t>
  </si>
  <si>
    <t>40783</t>
  </si>
  <si>
    <t>FS 3 TIER CIRCLE PAN RACK</t>
  </si>
  <si>
    <t>04.17.032.00</t>
  </si>
  <si>
    <t>40784</t>
  </si>
  <si>
    <t>FST 4 RNG PIZZA RCK W/PN RETAN</t>
  </si>
  <si>
    <t>04.17.079.00</t>
  </si>
  <si>
    <t>40787</t>
  </si>
  <si>
    <t>FDW PRETZEL RACK</t>
  </si>
  <si>
    <t>04.17.095.01</t>
  </si>
  <si>
    <t>40788</t>
  </si>
  <si>
    <t>FLAT TOP HOOD,FS,BLACK</t>
  </si>
  <si>
    <t>04.17.1000.06</t>
  </si>
  <si>
    <t>40790</t>
  </si>
  <si>
    <t>OUTER BACK,FSHC-7,SILVER GRAY</t>
  </si>
  <si>
    <t>04.17.1043.01</t>
  </si>
  <si>
    <t>40791</t>
  </si>
  <si>
    <t>WFST CONTROL PANEL,BLACK</t>
  </si>
  <si>
    <t>04.17.1044.01</t>
  </si>
  <si>
    <t>40792A</t>
  </si>
  <si>
    <t>WFST FRONT PANEL,BLACK</t>
  </si>
  <si>
    <t>04.17.1120.01</t>
  </si>
  <si>
    <t>40797A</t>
  </si>
  <si>
    <t>DISPLAY TOP,LFST,BLACK</t>
  </si>
  <si>
    <t>04.17.1192.01</t>
  </si>
  <si>
    <t>40800</t>
  </si>
  <si>
    <t>SPRING COVER,LFST,BLACK</t>
  </si>
  <si>
    <t>04.17.130.00</t>
  </si>
  <si>
    <t>40810</t>
  </si>
  <si>
    <t>3"DIA 4"CLEARANCE CASTER W/BRK</t>
  </si>
  <si>
    <t>04.17.132.00</t>
  </si>
  <si>
    <t>40830</t>
  </si>
  <si>
    <t>5"DIA 6"CLEARANCE CASTER W/BRK</t>
  </si>
  <si>
    <t>04.17.1380.00</t>
  </si>
  <si>
    <t>40840</t>
  </si>
  <si>
    <t>ADJUSTABLE SHELF,FSHC-6W</t>
  </si>
  <si>
    <t>04.17.1381.00</t>
  </si>
  <si>
    <t>40846</t>
  </si>
  <si>
    <t>ADJUSTABLE SHELF,FSHC-7</t>
  </si>
  <si>
    <t>04.17.143B.00</t>
  </si>
  <si>
    <t>40847</t>
  </si>
  <si>
    <t>REMVBLE SHELF 6 SHLF HORZ RACK</t>
  </si>
  <si>
    <t>04.17.182.00</t>
  </si>
  <si>
    <t>40848</t>
  </si>
  <si>
    <t>DRIVE LINK,FS RACK MOTOR</t>
  </si>
  <si>
    <t>04.17.183.00</t>
  </si>
  <si>
    <t>40849</t>
  </si>
  <si>
    <t>DRIVE LINK COUPLING</t>
  </si>
  <si>
    <t>04.17.187.00</t>
  </si>
  <si>
    <t>40860A</t>
  </si>
  <si>
    <t>PAN,15",PERFORATED PIZZA</t>
  </si>
  <si>
    <t>04.17.188.00</t>
  </si>
  <si>
    <t>40981</t>
  </si>
  <si>
    <t>PAN,16",PERFORATED PIZZA</t>
  </si>
  <si>
    <t>04.17.189.00</t>
  </si>
  <si>
    <t>40984</t>
  </si>
  <si>
    <t>PAN,18",PERFORATED PIZZA</t>
  </si>
  <si>
    <t>04.17.192.00</t>
  </si>
  <si>
    <t>4100</t>
  </si>
  <si>
    <t>PAN,14",PERFORATED PIZZA</t>
  </si>
  <si>
    <t>04.17.193.06</t>
  </si>
  <si>
    <t>4101</t>
  </si>
  <si>
    <t>FLAT TOP HOOD,FSHC,SILVER</t>
  </si>
  <si>
    <t>04.17.311.00</t>
  </si>
  <si>
    <t>4102</t>
  </si>
  <si>
    <t>CHIP DEFLECTOR MACHO NACHO</t>
  </si>
  <si>
    <t>04.17.314.00</t>
  </si>
  <si>
    <t>4103</t>
  </si>
  <si>
    <t>L.H. FLOOR MACHO NACHO</t>
  </si>
  <si>
    <t>04.17.315.00</t>
  </si>
  <si>
    <t>4104</t>
  </si>
  <si>
    <t>R.H. FLOOR MACHO NACHO</t>
  </si>
  <si>
    <t>04.17.316.00</t>
  </si>
  <si>
    <t>4105</t>
  </si>
  <si>
    <t>BLOWER HEATER ASSY MACHO NACHO</t>
  </si>
  <si>
    <t>04.17.326.00</t>
  </si>
  <si>
    <t>4106</t>
  </si>
  <si>
    <t>LH FRONT FACE MTG ASSY</t>
  </si>
  <si>
    <t>04.17.327.00</t>
  </si>
  <si>
    <t>4107</t>
  </si>
  <si>
    <t>RH FRONT FACE MTG ASSY</t>
  </si>
  <si>
    <t>04.17.330.00</t>
  </si>
  <si>
    <t>4109</t>
  </si>
  <si>
    <t>DRAIN HANGER TAB FS</t>
  </si>
  <si>
    <t>04.17.333.00</t>
  </si>
  <si>
    <t>4200</t>
  </si>
  <si>
    <t>1.5OD .688ID .06THK SS WASHER</t>
  </si>
  <si>
    <t>04.17.334.00</t>
  </si>
  <si>
    <t>4201</t>
  </si>
  <si>
    <t>FS WATER RESERVOIR ASY W/DRAIN</t>
  </si>
  <si>
    <t>04.17.426.00</t>
  </si>
  <si>
    <t>4202</t>
  </si>
  <si>
    <t>AIR DUCT ASSY WFST</t>
  </si>
  <si>
    <t>04.17.435.00</t>
  </si>
  <si>
    <t>4203</t>
  </si>
  <si>
    <t>ALUMINUM TOP SPACER WFST</t>
  </si>
  <si>
    <t>04.17.438.01</t>
  </si>
  <si>
    <t>4204</t>
  </si>
  <si>
    <t>WFST HOOD,BLACK</t>
  </si>
  <si>
    <t>04.17.440A.00</t>
  </si>
  <si>
    <t>4205</t>
  </si>
  <si>
    <t>WFST-1X,2X REMOVABLE SHELF</t>
  </si>
  <si>
    <t>04.17.462.00</t>
  </si>
  <si>
    <t>4206</t>
  </si>
  <si>
    <t>WFST SLIDING OUTER HANDLE COAT</t>
  </si>
  <si>
    <t>04.17.463.00</t>
  </si>
  <si>
    <t>4207</t>
  </si>
  <si>
    <t>WFST SLIDING INNER HANDLE COAT</t>
  </si>
  <si>
    <t>04.17.464.00</t>
  </si>
  <si>
    <t>4208</t>
  </si>
  <si>
    <t>WFST SLDG DOOR PULLEY BRKT ASY</t>
  </si>
  <si>
    <t>04.17.467.00</t>
  </si>
  <si>
    <t>4209</t>
  </si>
  <si>
    <t>WFST SLIDING DOOR BOTTOM TRACK</t>
  </si>
  <si>
    <t>04.17.469.00</t>
  </si>
  <si>
    <t>4210</t>
  </si>
  <si>
    <t>WFST SLIDING DOOR SHOE W/GLIDE</t>
  </si>
  <si>
    <t>04.17.470.00</t>
  </si>
  <si>
    <t>4211</t>
  </si>
  <si>
    <t>WFST SLIDING DOOR TOP TRACK</t>
  </si>
  <si>
    <t>04.17.475.00</t>
  </si>
  <si>
    <t>4212</t>
  </si>
  <si>
    <t>WFST SLDG DOOR UPPER SLIDE</t>
  </si>
  <si>
    <t>04.17.477.00</t>
  </si>
  <si>
    <t>4213</t>
  </si>
  <si>
    <t>1" DIA .188ID STL IDLER PULLEY</t>
  </si>
  <si>
    <t>04.17.480.00</t>
  </si>
  <si>
    <t>4214</t>
  </si>
  <si>
    <t>WFST SS CABLE W/10-24 FITTINGS</t>
  </si>
  <si>
    <t>04.17.495.00</t>
  </si>
  <si>
    <t>4215</t>
  </si>
  <si>
    <t>SELF CLOSING HINGE SPRING STOP</t>
  </si>
  <si>
    <t>04.17.496.00</t>
  </si>
  <si>
    <t>4216</t>
  </si>
  <si>
    <t>SELF CLOSING HINGE SCREW</t>
  </si>
  <si>
    <t>04.17.501.00</t>
  </si>
  <si>
    <t>4217</t>
  </si>
  <si>
    <t>WFST-30 LH SELF CL HINGE BRKT</t>
  </si>
  <si>
    <t>04.17.502.00</t>
  </si>
  <si>
    <t>4223</t>
  </si>
  <si>
    <t>WFST-30 RH SELF CL HINGE BRKT</t>
  </si>
  <si>
    <t>04.17.510.00</t>
  </si>
  <si>
    <t>4225</t>
  </si>
  <si>
    <t>HINGE SPRING STOP W/GROOVE</t>
  </si>
  <si>
    <t>04.17.511.00</t>
  </si>
  <si>
    <t>4226</t>
  </si>
  <si>
    <t>HINGE SPRING,LONG,RH DOOR</t>
  </si>
  <si>
    <t>04.17.512.00</t>
  </si>
  <si>
    <t>4228</t>
  </si>
  <si>
    <t>HINGE SPRING,LONG,LH DOOR</t>
  </si>
  <si>
    <t>04.17.616A.00</t>
  </si>
  <si>
    <t>4229</t>
  </si>
  <si>
    <t>SERVICE FSD MALE HINGE PIN A</t>
  </si>
  <si>
    <t>04.17.616B.00</t>
  </si>
  <si>
    <t>4230</t>
  </si>
  <si>
    <t>SERVICE FSD MALE HINGE PIN B</t>
  </si>
  <si>
    <t>04.17.624.00</t>
  </si>
  <si>
    <t>4232</t>
  </si>
  <si>
    <t>FSD FLOOR SHEET ASSY</t>
  </si>
  <si>
    <t>04.17.625.00</t>
  </si>
  <si>
    <t>4238</t>
  </si>
  <si>
    <t>WATER TANK ASSY FSD,SERVICE</t>
  </si>
  <si>
    <t>04.17.627.00</t>
  </si>
  <si>
    <t>4239</t>
  </si>
  <si>
    <t>FSDT HEAT TUBE ASSY</t>
  </si>
  <si>
    <t>04.17.629.00</t>
  </si>
  <si>
    <t>4259</t>
  </si>
  <si>
    <t>FSD HEAT TUBE ASSY</t>
  </si>
  <si>
    <t>04.17.640.00</t>
  </si>
  <si>
    <t>4300</t>
  </si>
  <si>
    <t>FSD 3 TIER CIRCLE RACK W/RET</t>
  </si>
  <si>
    <t>04.17.641.00</t>
  </si>
  <si>
    <t>4301</t>
  </si>
  <si>
    <t>FSDT 4 TIER CIRCLE RACK W/RET</t>
  </si>
  <si>
    <t>04.17.642.00</t>
  </si>
  <si>
    <t>4302</t>
  </si>
  <si>
    <t>FSDT 5 TIER CIRCLE RACK W/RET</t>
  </si>
  <si>
    <t>04.17.649.00</t>
  </si>
  <si>
    <t>4303</t>
  </si>
  <si>
    <t>SERVICE,STRIP-DOOR FSD/FSDT</t>
  </si>
  <si>
    <t>04.17.674.00</t>
  </si>
  <si>
    <t>4304</t>
  </si>
  <si>
    <t>FSD DOOR HINGE BRACKET</t>
  </si>
  <si>
    <t>04.17.688.00</t>
  </si>
  <si>
    <t>4305</t>
  </si>
  <si>
    <t>BUMPER,RUBBER,.375" DIA</t>
  </si>
  <si>
    <t>04.17.733.00</t>
  </si>
  <si>
    <t>4307</t>
  </si>
  <si>
    <t>2"DIA 3"CLEARANCE CASTER W/BRK</t>
  </si>
  <si>
    <t>04.17.735.01</t>
  </si>
  <si>
    <t>4310</t>
  </si>
  <si>
    <t>AIR CHAMBER/BODY ASY,1 ELE,6W1</t>
  </si>
  <si>
    <t>04.17.737.00</t>
  </si>
  <si>
    <t>43100</t>
  </si>
  <si>
    <t>WATER PAN COVER,FSHC-6W1</t>
  </si>
  <si>
    <t>04.17.803.00</t>
  </si>
  <si>
    <t>43101</t>
  </si>
  <si>
    <t>AIR CHMBR COVER ASSY,FSD</t>
  </si>
  <si>
    <t>04.17.804.00</t>
  </si>
  <si>
    <t>43102</t>
  </si>
  <si>
    <t>SERVICE WATER TANK ASSY,FSD</t>
  </si>
  <si>
    <t>04.17.810.00</t>
  </si>
  <si>
    <t>43103</t>
  </si>
  <si>
    <t>GLASS DOOR HINGE,TOP,FSHC-6WX</t>
  </si>
  <si>
    <t>04.17.811.00</t>
  </si>
  <si>
    <t>43104</t>
  </si>
  <si>
    <t>GLASS DOOR HINGE,BOTT,FSHC-6WX</t>
  </si>
  <si>
    <t>04.17.817.00</t>
  </si>
  <si>
    <t>43105</t>
  </si>
  <si>
    <t>HINGE HOLE COVER,FSHC-6WX</t>
  </si>
  <si>
    <t>04.17.823.02</t>
  </si>
  <si>
    <t>4311</t>
  </si>
  <si>
    <t>OUTER TOP,FSHC-7,GRAY GRANITE</t>
  </si>
  <si>
    <t>04.17.823.06</t>
  </si>
  <si>
    <t>4312</t>
  </si>
  <si>
    <t>OUTER TOP,FSHC-7,SILVER GRAY</t>
  </si>
  <si>
    <t>04.17.825.01</t>
  </si>
  <si>
    <t>4313</t>
  </si>
  <si>
    <t>AIR CHAMBER ASSY,1 ELEM,FSHC-7</t>
  </si>
  <si>
    <t>04.17.825.02</t>
  </si>
  <si>
    <t>4314</t>
  </si>
  <si>
    <t>AIR CHAMBER ASSY,2 ELEM,FSHC-7</t>
  </si>
  <si>
    <t>04.17.826.00</t>
  </si>
  <si>
    <t>43150</t>
  </si>
  <si>
    <t>AIR CHAMBER COVER ASSY,FSHC-7</t>
  </si>
  <si>
    <t>04.17.827.00</t>
  </si>
  <si>
    <t>43151</t>
  </si>
  <si>
    <t>WATER PAN COVER,FSHC-7</t>
  </si>
  <si>
    <t>04.17.857.00</t>
  </si>
  <si>
    <t>43152</t>
  </si>
  <si>
    <t>BRACKET,PROBE,FS</t>
  </si>
  <si>
    <t>04.17.866.01</t>
  </si>
  <si>
    <t>43153</t>
  </si>
  <si>
    <t>FSD CONTROL PANEL,BLACK</t>
  </si>
  <si>
    <t>04.17.867.01</t>
  </si>
  <si>
    <t>4317</t>
  </si>
  <si>
    <t>FSD ELEC CONTROL PANEL,BLACK</t>
  </si>
  <si>
    <t>04.17.867.OS</t>
  </si>
  <si>
    <t>4318</t>
  </si>
  <si>
    <t>FSD ELEC CONTROL PANEL,OS</t>
  </si>
  <si>
    <t>04.17.899.01</t>
  </si>
  <si>
    <t>4319</t>
  </si>
  <si>
    <t>FSD HOOD,BLACK</t>
  </si>
  <si>
    <t>04.17.916.00</t>
  </si>
  <si>
    <t>43200</t>
  </si>
  <si>
    <t>BEEPER BRACKET,FSHC-7</t>
  </si>
  <si>
    <t>04.17.917.00</t>
  </si>
  <si>
    <t>43200B</t>
  </si>
  <si>
    <t>OUTER TOP,SS,FSHC-7</t>
  </si>
  <si>
    <t>04.17.920.00</t>
  </si>
  <si>
    <t>43202</t>
  </si>
  <si>
    <t>BOTTOM HOLE CVR,4" LEG,FSHC-7</t>
  </si>
  <si>
    <t>04.18.356.00</t>
  </si>
  <si>
    <t>43203</t>
  </si>
  <si>
    <t>GRSDSI-48 SS CHANNEL DIVIDER</t>
  </si>
  <si>
    <t>04.19.1152.00</t>
  </si>
  <si>
    <t>43205</t>
  </si>
  <si>
    <t>LID ASSY,10 LITER PAN,RHW</t>
  </si>
  <si>
    <t>04.19.1160.00</t>
  </si>
  <si>
    <t>43206</t>
  </si>
  <si>
    <t>WATER PAN ASSY,GRHW-1SGDH</t>
  </si>
  <si>
    <t>04.19.1169.00</t>
  </si>
  <si>
    <t>43207</t>
  </si>
  <si>
    <t>HEATED WELL ASSY,GRHW-1SGDH</t>
  </si>
  <si>
    <t>04.19.1224.00</t>
  </si>
  <si>
    <t>43208</t>
  </si>
  <si>
    <t>ITC CONTROL PANEL,GRSSB,GRSB,F</t>
  </si>
  <si>
    <t>04.19.125.00</t>
  </si>
  <si>
    <t>43209</t>
  </si>
  <si>
    <t>SUP POST,GRBW</t>
  </si>
  <si>
    <t>04.19.126.00</t>
  </si>
  <si>
    <t>43211</t>
  </si>
  <si>
    <t>POST CVR,GRBW</t>
  </si>
  <si>
    <t>04.19.1272.01</t>
  </si>
  <si>
    <t>43212</t>
  </si>
  <si>
    <t>PAN SKIRT,GRCMW-1,BLACK</t>
  </si>
  <si>
    <t>04.19.128.00</t>
  </si>
  <si>
    <t>43213</t>
  </si>
  <si>
    <t>END PLT,9",LH,UPPER GRBW</t>
  </si>
  <si>
    <t>04.19.1283.00</t>
  </si>
  <si>
    <t>43214</t>
  </si>
  <si>
    <t>UPPER GLASS CHNL,GRCMW-1,UNFIN</t>
  </si>
  <si>
    <t>04.19.129.00</t>
  </si>
  <si>
    <t>43215</t>
  </si>
  <si>
    <t>END PLT,9",RH,UPPER GRBW</t>
  </si>
  <si>
    <t>04.19.1333.00</t>
  </si>
  <si>
    <t>43216</t>
  </si>
  <si>
    <t>CONTROL PANEL,BASE,GRSB/F,GRSS</t>
  </si>
  <si>
    <t>04.19.1423.00</t>
  </si>
  <si>
    <t>43223</t>
  </si>
  <si>
    <t>LID ASSY,10L PAN,HINGED,NOTCH</t>
  </si>
  <si>
    <t>04.19.149.00</t>
  </si>
  <si>
    <t>43225</t>
  </si>
  <si>
    <t>2 PAN RACK FOR BUFFET WARMER</t>
  </si>
  <si>
    <t>04.19.252.01</t>
  </si>
  <si>
    <t>43225B</t>
  </si>
  <si>
    <t>GRHW-1P SIGN HOLDER ASSY BLACK</t>
  </si>
  <si>
    <t>04.19.254.00</t>
  </si>
  <si>
    <t>43226</t>
  </si>
  <si>
    <t>HRDCTD SANDWICH BIN</t>
  </si>
  <si>
    <t>04.19.379.00</t>
  </si>
  <si>
    <t>43228</t>
  </si>
  <si>
    <t>6.0 GRS/BW-72 BASE BOTT COVER</t>
  </si>
  <si>
    <t>04.19.418.00</t>
  </si>
  <si>
    <t>43229</t>
  </si>
  <si>
    <t>END PLT,12",LH,GRS,UNFIN</t>
  </si>
  <si>
    <t>04.19.470.00</t>
  </si>
  <si>
    <t>4323</t>
  </si>
  <si>
    <t>GRSB REMOTE BOX BRACKET</t>
  </si>
  <si>
    <t>04.19.471.00</t>
  </si>
  <si>
    <t>43230</t>
  </si>
  <si>
    <t>GRSB FIXED POWER PLATE</t>
  </si>
  <si>
    <t>04.19.478.00</t>
  </si>
  <si>
    <t>43231</t>
  </si>
  <si>
    <t>T-STAT GUARD EGO</t>
  </si>
  <si>
    <t>04.19.523.00</t>
  </si>
  <si>
    <t>43232</t>
  </si>
  <si>
    <t>1/2" CONDUIT 3' LONG</t>
  </si>
  <si>
    <t>04.19.603.00</t>
  </si>
  <si>
    <t>43238</t>
  </si>
  <si>
    <t>GRDW-1 CLEAR FRONT PANEL</t>
  </si>
  <si>
    <t>04.19.604.00</t>
  </si>
  <si>
    <t>43239</t>
  </si>
  <si>
    <t>GRDW-1 CLEAR LH SIDE PANEL</t>
  </si>
  <si>
    <t>04.19.605.00</t>
  </si>
  <si>
    <t>43239B</t>
  </si>
  <si>
    <t>GRDW-1 CLEAR RH SIDE PANEL</t>
  </si>
  <si>
    <t>04.19.648.01</t>
  </si>
  <si>
    <t>4324</t>
  </si>
  <si>
    <t>BRACKET,Z,GRSBF,BLACK</t>
  </si>
  <si>
    <t>04.19.676.00</t>
  </si>
  <si>
    <t>43259</t>
  </si>
  <si>
    <t>GRBW LH ACR SUPP SIDE ONLY</t>
  </si>
  <si>
    <t>04.19.677.00</t>
  </si>
  <si>
    <t>43300</t>
  </si>
  <si>
    <t>GRBW RH ACR SUPP SIDE ONLY</t>
  </si>
  <si>
    <t>04.19.678.00</t>
  </si>
  <si>
    <t>43301</t>
  </si>
  <si>
    <t>GRBW END ACRYL BRACKET UPPER</t>
  </si>
  <si>
    <t>04.19.679.00</t>
  </si>
  <si>
    <t>43302</t>
  </si>
  <si>
    <t>GRBW LH ACR SUPP SIDE &amp; FRONT</t>
  </si>
  <si>
    <t>04.19.680.00</t>
  </si>
  <si>
    <t>43303</t>
  </si>
  <si>
    <t>GRBW RH ACR SUPP SIDE &amp; FRONT</t>
  </si>
  <si>
    <t>04.19.795.00</t>
  </si>
  <si>
    <t>43304</t>
  </si>
  <si>
    <t>WIRE GUARD,GRHW 2-TIER</t>
  </si>
  <si>
    <t>04.19.796.01</t>
  </si>
  <si>
    <t>43305</t>
  </si>
  <si>
    <t>SIGN ASSEMBLY,GRHW 2-TIER,BLK</t>
  </si>
  <si>
    <t>04.19.796.02</t>
  </si>
  <si>
    <t>43307</t>
  </si>
  <si>
    <t>SIGN ASSEMBLY,GRHW 2-TIER,GRY</t>
  </si>
  <si>
    <t>04.19.796.03</t>
  </si>
  <si>
    <t>43308</t>
  </si>
  <si>
    <t>SIGN ASSEMBLY,GRHW 2-TIER,RED</t>
  </si>
  <si>
    <t>04.19.796.04</t>
  </si>
  <si>
    <t>43310</t>
  </si>
  <si>
    <t>SIGN ASSEMBLY,GRHW 2-TIER,WHT</t>
  </si>
  <si>
    <t>04.19.796.05</t>
  </si>
  <si>
    <t>43311</t>
  </si>
  <si>
    <t>SIGN ASSEMBLY,GRHW 2-TIER,BLU</t>
  </si>
  <si>
    <t>04.19.796.07</t>
  </si>
  <si>
    <t>43312</t>
  </si>
  <si>
    <t>SIGN ASSEMBLY,GRHW 2-TIER,GRN</t>
  </si>
  <si>
    <t>04.19.796.21</t>
  </si>
  <si>
    <t>43313</t>
  </si>
  <si>
    <t>SIGN ASSEMBLY,GRHW 2-TIER,COP</t>
  </si>
  <si>
    <t>04.19.797.00</t>
  </si>
  <si>
    <t>43314</t>
  </si>
  <si>
    <t>HASH BROWN HOLDER-HRDCTD</t>
  </si>
  <si>
    <t>04.19.804.01</t>
  </si>
  <si>
    <t>43317</t>
  </si>
  <si>
    <t>PERSONNEL BRKT,GRHW 2-TIER,BLK</t>
  </si>
  <si>
    <t>04.19.987.01</t>
  </si>
  <si>
    <t>43318</t>
  </si>
  <si>
    <t>GRHW-1SGD,BP BRACKET,BLACK</t>
  </si>
  <si>
    <t>04.19.989.00</t>
  </si>
  <si>
    <t>43319</t>
  </si>
  <si>
    <t>REMOV PANINI RACK,GRHW-1SGDN</t>
  </si>
  <si>
    <t>04.19.995.00</t>
  </si>
  <si>
    <t>43323</t>
  </si>
  <si>
    <t>REMOV PANINI RACK,GRHW-1SGD</t>
  </si>
  <si>
    <t>04.20.002.00</t>
  </si>
  <si>
    <t>43324</t>
  </si>
  <si>
    <t>T BLOCK MTG BRKT 3CS</t>
  </si>
  <si>
    <t>04.20.019.00</t>
  </si>
  <si>
    <t>43335</t>
  </si>
  <si>
    <t>SURF MTG HI-LMT BRKT RECON HTR</t>
  </si>
  <si>
    <t>04.20.033.00</t>
  </si>
  <si>
    <t>43336</t>
  </si>
  <si>
    <t>TRANSFRMR MTG BRKT 3CS 1&amp;2 ELE</t>
  </si>
  <si>
    <t>04.20.148.00</t>
  </si>
  <si>
    <t>43340</t>
  </si>
  <si>
    <t>BRKT,PROBE CLAMP WSTUD,HDW TTC</t>
  </si>
  <si>
    <t>04.22.006.00</t>
  </si>
  <si>
    <t>43341</t>
  </si>
  <si>
    <t>UPPER DOOR CHANNEL FOR GRHD-3P</t>
  </si>
  <si>
    <t>04.22.009.00</t>
  </si>
  <si>
    <t>43342</t>
  </si>
  <si>
    <t>BOTTOM DOOR TRACK FOR GRHD-3P</t>
  </si>
  <si>
    <t>04.22.010.00</t>
  </si>
  <si>
    <t>43343</t>
  </si>
  <si>
    <t>BOTTOM DOOR TRACK FOR GRHD-4D</t>
  </si>
  <si>
    <t>04.22.030.00</t>
  </si>
  <si>
    <t>43344</t>
  </si>
  <si>
    <t>PAN RAIL GRHD 2 PAN</t>
  </si>
  <si>
    <t>04.22.031.00</t>
  </si>
  <si>
    <t>43345</t>
  </si>
  <si>
    <t>PAN RAIL GRHD 3 PAN</t>
  </si>
  <si>
    <t>04.22.032.00</t>
  </si>
  <si>
    <t>43346</t>
  </si>
  <si>
    <t>PAN RAIL GRHD 4 PAN</t>
  </si>
  <si>
    <t>04.22.052.00</t>
  </si>
  <si>
    <t>4336</t>
  </si>
  <si>
    <t>SANDWICH SLIDE-LOWER GRHD-XPD</t>
  </si>
  <si>
    <t>04.22.053.00</t>
  </si>
  <si>
    <t>43360</t>
  </si>
  <si>
    <t>SANDWICH SLIDE-UPPER GRHD-XPD</t>
  </si>
  <si>
    <t>04.22.057.00</t>
  </si>
  <si>
    <t>43361</t>
  </si>
  <si>
    <t>UPPER SEPARATOR GRHD-2PD</t>
  </si>
  <si>
    <t>04.22.058.00</t>
  </si>
  <si>
    <t>43363</t>
  </si>
  <si>
    <t>UPPER SEPARATOR GRHD-3PD &amp; 4PD</t>
  </si>
  <si>
    <t>04.22.059.00</t>
  </si>
  <si>
    <t>43365</t>
  </si>
  <si>
    <t>LOWER SEPARATOR GRHD-2PD</t>
  </si>
  <si>
    <t>04.22.060.00</t>
  </si>
  <si>
    <t>43365B</t>
  </si>
  <si>
    <t>LOWER SEPARATOR GRHD-3PD &amp; 4SD</t>
  </si>
  <si>
    <t>04.22.111.00</t>
  </si>
  <si>
    <t>43366</t>
  </si>
  <si>
    <t>GRHD 2PD PAN STOP-UPPER SHELF</t>
  </si>
  <si>
    <t>04.22.112.00</t>
  </si>
  <si>
    <t>43366B</t>
  </si>
  <si>
    <t>GRHD 3PD PAN STOP-UPPER SHELF</t>
  </si>
  <si>
    <t>04.22.113.00</t>
  </si>
  <si>
    <t>43370</t>
  </si>
  <si>
    <t>GRHD 4PD PAN STOP-UPPER SHELF</t>
  </si>
  <si>
    <t>04.22.175.00</t>
  </si>
  <si>
    <t>43371</t>
  </si>
  <si>
    <t>HOOD ASSY, GRHD 4PD, UNFIN</t>
  </si>
  <si>
    <t>04.22.211.00</t>
  </si>
  <si>
    <t>43375</t>
  </si>
  <si>
    <t>BOTTOM DOOR GLIDE</t>
  </si>
  <si>
    <t>04.22.329.00</t>
  </si>
  <si>
    <t>43376</t>
  </si>
  <si>
    <t>GRCD-3P,3PD UPPER DOOR TRACK</t>
  </si>
  <si>
    <t>04.22.400.00</t>
  </si>
  <si>
    <t>43380</t>
  </si>
  <si>
    <t>GRHDH PAN DIVIDER</t>
  </si>
  <si>
    <t>04.22.402.00</t>
  </si>
  <si>
    <t>4339</t>
  </si>
  <si>
    <t>GRHDH HEATED WELL</t>
  </si>
  <si>
    <t>04.22.403.00</t>
  </si>
  <si>
    <t>4340</t>
  </si>
  <si>
    <t>GRHDH WATER TROUGH ASSY</t>
  </si>
  <si>
    <t>04.22.405.01</t>
  </si>
  <si>
    <t>43401</t>
  </si>
  <si>
    <t>GRHDH DUAL CONTROL PANEL,BLK</t>
  </si>
  <si>
    <t>04.22.406.00</t>
  </si>
  <si>
    <t>43402</t>
  </si>
  <si>
    <t>GRHDH 2 PAN ENCLOSURE</t>
  </si>
  <si>
    <t>04.22.407.00</t>
  </si>
  <si>
    <t>43403</t>
  </si>
  <si>
    <t>GRHDH SINGLE PAN ENCL</t>
  </si>
  <si>
    <t>04.22.408.00</t>
  </si>
  <si>
    <t>43404</t>
  </si>
  <si>
    <t>GRHDH-2P,2PD BASE PAN</t>
  </si>
  <si>
    <t>04.22.409.00</t>
  </si>
  <si>
    <t>43405</t>
  </si>
  <si>
    <t>GRHDH-3P,3PD BASE PAN</t>
  </si>
  <si>
    <t>04.22.415.02</t>
  </si>
  <si>
    <t>43406</t>
  </si>
  <si>
    <t>DOOR GLIDE,GRHD/CD-3P</t>
  </si>
  <si>
    <t>04.22.415.03</t>
  </si>
  <si>
    <t>43410</t>
  </si>
  <si>
    <t>DOOR GLIDE,GRHD/CD-4P</t>
  </si>
  <si>
    <t>04.22.499.00</t>
  </si>
  <si>
    <t>43410B</t>
  </si>
  <si>
    <t>DOOR SHOE BRKT W/BUMPER ASSY</t>
  </si>
  <si>
    <t>04.22.785.00</t>
  </si>
  <si>
    <t>43410V4</t>
  </si>
  <si>
    <t>BRKT,GLASS TIE DOWN,FSCD</t>
  </si>
  <si>
    <t>04.22.790.00</t>
  </si>
  <si>
    <t>43411</t>
  </si>
  <si>
    <t>METAL SHELF,FSCD-2PD</t>
  </si>
  <si>
    <t>04.24.004.01</t>
  </si>
  <si>
    <t>43412</t>
  </si>
  <si>
    <t>COVER,FDW,BLACK</t>
  </si>
  <si>
    <t>04.24.020.00</t>
  </si>
  <si>
    <t>43413</t>
  </si>
  <si>
    <t>FDW HINGE MOUNTING BRACKET</t>
  </si>
  <si>
    <t>04.24.023.00</t>
  </si>
  <si>
    <t>43414</t>
  </si>
  <si>
    <t>FDW-1 HINGE PIN</t>
  </si>
  <si>
    <t>04.24.025.00</t>
  </si>
  <si>
    <t>43415</t>
  </si>
  <si>
    <t>FDW 4 TIER CIRCLE RACK W/RET</t>
  </si>
  <si>
    <t>04.24.029.00</t>
  </si>
  <si>
    <t>43416</t>
  </si>
  <si>
    <t>FDW 3 RING PIZZA RACK</t>
  </si>
  <si>
    <t>04.24.064.00</t>
  </si>
  <si>
    <t>43417</t>
  </si>
  <si>
    <t>FDW-1-MN CHIP DEFLECTOR</t>
  </si>
  <si>
    <t>04.24.070.00</t>
  </si>
  <si>
    <t>43418</t>
  </si>
  <si>
    <t>FDW WATER TANK W/DRAIN</t>
  </si>
  <si>
    <t>04.24.124.00</t>
  </si>
  <si>
    <t>43419</t>
  </si>
  <si>
    <t>DOWNTUBE ASSEMBLY,FDWD</t>
  </si>
  <si>
    <t>04.24.176.00</t>
  </si>
  <si>
    <t>4342</t>
  </si>
  <si>
    <t>FLOOR ASSEMBLY,FDWD</t>
  </si>
  <si>
    <t>04.24.191.00</t>
  </si>
  <si>
    <t>43420</t>
  </si>
  <si>
    <t>AIR CHAMBER COVER,FDWD</t>
  </si>
  <si>
    <t>04.24.204.01</t>
  </si>
  <si>
    <t>43420B</t>
  </si>
  <si>
    <t>HOOD,FDWD,BLACK</t>
  </si>
  <si>
    <t>04.24.206.00</t>
  </si>
  <si>
    <t>43422</t>
  </si>
  <si>
    <t>WATER TANK ASSY,FDWD,LH FILL</t>
  </si>
  <si>
    <t>04.24.222.01</t>
  </si>
  <si>
    <t>43425</t>
  </si>
  <si>
    <t>ENCL ASY,FDWD-1,BLACK</t>
  </si>
  <si>
    <t>04.24.228.01</t>
  </si>
  <si>
    <t>43426</t>
  </si>
  <si>
    <t>ENCL ASSY,FDWD-2,BLACK</t>
  </si>
  <si>
    <t>04.24.235.01</t>
  </si>
  <si>
    <t>43427</t>
  </si>
  <si>
    <t>4" LEG BRACKET,FDWD,BLACK</t>
  </si>
  <si>
    <t>04.24.261.00</t>
  </si>
  <si>
    <t>43430</t>
  </si>
  <si>
    <t>FDWD-12 4 TIER CIRCLE RACK</t>
  </si>
  <si>
    <t>04.24.264.00</t>
  </si>
  <si>
    <t>43430N</t>
  </si>
  <si>
    <t>WATER TANK ASY FILL,FDWDN</t>
  </si>
  <si>
    <t>04.24.288.00</t>
  </si>
  <si>
    <t>43431</t>
  </si>
  <si>
    <t>CHIP DEFLECTOR,FDWD-1-MN</t>
  </si>
  <si>
    <t>04.24.303.00</t>
  </si>
  <si>
    <t>43431N</t>
  </si>
  <si>
    <t>MOUNTING BRKT,RH,FDWD-1-MN</t>
  </si>
  <si>
    <t>04.24.304.00</t>
  </si>
  <si>
    <t>43432</t>
  </si>
  <si>
    <t>MOUNTING BRKT,LH,FDWD-1-MN</t>
  </si>
  <si>
    <t>04.24.320.00</t>
  </si>
  <si>
    <t>43433</t>
  </si>
  <si>
    <t>CRUMB TRAY,FDWD,W/HEMS</t>
  </si>
  <si>
    <t>04.24.333.00</t>
  </si>
  <si>
    <t>43434</t>
  </si>
  <si>
    <t>3 TIER PIZZA RACK W/RET,FDWD</t>
  </si>
  <si>
    <t>04.24.334.00</t>
  </si>
  <si>
    <t>43435</t>
  </si>
  <si>
    <t>AIR CHAMB ASSY,FDWD,LH FILL</t>
  </si>
  <si>
    <t>04.24.445.01</t>
  </si>
  <si>
    <t>43435N</t>
  </si>
  <si>
    <t>FDWDB HOOD,BLK</t>
  </si>
  <si>
    <t>04.24.449.01</t>
  </si>
  <si>
    <t>43436</t>
  </si>
  <si>
    <t>CONTROL COVER,FDWDB,BLK</t>
  </si>
  <si>
    <t>04.24.454.00</t>
  </si>
  <si>
    <t>43436N</t>
  </si>
  <si>
    <t>DOWNTUBE,FDWDB,UNFIN</t>
  </si>
  <si>
    <t>04.24.458.00</t>
  </si>
  <si>
    <t>43437</t>
  </si>
  <si>
    <t>CRUMB TRAY,FDWDB</t>
  </si>
  <si>
    <t>04.24.495.00</t>
  </si>
  <si>
    <t>43439</t>
  </si>
  <si>
    <t>DOOR,SS,FDWD-1-MN</t>
  </si>
  <si>
    <t>04.24.518.00</t>
  </si>
  <si>
    <t>43440</t>
  </si>
  <si>
    <t>TANK COVER,FDWDB</t>
  </si>
  <si>
    <t>04.24.526.00</t>
  </si>
  <si>
    <t>43441</t>
  </si>
  <si>
    <t>HUMIDITY VENT TOP,FDWDB</t>
  </si>
  <si>
    <t>04.24.532.00</t>
  </si>
  <si>
    <t>43442</t>
  </si>
  <si>
    <t>RACK COUPLNG,SPRING LOAD,FDWDB</t>
  </si>
  <si>
    <t>04.24.533.00</t>
  </si>
  <si>
    <t>43446V1</t>
  </si>
  <si>
    <t>HUMIDITY TANK,CAST ALUM,FDWDB</t>
  </si>
  <si>
    <t>04.25.003.00</t>
  </si>
  <si>
    <t>43446V4</t>
  </si>
  <si>
    <t>END CVR,STD,1.625"LG</t>
  </si>
  <si>
    <t>04.25.114.00</t>
  </si>
  <si>
    <t>43447</t>
  </si>
  <si>
    <t>END CVR,CERAMIC,2.5"LG</t>
  </si>
  <si>
    <t>04.25.126.00</t>
  </si>
  <si>
    <t>43448</t>
  </si>
  <si>
    <t>ADJUSTABLE END BRACKET HL</t>
  </si>
  <si>
    <t>04.25.207.00</t>
  </si>
  <si>
    <t>43449</t>
  </si>
  <si>
    <t>END COVER,3.0 IN CERAMIC</t>
  </si>
  <si>
    <t>04.25.208.00</t>
  </si>
  <si>
    <t>4345</t>
  </si>
  <si>
    <t>PRIMARY CERAMIC ELEM REFLECTOR</t>
  </si>
  <si>
    <t>04.25.223.00</t>
  </si>
  <si>
    <t>43450</t>
  </si>
  <si>
    <t>REFLEC 1/2 SIZE CERAMIC ELEM</t>
  </si>
  <si>
    <t>04.25.225.00</t>
  </si>
  <si>
    <t>43460</t>
  </si>
  <si>
    <t>WIRE GUARD 1/2 SZ CRMC RAISED</t>
  </si>
  <si>
    <t>04.25.226.00</t>
  </si>
  <si>
    <t>43460N</t>
  </si>
  <si>
    <t>RAISED WIRE GUARD FULL SZ CRMC</t>
  </si>
  <si>
    <t>04.25.264.00</t>
  </si>
  <si>
    <t>43461</t>
  </si>
  <si>
    <t>BREATH SHIELD STAND-OFF CLEAR</t>
  </si>
  <si>
    <t>04.25.265.00</t>
  </si>
  <si>
    <t>43461N</t>
  </si>
  <si>
    <t>CARVING STATION SS BASE PAN</t>
  </si>
  <si>
    <t>04.25.267.00</t>
  </si>
  <si>
    <t>43462</t>
  </si>
  <si>
    <t>CUTTING BOARD,MAPLE 24x18x1.75</t>
  </si>
  <si>
    <t>04.25.277A.00</t>
  </si>
  <si>
    <t>43463</t>
  </si>
  <si>
    <t>SECONDARY CERAMIC REF MARINE</t>
  </si>
  <si>
    <t>04.25.297.00</t>
  </si>
  <si>
    <t>4347</t>
  </si>
  <si>
    <t>DIVIDER,FRY STATION PAN,16"</t>
  </si>
  <si>
    <t>04.25.313.00</t>
  </si>
  <si>
    <t>43470</t>
  </si>
  <si>
    <t>RIBBON,7PLT BAG,SIDE,FHS,HCT</t>
  </si>
  <si>
    <t>04.25.314.00</t>
  </si>
  <si>
    <t>43471</t>
  </si>
  <si>
    <t>RIBBON,5PLT BOX,SIDE,GRFHS,HCT</t>
  </si>
  <si>
    <t>04.25.315.00</t>
  </si>
  <si>
    <t>43472</t>
  </si>
  <si>
    <t>RIBBON,6PLT BOX/BAG,SIDE,HRDCT</t>
  </si>
  <si>
    <t>04.25.316.00</t>
  </si>
  <si>
    <t>43473</t>
  </si>
  <si>
    <t>DIVIDER,FRY STATION PAN,21.5"</t>
  </si>
  <si>
    <t>04.25.317.00</t>
  </si>
  <si>
    <t>43474</t>
  </si>
  <si>
    <t>FRENCH FRY BAG HOLDER</t>
  </si>
  <si>
    <t>04.25.348.00</t>
  </si>
  <si>
    <t>43475</t>
  </si>
  <si>
    <t>TRIVET,GRFHS-PT26</t>
  </si>
  <si>
    <t>04.25.349.00</t>
  </si>
  <si>
    <t>43477</t>
  </si>
  <si>
    <t>DIVIDER,FRY STATION PAN,23.5"</t>
  </si>
  <si>
    <t>04.25.350.00</t>
  </si>
  <si>
    <t>43478</t>
  </si>
  <si>
    <t>RIBBON,5PLT BAG,SIDE,FHS,HCT</t>
  </si>
  <si>
    <t>04.25.356.00</t>
  </si>
  <si>
    <t>43479</t>
  </si>
  <si>
    <t>RIBBON,4PLT BOX,SIDE,FHS,HCT</t>
  </si>
  <si>
    <t>04.25.362.00</t>
  </si>
  <si>
    <t>43480</t>
  </si>
  <si>
    <t>WIRE GUARD,CERAMIC ELEM,10.75"</t>
  </si>
  <si>
    <t>04.25.374.00</t>
  </si>
  <si>
    <t>43480N</t>
  </si>
  <si>
    <t>BRKT,ADJ ANGLE,1-2" DROP</t>
  </si>
  <si>
    <t>04.25.376.00</t>
  </si>
  <si>
    <t>43481</t>
  </si>
  <si>
    <t>REFLECTOR,CERAMIC,PRIMARY,24</t>
  </si>
  <si>
    <t>04.25.413.00</t>
  </si>
  <si>
    <t>43481N</t>
  </si>
  <si>
    <t>SCOOP HOLDER,GRFHS HANG-ON</t>
  </si>
  <si>
    <t>04.25.421.00</t>
  </si>
  <si>
    <t>43482</t>
  </si>
  <si>
    <t>DIVIDER,FRY STATION PAN,18.5"</t>
  </si>
  <si>
    <t>04.25.423.00</t>
  </si>
  <si>
    <t>43485E</t>
  </si>
  <si>
    <t>SEC REFLECTOR 1/2 SIZE CERAMIC</t>
  </si>
  <si>
    <t>04.25.437.00</t>
  </si>
  <si>
    <t>43488</t>
  </si>
  <si>
    <t>SEC REFLECTOR FULL SIZE CERAM</t>
  </si>
  <si>
    <t>04.25.501.00</t>
  </si>
  <si>
    <t>43490N</t>
  </si>
  <si>
    <t>TRIVET,MPWS-XX</t>
  </si>
  <si>
    <t>04.25.516.00</t>
  </si>
  <si>
    <t>43491N</t>
  </si>
  <si>
    <t>PAN STOP,MPWS-45</t>
  </si>
  <si>
    <t>04.25.517.00</t>
  </si>
  <si>
    <t>43492</t>
  </si>
  <si>
    <t>PAN STOP,MPWS-36</t>
  </si>
  <si>
    <t>04.25.528.00</t>
  </si>
  <si>
    <t>43493</t>
  </si>
  <si>
    <t>PAN,MPWS-XX,14.25 X 24.25</t>
  </si>
  <si>
    <t>04.25.542.00</t>
  </si>
  <si>
    <t>43495</t>
  </si>
  <si>
    <t>DIVIDER,FRY STATION,12.25"</t>
  </si>
  <si>
    <t>04.25.543.00</t>
  </si>
  <si>
    <t>4360</t>
  </si>
  <si>
    <t>BOTTOM FRY TRAY,MPWS-36</t>
  </si>
  <si>
    <t>04.25.544.00</t>
  </si>
  <si>
    <t>43600</t>
  </si>
  <si>
    <t>LARGE PAN TRIVET,MPWS-36</t>
  </si>
  <si>
    <t>04.25.545.00</t>
  </si>
  <si>
    <t>43600L</t>
  </si>
  <si>
    <t>DIVIDER,MPWS FRY TRIVET,22"</t>
  </si>
  <si>
    <t>04.25.546.00</t>
  </si>
  <si>
    <t>43601</t>
  </si>
  <si>
    <t>BOTTOM FRY TRAY,MPWS-45</t>
  </si>
  <si>
    <t>04.25.547.00</t>
  </si>
  <si>
    <t>43602</t>
  </si>
  <si>
    <t>LARGE PAN TRIVET,MPWS-45</t>
  </si>
  <si>
    <t>04.25.577.00</t>
  </si>
  <si>
    <t>43603</t>
  </si>
  <si>
    <t>BRKT,ADJ ANGLE,2.5-3.5" DROP</t>
  </si>
  <si>
    <t>04.25.626.00</t>
  </si>
  <si>
    <t>43604</t>
  </si>
  <si>
    <t>LARGE FRY TRIVET,MPWS-36</t>
  </si>
  <si>
    <t>04.25.631.00</t>
  </si>
  <si>
    <t>43607</t>
  </si>
  <si>
    <t>RIBBON,4PLT LONG BAG,HCT</t>
  </si>
  <si>
    <t>04.25.651.00</t>
  </si>
  <si>
    <t>43608</t>
  </si>
  <si>
    <t>TRIVET,GRFHS-16</t>
  </si>
  <si>
    <t>04.25.667.00</t>
  </si>
  <si>
    <t>43610</t>
  </si>
  <si>
    <t>SIDE COVER,RH,MPWS-XX</t>
  </si>
  <si>
    <t>04.25.669.00</t>
  </si>
  <si>
    <t>43615</t>
  </si>
  <si>
    <t>SIDE COVER,LH,MPWS-XX</t>
  </si>
  <si>
    <t>04.25.674.00</t>
  </si>
  <si>
    <t>43621</t>
  </si>
  <si>
    <t>PANEL,SIDE,REMOVABLE,MPWS-XX</t>
  </si>
  <si>
    <t>04.25.676.00</t>
  </si>
  <si>
    <t>4363</t>
  </si>
  <si>
    <t>BACK COVER,MPWS-45</t>
  </si>
  <si>
    <t>04.25.707.00</t>
  </si>
  <si>
    <t>43630</t>
  </si>
  <si>
    <t>COVER,BOTTOM,GRFHS-16</t>
  </si>
  <si>
    <t>04.25.708.00</t>
  </si>
  <si>
    <t>43631</t>
  </si>
  <si>
    <t>TOP CVR,12" DP,W BKST,GRFHS-16</t>
  </si>
  <si>
    <t>04.25.714.00</t>
  </si>
  <si>
    <t>43632</t>
  </si>
  <si>
    <t>PAN ASSY,GRFHS-21</t>
  </si>
  <si>
    <t>04.25.725.00</t>
  </si>
  <si>
    <t>4365</t>
  </si>
  <si>
    <t>TRIVET,GRFHS-21</t>
  </si>
  <si>
    <t>04.25.730.00</t>
  </si>
  <si>
    <t>4366</t>
  </si>
  <si>
    <t>WIRE GUARD,GRFHS</t>
  </si>
  <si>
    <t>04.25.739.00</t>
  </si>
  <si>
    <t>4370</t>
  </si>
  <si>
    <t>COVER,BOTTOM,GRFHS-26</t>
  </si>
  <si>
    <t>04.25.740.00</t>
  </si>
  <si>
    <t>4375</t>
  </si>
  <si>
    <t>TOP CVR,12" DP,W BKST,GRFHS-26</t>
  </si>
  <si>
    <t>04.25.744.00</t>
  </si>
  <si>
    <t>4376</t>
  </si>
  <si>
    <t>TRIVET,GRFHS-26</t>
  </si>
  <si>
    <t>04.25.755.00</t>
  </si>
  <si>
    <t>4405</t>
  </si>
  <si>
    <t>WIRE GUARD,ELEM LMP,GRFHS-PT26</t>
  </si>
  <si>
    <t>04.25.786.00</t>
  </si>
  <si>
    <t>4406</t>
  </si>
  <si>
    <t>TRIVIT FILLER,GRFHS-21S</t>
  </si>
  <si>
    <t>04.25.794.00</t>
  </si>
  <si>
    <t>4407</t>
  </si>
  <si>
    <t>COVER,BOTTOM,GRFHS-21s</t>
  </si>
  <si>
    <t>04.25.796.00</t>
  </si>
  <si>
    <t>4408</t>
  </si>
  <si>
    <t>LARGE FRY TRIVET,MPWS-45</t>
  </si>
  <si>
    <t>04.25.798.00</t>
  </si>
  <si>
    <t>4409</t>
  </si>
  <si>
    <t>FRY TRIVET,END,LH,MPWS-XX</t>
  </si>
  <si>
    <t>04.25.799.00</t>
  </si>
  <si>
    <t>4410</t>
  </si>
  <si>
    <t>FRY TRIVET,END,RH,MPWS-XX</t>
  </si>
  <si>
    <t>04.25.854.00</t>
  </si>
  <si>
    <t>4411</t>
  </si>
  <si>
    <t>HASBROWN HOLDER,GRCD,HARDCOAT</t>
  </si>
  <si>
    <t>04.25.855.00</t>
  </si>
  <si>
    <t>4412</t>
  </si>
  <si>
    <t>TRIVET,GRFHS-PTT16</t>
  </si>
  <si>
    <t>04.26.001.00</t>
  </si>
  <si>
    <t>4414</t>
  </si>
  <si>
    <t>LATCH CHROME OFFSET HANDLE</t>
  </si>
  <si>
    <t>04.26.002.00</t>
  </si>
  <si>
    <t>4415</t>
  </si>
  <si>
    <t>HINGE,EDGE MOUNT</t>
  </si>
  <si>
    <t>04.26.003.00</t>
  </si>
  <si>
    <t>4416</t>
  </si>
  <si>
    <t>4"DIA 5"CLEARANCE CASTER RIGID</t>
  </si>
  <si>
    <t>04.26.004.00</t>
  </si>
  <si>
    <t>4417</t>
  </si>
  <si>
    <t>4"DIA 5"CLEARANCE CASTER SWIVL</t>
  </si>
  <si>
    <t>04.26.007.00</t>
  </si>
  <si>
    <t>4418</t>
  </si>
  <si>
    <t>PAN,FULL SIZE,ALUM,SHEET 18x26</t>
  </si>
  <si>
    <t>04.26.092.00</t>
  </si>
  <si>
    <t>4419</t>
  </si>
  <si>
    <t>PAN,1/2 SIZE,ALUM,SHEET 13x18</t>
  </si>
  <si>
    <t>04.26.343.00</t>
  </si>
  <si>
    <t>4420</t>
  </si>
  <si>
    <t>5"DIA 6.219"CL CAST SWIVL W/BK</t>
  </si>
  <si>
    <t>04.28.050.00</t>
  </si>
  <si>
    <t>4421</t>
  </si>
  <si>
    <t>PMG-200 BURNER TRAY SHIELD</t>
  </si>
  <si>
    <t>04.28.065.00</t>
  </si>
  <si>
    <t>4423</t>
  </si>
  <si>
    <t>PMG-200 SS FRONT PANEL</t>
  </si>
  <si>
    <t>04.28.087.00</t>
  </si>
  <si>
    <t>4424</t>
  </si>
  <si>
    <t>PMG-100 SS.FRONT PANEL</t>
  </si>
  <si>
    <t>04.28.105.00</t>
  </si>
  <si>
    <t>4425</t>
  </si>
  <si>
    <t>PMG-200 SS BASE ASSY</t>
  </si>
  <si>
    <t>04.28.130.00</t>
  </si>
  <si>
    <t>4426</t>
  </si>
  <si>
    <t>HOSE FLEX ANCHOR PLATE</t>
  </si>
  <si>
    <t>04.29.017.00</t>
  </si>
  <si>
    <t>4428</t>
  </si>
  <si>
    <t>GRPWS-XX18 LOWER GLASS BKT,UNF</t>
  </si>
  <si>
    <t>04.29.017.02</t>
  </si>
  <si>
    <t>4432</t>
  </si>
  <si>
    <t>GRPWS-XX18 LOWER GLASS BKT,GRY</t>
  </si>
  <si>
    <t>04.29.023.00</t>
  </si>
  <si>
    <t>4433</t>
  </si>
  <si>
    <t>SUP POST,GRPWS-XXT,FRONT</t>
  </si>
  <si>
    <t>04.29.025.01</t>
  </si>
  <si>
    <t>4434</t>
  </si>
  <si>
    <t>POST CVR,GRPWST,FRONT,SS,BLACK</t>
  </si>
  <si>
    <t>04.29.035.01</t>
  </si>
  <si>
    <t>4435</t>
  </si>
  <si>
    <t>GRPWS-XX24 LH UP GLASS BKT,BLK</t>
  </si>
  <si>
    <t>04.29.035.02</t>
  </si>
  <si>
    <t>4438</t>
  </si>
  <si>
    <t>GRPWS-XX24 LH UP GLASS BKT,GRY</t>
  </si>
  <si>
    <t>04.29.035.03</t>
  </si>
  <si>
    <t>4439</t>
  </si>
  <si>
    <t>GRPWS-XX24 LH UP GLASS BKT,RED</t>
  </si>
  <si>
    <t>04.29.035.04</t>
  </si>
  <si>
    <t>4447</t>
  </si>
  <si>
    <t>GRPWS-XX24 LH UP GLASS BKT,WHT</t>
  </si>
  <si>
    <t>04.29.035.05</t>
  </si>
  <si>
    <t>4448</t>
  </si>
  <si>
    <t>GRPWS-XX24 LH UP GLASS BKT,BLU</t>
  </si>
  <si>
    <t>04.29.035.07</t>
  </si>
  <si>
    <t>4449</t>
  </si>
  <si>
    <t>GRPWS-XX24 LH UP GLASS BKT,GRN</t>
  </si>
  <si>
    <t>04.29.035.21</t>
  </si>
  <si>
    <t>4600</t>
  </si>
  <si>
    <t>GRPWS-XX24 LH UP GLASS BKT,COP</t>
  </si>
  <si>
    <t>04.29.036.01</t>
  </si>
  <si>
    <t>4601</t>
  </si>
  <si>
    <t>GRPWS-XX24 RH UP GLASS BKT,BLK</t>
  </si>
  <si>
    <t>04.29.036.02</t>
  </si>
  <si>
    <t>4602</t>
  </si>
  <si>
    <t>GRPWS-XX24 RH UP GLASS BKT,GRY</t>
  </si>
  <si>
    <t>04.29.036.03</t>
  </si>
  <si>
    <t>4603</t>
  </si>
  <si>
    <t>GRPWS-XX24 RH UP GLASS BKT,RED</t>
  </si>
  <si>
    <t>04.29.036.04</t>
  </si>
  <si>
    <t>4604</t>
  </si>
  <si>
    <t>GRPWS-XX24 RH UP GLASS BKT,WHT</t>
  </si>
  <si>
    <t>04.29.036.05</t>
  </si>
  <si>
    <t>4607</t>
  </si>
  <si>
    <t>GRPWS-XX24 RH UP GLASS BKT,BLU</t>
  </si>
  <si>
    <t>04.29.036.07</t>
  </si>
  <si>
    <t>4608</t>
  </si>
  <si>
    <t>GRPWS-XX24 RH UP GLASS BKT,GRN</t>
  </si>
  <si>
    <t>04.29.036.21</t>
  </si>
  <si>
    <t>4610</t>
  </si>
  <si>
    <t>GRPWS-XX24 RH UP GLASS BKT,COP</t>
  </si>
  <si>
    <t>04.29.123.00</t>
  </si>
  <si>
    <t>4621</t>
  </si>
  <si>
    <t>SUP POST,GRPWS-XX18Q,REAR</t>
  </si>
  <si>
    <t>04.29.127.00</t>
  </si>
  <si>
    <t>4630</t>
  </si>
  <si>
    <t>POST CVR,PWS18Q,REAR,SS,UNFIN</t>
  </si>
  <si>
    <t>04.29.127.02</t>
  </si>
  <si>
    <t>4631</t>
  </si>
  <si>
    <t>POST CVR,PWS18Q,REAR,SS,GRAY</t>
  </si>
  <si>
    <t>04.29.131.00</t>
  </si>
  <si>
    <t>4632</t>
  </si>
  <si>
    <t>SUP POST,GRPWS-XX24T,REAR</t>
  </si>
  <si>
    <t>04.29.134.01</t>
  </si>
  <si>
    <t>48100</t>
  </si>
  <si>
    <t>POST CVR,PWS-XX24T,REAR,BLACK</t>
  </si>
  <si>
    <t>04.29.142.01</t>
  </si>
  <si>
    <t>48101</t>
  </si>
  <si>
    <t>PWS-36 BASE SIGN HLDR,SS,BLACK</t>
  </si>
  <si>
    <t>04.29.150.00</t>
  </si>
  <si>
    <t>48105</t>
  </si>
  <si>
    <t>TAG BRACKET,GRPWS-36</t>
  </si>
  <si>
    <t>04.29.218.00</t>
  </si>
  <si>
    <t>48106</t>
  </si>
  <si>
    <t>SERVICE BOXSTOP,SIGNHOLD,PWS36</t>
  </si>
  <si>
    <t>04.29.220.00</t>
  </si>
  <si>
    <t>48107</t>
  </si>
  <si>
    <t>SERVICE BOXSTOP,SIGNHOLD,PWS48</t>
  </si>
  <si>
    <t>04.29.223.01</t>
  </si>
  <si>
    <t>48110</t>
  </si>
  <si>
    <t>CANOPY ASSY,GRPWS-2424-HB,BLK</t>
  </si>
  <si>
    <t>04.29.224.01</t>
  </si>
  <si>
    <t>48116</t>
  </si>
  <si>
    <t>TOP PANEL,GRPWS-2424,BLK</t>
  </si>
  <si>
    <t>04.29.237.01</t>
  </si>
  <si>
    <t>48120</t>
  </si>
  <si>
    <t>CTRL PANEL,GRPWS-2424D-HB,BLK</t>
  </si>
  <si>
    <t>04.29.245.01</t>
  </si>
  <si>
    <t>48121</t>
  </si>
  <si>
    <t>POST CVR,FRT,GRPWS-XXXXTHB,BLK</t>
  </si>
  <si>
    <t>04.29.249.01</t>
  </si>
  <si>
    <t>48122</t>
  </si>
  <si>
    <t>POST CVR,RR,GRPWS-XX24T-HB,BLK</t>
  </si>
  <si>
    <t>04.29.280.01</t>
  </si>
  <si>
    <t>48123</t>
  </si>
  <si>
    <t>POST,REAR,GRPWS-XX24T-HB,BLK</t>
  </si>
  <si>
    <t>04.29.318.00</t>
  </si>
  <si>
    <t>48200E2</t>
  </si>
  <si>
    <t>BOX STOP,SIGN HOLD,PWS-24,SS</t>
  </si>
  <si>
    <t>04.29.318.01</t>
  </si>
  <si>
    <t>48200E4</t>
  </si>
  <si>
    <t>BOX STOP,SIGN HOLD,PWS-24,BLK</t>
  </si>
  <si>
    <t>04.29.320.00</t>
  </si>
  <si>
    <t>48200E8</t>
  </si>
  <si>
    <t>BOX STOP,SIGN HOLD,PWS-36,SS</t>
  </si>
  <si>
    <t>04.29.320.01</t>
  </si>
  <si>
    <t>48200R2</t>
  </si>
  <si>
    <t>BOX STOP,SIGN HOLD,PWS-36,BLK</t>
  </si>
  <si>
    <t>04.29.322.00</t>
  </si>
  <si>
    <t>48200R3</t>
  </si>
  <si>
    <t>BOX STOP,SIGN HOLD,PWS-48,SS</t>
  </si>
  <si>
    <t>04.29.332.00</t>
  </si>
  <si>
    <t>48200R4</t>
  </si>
  <si>
    <t>SIGN HOLDER,GRPWS-48 W/ROD</t>
  </si>
  <si>
    <t>04.29.357.01</t>
  </si>
  <si>
    <t>48200RP</t>
  </si>
  <si>
    <t>PWS-24 BASE SIGN HLDR,SS,BLACK</t>
  </si>
  <si>
    <t>04.29.406.00</t>
  </si>
  <si>
    <t>48200RR</t>
  </si>
  <si>
    <t>LED COMP,MILK WHITE LENS W/LED</t>
  </si>
  <si>
    <t>04.29.427.00</t>
  </si>
  <si>
    <t>48200T1</t>
  </si>
  <si>
    <t>GRPWS-2424 CANOPY,SS</t>
  </si>
  <si>
    <t>04.29.429.00</t>
  </si>
  <si>
    <t>48200T2</t>
  </si>
  <si>
    <t>GRPWS-3624 CANOPY,SS</t>
  </si>
  <si>
    <t>04.29.431.00</t>
  </si>
  <si>
    <t>48200T3</t>
  </si>
  <si>
    <t>GRPWS-4824 CANOPY,SS</t>
  </si>
  <si>
    <t>04.29.443.01</t>
  </si>
  <si>
    <t>48200T4</t>
  </si>
  <si>
    <t>GRPWS-3624 CANOPY,BLACK</t>
  </si>
  <si>
    <t>04.30.020.00</t>
  </si>
  <si>
    <t>48200T5</t>
  </si>
  <si>
    <t>UPPER BEARING RETAINER</t>
  </si>
  <si>
    <t>04.30.021.00</t>
  </si>
  <si>
    <t>48200T6</t>
  </si>
  <si>
    <t>LOWER BEARING RETAINER</t>
  </si>
  <si>
    <t>04.30.022.00</t>
  </si>
  <si>
    <t>48200TD4</t>
  </si>
  <si>
    <t>RETAINER,FLOATING BEAR,TRH,TK</t>
  </si>
  <si>
    <t>04.31.076.01</t>
  </si>
  <si>
    <t>48200TD6</t>
  </si>
  <si>
    <t>GR2-24,BULLNOSE,BLACK</t>
  </si>
  <si>
    <t>04.31.077.01</t>
  </si>
  <si>
    <t>48200TO4</t>
  </si>
  <si>
    <t>GR2-30,BULLNOSE,BLACK</t>
  </si>
  <si>
    <t>04.31.079.01</t>
  </si>
  <si>
    <t>48205</t>
  </si>
  <si>
    <t>GR2-42,BULLNOSE,BLACK</t>
  </si>
  <si>
    <t>04.31.079.02</t>
  </si>
  <si>
    <t>48205E8</t>
  </si>
  <si>
    <t>GR2-42,BULLNOSE,GRAY</t>
  </si>
  <si>
    <t>04.31.080.01</t>
  </si>
  <si>
    <t>48205G</t>
  </si>
  <si>
    <t>GR2-48,BULLNOSE,BLACK</t>
  </si>
  <si>
    <t>04.31.081.01</t>
  </si>
  <si>
    <t>48205T</t>
  </si>
  <si>
    <t>GR2-54,BULLNOSE,BLACK</t>
  </si>
  <si>
    <t>04.31.484.01</t>
  </si>
  <si>
    <t>48210</t>
  </si>
  <si>
    <t>GR2BW-72 BLACK CONTR FILLER</t>
  </si>
  <si>
    <t>04.31.485.01</t>
  </si>
  <si>
    <t>48223R2</t>
  </si>
  <si>
    <t>GR2BW-24 BLACK FRONT FILLER</t>
  </si>
  <si>
    <t>04.31.489.01</t>
  </si>
  <si>
    <t>48223R3</t>
  </si>
  <si>
    <t>GR2BW-48 BLACK FRONT FILLER</t>
  </si>
  <si>
    <t>04.31.489.03</t>
  </si>
  <si>
    <t>48223R4</t>
  </si>
  <si>
    <t>GR2BW-48 RED FRONT FILLER</t>
  </si>
  <si>
    <t>04.31.493.01</t>
  </si>
  <si>
    <t>48223RP</t>
  </si>
  <si>
    <t>GR2BW-72 BLACK FRONT FILLER</t>
  </si>
  <si>
    <t>04.31.506.01</t>
  </si>
  <si>
    <t>48223RR</t>
  </si>
  <si>
    <t>GR2BW-24 BLACK CONTR FILLER</t>
  </si>
  <si>
    <t>04.31.520.01</t>
  </si>
  <si>
    <t>48240</t>
  </si>
  <si>
    <t>GR2SD-48 FILL STRIP BLACK</t>
  </si>
  <si>
    <t>04.31.535.00</t>
  </si>
  <si>
    <t>48250</t>
  </si>
  <si>
    <t>GR2A SIDERAIL COVER BASE,UNFIN</t>
  </si>
  <si>
    <t>04.31.535.01</t>
  </si>
  <si>
    <t>48255</t>
  </si>
  <si>
    <t>GR2A SIDERAIL COVER BASE,BLACK</t>
  </si>
  <si>
    <t>04.31.567.00</t>
  </si>
  <si>
    <t>48256</t>
  </si>
  <si>
    <t>GR2A SIDERAIL CVR W/CHNNEL,UNF</t>
  </si>
  <si>
    <t>04.31.567.01</t>
  </si>
  <si>
    <t>48257</t>
  </si>
  <si>
    <t>GR2A SIDERAIL CVR W/CHNNEL,BLK</t>
  </si>
  <si>
    <t>04.31.567.02</t>
  </si>
  <si>
    <t>48258</t>
  </si>
  <si>
    <t>GR2A SIDERAIL CVR W/CHNNEL,GRY</t>
  </si>
  <si>
    <t>04.32.050.00</t>
  </si>
  <si>
    <t>48290</t>
  </si>
  <si>
    <t>GR2SDX-42 SS CHANNEL DIVIDER</t>
  </si>
  <si>
    <t>04.32.051.00</t>
  </si>
  <si>
    <t>48300</t>
  </si>
  <si>
    <t>GR2SDX-48 SS CHANNEL DIVIDER</t>
  </si>
  <si>
    <t>04.32.052.00</t>
  </si>
  <si>
    <t>48306</t>
  </si>
  <si>
    <t>GR2SDX-54 SS CHANNEL DIVIDER</t>
  </si>
  <si>
    <t>04.32.141.00</t>
  </si>
  <si>
    <t>48308</t>
  </si>
  <si>
    <t>GR2SD-36 S.S. TOP COVER,UNFIN</t>
  </si>
  <si>
    <t>04.32.142.00</t>
  </si>
  <si>
    <t>48309</t>
  </si>
  <si>
    <t>GR2SD-42 S.S. TOP COVER,UNFIN</t>
  </si>
  <si>
    <t>04.32.173.01</t>
  </si>
  <si>
    <t>48310</t>
  </si>
  <si>
    <t>LEG EXTR 3" LG GR2,BLACK</t>
  </si>
  <si>
    <t>04.32.205.00</t>
  </si>
  <si>
    <t>48350</t>
  </si>
  <si>
    <t>CHANNEL-FILLER,SHELF GR2SDH</t>
  </si>
  <si>
    <t>04.32.206.00</t>
  </si>
  <si>
    <t>48351</t>
  </si>
  <si>
    <t>CHANNEL-FILLR,CNTL SIDE GR2SDS</t>
  </si>
  <si>
    <t>04.32.207.00</t>
  </si>
  <si>
    <t>48352</t>
  </si>
  <si>
    <t>CHANNEL-FILLR CUST SIDE GR2SDS</t>
  </si>
  <si>
    <t>04.32.300.00</t>
  </si>
  <si>
    <t>48353</t>
  </si>
  <si>
    <t>SHELF GLASS BRACKET,GR2SDH-48</t>
  </si>
  <si>
    <t>04.32.324.00</t>
  </si>
  <si>
    <t>48365</t>
  </si>
  <si>
    <t>GR2SD FLIP DOOR CENTER BRKT</t>
  </si>
  <si>
    <t>04.32.327.00</t>
  </si>
  <si>
    <t>48370</t>
  </si>
  <si>
    <t>GR2SD FLIP DOOR TOP CNTR BRKT</t>
  </si>
  <si>
    <t>04.32.363.02</t>
  </si>
  <si>
    <t>48373</t>
  </si>
  <si>
    <t>GLASS BRKT,GR2SD,GRAY</t>
  </si>
  <si>
    <t>04.32.396.01</t>
  </si>
  <si>
    <t>48374</t>
  </si>
  <si>
    <t>GR2SD BASE SIDERAIL,BLACK</t>
  </si>
  <si>
    <t>04.32.396.02</t>
  </si>
  <si>
    <t>48376</t>
  </si>
  <si>
    <t>GR2SD BASE SIDERAIL,GRAY</t>
  </si>
  <si>
    <t>04.32.400.02</t>
  </si>
  <si>
    <t>48400</t>
  </si>
  <si>
    <t>GR2SD GLASS BRKT,GRAY</t>
  </si>
  <si>
    <t>04.32.491.00</t>
  </si>
  <si>
    <t>48410</t>
  </si>
  <si>
    <t>REFL,ELEM,SLANT IN,GR2SDS-48</t>
  </si>
  <si>
    <t>04.32.498.00</t>
  </si>
  <si>
    <t>48411</t>
  </si>
  <si>
    <t>REFL,LAMP,GR2SD-48</t>
  </si>
  <si>
    <t>04.32.517.00</t>
  </si>
  <si>
    <t>48412</t>
  </si>
  <si>
    <t>GR2SD TOP SHELF SIDERAIL,UNFIN</t>
  </si>
  <si>
    <t>04.32.517.02</t>
  </si>
  <si>
    <t>48420</t>
  </si>
  <si>
    <t>GR2SD TOP SHELF SIDERAIL,GRAY</t>
  </si>
  <si>
    <t>04.32.520.01</t>
  </si>
  <si>
    <t>48421</t>
  </si>
  <si>
    <t>GR2SD CENTER SHLF SIDERAIL,BLK</t>
  </si>
  <si>
    <t>04.32.520.02</t>
  </si>
  <si>
    <t>48480</t>
  </si>
  <si>
    <t>GR2SD CENTER SHLF SIDERAIL,GRY</t>
  </si>
  <si>
    <t>04.32.526.00</t>
  </si>
  <si>
    <t>48481</t>
  </si>
  <si>
    <t>2SD,FLIP DR,CTR SHLF,LH,BRKT</t>
  </si>
  <si>
    <t>04.32.527.00</t>
  </si>
  <si>
    <t>48500</t>
  </si>
  <si>
    <t>2SD,FLIP DR,CTR SHLF,RH,BRKT</t>
  </si>
  <si>
    <t>04.32.528.00</t>
  </si>
  <si>
    <t>48500B</t>
  </si>
  <si>
    <t>2SD,FLIP DR,TOP SHLF,CTR,BRKT</t>
  </si>
  <si>
    <t>04.32.529.00</t>
  </si>
  <si>
    <t>48501</t>
  </si>
  <si>
    <t>2SD,FLIP DR,TOP SHLF,LH,BRKT</t>
  </si>
  <si>
    <t>04.32.530.00</t>
  </si>
  <si>
    <t>48502</t>
  </si>
  <si>
    <t>2SD,FLIP DR,TOP SHLF,RH,BRKT</t>
  </si>
  <si>
    <t>04.32.532.00</t>
  </si>
  <si>
    <t>48503</t>
  </si>
  <si>
    <t>BASE SIDE CHANNEL,RH,GR2SDS</t>
  </si>
  <si>
    <t>04.32.536.00</t>
  </si>
  <si>
    <t>48504</t>
  </si>
  <si>
    <t>BRKT,HARDCOAT,GR2SDH</t>
  </si>
  <si>
    <t>04.32.539.01</t>
  </si>
  <si>
    <t>48505</t>
  </si>
  <si>
    <t>POST CVR,7.906",GR2SDS,LH, BLK</t>
  </si>
  <si>
    <t>04.32.540.01</t>
  </si>
  <si>
    <t>48507</t>
  </si>
  <si>
    <t>POST CVR,7.906",GR2SDS,RH,BLK</t>
  </si>
  <si>
    <t>04.32.553.00</t>
  </si>
  <si>
    <t>48508</t>
  </si>
  <si>
    <t>TOP SHELF GLASS BRKT,GR2SDH-48</t>
  </si>
  <si>
    <t>04.32.577.04</t>
  </si>
  <si>
    <t>48509</t>
  </si>
  <si>
    <t>GR2SDS-24 BASE COVER,WHITE</t>
  </si>
  <si>
    <t>04.32.581.04</t>
  </si>
  <si>
    <t>48510</t>
  </si>
  <si>
    <t>GR2SDS-48 BASE COVER,WHITE</t>
  </si>
  <si>
    <t>04.34.089.00</t>
  </si>
  <si>
    <t>48511</t>
  </si>
  <si>
    <t>WIRE RACK,TF,13 X 18",HANDLE</t>
  </si>
  <si>
    <t>04.34.100.00</t>
  </si>
  <si>
    <t>48512</t>
  </si>
  <si>
    <t>BAY DIVIDER,TFWM</t>
  </si>
  <si>
    <t>04.34.110.00</t>
  </si>
  <si>
    <t>48513</t>
  </si>
  <si>
    <t>PLUNGER,TFWM</t>
  </si>
  <si>
    <t>04.34.226.00</t>
  </si>
  <si>
    <t>48514</t>
  </si>
  <si>
    <t>WIRE RACK,TFW-461R</t>
  </si>
  <si>
    <t>04.34.453.00</t>
  </si>
  <si>
    <t>48516</t>
  </si>
  <si>
    <t>FILTER,AIR INTAKE,TFWM</t>
  </si>
  <si>
    <t>04.34.525.00</t>
  </si>
  <si>
    <t>48517</t>
  </si>
  <si>
    <t>HANGING BOARD,TMS-1</t>
  </si>
  <si>
    <t>04.34.549.00</t>
  </si>
  <si>
    <t>48525</t>
  </si>
  <si>
    <t>TOWER COVER,QTS-1</t>
  </si>
  <si>
    <t>04.34.575.00</t>
  </si>
  <si>
    <t>48526</t>
  </si>
  <si>
    <t>PLATE DETECTOR,QTS-1</t>
  </si>
  <si>
    <t>04.34.588.00</t>
  </si>
  <si>
    <t>48535</t>
  </si>
  <si>
    <t>WALL BRACKET,QTS-1</t>
  </si>
  <si>
    <t>04.34.589.00</t>
  </si>
  <si>
    <t>48536</t>
  </si>
  <si>
    <t>WALL MOUNT RETAINER,RH,QTS-1</t>
  </si>
  <si>
    <t>04.34.590.00</t>
  </si>
  <si>
    <t>48540</t>
  </si>
  <si>
    <t>WALL MOUNT RETAINER,LH,QTS-1</t>
  </si>
  <si>
    <t>04.34.591.00</t>
  </si>
  <si>
    <t>48550</t>
  </si>
  <si>
    <t>DRIP TRAY,QTS-1</t>
  </si>
  <si>
    <t>04.34.613.00</t>
  </si>
  <si>
    <t>48560</t>
  </si>
  <si>
    <t>SLOTTED HOOD,SAL-1</t>
  </si>
  <si>
    <t>04.34.614.00</t>
  </si>
  <si>
    <t>48563</t>
  </si>
  <si>
    <t>OBS WIRE RACK,TFWM36</t>
  </si>
  <si>
    <t>04.34.635.00</t>
  </si>
  <si>
    <t>48565</t>
  </si>
  <si>
    <t>WALL BRACKET,TFWM36</t>
  </si>
  <si>
    <t>04.34.662.00</t>
  </si>
  <si>
    <t>48600</t>
  </si>
  <si>
    <t>DRIP TRAY,TMS-2</t>
  </si>
  <si>
    <t>04.34.675.00</t>
  </si>
  <si>
    <t>48601</t>
  </si>
  <si>
    <t>TFWM36,SHELF RACK</t>
  </si>
  <si>
    <t>04.34.677.00</t>
  </si>
  <si>
    <t>48605</t>
  </si>
  <si>
    <t>TFWM36,WIRE RACK</t>
  </si>
  <si>
    <t>04.35.003.00</t>
  </si>
  <si>
    <t>48606</t>
  </si>
  <si>
    <t>DRAWER SLIDES 14" PAIR</t>
  </si>
  <si>
    <t>04.35.004.00</t>
  </si>
  <si>
    <t>48607</t>
  </si>
  <si>
    <t>DRAWER SLIDE ROLLER</t>
  </si>
  <si>
    <t>04.36.006.00</t>
  </si>
  <si>
    <t>48700</t>
  </si>
  <si>
    <t>TANK LID,AWD-12</t>
  </si>
  <si>
    <t>04.36.007.03</t>
  </si>
  <si>
    <t>48700B</t>
  </si>
  <si>
    <t>AWD-12,BASE,RED</t>
  </si>
  <si>
    <t>04.36.008.00</t>
  </si>
  <si>
    <t>48701</t>
  </si>
  <si>
    <t>DRIP TRAY,AWD-12</t>
  </si>
  <si>
    <t>04.36.009.04</t>
  </si>
  <si>
    <t>48702</t>
  </si>
  <si>
    <t>AWD-12,JACKET,WHITE</t>
  </si>
  <si>
    <t>04.36.011.03</t>
  </si>
  <si>
    <t>48703</t>
  </si>
  <si>
    <t>AWD-12,TOP COVER ASSY,RED</t>
  </si>
  <si>
    <t>04.36.012.00</t>
  </si>
  <si>
    <t>48704</t>
  </si>
  <si>
    <t>FRONT CVR,AWD-12,SS - SERVICE</t>
  </si>
  <si>
    <t>04.36.015.00</t>
  </si>
  <si>
    <t>48706</t>
  </si>
  <si>
    <t>VALVE EXTENSION ASSY,2.438"</t>
  </si>
  <si>
    <t>04.36.017.00</t>
  </si>
  <si>
    <t>48707</t>
  </si>
  <si>
    <t>VALVE EXTENSION ASSY,5.25"</t>
  </si>
  <si>
    <t>04.36.018.03</t>
  </si>
  <si>
    <t>48708</t>
  </si>
  <si>
    <t>AWD-12,PANEL MOUNT,RED</t>
  </si>
  <si>
    <t>04.36.019.00</t>
  </si>
  <si>
    <t>48710</t>
  </si>
  <si>
    <t>MOUNT BRKT,T-STAT CLAMP,AWD-12</t>
  </si>
  <si>
    <t>04.36.065.00</t>
  </si>
  <si>
    <t>48710B</t>
  </si>
  <si>
    <t>TANK BAFFLE,FM-5</t>
  </si>
  <si>
    <t>04.36.069.00</t>
  </si>
  <si>
    <t>48711</t>
  </si>
  <si>
    <t>DOOR ASSEMBLY,FM-5</t>
  </si>
  <si>
    <t>04.36.070.00</t>
  </si>
  <si>
    <t>48715</t>
  </si>
  <si>
    <t>LEFT BACK COVER,FM-5</t>
  </si>
  <si>
    <t>04.36.071.00</t>
  </si>
  <si>
    <t>48717</t>
  </si>
  <si>
    <t>RIGHT TOP COVER,FM-5</t>
  </si>
  <si>
    <t>04.36.072.00</t>
  </si>
  <si>
    <t>48750</t>
  </si>
  <si>
    <t>FONT ASSY,FM-5</t>
  </si>
  <si>
    <t>04.36.075.00</t>
  </si>
  <si>
    <t>4I</t>
  </si>
  <si>
    <t>FONT FILTER,FM-5</t>
  </si>
  <si>
    <t>04.37.002.00</t>
  </si>
  <si>
    <t>4P</t>
  </si>
  <si>
    <t>REFL,SLANT,GR-24 3"COVER</t>
  </si>
  <si>
    <t>04.37.003.00</t>
  </si>
  <si>
    <t>50100</t>
  </si>
  <si>
    <t>REFL,SLANT,GR30 3" COVER</t>
  </si>
  <si>
    <t>04.37.004.00</t>
  </si>
  <si>
    <t>50101</t>
  </si>
  <si>
    <t>REFL,SLANT,GR36 3" COVER</t>
  </si>
  <si>
    <t>04.37.005.00</t>
  </si>
  <si>
    <t>50101B</t>
  </si>
  <si>
    <t>REFL,SLANT,GR42 3" COVER</t>
  </si>
  <si>
    <t>04.37.006.00</t>
  </si>
  <si>
    <t>50151</t>
  </si>
  <si>
    <t>REFL,SLANT,GR48 3" COVER</t>
  </si>
  <si>
    <t>04.37.007.00</t>
  </si>
  <si>
    <t>50200</t>
  </si>
  <si>
    <t>REFL,SLANT,GR54 3" COVER</t>
  </si>
  <si>
    <t>04.37.008.00</t>
  </si>
  <si>
    <t>50200B</t>
  </si>
  <si>
    <t>REFL,SLANT,GR60 3" COVER</t>
  </si>
  <si>
    <t>04.37.012.00</t>
  </si>
  <si>
    <t>50200C</t>
  </si>
  <si>
    <t>REFL,SLANT,GR96 3" COVER</t>
  </si>
  <si>
    <t>04.37.042.00</t>
  </si>
  <si>
    <t>50201</t>
  </si>
  <si>
    <t>REFL,STD,GR24 3" COVER</t>
  </si>
  <si>
    <t>04.37.043.00</t>
  </si>
  <si>
    <t>50202</t>
  </si>
  <si>
    <t>REFL,STD,GR30 3" COVER</t>
  </si>
  <si>
    <t>04.37.044.00</t>
  </si>
  <si>
    <t>50203</t>
  </si>
  <si>
    <t>REFL,STD,GR36 3" COVER</t>
  </si>
  <si>
    <t>04.37.048.00</t>
  </si>
  <si>
    <t>50210</t>
  </si>
  <si>
    <t>REFL,STD,GR60 3" COVER</t>
  </si>
  <si>
    <t>04.37.051.00</t>
  </si>
  <si>
    <t>50220</t>
  </si>
  <si>
    <t>REFL,STD,GR84 3" COVER</t>
  </si>
  <si>
    <t>04.37.070.00</t>
  </si>
  <si>
    <t>50220B</t>
  </si>
  <si>
    <t>END CVR,MOUNTING,3",.260 ELEM</t>
  </si>
  <si>
    <t>04.37.071.00</t>
  </si>
  <si>
    <t>50220C</t>
  </si>
  <si>
    <t>END CVR,SUPPORT,3",.260 ELEM</t>
  </si>
  <si>
    <t>04.37.076.00</t>
  </si>
  <si>
    <t>50230</t>
  </si>
  <si>
    <t>END CVR,MOUNTING,3",SQR,.260</t>
  </si>
  <si>
    <t>04.37.077.00</t>
  </si>
  <si>
    <t>50250</t>
  </si>
  <si>
    <t>END CVR,WIRING,3",SQR LEG,.260</t>
  </si>
  <si>
    <t>04.37.080.00</t>
  </si>
  <si>
    <t>50300</t>
  </si>
  <si>
    <t>END CVR,6.25" TANDEM,.260 ELEM</t>
  </si>
  <si>
    <t>04.37.084.00</t>
  </si>
  <si>
    <t>50400</t>
  </si>
  <si>
    <t>END CVR,MOUNTING,2.813",.260</t>
  </si>
  <si>
    <t>04.37.085.00</t>
  </si>
  <si>
    <t>50401</t>
  </si>
  <si>
    <t>END CVR,SUPPORT,2.813",.260</t>
  </si>
  <si>
    <t>04.37.088.00</t>
  </si>
  <si>
    <t>50402</t>
  </si>
  <si>
    <t>END CVR,MOUNTING,1.750",.260</t>
  </si>
  <si>
    <t>04.37.089.00</t>
  </si>
  <si>
    <t>50410</t>
  </si>
  <si>
    <t>END CVR,SUPPORT,1.750",.260</t>
  </si>
  <si>
    <t>04.37.090.00</t>
  </si>
  <si>
    <t>50411</t>
  </si>
  <si>
    <t>END CVR,MOUNTING BRKT.260 ELEM</t>
  </si>
  <si>
    <t>04.37.091.00</t>
  </si>
  <si>
    <t>50412</t>
  </si>
  <si>
    <t>END CVR,2.375",WIR BAR,.26 ELE</t>
  </si>
  <si>
    <t>04.37.100.00</t>
  </si>
  <si>
    <t>50413</t>
  </si>
  <si>
    <t>WIRE GUARD,MODULAR,.260 ELEM</t>
  </si>
  <si>
    <t>04.37.101.00</t>
  </si>
  <si>
    <t>50414</t>
  </si>
  <si>
    <t>WIRE GUARD,MODULR,SS,.260 ELEM</t>
  </si>
  <si>
    <t>04.37.137.00</t>
  </si>
  <si>
    <t>50417</t>
  </si>
  <si>
    <t>END CVR,ELEM MOUNTING,GRSD</t>
  </si>
  <si>
    <t>04.37.145.00</t>
  </si>
  <si>
    <t>50418</t>
  </si>
  <si>
    <t>WIRE GUARD,.260 ELEM,PLATED</t>
  </si>
  <si>
    <t>04.37.152.00</t>
  </si>
  <si>
    <t>50420</t>
  </si>
  <si>
    <t>WIRE GUARD,GMFFL</t>
  </si>
  <si>
    <t>04.37.199.00</t>
  </si>
  <si>
    <t>50421</t>
  </si>
  <si>
    <t>COVER,SECURITY W/WINDW,114T-CB</t>
  </si>
  <si>
    <t>04.37.221.00</t>
  </si>
  <si>
    <t>50422</t>
  </si>
  <si>
    <t>BRKT,ADJ ANGLE,7"TALL</t>
  </si>
  <si>
    <t>04.38.016.00</t>
  </si>
  <si>
    <t>50425</t>
  </si>
  <si>
    <t>COVER,SHELF,3SDX-39,UNFIN</t>
  </si>
  <si>
    <t>04.38.025.00</t>
  </si>
  <si>
    <t>50500</t>
  </si>
  <si>
    <t>RAIL,DIVIDER,GR3-39</t>
  </si>
  <si>
    <t>04.38.078.01</t>
  </si>
  <si>
    <t>50500B</t>
  </si>
  <si>
    <t>COVER,BOTTOM,3SDS-33,BLACK</t>
  </si>
  <si>
    <t>04.38.082.00</t>
  </si>
  <si>
    <t>50501</t>
  </si>
  <si>
    <t>RAIL,DIVIDER,GR3-27</t>
  </si>
  <si>
    <t>04.38.083.00</t>
  </si>
  <si>
    <t>50502</t>
  </si>
  <si>
    <t>RAIL,DIVIDER,GR3-33</t>
  </si>
  <si>
    <t>04.38.099.00</t>
  </si>
  <si>
    <t>50503</t>
  </si>
  <si>
    <t>SERVICE,DIVIDER ROD,GR3</t>
  </si>
  <si>
    <t>04.38.152.01</t>
  </si>
  <si>
    <t>50508</t>
  </si>
  <si>
    <t>COVER,SHELF,GR3-33,BLACK</t>
  </si>
  <si>
    <t>04.38.361.00</t>
  </si>
  <si>
    <t>50510</t>
  </si>
  <si>
    <t>DIVIDER ROD,GR3,23.5"</t>
  </si>
  <si>
    <t>04.38.477.01</t>
  </si>
  <si>
    <t>50511</t>
  </si>
  <si>
    <t>SIGN HLD,CANOPY,3SDS-39T,BLACK</t>
  </si>
  <si>
    <t>04.38.490.01</t>
  </si>
  <si>
    <t>50512</t>
  </si>
  <si>
    <t>FOOT,RIGHT,BLACK</t>
  </si>
  <si>
    <t>04.38.491.01</t>
  </si>
  <si>
    <t>50513</t>
  </si>
  <si>
    <t>FOOT,LEFT,BLACK</t>
  </si>
  <si>
    <t>04.38.508.01</t>
  </si>
  <si>
    <t>50514</t>
  </si>
  <si>
    <t>SUPPORT POST CVR,HZM-D,BLACK</t>
  </si>
  <si>
    <t>04.38.508.02</t>
  </si>
  <si>
    <t>50516</t>
  </si>
  <si>
    <t>SUPPORT POST CVR,HZM-D,GRAY</t>
  </si>
  <si>
    <t>04.38.540.01</t>
  </si>
  <si>
    <t>50517</t>
  </si>
  <si>
    <t>SHELF TRIM,HZM-36,BLACK</t>
  </si>
  <si>
    <t>04.38.576.01</t>
  </si>
  <si>
    <t>50517B</t>
  </si>
  <si>
    <t>SHELF,TOP,HZM-48,BLACK</t>
  </si>
  <si>
    <t>04.38.577.01</t>
  </si>
  <si>
    <t>50519</t>
  </si>
  <si>
    <t>SHELF TRIM,HZM-48,BLACK</t>
  </si>
  <si>
    <t>04.38.582.00</t>
  </si>
  <si>
    <t>50531</t>
  </si>
  <si>
    <t>DIVIDER ROD,HZM</t>
  </si>
  <si>
    <t>04.38.599.00</t>
  </si>
  <si>
    <t>50540</t>
  </si>
  <si>
    <t>DIVIDER ROD BRACKET,HZM-48</t>
  </si>
  <si>
    <t>04.38.601.00</t>
  </si>
  <si>
    <t>50540B</t>
  </si>
  <si>
    <t>DIVIDER ROD BRACKET,HZM-54</t>
  </si>
  <si>
    <t>04.38.609.01</t>
  </si>
  <si>
    <t>50541</t>
  </si>
  <si>
    <t>SUPPORT POST CVR,HZM,BLACK</t>
  </si>
  <si>
    <t>04.38.618.01</t>
  </si>
  <si>
    <t>50542</t>
  </si>
  <si>
    <t>TOP,GR3SDS-39X,BLACK</t>
  </si>
  <si>
    <t>04.38.648.00</t>
  </si>
  <si>
    <t>50543</t>
  </si>
  <si>
    <t>BRKT,PROBE,HZM</t>
  </si>
  <si>
    <t>04.38.710.00</t>
  </si>
  <si>
    <t>50544</t>
  </si>
  <si>
    <t>DIVIDER ROD BRKT,HXM-42</t>
  </si>
  <si>
    <t>04.38.813.02</t>
  </si>
  <si>
    <t>50545</t>
  </si>
  <si>
    <t>QT CENTER WIRE RACK,39T,GGRAN</t>
  </si>
  <si>
    <t>04.38.815.02</t>
  </si>
  <si>
    <t>50545B</t>
  </si>
  <si>
    <t>QT CENTER WIRE RACK,27D,GGRAN</t>
  </si>
  <si>
    <t>04.38.820.02</t>
  </si>
  <si>
    <t>50551</t>
  </si>
  <si>
    <t>BRKT,DOOR,LH,BACK,GR3SDH,GGRAN</t>
  </si>
  <si>
    <t>04.38.821.02</t>
  </si>
  <si>
    <t>50552</t>
  </si>
  <si>
    <t>BRKT,DOOR,RH,BACK,GR3SDH,GGRAN</t>
  </si>
  <si>
    <t>04.38.853.02</t>
  </si>
  <si>
    <t>50552B</t>
  </si>
  <si>
    <t>SIGN HOLDER,3SDS-27 QT,GGRAN</t>
  </si>
  <si>
    <t>04.38.933.00</t>
  </si>
  <si>
    <t>50563</t>
  </si>
  <si>
    <t>SIDE GLASS HINGE,HZM-30,SS</t>
  </si>
  <si>
    <t>04.38.946.00</t>
  </si>
  <si>
    <t>50566</t>
  </si>
  <si>
    <t>LED ASSY,TOP HSD,GR3SD-39</t>
  </si>
  <si>
    <t>04.38.979.00</t>
  </si>
  <si>
    <t>50570</t>
  </si>
  <si>
    <t>SIGN HOLDER,SHELF,GRSDS-36D</t>
  </si>
  <si>
    <t>04.39.045.00</t>
  </si>
  <si>
    <t>50600</t>
  </si>
  <si>
    <t>BRKT,RMB MOUNT,LH</t>
  </si>
  <si>
    <t>04.39.046.00</t>
  </si>
  <si>
    <t>50610</t>
  </si>
  <si>
    <t>BRKT,RMB MOUNT,RH</t>
  </si>
  <si>
    <t>04.39.057.01</t>
  </si>
  <si>
    <t>50611</t>
  </si>
  <si>
    <t>TRAY,HEATED,GRSS-4818,BLACK</t>
  </si>
  <si>
    <t>04.39.258.02</t>
  </si>
  <si>
    <t>50612</t>
  </si>
  <si>
    <t>3" RISER,GRSSR-16,GRAY GRAN</t>
  </si>
  <si>
    <t>04.39.259.00</t>
  </si>
  <si>
    <t>50613</t>
  </si>
  <si>
    <t>5" RISER,GRSSR-16,SS</t>
  </si>
  <si>
    <t>04.39.259.02</t>
  </si>
  <si>
    <t>50614</t>
  </si>
  <si>
    <t>5" RISER,GRSSR-16,GRAY GRAN</t>
  </si>
  <si>
    <t>04.39.260.00</t>
  </si>
  <si>
    <t>50630</t>
  </si>
  <si>
    <t>3" RISER,GRSSR-18,SS</t>
  </si>
  <si>
    <t>04.39.260.01</t>
  </si>
  <si>
    <t>50631</t>
  </si>
  <si>
    <t>3" RISER,GRSSR-18,BLACK</t>
  </si>
  <si>
    <t>04.39.260.02</t>
  </si>
  <si>
    <t>50632</t>
  </si>
  <si>
    <t>3" RISER,GRSSR-18,GRAY GRAN</t>
  </si>
  <si>
    <t>04.39.261.01</t>
  </si>
  <si>
    <t>50633</t>
  </si>
  <si>
    <t>5" RISER,GRSSR-18,BLACK</t>
  </si>
  <si>
    <t>04.39.262.00</t>
  </si>
  <si>
    <t>50634</t>
  </si>
  <si>
    <t>3" RISER,GRSSR-20,SS</t>
  </si>
  <si>
    <t>04.39.720.00</t>
  </si>
  <si>
    <t>50635</t>
  </si>
  <si>
    <t>COUPON, SWANSTONE, NIGHT SKY</t>
  </si>
  <si>
    <t>04.39.721.00</t>
  </si>
  <si>
    <t>50670</t>
  </si>
  <si>
    <t>COUPON, SWANSTONE, BERMUDA SAND</t>
  </si>
  <si>
    <t>04.39.722.00</t>
  </si>
  <si>
    <t>50671</t>
  </si>
  <si>
    <t>COUPON, SWANSTONE, GRAY GRANITE</t>
  </si>
  <si>
    <t>04.39.723.00</t>
  </si>
  <si>
    <t>50675</t>
  </si>
  <si>
    <t>COUPON, DEKTON, SOKE</t>
  </si>
  <si>
    <t>04.39.724.00</t>
  </si>
  <si>
    <t>50681</t>
  </si>
  <si>
    <t>COUPON, DEKTON, DOMOOS</t>
  </si>
  <si>
    <t>04.39.725.00</t>
  </si>
  <si>
    <t>50685</t>
  </si>
  <si>
    <t>COUPON, DEKTON, REM KC</t>
  </si>
  <si>
    <t>04.40.008.00</t>
  </si>
  <si>
    <t>50700</t>
  </si>
  <si>
    <t>CLR GLASS PN,22 1/16 X 19 1/4</t>
  </si>
  <si>
    <t>04.40.010.00</t>
  </si>
  <si>
    <t>50700B</t>
  </si>
  <si>
    <t>CLR GLASS PN,19 1/4 X 23 1/16</t>
  </si>
  <si>
    <t>04.40.025.00</t>
  </si>
  <si>
    <t>50700C</t>
  </si>
  <si>
    <t>SIDE &amp; REAR TEMP GLASS FDW</t>
  </si>
  <si>
    <t>04.40.038.00</t>
  </si>
  <si>
    <t>50700CB</t>
  </si>
  <si>
    <t>END PANEL,GLASS,GRSDS-XXD</t>
  </si>
  <si>
    <t>04.40.041.00</t>
  </si>
  <si>
    <t>50701</t>
  </si>
  <si>
    <t>END PANEL,GLASS,GRSDS-XX</t>
  </si>
  <si>
    <t>04.40.046.00</t>
  </si>
  <si>
    <t>50710</t>
  </si>
  <si>
    <t>GRSDH-XXD END GLASS</t>
  </si>
  <si>
    <t>04.40.047.00</t>
  </si>
  <si>
    <t>50711</t>
  </si>
  <si>
    <t>END PANEL,GLASS,GRSDH-XX</t>
  </si>
  <si>
    <t>04.40.049.00</t>
  </si>
  <si>
    <t>50712</t>
  </si>
  <si>
    <t>OBS CLEAR SIDE PANEL</t>
  </si>
  <si>
    <t>04.40.064.00</t>
  </si>
  <si>
    <t>50715</t>
  </si>
  <si>
    <t>GRHD 2P GLASS FRONT W/EDGING</t>
  </si>
  <si>
    <t>04.40.065.00</t>
  </si>
  <si>
    <t>50720</t>
  </si>
  <si>
    <t>GRHD SINGLE GLASS END W/EDGING</t>
  </si>
  <si>
    <t>04.40.066.00</t>
  </si>
  <si>
    <t>50720C</t>
  </si>
  <si>
    <t>GRHD 3P GLASS FRONT W/EDGING</t>
  </si>
  <si>
    <t>04.40.067.00</t>
  </si>
  <si>
    <t>50730</t>
  </si>
  <si>
    <t>GRHD 4P GLASS FRONT W/EDGING</t>
  </si>
  <si>
    <t>04.40.068.00</t>
  </si>
  <si>
    <t>50730B</t>
  </si>
  <si>
    <t>GRHD 2PD GLASS FRONT W/EDGING</t>
  </si>
  <si>
    <t>04.40.069.00</t>
  </si>
  <si>
    <t>50737</t>
  </si>
  <si>
    <t>GRHD DUAL GLASS END TOP W/EDGE</t>
  </si>
  <si>
    <t>04.40.070.00</t>
  </si>
  <si>
    <t>50751</t>
  </si>
  <si>
    <t>GRHD DUAL GLASS END BOT W/EDGE</t>
  </si>
  <si>
    <t>04.40.071.00</t>
  </si>
  <si>
    <t>50800</t>
  </si>
  <si>
    <t>GRHD 3PD GLASS FRONT W/EDGING</t>
  </si>
  <si>
    <t>04.40.072.00</t>
  </si>
  <si>
    <t>50800B</t>
  </si>
  <si>
    <t>GRHD 4PD GLASS FRONT W/EDGING</t>
  </si>
  <si>
    <t>04.40.079.00</t>
  </si>
  <si>
    <t>50801</t>
  </si>
  <si>
    <t>FRONT GLASS WFST</t>
  </si>
  <si>
    <t>04.40.084.00</t>
  </si>
  <si>
    <t>50805</t>
  </si>
  <si>
    <t>GRSDS/H END GLASS 12" UP SPACE</t>
  </si>
  <si>
    <t>04.40.091.00</t>
  </si>
  <si>
    <t>50810</t>
  </si>
  <si>
    <t>GRCD-XPD GLASS END PANEL</t>
  </si>
  <si>
    <t>04.40.105.00</t>
  </si>
  <si>
    <t>50812</t>
  </si>
  <si>
    <t>GRCD-XP SIDE GLASS</t>
  </si>
  <si>
    <t>04.40.109.00</t>
  </si>
  <si>
    <t>50813</t>
  </si>
  <si>
    <t>END PANEL,GLASS,GRSDS-XXT</t>
  </si>
  <si>
    <t>04.40.112.00</t>
  </si>
  <si>
    <t>50814</t>
  </si>
  <si>
    <t>FSD SIDE GLASS</t>
  </si>
  <si>
    <t>04.40.114.00</t>
  </si>
  <si>
    <t>50820</t>
  </si>
  <si>
    <t>FSDT SIDE GLASS</t>
  </si>
  <si>
    <t>04.40.124.00</t>
  </si>
  <si>
    <t>50820B</t>
  </si>
  <si>
    <t>FST TALL FRONT &amp; DOOR GLASS</t>
  </si>
  <si>
    <t>04.40.131.00</t>
  </si>
  <si>
    <t>50825</t>
  </si>
  <si>
    <t>GRPWS-XX18T END GLASS</t>
  </si>
  <si>
    <t>04.40.132.00</t>
  </si>
  <si>
    <t>50830</t>
  </si>
  <si>
    <t>GRSDS/H END GLASS 15" UP SPACE</t>
  </si>
  <si>
    <t>04.40.133.00</t>
  </si>
  <si>
    <t>50831</t>
  </si>
  <si>
    <t>GRPWS-XX18D END GLASS</t>
  </si>
  <si>
    <t>04.40.134.00</t>
  </si>
  <si>
    <t>50835</t>
  </si>
  <si>
    <t>GRPWS-XX18Q END GLASS</t>
  </si>
  <si>
    <t>04.40.135.00</t>
  </si>
  <si>
    <t>50836</t>
  </si>
  <si>
    <t>GRPWS-XX24D END GLASS</t>
  </si>
  <si>
    <t>04.40.136.00</t>
  </si>
  <si>
    <t>50840</t>
  </si>
  <si>
    <t>GRPWS-XX24T END GLASS</t>
  </si>
  <si>
    <t>04.40.137.00</t>
  </si>
  <si>
    <t>50840B</t>
  </si>
  <si>
    <t>GRPWS-XX24Q END GLASS</t>
  </si>
  <si>
    <t>04.40.141.00</t>
  </si>
  <si>
    <t>50841</t>
  </si>
  <si>
    <t>GLASS,8x14.5x.197,TF-2010,2015</t>
  </si>
  <si>
    <t>04.40.153.00</t>
  </si>
  <si>
    <t>50842</t>
  </si>
  <si>
    <t>FRONT GLASS GR2SDH-48</t>
  </si>
  <si>
    <t>04.40.156.00</t>
  </si>
  <si>
    <t>50843</t>
  </si>
  <si>
    <t>SIDE GLASS,GRHW 2-TIER</t>
  </si>
  <si>
    <t>04.40.158.00</t>
  </si>
  <si>
    <t>50844</t>
  </si>
  <si>
    <t>GLASS,SIDE,GR2SDS FULL</t>
  </si>
  <si>
    <t>04.40.159.00</t>
  </si>
  <si>
    <t>50845</t>
  </si>
  <si>
    <t>GLASS,SIDE,GR2SDH FULL</t>
  </si>
  <si>
    <t>04.40.160.00</t>
  </si>
  <si>
    <t>50846</t>
  </si>
  <si>
    <t>GR2SDH 12" SHELF SIDE GLASS</t>
  </si>
  <si>
    <t>04.40.179.00</t>
  </si>
  <si>
    <t>50850</t>
  </si>
  <si>
    <t>GLASS,SIDE,GR3H</t>
  </si>
  <si>
    <t>04.40.191.00</t>
  </si>
  <si>
    <t>50851</t>
  </si>
  <si>
    <t>GLASS,LH SIDE,GR3S</t>
  </si>
  <si>
    <t>04.40.192.00</t>
  </si>
  <si>
    <t>50852</t>
  </si>
  <si>
    <t>GLASS,RH SIDE,GR3S</t>
  </si>
  <si>
    <t>04.40.194.00</t>
  </si>
  <si>
    <t>50860</t>
  </si>
  <si>
    <t>GLASS,TOP,GR3,27"</t>
  </si>
  <si>
    <t>04.40.199.00</t>
  </si>
  <si>
    <t>50861</t>
  </si>
  <si>
    <t>GLASS,PANEL,ELEMENT,TFW-461R</t>
  </si>
  <si>
    <t>04.40.216.00</t>
  </si>
  <si>
    <t>50863</t>
  </si>
  <si>
    <t>GLASS,TF-2040</t>
  </si>
  <si>
    <t>04.40.234.00</t>
  </si>
  <si>
    <t>50863B</t>
  </si>
  <si>
    <t>END PANEL,GLASS,SDS-XXD,SIDESW</t>
  </si>
  <si>
    <t>04.40.254.00</t>
  </si>
  <si>
    <t>50865</t>
  </si>
  <si>
    <t>GLASS,SIDE,FDWD,16.594X19.5</t>
  </si>
  <si>
    <t>04.40.258.00</t>
  </si>
  <si>
    <t>50866</t>
  </si>
  <si>
    <t>GRCD-XPD MIRROR RH SIDE PANEL</t>
  </si>
  <si>
    <t>04.40.259.00</t>
  </si>
  <si>
    <t>50870</t>
  </si>
  <si>
    <t>GRCD-XPD MIRROR LH SIDE PANEL</t>
  </si>
  <si>
    <t>04.40.280.00</t>
  </si>
  <si>
    <t>50871</t>
  </si>
  <si>
    <t>GLASS,15.88x12.88x.125 SIDE</t>
  </si>
  <si>
    <t>04.40.281.00</t>
  </si>
  <si>
    <t>50872</t>
  </si>
  <si>
    <t>GLASS,11.5x11.5x.125 TOP</t>
  </si>
  <si>
    <t>04.40.282.00</t>
  </si>
  <si>
    <t>50950</t>
  </si>
  <si>
    <t>GLASS,SIDE,GR3S,W/O LOGO</t>
  </si>
  <si>
    <t>04.40.291.00</t>
  </si>
  <si>
    <t>52100</t>
  </si>
  <si>
    <t>GLASS,MIRROR,20.75 X 14.19"</t>
  </si>
  <si>
    <t>04.40.294.00</t>
  </si>
  <si>
    <t>52150</t>
  </si>
  <si>
    <t>GLASS,END PNL,GRCMW-1DH</t>
  </si>
  <si>
    <t>04.40.295.00</t>
  </si>
  <si>
    <t>52200</t>
  </si>
  <si>
    <t>GLASS,MIRROR PNL,GRCMW-1DH</t>
  </si>
  <si>
    <t>04.40.298.00</t>
  </si>
  <si>
    <t>52300</t>
  </si>
  <si>
    <t>GLASS SIDE,FSCD-2PD</t>
  </si>
  <si>
    <t>04.40.304.00</t>
  </si>
  <si>
    <t>52301</t>
  </si>
  <si>
    <t>TOP CURVED GLASS CVR,3SDS-39T</t>
  </si>
  <si>
    <t>04.40.308.00</t>
  </si>
  <si>
    <t>52302</t>
  </si>
  <si>
    <t>GLASS,SG,SERVE RITE,CLEAR</t>
  </si>
  <si>
    <t>04.40.318.00</t>
  </si>
  <si>
    <t>52303</t>
  </si>
  <si>
    <t>GLASS,LAMP SHIELD,SERVE RITE</t>
  </si>
  <si>
    <t>04.40.325.00</t>
  </si>
  <si>
    <t>52400</t>
  </si>
  <si>
    <t>GLASS,SIDE,FDWD-12,14.84X19.5</t>
  </si>
  <si>
    <t>04.40.326.00</t>
  </si>
  <si>
    <t>52401</t>
  </si>
  <si>
    <t>GLASS,DOOR,FDWD-12,13.62X19.56</t>
  </si>
  <si>
    <t>04.40.330.00</t>
  </si>
  <si>
    <t>52401C</t>
  </si>
  <si>
    <t>GLASS,DCSBXXX-R20,20.8 X 16.9</t>
  </si>
  <si>
    <t>04.40.331.00</t>
  </si>
  <si>
    <t>52401G</t>
  </si>
  <si>
    <t>GLASS,SIDE,CIRC-K,18.52X46.25</t>
  </si>
  <si>
    <t>04.40.336.00</t>
  </si>
  <si>
    <t>52402</t>
  </si>
  <si>
    <t>GLASS END,RH,3SDS-XXT</t>
  </si>
  <si>
    <t>04.40.337.00</t>
  </si>
  <si>
    <t>52403</t>
  </si>
  <si>
    <t>GLASS END,LH,3SDS-XXT</t>
  </si>
  <si>
    <t>04.40.340.00</t>
  </si>
  <si>
    <t>52404</t>
  </si>
  <si>
    <t>GLASS,CERAMIC,5.5 X 2.69</t>
  </si>
  <si>
    <t>04.40.344.00</t>
  </si>
  <si>
    <t>52405</t>
  </si>
  <si>
    <t>GLASS,DCSBXXX-3624,28.3 X 19.4</t>
  </si>
  <si>
    <t>04.40.386.00</t>
  </si>
  <si>
    <t>52410</t>
  </si>
  <si>
    <t>GLASS ELEMENT COVER,HZM</t>
  </si>
  <si>
    <t>04.40.387.00</t>
  </si>
  <si>
    <t>52411</t>
  </si>
  <si>
    <t>GLASS,CERAMIC,261 X 490mm</t>
  </si>
  <si>
    <t>04.40.404.00</t>
  </si>
  <si>
    <t>52415</t>
  </si>
  <si>
    <t>CERAMIC GLASS,HGSM-4060</t>
  </si>
  <si>
    <t>04.40.407.00</t>
  </si>
  <si>
    <t>52420</t>
  </si>
  <si>
    <t>GRPWS-XX24T END GLASS 6.5 SP</t>
  </si>
  <si>
    <t>04.40.411.00</t>
  </si>
  <si>
    <t>52430</t>
  </si>
  <si>
    <t>CERAN,11.65X19.86,QTS-24</t>
  </si>
  <si>
    <t>04.40.453.00</t>
  </si>
  <si>
    <t>52431</t>
  </si>
  <si>
    <t>GRSDH-XXD END GLASS,12/12SPACE</t>
  </si>
  <si>
    <t>04.40.456.00</t>
  </si>
  <si>
    <t>52500</t>
  </si>
  <si>
    <t>GLASS TOP,MDW</t>
  </si>
  <si>
    <t>04.40.467.00</t>
  </si>
  <si>
    <t>52501</t>
  </si>
  <si>
    <t>04.40.472.00</t>
  </si>
  <si>
    <t>52502</t>
  </si>
  <si>
    <t>GLASS,LEFT HAND,GR3S,39TQT</t>
  </si>
  <si>
    <t>04.40.473.00</t>
  </si>
  <si>
    <t>52503</t>
  </si>
  <si>
    <t>GLASS,RIGHT HAND,GR3S,39TQT</t>
  </si>
  <si>
    <t>04.40.494.00</t>
  </si>
  <si>
    <t>52504</t>
  </si>
  <si>
    <t>TOP GLASS,IHDCH-45</t>
  </si>
  <si>
    <t>04.40.495.00</t>
  </si>
  <si>
    <t>52505</t>
  </si>
  <si>
    <t>SIDE GLASS,IHDCH-45</t>
  </si>
  <si>
    <t>04.40.509.00</t>
  </si>
  <si>
    <t>52510</t>
  </si>
  <si>
    <t>FRONT GLASS,IHDCH-45</t>
  </si>
  <si>
    <t>04.40.511.00</t>
  </si>
  <si>
    <t>52511</t>
  </si>
  <si>
    <t>GLASS,SIDE,FDWD22</t>
  </si>
  <si>
    <t>04.40.512.00</t>
  </si>
  <si>
    <t>52512</t>
  </si>
  <si>
    <t>GLASS PANEL,SIDE,GRPWS-2424QTL</t>
  </si>
  <si>
    <t>04.40.552.00</t>
  </si>
  <si>
    <t>52513</t>
  </si>
  <si>
    <t>SIDE GLASS,FS3HAC-4226</t>
  </si>
  <si>
    <t>04.40.554.00</t>
  </si>
  <si>
    <t>52514</t>
  </si>
  <si>
    <t>CUVED GLASS,FLIP DOOR,GRCD-1PD</t>
  </si>
  <si>
    <t>04.40.558.00</t>
  </si>
  <si>
    <t>52515</t>
  </si>
  <si>
    <t>GLASS,SIDE,27.714 X 17.729</t>
  </si>
  <si>
    <t>04.40.560.00</t>
  </si>
  <si>
    <t>52515B</t>
  </si>
  <si>
    <t>GLASS SIDE,GMHDT</t>
  </si>
  <si>
    <t>04.40.561.00</t>
  </si>
  <si>
    <t>52516</t>
  </si>
  <si>
    <t>GLASS FRONT,GMHDT-2PT</t>
  </si>
  <si>
    <t>04.40.562.00</t>
  </si>
  <si>
    <t>52517</t>
  </si>
  <si>
    <t>GLASS DOOR,GMHDT-2PT</t>
  </si>
  <si>
    <t>04.40.566.00</t>
  </si>
  <si>
    <t>52518</t>
  </si>
  <si>
    <t>GLASS,LH,GMHDH-3PT</t>
  </si>
  <si>
    <t>04.40.567.00</t>
  </si>
  <si>
    <t>52520</t>
  </si>
  <si>
    <t>GLASS,RH,GMHDH-3PT</t>
  </si>
  <si>
    <t>04.40.568.00</t>
  </si>
  <si>
    <t>52521</t>
  </si>
  <si>
    <t>GLASS FRONT,GMHDH-3PT</t>
  </si>
  <si>
    <t>04.40.618.00</t>
  </si>
  <si>
    <t>52525</t>
  </si>
  <si>
    <t>GLASS,CERAMIC,274 X 523MM,TMS2</t>
  </si>
  <si>
    <t>04.40.664.00</t>
  </si>
  <si>
    <t>52530</t>
  </si>
  <si>
    <t>F2G-A,LFT HINGE GLASS DOOR,BWW</t>
  </si>
  <si>
    <t>04.40.665.00</t>
  </si>
  <si>
    <t>52531</t>
  </si>
  <si>
    <t>F2G-A,RHT HINGE GLASS DOOR,BWW</t>
  </si>
  <si>
    <t>04.41.002.01</t>
  </si>
  <si>
    <t>52532</t>
  </si>
  <si>
    <t>BRKT,SUPPORT,GRN,BLACK</t>
  </si>
  <si>
    <t>04.41.008.00</t>
  </si>
  <si>
    <t>52532B</t>
  </si>
  <si>
    <t>WIRE GUARD,MOD,.260 ELEM,GRN</t>
  </si>
  <si>
    <t>04.41.036.00</t>
  </si>
  <si>
    <t>52535B</t>
  </si>
  <si>
    <t>LIGHT COVER,GRN4L</t>
  </si>
  <si>
    <t>04.41.040.00</t>
  </si>
  <si>
    <t>52540</t>
  </si>
  <si>
    <t>LIGHT HOLD/WIREWAY,GRN4L</t>
  </si>
  <si>
    <t>04.41.238.00</t>
  </si>
  <si>
    <t>52541</t>
  </si>
  <si>
    <t>WIRE GUARD,6.6MM ELEMENT,GM5</t>
  </si>
  <si>
    <t>04.41.241.021</t>
  </si>
  <si>
    <t>52542</t>
  </si>
  <si>
    <t>END CAP,W/0 PWR HOLE,GM5,CLEAR</t>
  </si>
  <si>
    <t>04.41.287.00</t>
  </si>
  <si>
    <t>52600</t>
  </si>
  <si>
    <t>CONTROL BOX FLANGE,GM5</t>
  </si>
  <si>
    <t>04.41.349.00</t>
  </si>
  <si>
    <t>52601</t>
  </si>
  <si>
    <t>END BOX,ADM,GM5</t>
  </si>
  <si>
    <t>04.41.350.021</t>
  </si>
  <si>
    <t>52602B</t>
  </si>
  <si>
    <t>END CAP,ADM,CLEAR ANODIZED,GM5</t>
  </si>
  <si>
    <t>04.41.350.022</t>
  </si>
  <si>
    <t>52603</t>
  </si>
  <si>
    <t>END CAP,ADM,BLACK ANODIZED,GM5</t>
  </si>
  <si>
    <t>04.42.003.00</t>
  </si>
  <si>
    <t>52604</t>
  </si>
  <si>
    <t>PAN,4/3 SIZE,SS,6" OUTER</t>
  </si>
  <si>
    <t>04.42.003X.00</t>
  </si>
  <si>
    <t>52605</t>
  </si>
  <si>
    <t>HW,PAN 4/3 SIZE,W/DRAIN</t>
  </si>
  <si>
    <t>04.42.007.00</t>
  </si>
  <si>
    <t>52606</t>
  </si>
  <si>
    <t>PAN,11 QT,SS</t>
  </si>
  <si>
    <t>04.42.009.00</t>
  </si>
  <si>
    <t>52606B</t>
  </si>
  <si>
    <t>CONTROL BEZEL,INCLINED,UNPNTD</t>
  </si>
  <si>
    <t>04.42.009.01</t>
  </si>
  <si>
    <t>52607</t>
  </si>
  <si>
    <t>CONTROL BEZEL,INCLINED,BLACK</t>
  </si>
  <si>
    <t>04.42.012.00</t>
  </si>
  <si>
    <t>52610</t>
  </si>
  <si>
    <t>CONTROL PANEL,BASE,HWB</t>
  </si>
  <si>
    <t>04.42.013.00</t>
  </si>
  <si>
    <t>52611</t>
  </si>
  <si>
    <t>CONTROL PANEL,HWB</t>
  </si>
  <si>
    <t>04.42.018.00</t>
  </si>
  <si>
    <t>52612</t>
  </si>
  <si>
    <t>STRAINER,HWB</t>
  </si>
  <si>
    <t>04.42.027.00</t>
  </si>
  <si>
    <t>52613</t>
  </si>
  <si>
    <t>COUNTER SPACER,HWB-7QT</t>
  </si>
  <si>
    <t>04.42.037.00</t>
  </si>
  <si>
    <t>52615</t>
  </si>
  <si>
    <t>SUPPORT BAR,HWB,12"</t>
  </si>
  <si>
    <t>04.42.038.00</t>
  </si>
  <si>
    <t>53100</t>
  </si>
  <si>
    <t>SUPPORT BAR,HWB,20"</t>
  </si>
  <si>
    <t>04.42.040.00</t>
  </si>
  <si>
    <t>53100B</t>
  </si>
  <si>
    <t>T-STAT CONTROL PANEL,HWB-UR</t>
  </si>
  <si>
    <t>04.42.051.00</t>
  </si>
  <si>
    <t>53110</t>
  </si>
  <si>
    <t>CONTROL PANEL,HWB,STANDARD</t>
  </si>
  <si>
    <t>04.42.059.00</t>
  </si>
  <si>
    <t>53111</t>
  </si>
  <si>
    <t>CNTL BEZEL,SMALL BOX,HWB,UNPTD</t>
  </si>
  <si>
    <t>04.42.1001.00</t>
  </si>
  <si>
    <t>53112</t>
  </si>
  <si>
    <t>HWB-43 PAN W/DRAIN,AUTOFILL</t>
  </si>
  <si>
    <t>04.42.1002.00</t>
  </si>
  <si>
    <t>53113</t>
  </si>
  <si>
    <t>HWB-43 PAN W/DRAIN</t>
  </si>
  <si>
    <t>04.42.109.00</t>
  </si>
  <si>
    <t>53114</t>
  </si>
  <si>
    <t>SENSOR COVER,HWB GANGED</t>
  </si>
  <si>
    <t>04.42.110.00</t>
  </si>
  <si>
    <t>53121</t>
  </si>
  <si>
    <t>T-STAT GUARD</t>
  </si>
  <si>
    <t>04.42.149.00</t>
  </si>
  <si>
    <t>53131</t>
  </si>
  <si>
    <t>PAN,4 QT,SS,W/O EXTRUSION</t>
  </si>
  <si>
    <t>04.42.220.00</t>
  </si>
  <si>
    <t>53131B</t>
  </si>
  <si>
    <t>BOTTOM PLATE,RHW-1</t>
  </si>
  <si>
    <t>04.42.299.00</t>
  </si>
  <si>
    <t>53141</t>
  </si>
  <si>
    <t>COVER,RHW-1B,ELECTRICAL</t>
  </si>
  <si>
    <t>04.42.317.00</t>
  </si>
  <si>
    <t>53143</t>
  </si>
  <si>
    <t>CONTROL PANEL FRONT,RHW-1B</t>
  </si>
  <si>
    <t>04.42.339.00</t>
  </si>
  <si>
    <t>53145</t>
  </si>
  <si>
    <t>CONTROL PANEL,RMB2-2R</t>
  </si>
  <si>
    <t>04.42.340.00</t>
  </si>
  <si>
    <t>53147</t>
  </si>
  <si>
    <t>WIRING ACCESS COVER,RMB2-2R</t>
  </si>
  <si>
    <t>04.42.369.00</t>
  </si>
  <si>
    <t>53200</t>
  </si>
  <si>
    <t>CONTROL PANEL,RMB2-1R</t>
  </si>
  <si>
    <t>04.42.387.00</t>
  </si>
  <si>
    <t>53200B</t>
  </si>
  <si>
    <t>SUPPORT BAR,12",MODULAR/GANGED</t>
  </si>
  <si>
    <t>04.42.388.00</t>
  </si>
  <si>
    <t>53201</t>
  </si>
  <si>
    <t>SUPPORT BAR,20",MODULAR/GANGED</t>
  </si>
  <si>
    <t>04.42.415.00</t>
  </si>
  <si>
    <t>53202</t>
  </si>
  <si>
    <t>COVER,BOTTOM,RCTHW</t>
  </si>
  <si>
    <t>04.42.417.00</t>
  </si>
  <si>
    <t>53203</t>
  </si>
  <si>
    <t>CLIP,SENSOR,RCTHW</t>
  </si>
  <si>
    <t>04.42.427.00</t>
  </si>
  <si>
    <t>53204</t>
  </si>
  <si>
    <t>MUS,FULL PAN W/DRAIN,AUTO</t>
  </si>
  <si>
    <t>04.42.438.00</t>
  </si>
  <si>
    <t>53205</t>
  </si>
  <si>
    <t>PAN,1/1SIZE HW-FUL W/O DRAIN</t>
  </si>
  <si>
    <t>04.42.446.00</t>
  </si>
  <si>
    <t>53221</t>
  </si>
  <si>
    <t>PAN,RCTHW-1</t>
  </si>
  <si>
    <t>04.42.454.00</t>
  </si>
  <si>
    <t>53225</t>
  </si>
  <si>
    <t>MUS,FULL PAN W/O DRAIN</t>
  </si>
  <si>
    <t>04.42.460.00</t>
  </si>
  <si>
    <t>53230</t>
  </si>
  <si>
    <t>BEZEL ASSY,HWBI-S2</t>
  </si>
  <si>
    <t>04.42.467.00</t>
  </si>
  <si>
    <t>53230B</t>
  </si>
  <si>
    <t>BRACKET,ELEMENT,HW-FUL</t>
  </si>
  <si>
    <t>04.42.468.00</t>
  </si>
  <si>
    <t>53231</t>
  </si>
  <si>
    <t>STRAINER,RCTHW</t>
  </si>
  <si>
    <t>04.42.474.00</t>
  </si>
  <si>
    <t>53232</t>
  </si>
  <si>
    <t>BRACKET,ELEMENT,RCTHW</t>
  </si>
  <si>
    <t>04.42.502.00</t>
  </si>
  <si>
    <t>53233</t>
  </si>
  <si>
    <t>STRAINER,RCTHW-6/6B</t>
  </si>
  <si>
    <t>04.42.517.00</t>
  </si>
  <si>
    <t>53234</t>
  </si>
  <si>
    <t>COUPLING,BALL VALVE</t>
  </si>
  <si>
    <t>04.42.544.00</t>
  </si>
  <si>
    <t>53235</t>
  </si>
  <si>
    <t>FULL SIZE PAN,W/O DRAIN,HWBC</t>
  </si>
  <si>
    <t>04.42.546.00</t>
  </si>
  <si>
    <t>53240</t>
  </si>
  <si>
    <t>SENSOR CLIP,HW-FUL</t>
  </si>
  <si>
    <t>04.42.565.00</t>
  </si>
  <si>
    <t>53241</t>
  </si>
  <si>
    <t>BOTTOM COVER,HW-FUL</t>
  </si>
  <si>
    <t>04.42.662.00</t>
  </si>
  <si>
    <t>53241B</t>
  </si>
  <si>
    <t>CONTROL PANEL,W/AUTO,HWBI-1</t>
  </si>
  <si>
    <t>04.42.667.00</t>
  </si>
  <si>
    <t>53242</t>
  </si>
  <si>
    <t>HEAT SINK,HWB ROUND</t>
  </si>
  <si>
    <t>04.42.668.00</t>
  </si>
  <si>
    <t>53243</t>
  </si>
  <si>
    <t>ELEM CLAMP,HWB,ROUND,SERVICE</t>
  </si>
  <si>
    <t>04.42.687.00</t>
  </si>
  <si>
    <t>53244</t>
  </si>
  <si>
    <t>SW-11QT PAN ASSY</t>
  </si>
  <si>
    <t>04.42.688.00</t>
  </si>
  <si>
    <t>53245</t>
  </si>
  <si>
    <t>CUP RAIL,4.5",SW2,SS,UNFIN</t>
  </si>
  <si>
    <t>04.42.698.00</t>
  </si>
  <si>
    <t>53246</t>
  </si>
  <si>
    <t>SW-7QT PAN ASSY</t>
  </si>
  <si>
    <t>04.42.706.00</t>
  </si>
  <si>
    <t>53249</t>
  </si>
  <si>
    <t>HW,PAN 4QT W/DRAIN,BRKT</t>
  </si>
  <si>
    <t>04.42.707.00</t>
  </si>
  <si>
    <t>53251</t>
  </si>
  <si>
    <t>HW,PAN 7QT W/BRKT W/O DRN</t>
  </si>
  <si>
    <t>04.42.712.00</t>
  </si>
  <si>
    <t>53252</t>
  </si>
  <si>
    <t>HW,PAN11QT W/BRKT,STUD W/O DRN</t>
  </si>
  <si>
    <t>04.42.754.00</t>
  </si>
  <si>
    <t>53255</t>
  </si>
  <si>
    <t>CONTROL PANEL,HWBI-5</t>
  </si>
  <si>
    <t>04.42.777.01</t>
  </si>
  <si>
    <t>53256</t>
  </si>
  <si>
    <t>TSTAT BRKT,HWBI-4,BLACK</t>
  </si>
  <si>
    <t>04.42.797.00</t>
  </si>
  <si>
    <t>53258</t>
  </si>
  <si>
    <t>MOTOR SHAFT SEAL,DRY WELL</t>
  </si>
  <si>
    <t>04.42.818.00</t>
  </si>
  <si>
    <t>53260</t>
  </si>
  <si>
    <t>BRKT,MAN HI LIMIT,SP,RCTHW</t>
  </si>
  <si>
    <t>04.42.861.00</t>
  </si>
  <si>
    <t>53260B</t>
  </si>
  <si>
    <t>SUPPORT BAR,HW/CHW-FUL,12"</t>
  </si>
  <si>
    <t>04.42.884.00</t>
  </si>
  <si>
    <t>53261</t>
  </si>
  <si>
    <t>INLET BRKT,HWBI CONVECTED</t>
  </si>
  <si>
    <t>04.42.885.00</t>
  </si>
  <si>
    <t>53261B</t>
  </si>
  <si>
    <t>INLET COVER,DRY WELL</t>
  </si>
  <si>
    <t>04.42.890.00</t>
  </si>
  <si>
    <t>53262</t>
  </si>
  <si>
    <t>SUPPORT BAR,HW/CHW-43,20"</t>
  </si>
  <si>
    <t>04.42.929.00</t>
  </si>
  <si>
    <t>53262B</t>
  </si>
  <si>
    <t>HWBI-7QTDA PAN,DRAIN,BRKT,AF</t>
  </si>
  <si>
    <t>04.42.930.00</t>
  </si>
  <si>
    <t>53300</t>
  </si>
  <si>
    <t>ELEMENT CLAMP,7,11QT INSUL</t>
  </si>
  <si>
    <t>04.42.946.00</t>
  </si>
  <si>
    <t>53300B</t>
  </si>
  <si>
    <t>HWBI-11QTD PAN,DRAIN,BRKT</t>
  </si>
  <si>
    <t>04.42.971.00</t>
  </si>
  <si>
    <t>53301</t>
  </si>
  <si>
    <t>ELEMENT BRKT,HWBI43</t>
  </si>
  <si>
    <t>04.42.984.00</t>
  </si>
  <si>
    <t>53302</t>
  </si>
  <si>
    <t>BOTTOM,HWBI</t>
  </si>
  <si>
    <t>04.42.995.00</t>
  </si>
  <si>
    <t>53311</t>
  </si>
  <si>
    <t>HWB-43 PAN DELFIELD,W/COUPLING</t>
  </si>
  <si>
    <t>04.44.007.00</t>
  </si>
  <si>
    <t>53312</t>
  </si>
  <si>
    <t>HQT SINGLE SERVE RACK</t>
  </si>
  <si>
    <t>04.44.094.00</t>
  </si>
  <si>
    <t>53314</t>
  </si>
  <si>
    <t>COIL,INDUCTION,1800W,120V</t>
  </si>
  <si>
    <t>04.44.107.09</t>
  </si>
  <si>
    <t>53316</t>
  </si>
  <si>
    <t>CONTROL BOX,FRT,IRNG-PB1,BBLK</t>
  </si>
  <si>
    <t>04.44.118.00</t>
  </si>
  <si>
    <t>53320</t>
  </si>
  <si>
    <t>COIL ASSEMBLY,IRNG-PC1-36</t>
  </si>
  <si>
    <t>04.44.164.00</t>
  </si>
  <si>
    <t>53321</t>
  </si>
  <si>
    <t>LEFT ARM,RWM,RCTWM</t>
  </si>
  <si>
    <t>04.44.165.00</t>
  </si>
  <si>
    <t>53322</t>
  </si>
  <si>
    <t>RIGHT ARM,RWM,RCTWM</t>
  </si>
  <si>
    <t>04.44.173.00</t>
  </si>
  <si>
    <t>53323</t>
  </si>
  <si>
    <t>WAFFLE PLATE,RWM-1,RWM-2</t>
  </si>
  <si>
    <t>04.44.201.00</t>
  </si>
  <si>
    <t>53324</t>
  </si>
  <si>
    <t>KNOB COVER, SNACK</t>
  </si>
  <si>
    <t>04.44.202.00</t>
  </si>
  <si>
    <t>53325</t>
  </si>
  <si>
    <t>WAFFLE PLATE,RWM-1B,RWM-2B</t>
  </si>
  <si>
    <t>04.44.283.00</t>
  </si>
  <si>
    <t>53326</t>
  </si>
  <si>
    <t>CROSSANT BAR TOP PLATE,SNACK</t>
  </si>
  <si>
    <t>04.44.283A.00</t>
  </si>
  <si>
    <t>53331</t>
  </si>
  <si>
    <t>CROSSANT BAR BOT PLATE,SNACK</t>
  </si>
  <si>
    <t>04.44.284.00</t>
  </si>
  <si>
    <t>53332</t>
  </si>
  <si>
    <t>BAKED DONUT TOP PLATE,SNACK</t>
  </si>
  <si>
    <t>04.44.284A.00</t>
  </si>
  <si>
    <t>53333</t>
  </si>
  <si>
    <t>BAKED DONUT BOT PLATE,SNACK</t>
  </si>
  <si>
    <t>04.44.285.00</t>
  </si>
  <si>
    <t>53334</t>
  </si>
  <si>
    <t>PANINI GRILL TOP PLATE,SNACK</t>
  </si>
  <si>
    <t>04.44.285A.00</t>
  </si>
  <si>
    <t>53335</t>
  </si>
  <si>
    <t>PANINI GRILL BOT PLATE,SNACK</t>
  </si>
  <si>
    <t>04.44.286.00</t>
  </si>
  <si>
    <t>53341</t>
  </si>
  <si>
    <t>BIG HOT SANDWICH PLATE,SNACK</t>
  </si>
  <si>
    <t>04.44.287.00</t>
  </si>
  <si>
    <t>53342</t>
  </si>
  <si>
    <t>CAFE BALL TOP PLATE,SNACK</t>
  </si>
  <si>
    <t>04.44.287A.00</t>
  </si>
  <si>
    <t>53342B</t>
  </si>
  <si>
    <t>CAFE BALL BOT PLATE,SNACK</t>
  </si>
  <si>
    <t>04.44.288.00</t>
  </si>
  <si>
    <t>53343</t>
  </si>
  <si>
    <t>BELGAIN WAFFLE PLATE,SNACK</t>
  </si>
  <si>
    <t>04.44.289.00</t>
  </si>
  <si>
    <t>53345</t>
  </si>
  <si>
    <t>CROSSANT WAFFLE TOP PLT,SNACK</t>
  </si>
  <si>
    <t>04.44.289A.00</t>
  </si>
  <si>
    <t>53402</t>
  </si>
  <si>
    <t>CROSSANT WAFFLE BOT PLT,SNACK</t>
  </si>
  <si>
    <t>04.44.291.00</t>
  </si>
  <si>
    <t>53403</t>
  </si>
  <si>
    <t>WAFFLE PLATE,RCTWM</t>
  </si>
  <si>
    <t>04.44.312.00</t>
  </si>
  <si>
    <t>53404</t>
  </si>
  <si>
    <t>BACKET,INSTALLATION,IWRM-UT-06</t>
  </si>
  <si>
    <t>04.44.351.00</t>
  </si>
  <si>
    <t>53405</t>
  </si>
  <si>
    <t>WAFFLE PLATE COVER,FWM,BARE COLOR</t>
  </si>
  <si>
    <t>04.44.352.00</t>
  </si>
  <si>
    <t>53406</t>
  </si>
  <si>
    <t>PIVOT YOKE COVER,FWM,BARE COLOR</t>
  </si>
  <si>
    <t>04.44.353.00</t>
  </si>
  <si>
    <t>53408</t>
  </si>
  <si>
    <t>BELGIAN WAFFLE PLATE,FWM,BARE COLOR</t>
  </si>
  <si>
    <t>04.44.354.00</t>
  </si>
  <si>
    <t>53510</t>
  </si>
  <si>
    <t>PLATE SUPPORT,FWM</t>
  </si>
  <si>
    <t>04.44.359.00</t>
  </si>
  <si>
    <t>53510B</t>
  </si>
  <si>
    <t>YOKE COVER,FWM,BARE COLOR</t>
  </si>
  <si>
    <t>04.44.360.00</t>
  </si>
  <si>
    <t>53512</t>
  </si>
  <si>
    <t>BOTTOM COVER,FWM</t>
  </si>
  <si>
    <t>04.44.569.00</t>
  </si>
  <si>
    <t>53513</t>
  </si>
  <si>
    <t>GROOVE TOP PLATE, PANINI</t>
  </si>
  <si>
    <t>04.45.001.00</t>
  </si>
  <si>
    <t>53514</t>
  </si>
  <si>
    <t>HOOD FOR GRAPHICS,MDW</t>
  </si>
  <si>
    <t>04.45.002.00</t>
  </si>
  <si>
    <t>53515</t>
  </si>
  <si>
    <t>HOOD,MDW</t>
  </si>
  <si>
    <t>04.45.028.00</t>
  </si>
  <si>
    <t>53516</t>
  </si>
  <si>
    <t>CAP,HOOD,MDW,UNFIN</t>
  </si>
  <si>
    <t>04.45.138.00</t>
  </si>
  <si>
    <t>53517</t>
  </si>
  <si>
    <t>INNER BASE COVER,GMHDT-2PT</t>
  </si>
  <si>
    <t>04.45.146.00</t>
  </si>
  <si>
    <t>53518</t>
  </si>
  <si>
    <t>SIGN PANEL,MDW</t>
  </si>
  <si>
    <t>04.46.031.00</t>
  </si>
  <si>
    <t>53519</t>
  </si>
  <si>
    <t>PAN,UTENSIL,2/8 SET,SERVE RITE</t>
  </si>
  <si>
    <t>04.47.006.00</t>
  </si>
  <si>
    <t>53520</t>
  </si>
  <si>
    <t>CONDENSER PAN,4-6 PAN</t>
  </si>
  <si>
    <t>04.47.007.00</t>
  </si>
  <si>
    <t>53521</t>
  </si>
  <si>
    <t>VERTICAL SUPPORT,CWB</t>
  </si>
  <si>
    <t>04.47.008.00</t>
  </si>
  <si>
    <t>53521B</t>
  </si>
  <si>
    <t>UPPER SUPPORT BRKT,4-6 PAN</t>
  </si>
  <si>
    <t>04.47.090.00</t>
  </si>
  <si>
    <t>53530</t>
  </si>
  <si>
    <t>PAN DIVIDER,20",CWB</t>
  </si>
  <si>
    <t>04.47.111.00</t>
  </si>
  <si>
    <t>53530B</t>
  </si>
  <si>
    <t>PAN DIVIDER,12",CWB</t>
  </si>
  <si>
    <t>04.47.159.00</t>
  </si>
  <si>
    <t>53531</t>
  </si>
  <si>
    <t>FROST TOP,DRAIN STRAINER</t>
  </si>
  <si>
    <t>04.47.260.00</t>
  </si>
  <si>
    <t>53532</t>
  </si>
  <si>
    <t>BAFFLE ASSY,HCWBI-2</t>
  </si>
  <si>
    <t>04.47.261.00</t>
  </si>
  <si>
    <t>53533</t>
  </si>
  <si>
    <t>BAFFLE ASSY,HCWBI-3</t>
  </si>
  <si>
    <t>04.47.263.00</t>
  </si>
  <si>
    <t>53534</t>
  </si>
  <si>
    <t>BAFFLE ASSY,HCWBI-5</t>
  </si>
  <si>
    <t>04.47.266.00</t>
  </si>
  <si>
    <t>53534U</t>
  </si>
  <si>
    <t>PAN SUPPORT,2 PAN WELDMENT</t>
  </si>
  <si>
    <t>04.47.306.00</t>
  </si>
  <si>
    <t>53535</t>
  </si>
  <si>
    <t>CONTROL PANEL,GRSBF-H/C</t>
  </si>
  <si>
    <t>04.47.318.00</t>
  </si>
  <si>
    <t>53535B</t>
  </si>
  <si>
    <t>PAN SUPPORT,1 PAN WELDMENT</t>
  </si>
  <si>
    <t>04.47.351.00</t>
  </si>
  <si>
    <t>53536</t>
  </si>
  <si>
    <t>MOUNT BRKT,H/C</t>
  </si>
  <si>
    <t>04.47.354.00</t>
  </si>
  <si>
    <t>53538</t>
  </si>
  <si>
    <t>MOUNT BRKT SUPPORT,H/C</t>
  </si>
  <si>
    <t>04.47.659.00</t>
  </si>
  <si>
    <t>53551</t>
  </si>
  <si>
    <t>BRKT,ANGLE,LH,CWB SLOPED BASE</t>
  </si>
  <si>
    <t>04.47.660.00</t>
  </si>
  <si>
    <t>53552</t>
  </si>
  <si>
    <t>BRKT,ANGLE,RH,CWB SLOPED BASE</t>
  </si>
  <si>
    <t>04.47.683.00</t>
  </si>
  <si>
    <t>53553</t>
  </si>
  <si>
    <t>SLANT TOP ASSY,CWB-3</t>
  </si>
  <si>
    <t>04.47.685.00</t>
  </si>
  <si>
    <t>53555</t>
  </si>
  <si>
    <t>SLANT TOP ASSY,CWB-5</t>
  </si>
  <si>
    <t>04.47.692.00</t>
  </si>
  <si>
    <t>53556</t>
  </si>
  <si>
    <t>PAN,CWB-S2</t>
  </si>
  <si>
    <t>04.47.742.00</t>
  </si>
  <si>
    <t>53570</t>
  </si>
  <si>
    <t>BRKT,ANGLE,LH,CWB-4,5,6 SLOPED</t>
  </si>
  <si>
    <t>04.47.743.00</t>
  </si>
  <si>
    <t>53570B</t>
  </si>
  <si>
    <t>BRKT,ANGLE,RH,CWB-4,5,6 SLOPED</t>
  </si>
  <si>
    <t>04.47.782.00</t>
  </si>
  <si>
    <t>53571</t>
  </si>
  <si>
    <t>CONDENSATE PAN HEATER</t>
  </si>
  <si>
    <t>04.48.072.00</t>
  </si>
  <si>
    <t>53571B</t>
  </si>
  <si>
    <t>SLIDING DOOR TRACK,28.5" LG</t>
  </si>
  <si>
    <t>04.48.073.01</t>
  </si>
  <si>
    <t>53578</t>
  </si>
  <si>
    <t>SIGN HOLD ASSY,7.5,FSD,BLACK</t>
  </si>
  <si>
    <t>04.48.079.00</t>
  </si>
  <si>
    <t>53700</t>
  </si>
  <si>
    <t>CRUMB TRAY ASSY,FS2HAC</t>
  </si>
  <si>
    <t>04.48.083.00</t>
  </si>
  <si>
    <t>53700B</t>
  </si>
  <si>
    <t>SHELF RACK,ADJUSTABLE,LFST-48</t>
  </si>
  <si>
    <t>04.48.093.00</t>
  </si>
  <si>
    <t>53701</t>
  </si>
  <si>
    <t>REMOVABLE SHELF,LFST-48</t>
  </si>
  <si>
    <t>04.48.103.00</t>
  </si>
  <si>
    <t>53702</t>
  </si>
  <si>
    <t>WIRE RACK,FSHC-7,CHURCHS</t>
  </si>
  <si>
    <t>04.48.148.00</t>
  </si>
  <si>
    <t>53703</t>
  </si>
  <si>
    <t>REMOVABLE SHELF,LFST-41</t>
  </si>
  <si>
    <t>04.48.257.06</t>
  </si>
  <si>
    <t>53704</t>
  </si>
  <si>
    <t>OUT FRAME,FSHC-7,AL DOOR,SILVR</t>
  </si>
  <si>
    <t>04.48.364.00</t>
  </si>
  <si>
    <t>53706</t>
  </si>
  <si>
    <t>PAN SLIDE,FSHC-7W</t>
  </si>
  <si>
    <t>04.48.458.00</t>
  </si>
  <si>
    <t>53706B</t>
  </si>
  <si>
    <t>RACK,PRETZEL,FSDT</t>
  </si>
  <si>
    <t>04.48.486.00</t>
  </si>
  <si>
    <t>53800</t>
  </si>
  <si>
    <t>AIR CHAMB ASSY,FSD,MECHANICAL</t>
  </si>
  <si>
    <t>04.48.488.00</t>
  </si>
  <si>
    <t>53801</t>
  </si>
  <si>
    <t>WATER TANK ASSY,FSD,MECHANICAL</t>
  </si>
  <si>
    <t>04.48.526.00</t>
  </si>
  <si>
    <t>53802</t>
  </si>
  <si>
    <t>WIRE RACK,FSHC,SS</t>
  </si>
  <si>
    <t>04.48.527.00</t>
  </si>
  <si>
    <t>53803</t>
  </si>
  <si>
    <t>WIRE RACK,FSHC-6W1,SS</t>
  </si>
  <si>
    <t>04.48.597.00</t>
  </si>
  <si>
    <t>53850</t>
  </si>
  <si>
    <t>AIR CHAMBER ASSY,FSD</t>
  </si>
  <si>
    <t>04.48.598.00</t>
  </si>
  <si>
    <t>54100</t>
  </si>
  <si>
    <t>WATER TANK ASSY,FSD</t>
  </si>
  <si>
    <t>04.48.756.01</t>
  </si>
  <si>
    <t>54101</t>
  </si>
  <si>
    <t>CONTROL PANEL WFST,DRY,BLACK</t>
  </si>
  <si>
    <t>04.48.924.12</t>
  </si>
  <si>
    <t>54105</t>
  </si>
  <si>
    <t>SIGN HOLDER,9.75",PFST,GL GRAY</t>
  </si>
  <si>
    <t>04.48.931.12</t>
  </si>
  <si>
    <t>54201</t>
  </si>
  <si>
    <t>CONTROL COVER,PFST</t>
  </si>
  <si>
    <t>04.48.940.00</t>
  </si>
  <si>
    <t>54202</t>
  </si>
  <si>
    <t>AIR DUCT CHANNEL ASSEMBLY</t>
  </si>
  <si>
    <t>04.48.944.00</t>
  </si>
  <si>
    <t>54203</t>
  </si>
  <si>
    <t>DOOR MOUNT, LATCH HANDLE,UNFIN</t>
  </si>
  <si>
    <t>04.48.948.00</t>
  </si>
  <si>
    <t>54250</t>
  </si>
  <si>
    <t>SLANT RACK (4) TRAY CASEY'S</t>
  </si>
  <si>
    <t>04.48.962.30</t>
  </si>
  <si>
    <t>54300</t>
  </si>
  <si>
    <t>MULTIPURPOSE RACK,PFST,HT WHT</t>
  </si>
  <si>
    <t>04.48.963.30</t>
  </si>
  <si>
    <t>54300B</t>
  </si>
  <si>
    <t>REMOVABLE RACK,PFST,HT WHITE</t>
  </si>
  <si>
    <t>04.48.964.01</t>
  </si>
  <si>
    <t>54301</t>
  </si>
  <si>
    <t>PANEL,FRT/BK,SKIRT,FDWD,BLACK</t>
  </si>
  <si>
    <t>04.48.981.01</t>
  </si>
  <si>
    <t>54303</t>
  </si>
  <si>
    <t>SIDE CVR,LH,FS3HAC-4226,BLACK</t>
  </si>
  <si>
    <t>04.48.982.01</t>
  </si>
  <si>
    <t>54305</t>
  </si>
  <si>
    <t>SIDE CVR,RH,FS3HAC-4226,BLACK</t>
  </si>
  <si>
    <t>04.48.984.01</t>
  </si>
  <si>
    <t>54306</t>
  </si>
  <si>
    <t>CRUMB TRAY,FS3HAC-4226,BLACK</t>
  </si>
  <si>
    <t>04.48.988.00</t>
  </si>
  <si>
    <t>54311</t>
  </si>
  <si>
    <t>AIR DIFF,FAN OUTLT,FS3HAC-4226</t>
  </si>
  <si>
    <t>04.49.079.01</t>
  </si>
  <si>
    <t>54313</t>
  </si>
  <si>
    <t>BRKT,BOT SGNHLD,GRCMW-1D,BLACK</t>
  </si>
  <si>
    <t>04.49.320.00</t>
  </si>
  <si>
    <t>54315</t>
  </si>
  <si>
    <t>LIGHT COVER,GRCMW-WAWA</t>
  </si>
  <si>
    <t>04.49.337.01</t>
  </si>
  <si>
    <t>54330</t>
  </si>
  <si>
    <t>SIGN HLDR,7",GRCMW-WAWA,BLACK</t>
  </si>
  <si>
    <t>04.49.347.01</t>
  </si>
  <si>
    <t>54330B</t>
  </si>
  <si>
    <t>SHLF SIGN HLDR,MID,CMW-WAWA,BK</t>
  </si>
  <si>
    <t>04.49.348.01</t>
  </si>
  <si>
    <t>54331</t>
  </si>
  <si>
    <t>SHLF SIGN,BOTT,GRCMW-WAWA,BLK</t>
  </si>
  <si>
    <t>04.49.487.00</t>
  </si>
  <si>
    <t>54333</t>
  </si>
  <si>
    <t>MAGNET STRIKER PLT,SIDE,GRCMW</t>
  </si>
  <si>
    <t>04.51.059.00</t>
  </si>
  <si>
    <t>54338</t>
  </si>
  <si>
    <t>DIVIDER GRSDS-36,SS,A&amp;W</t>
  </si>
  <si>
    <t>04.51.084.01</t>
  </si>
  <si>
    <t>54338B</t>
  </si>
  <si>
    <t>HOUSING,SLT,TOP,SDS-36,BLACK</t>
  </si>
  <si>
    <t>04.51.084.12</t>
  </si>
  <si>
    <t>54338C</t>
  </si>
  <si>
    <t>HOUSING,SLT,TOP,SDS-36,GL GRAY</t>
  </si>
  <si>
    <t>04.51.099.12</t>
  </si>
  <si>
    <t>54338CN</t>
  </si>
  <si>
    <t>POST CVR,GRSDS-XXD,FRONT,GLGRY</t>
  </si>
  <si>
    <t>04.51.100.12</t>
  </si>
  <si>
    <t>54341</t>
  </si>
  <si>
    <t>POST CVR,GRSDS-XXD,REAR,GLGRAY</t>
  </si>
  <si>
    <t>04.51.111.01</t>
  </si>
  <si>
    <t>54350</t>
  </si>
  <si>
    <t>ACC CVR,.938 HOLE,SDS,BLACK</t>
  </si>
  <si>
    <t>04.51.160.12</t>
  </si>
  <si>
    <t>54351</t>
  </si>
  <si>
    <t>SIGN HOLD,GRSDS-41,4",GL GRAY</t>
  </si>
  <si>
    <t>04.51.162.12</t>
  </si>
  <si>
    <t>54353</t>
  </si>
  <si>
    <t>SIGN HOLD,GRSDS-60,4</t>
  </si>
  <si>
    <t>04.51.183.01</t>
  </si>
  <si>
    <t>54358</t>
  </si>
  <si>
    <t>BASE END CVR,LH,BC-XX,BLACK</t>
  </si>
  <si>
    <t>04.51.183.02</t>
  </si>
  <si>
    <t>54361</t>
  </si>
  <si>
    <t>BASE END CVR,LH,BC-52,GRAY</t>
  </si>
  <si>
    <t>04.51.205.00</t>
  </si>
  <si>
    <t>54370</t>
  </si>
  <si>
    <t>HINGE,RH,FLIP DOOR,GRSD-52-60</t>
  </si>
  <si>
    <t>04.51.206.00</t>
  </si>
  <si>
    <t>54370B</t>
  </si>
  <si>
    <t>HINGE,LH,FLIP DOOR,GRSD-52-60</t>
  </si>
  <si>
    <t>04.51.219.12</t>
  </si>
  <si>
    <t>54371</t>
  </si>
  <si>
    <t>HSG,SLT,TOP,52,FRT DOOR,GLGRAY</t>
  </si>
  <si>
    <t>04.51.606.00</t>
  </si>
  <si>
    <t>54371B</t>
  </si>
  <si>
    <t>DIVIDER ROD,SDBH-XX20,19.5"</t>
  </si>
  <si>
    <t>04.51.624.03</t>
  </si>
  <si>
    <t>54373</t>
  </si>
  <si>
    <t>HOUS,TOP,TOG,TST,SDH-41,RED</t>
  </si>
  <si>
    <t>04.51.637.12</t>
  </si>
  <si>
    <t>54375</t>
  </si>
  <si>
    <t>POST COVER,GRSDH-XXD,GGRAY</t>
  </si>
  <si>
    <t>04.51.640.00</t>
  </si>
  <si>
    <t>54376</t>
  </si>
  <si>
    <t>RH FLIP DOOR HINGE,GRSDH-XX</t>
  </si>
  <si>
    <t>04.51.641.00</t>
  </si>
  <si>
    <t>54377</t>
  </si>
  <si>
    <t>LH FLIP DOOR HINGE,GRSDH-XX</t>
  </si>
  <si>
    <t>04.51.945.01</t>
  </si>
  <si>
    <t>54378</t>
  </si>
  <si>
    <t>TRIVET,GRSDS-52,BLACK</t>
  </si>
  <si>
    <t>04.51.996.01</t>
  </si>
  <si>
    <t>54379</t>
  </si>
  <si>
    <t>GRSDHD-51,UPPER SGN HLDR,BLK</t>
  </si>
  <si>
    <t>04.51.997.01</t>
  </si>
  <si>
    <t>54400</t>
  </si>
  <si>
    <t>GRSDSD-24,UPPER SGN HLDR,BLK</t>
  </si>
  <si>
    <t>04.51.998.01</t>
  </si>
  <si>
    <t>54400B</t>
  </si>
  <si>
    <t>GRSDSD-36,UPPER SGN HLDR,BLK</t>
  </si>
  <si>
    <t>04.51.998.12</t>
  </si>
  <si>
    <t>54401</t>
  </si>
  <si>
    <t>GRSDSD-36,UPPER SGN HLDR,GLGRA</t>
  </si>
  <si>
    <t>04.51.999.01</t>
  </si>
  <si>
    <t>54420</t>
  </si>
  <si>
    <t>GRSDSD-52,UPPER SGN HLDR,BLK</t>
  </si>
  <si>
    <t>04.52.016.00</t>
  </si>
  <si>
    <t>54420B</t>
  </si>
  <si>
    <t>CAP,POST,DCS</t>
  </si>
  <si>
    <t>04.52.043.31</t>
  </si>
  <si>
    <t>54421</t>
  </si>
  <si>
    <t>POST,DCS W/GLASS,BRIGHT NICKEL</t>
  </si>
  <si>
    <t>04.52.130.31</t>
  </si>
  <si>
    <t>54425</t>
  </si>
  <si>
    <t>DCS POST ASSEMBLY,BRT NICKEL</t>
  </si>
  <si>
    <t>04.52.187.00</t>
  </si>
  <si>
    <t>54427</t>
  </si>
  <si>
    <t>CUT BOARD,DCSB-R20,NIGHTSKY</t>
  </si>
  <si>
    <t>04.52.188.00</t>
  </si>
  <si>
    <t>54431</t>
  </si>
  <si>
    <t>CUT BOARD,DCSB-R20,GRAY GRAN</t>
  </si>
  <si>
    <t>04.52.189.00</t>
  </si>
  <si>
    <t>54435</t>
  </si>
  <si>
    <t>CUT BOARD,DCSB-R20,BERM SAND</t>
  </si>
  <si>
    <t>04.52.190.00</t>
  </si>
  <si>
    <t>54435B</t>
  </si>
  <si>
    <t>CUT BOARD,DCSB-R20,SAWGRASS</t>
  </si>
  <si>
    <t>04.52.191.00</t>
  </si>
  <si>
    <t>54501</t>
  </si>
  <si>
    <t>CUT BOARD,DCSB-2420,NIGHTSKY</t>
  </si>
  <si>
    <t>04.52.192.00</t>
  </si>
  <si>
    <t>54551</t>
  </si>
  <si>
    <t>CUT BOARD,DCSB-2420,SAWGRASS</t>
  </si>
  <si>
    <t>04.52.193.00</t>
  </si>
  <si>
    <t>54552</t>
  </si>
  <si>
    <t>CUT BOARD,DCSB-2420,GRAY GRAN</t>
  </si>
  <si>
    <t>04.52.194.00</t>
  </si>
  <si>
    <t>54571</t>
  </si>
  <si>
    <t>CUT BOARD,DCSB-2420,BERM SAND</t>
  </si>
  <si>
    <t>04.52.195.00</t>
  </si>
  <si>
    <t>54601</t>
  </si>
  <si>
    <t>CUT BOARD,DCSB-3624,NIGHTSKY</t>
  </si>
  <si>
    <t>04.52.196.00</t>
  </si>
  <si>
    <t>54601NEM</t>
  </si>
  <si>
    <t>CUT BOARD,DCSB-3624,SAWGRASS</t>
  </si>
  <si>
    <t>04.52.197.00</t>
  </si>
  <si>
    <t>54605</t>
  </si>
  <si>
    <t>CUT BOARD,DCSB-3624,GRAY GRAN</t>
  </si>
  <si>
    <t>04.52.198.00</t>
  </si>
  <si>
    <t>54630</t>
  </si>
  <si>
    <t>CUT BOARD,DCSB-3624,BERM SAND</t>
  </si>
  <si>
    <t>04.54.051.00</t>
  </si>
  <si>
    <t>54650</t>
  </si>
  <si>
    <t>PAN REST,HDW-XR2</t>
  </si>
  <si>
    <t>04.54.053.00</t>
  </si>
  <si>
    <t>54651</t>
  </si>
  <si>
    <t>BRACKET,PROBE,HDW</t>
  </si>
  <si>
    <t>04.54.068.00</t>
  </si>
  <si>
    <t>54655</t>
  </si>
  <si>
    <t>DIVIDER,TOP SURF,HDW-XR2</t>
  </si>
  <si>
    <t>04.54.078.00</t>
  </si>
  <si>
    <t>54660</t>
  </si>
  <si>
    <t>FR790,CS,SC,350MM,LH,CAB PROF</t>
  </si>
  <si>
    <t>04.54.079.00</t>
  </si>
  <si>
    <t>54661</t>
  </si>
  <si>
    <t>FR790,CS,SC,350MM,LH,MID PROF</t>
  </si>
  <si>
    <t>04.54.081.00</t>
  </si>
  <si>
    <t>54665</t>
  </si>
  <si>
    <t>FR790,CS,SC,350MM,RH,CAB PROF</t>
  </si>
  <si>
    <t>04.54.082.00</t>
  </si>
  <si>
    <t>54701</t>
  </si>
  <si>
    <t>FR790,CS,SC,350MM,RH,MID</t>
  </si>
  <si>
    <t>04.54.168.00</t>
  </si>
  <si>
    <t>54705</t>
  </si>
  <si>
    <t>ADAPTER,TOWN RICE POT,HRDW</t>
  </si>
  <si>
    <t>04.54.172.00</t>
  </si>
  <si>
    <t>54705B</t>
  </si>
  <si>
    <t>DRAWER SLIDE,DRAWER,450MM,LH</t>
  </si>
  <si>
    <t>04.54.174.00</t>
  </si>
  <si>
    <t>54706</t>
  </si>
  <si>
    <t>DRAWER SLIDE,DRAWER,450MM,RH</t>
  </si>
  <si>
    <t>04.54.175.00</t>
  </si>
  <si>
    <t>54710</t>
  </si>
  <si>
    <t>DRAWER SLIDE,MID,450MM,RH</t>
  </si>
  <si>
    <t>04.54.176.00</t>
  </si>
  <si>
    <t>54710B</t>
  </si>
  <si>
    <t>DRAWER SLIDE,MID,450MM,LH</t>
  </si>
  <si>
    <t>04.54.184.00</t>
  </si>
  <si>
    <t>54711</t>
  </si>
  <si>
    <t>HINGED PAN COVER,HRDW</t>
  </si>
  <si>
    <t>04.54.205.00</t>
  </si>
  <si>
    <t>54712</t>
  </si>
  <si>
    <t>4" DIA,5" CLEAR RIGID CAST W/B</t>
  </si>
  <si>
    <t>04.54.278.00</t>
  </si>
  <si>
    <t>54714</t>
  </si>
  <si>
    <t>HDWTC MIDDLE SHELF TOP</t>
  </si>
  <si>
    <t>04.54.297.00</t>
  </si>
  <si>
    <t>54715</t>
  </si>
  <si>
    <t>HDWTC BACK CVR PANEL,2 DRAWER</t>
  </si>
  <si>
    <t>04.54.301.00</t>
  </si>
  <si>
    <t>54716</t>
  </si>
  <si>
    <t>HDWTC PAN REST</t>
  </si>
  <si>
    <t>04.54.334.00</t>
  </si>
  <si>
    <t>54717</t>
  </si>
  <si>
    <t>SIDE COVER PNL,2 DRWR,NANDOS</t>
  </si>
  <si>
    <t>04.54.419.00</t>
  </si>
  <si>
    <t>54720</t>
  </si>
  <si>
    <t>TOP COVER PNL HDWTC ANTI-TIP</t>
  </si>
  <si>
    <t>04.54.463.00</t>
  </si>
  <si>
    <t>54721</t>
  </si>
  <si>
    <t>UI GUARD,NANDOS</t>
  </si>
  <si>
    <t>04.55.028.00</t>
  </si>
  <si>
    <t>54722</t>
  </si>
  <si>
    <t>TIMING BELT,165 TEETH,33" LG</t>
  </si>
  <si>
    <t>04.55.674.01</t>
  </si>
  <si>
    <t>54723</t>
  </si>
  <si>
    <t>USB PORT COVER,MILO-14,BLACK</t>
  </si>
  <si>
    <t>04.56.067.00</t>
  </si>
  <si>
    <t>54731</t>
  </si>
  <si>
    <t>BELT SUPPORT,RETURN,ITQ</t>
  </si>
  <si>
    <t>04.56.098.00</t>
  </si>
  <si>
    <t>55100</t>
  </si>
  <si>
    <t>TOP COVER,ITQ-2C</t>
  </si>
  <si>
    <t>04.56.103.00</t>
  </si>
  <si>
    <t>55100C</t>
  </si>
  <si>
    <t>COVER,TOP INSULATION,ITQ-2C</t>
  </si>
  <si>
    <t>04.56.105.00</t>
  </si>
  <si>
    <t>55101</t>
  </si>
  <si>
    <t>TOP REFLECTOR,ITQ-2C</t>
  </si>
  <si>
    <t>04.56.115.00</t>
  </si>
  <si>
    <t>55102</t>
  </si>
  <si>
    <t>SHAFT ASSY,FRONT,ITQ-2C</t>
  </si>
  <si>
    <t>04.56.116.00</t>
  </si>
  <si>
    <t>55102C</t>
  </si>
  <si>
    <t>SHAFT ASSY,LH DRIVE,ITQ-2C</t>
  </si>
  <si>
    <t>04.56.117.00</t>
  </si>
  <si>
    <t>55103</t>
  </si>
  <si>
    <t>SHAFT ASSY,RH DRIVE,ITQ-2C</t>
  </si>
  <si>
    <t>04.56.118.00</t>
  </si>
  <si>
    <t>55104</t>
  </si>
  <si>
    <t>REFL ASSY,LOWER ELEM,ITQ-2C</t>
  </si>
  <si>
    <t>04.56.127.00</t>
  </si>
  <si>
    <t>55105</t>
  </si>
  <si>
    <t>SIDE COVER,RH,W/NOMEX,ITQ-2C</t>
  </si>
  <si>
    <t>04.56.173.00</t>
  </si>
  <si>
    <t>55106</t>
  </si>
  <si>
    <t>BEARING BACK PLATE ASSY,ITQ-2C</t>
  </si>
  <si>
    <t>04.56.191.00</t>
  </si>
  <si>
    <t>55107</t>
  </si>
  <si>
    <t>TQ3,BOTTOM REFLECTOR</t>
  </si>
  <si>
    <t>04.56.192.00</t>
  </si>
  <si>
    <t>55108</t>
  </si>
  <si>
    <t>TQ3,TOP ELEMENT REFLECTOR</t>
  </si>
  <si>
    <t>04.56.193.00</t>
  </si>
  <si>
    <t>55110</t>
  </si>
  <si>
    <t>TQ3,TOP ELEMENT BRACKET</t>
  </si>
  <si>
    <t>04.56.199.00</t>
  </si>
  <si>
    <t>55110C</t>
  </si>
  <si>
    <t>HEAT SHIELD,RH OPENING,ITQ-2C</t>
  </si>
  <si>
    <t>04.56.218.00</t>
  </si>
  <si>
    <t>55130</t>
  </si>
  <si>
    <t>SERVICE,SENSOR REFL,ITQ-2C</t>
  </si>
  <si>
    <t>04.56.228.00</t>
  </si>
  <si>
    <t>55131</t>
  </si>
  <si>
    <t>TOAST CHUTE SLIDE,ITQ-2C</t>
  </si>
  <si>
    <t>04.56.229.00</t>
  </si>
  <si>
    <t>55132</t>
  </si>
  <si>
    <t>TOAST CHUTE ASSY,ITQ-2C</t>
  </si>
  <si>
    <t>04.56.234.00</t>
  </si>
  <si>
    <t>55133</t>
  </si>
  <si>
    <t>TQ3,ELEMENT TAKE UP BRACKET</t>
  </si>
  <si>
    <t>04.56.293.00</t>
  </si>
  <si>
    <t>55134</t>
  </si>
  <si>
    <t>SHAFT ASSY,DRIVE,ITQ-875-1C</t>
  </si>
  <si>
    <t>04.56.302.00</t>
  </si>
  <si>
    <t>55135</t>
  </si>
  <si>
    <t>SHAFT ASSY,FRONT,ITQ-875-1C</t>
  </si>
  <si>
    <t>04.56.420.00</t>
  </si>
  <si>
    <t>55200</t>
  </si>
  <si>
    <t>SIDE CVR,RH,CONV,ITQ-2C,5.9BLT</t>
  </si>
  <si>
    <t>04.56.510.01</t>
  </si>
  <si>
    <t>55202</t>
  </si>
  <si>
    <t>FILTER GUARD,ITQ,BLACK</t>
  </si>
  <si>
    <t>04.56.535.01</t>
  </si>
  <si>
    <t>55203</t>
  </si>
  <si>
    <t>TQ3,CONTROL COVER,BLACK</t>
  </si>
  <si>
    <t>04.56.537.00</t>
  </si>
  <si>
    <t>55206</t>
  </si>
  <si>
    <t>TQ3,TOAST SLIDE</t>
  </si>
  <si>
    <t>04.56.538.00</t>
  </si>
  <si>
    <t>55207</t>
  </si>
  <si>
    <t>TQ3,BOTTOM ELEMENT BRACKET</t>
  </si>
  <si>
    <t>04.56.552.00</t>
  </si>
  <si>
    <t>55208</t>
  </si>
  <si>
    <t>BRKT,BOT ELEM,STANDOFF,ITQ-2C</t>
  </si>
  <si>
    <t>04.56.553.00</t>
  </si>
  <si>
    <t>55209</t>
  </si>
  <si>
    <t>BRKT,TOP ELEM,STANDOFF,ITQ-2C</t>
  </si>
  <si>
    <t>04.56.573.01</t>
  </si>
  <si>
    <t>55300</t>
  </si>
  <si>
    <t>TQ3,CASING WELDMENT,BLACK</t>
  </si>
  <si>
    <t>04.56.573.03</t>
  </si>
  <si>
    <t>55300WBC</t>
  </si>
  <si>
    <t>TQ3,CASING WELDMENT,RED</t>
  </si>
  <si>
    <t>04.56.574.01</t>
  </si>
  <si>
    <t>55301</t>
  </si>
  <si>
    <t>TQ3,FRONT TRIM,2" OPENING,BLK</t>
  </si>
  <si>
    <t>04.56.574.03</t>
  </si>
  <si>
    <t>55303</t>
  </si>
  <si>
    <t>TQ3,FRONT TRIM,2" OPENING,RED</t>
  </si>
  <si>
    <t>04.56.589.01</t>
  </si>
  <si>
    <t>55304</t>
  </si>
  <si>
    <t>TQ3,FRONT TRIM,3" OPENING,BLK</t>
  </si>
  <si>
    <t>04.56.616.00</t>
  </si>
  <si>
    <t>55305</t>
  </si>
  <si>
    <t>TQ3,FRONT TRIM,2" OPEN,SS</t>
  </si>
  <si>
    <t>04.56.647.00</t>
  </si>
  <si>
    <t>55308</t>
  </si>
  <si>
    <t>FRNT HEAT SHLD,TQ3,2</t>
  </si>
  <si>
    <t>04.56.648.00</t>
  </si>
  <si>
    <t>55310</t>
  </si>
  <si>
    <t>FEED RAMP,TQ3</t>
  </si>
  <si>
    <t>04.56.664.00</t>
  </si>
  <si>
    <t>55311</t>
  </si>
  <si>
    <t>FRNT HEAT SHLD,TQ3,3</t>
  </si>
  <si>
    <t>04.56.681.00</t>
  </si>
  <si>
    <t>55314</t>
  </si>
  <si>
    <t>TQ3,ADJ TOAST LANDING,BLK ANOD</t>
  </si>
  <si>
    <t>04.56.682.00</t>
  </si>
  <si>
    <t>55315</t>
  </si>
  <si>
    <t>TQ3,ADJ TOAST STOP,RH HINGE</t>
  </si>
  <si>
    <t>04.56.683.00</t>
  </si>
  <si>
    <t>55316</t>
  </si>
  <si>
    <t>TQ3,ADJ TOAST STOP,LH HINGE</t>
  </si>
  <si>
    <t>04.56.685.00</t>
  </si>
  <si>
    <t>55500B</t>
  </si>
  <si>
    <t>TQ3,FILTER BRACKET</t>
  </si>
  <si>
    <t>04.56.687.00</t>
  </si>
  <si>
    <t>55501</t>
  </si>
  <si>
    <t>TQ3,REMOVABLE CATCH TRAY</t>
  </si>
  <si>
    <t>04.56.695.00</t>
  </si>
  <si>
    <t>55502</t>
  </si>
  <si>
    <t>TQ3,MOTOR CLAMP</t>
  </si>
  <si>
    <t>04.56.704.00</t>
  </si>
  <si>
    <t>55503</t>
  </si>
  <si>
    <t>TOAST CHUTE SLIDE,TQ3</t>
  </si>
  <si>
    <t>04.56.705.00</t>
  </si>
  <si>
    <t>55504</t>
  </si>
  <si>
    <t>USB PORT COVER,TQ3</t>
  </si>
  <si>
    <t>04.56.709.00</t>
  </si>
  <si>
    <t>55505</t>
  </si>
  <si>
    <t>TQ3,FRONT TRIM,3" OPEN,SS</t>
  </si>
  <si>
    <t>04.56.723.00</t>
  </si>
  <si>
    <t>55506</t>
  </si>
  <si>
    <t>FEED RAMP,EXTENDED,TQ3</t>
  </si>
  <si>
    <t>04.56.726.00</t>
  </si>
  <si>
    <t>55509</t>
  </si>
  <si>
    <t>TOAST CHUTE SLIDE,TQ3-2000</t>
  </si>
  <si>
    <t>04.56.733.00</t>
  </si>
  <si>
    <t>55510</t>
  </si>
  <si>
    <t>FRT HT SHLD,TQ3-2K,3</t>
  </si>
  <si>
    <t>04.56.742.00</t>
  </si>
  <si>
    <t>55515B</t>
  </si>
  <si>
    <t>TOP ELEMENT REFL,TQ3-2K</t>
  </si>
  <si>
    <t>04.56.749.00</t>
  </si>
  <si>
    <t>55520</t>
  </si>
  <si>
    <t>TQ3-2K,CRUMB TRAY</t>
  </si>
  <si>
    <t>04.56.750.01</t>
  </si>
  <si>
    <t>55521</t>
  </si>
  <si>
    <t>TQ3-2K,FR TRIM,3" OPENING,BLK</t>
  </si>
  <si>
    <t>04.56.750.03</t>
  </si>
  <si>
    <t>55522</t>
  </si>
  <si>
    <t>TQ3-2K,FR TRIM,3" OPENING,RED</t>
  </si>
  <si>
    <t>04.56.752.00</t>
  </si>
  <si>
    <t>55527</t>
  </si>
  <si>
    <t>TQ3-2K,FRONT CONTROL HT SHIELD</t>
  </si>
  <si>
    <t>04.56.753.00</t>
  </si>
  <si>
    <t>55528</t>
  </si>
  <si>
    <t>TQ3-2K,ADJ TOAST LAND,BLK ANOD</t>
  </si>
  <si>
    <t>04.56.756.00</t>
  </si>
  <si>
    <t>55530</t>
  </si>
  <si>
    <t>TQ3-2000,HEAT BAFFLE</t>
  </si>
  <si>
    <t>04.56.763.00</t>
  </si>
  <si>
    <t>55533</t>
  </si>
  <si>
    <t>FEED RAMP,TQ3-2000</t>
  </si>
  <si>
    <t>04.56.767.00</t>
  </si>
  <si>
    <t>55534</t>
  </si>
  <si>
    <t>CATCH TRAY,TQ3-400</t>
  </si>
  <si>
    <t>04.56.794.00</t>
  </si>
  <si>
    <t>55536</t>
  </si>
  <si>
    <t>EXTENDED FEED RAMP,TQ3-2000</t>
  </si>
  <si>
    <t>04.56.848.00</t>
  </si>
  <si>
    <t>55537</t>
  </si>
  <si>
    <t>FEED RAMP,XL EXTENDED,14",TQ3</t>
  </si>
  <si>
    <t>04.56.854.00</t>
  </si>
  <si>
    <t>55538</t>
  </si>
  <si>
    <t>BEARING W/BRACKET .375 ID</t>
  </si>
  <si>
    <t>04.56.855.00</t>
  </si>
  <si>
    <t>55540</t>
  </si>
  <si>
    <t>04.56.859.00</t>
  </si>
  <si>
    <t>55541</t>
  </si>
  <si>
    <t>TQ3-2K,FR HEAT TRIM,3" OPEN,SS</t>
  </si>
  <si>
    <t>04.57.053.00</t>
  </si>
  <si>
    <t>55542</t>
  </si>
  <si>
    <t>TOP COVER,GR5A</t>
  </si>
  <si>
    <t>04.57.054.00</t>
  </si>
  <si>
    <t>55543</t>
  </si>
  <si>
    <t>END BOX,GR5AL</t>
  </si>
  <si>
    <t>04.57.057.00</t>
  </si>
  <si>
    <t>55550</t>
  </si>
  <si>
    <t>TOP COVER,W/LEG CUTOUT,GR5A</t>
  </si>
  <si>
    <t>04.57.093.00</t>
  </si>
  <si>
    <t>55550WBC</t>
  </si>
  <si>
    <t>COVER W/POWER HOLE,GR5A</t>
  </si>
  <si>
    <t>04.57.105.00</t>
  </si>
  <si>
    <t>55551</t>
  </si>
  <si>
    <t>LEG,NTL5,UNDER MNT,12",UNFIN</t>
  </si>
  <si>
    <t>04.57.110.00</t>
  </si>
  <si>
    <t>55551WBC</t>
  </si>
  <si>
    <t>BOTTOM LEG FLANGE,GR5A,CL ANOD</t>
  </si>
  <si>
    <t>04.57.135.10</t>
  </si>
  <si>
    <t>55552</t>
  </si>
  <si>
    <t>END HANGING BRKT,CL ANOD,RRED</t>
  </si>
  <si>
    <t>04.57.135.11</t>
  </si>
  <si>
    <t>55560</t>
  </si>
  <si>
    <t>END HANGING BRKT,CL ANOD,GGOLD</t>
  </si>
  <si>
    <t>04.57.135.13</t>
  </si>
  <si>
    <t>55560B</t>
  </si>
  <si>
    <t>END HANGING BRKT,CL ANOD,BBLUE</t>
  </si>
  <si>
    <t>04.58.005.00</t>
  </si>
  <si>
    <t>55561</t>
  </si>
  <si>
    <t>4 SHELF RACK,FSHC-6W</t>
  </si>
  <si>
    <t>04.58.018.00</t>
  </si>
  <si>
    <t>55562</t>
  </si>
  <si>
    <t>ATOMIZER PAN,IHDCH,HRDCT</t>
  </si>
  <si>
    <t>04.58.044.01</t>
  </si>
  <si>
    <t>55564</t>
  </si>
  <si>
    <t>PAN RISER,12",SS,BLACK</t>
  </si>
  <si>
    <t>04.58.228.00</t>
  </si>
  <si>
    <t>55565</t>
  </si>
  <si>
    <t>ARM PIN,IHDCH-45,SS,UNFIN</t>
  </si>
  <si>
    <t>04.58.267.01</t>
  </si>
  <si>
    <t>55565B</t>
  </si>
  <si>
    <t>SIGNHOLDER,FS3HAC-4226,BLACK</t>
  </si>
  <si>
    <t>04.58.267.02</t>
  </si>
  <si>
    <t>55567</t>
  </si>
  <si>
    <t>SIGNHOLDER,FS3HAC-4226,GRY</t>
  </si>
  <si>
    <t>04.58.301.01</t>
  </si>
  <si>
    <t>55569</t>
  </si>
  <si>
    <t>PIZZA ARM BK,RH,IHDCH-45,BLACK</t>
  </si>
  <si>
    <t>04.58.302.01</t>
  </si>
  <si>
    <t>55600</t>
  </si>
  <si>
    <t>PIZZA ARM BK,LH,IHDCH-45,BLACK</t>
  </si>
  <si>
    <t>04.58.311.00</t>
  </si>
  <si>
    <t>55600B</t>
  </si>
  <si>
    <t>PAN RACK,FS2HAC-15</t>
  </si>
  <si>
    <t>04.58.349.00</t>
  </si>
  <si>
    <t>55601</t>
  </si>
  <si>
    <t>FRONT VENT,IHDCH-45,BLK ANODIZ</t>
  </si>
  <si>
    <t>04.58.389.01</t>
  </si>
  <si>
    <t>55602</t>
  </si>
  <si>
    <t>SIDE CVR,LH,FS3HAC-3626,BLACK</t>
  </si>
  <si>
    <t>04.58.403.01</t>
  </si>
  <si>
    <t>55604</t>
  </si>
  <si>
    <t>SIGN HOLD ASSY,FS3HAC-3626,BLK</t>
  </si>
  <si>
    <t>04.58.405.01</t>
  </si>
  <si>
    <t>55609</t>
  </si>
  <si>
    <t>TOP CVR,FS3HAC-3626,BLACK</t>
  </si>
  <si>
    <t>04.58.411.01</t>
  </si>
  <si>
    <t>55609B</t>
  </si>
  <si>
    <t>CRUMB TRAY,FS3HAC-3626,BLACK</t>
  </si>
  <si>
    <t>04.58.450.01</t>
  </si>
  <si>
    <t>55610</t>
  </si>
  <si>
    <t>SHIM,.060,MAG,FS3HAC-3626,BLK</t>
  </si>
  <si>
    <t>04.58.451.01</t>
  </si>
  <si>
    <t>55611</t>
  </si>
  <si>
    <t>SHIM,.120,MAG,FS3HAC-3626,BLK</t>
  </si>
  <si>
    <t>04.58.475.00</t>
  </si>
  <si>
    <t>55612</t>
  </si>
  <si>
    <t>FAN BRACKET,GMHDH-3PT</t>
  </si>
  <si>
    <t>04.58.517.00</t>
  </si>
  <si>
    <t>55613</t>
  </si>
  <si>
    <t>1/4" SS TUBE,ATOMIZER,IHDCH-45</t>
  </si>
  <si>
    <t>04.58.562.01</t>
  </si>
  <si>
    <t>55615</t>
  </si>
  <si>
    <t>SIGN HOLDER,FS3HAC-3626,BLACK</t>
  </si>
  <si>
    <t>04.58.603.00</t>
  </si>
  <si>
    <t>55616</t>
  </si>
  <si>
    <t>BEARING COVER,OS,FS2HAC</t>
  </si>
  <si>
    <t>04.58.747.00</t>
  </si>
  <si>
    <t>55616B</t>
  </si>
  <si>
    <t>LED POST INSERT ASSY FSDT</t>
  </si>
  <si>
    <t>04.58.834.00</t>
  </si>
  <si>
    <t>55617</t>
  </si>
  <si>
    <t>MAGNETIC LATCH</t>
  </si>
  <si>
    <t>04.58.855.00</t>
  </si>
  <si>
    <t>55618</t>
  </si>
  <si>
    <t>5 TIER CIRCLE RACK,FSDT,CASEYS</t>
  </si>
  <si>
    <t>04.58.914.01</t>
  </si>
  <si>
    <t>55621</t>
  </si>
  <si>
    <t>BULLNOSE ASSY,FS3HAC-2426,BLK</t>
  </si>
  <si>
    <t>04.58.919.01</t>
  </si>
  <si>
    <t>55622</t>
  </si>
  <si>
    <t>SIGN HOLDER,FS3HAC-2426,BLK</t>
  </si>
  <si>
    <t>04.58.920.01</t>
  </si>
  <si>
    <t>55623</t>
  </si>
  <si>
    <t>SIGN HLDR ASSY,FS3HAC-2426,BLK</t>
  </si>
  <si>
    <t>04.58.920.02</t>
  </si>
  <si>
    <t>55624</t>
  </si>
  <si>
    <t>SIGN HLDR ASSY,FS3HAC-2426,GRY</t>
  </si>
  <si>
    <t>04.58.967.01</t>
  </si>
  <si>
    <t>55625</t>
  </si>
  <si>
    <t>TOP COVER,FS3HAC-3026,BLK</t>
  </si>
  <si>
    <t>04.58.969.01</t>
  </si>
  <si>
    <t>55625B</t>
  </si>
  <si>
    <t>SIGN HOLDER,FS3HAC-3026,BLK</t>
  </si>
  <si>
    <t>04.58.970.02</t>
  </si>
  <si>
    <t>55630</t>
  </si>
  <si>
    <t>SIGN HOLD ASSY,FS3HAC-3026,GRY</t>
  </si>
  <si>
    <t>04.58.992.01</t>
  </si>
  <si>
    <t>55632</t>
  </si>
  <si>
    <t>BACK CTRL,SLIDNG,FS3HAC-36,BLK</t>
  </si>
  <si>
    <t>04.59.002.00</t>
  </si>
  <si>
    <t>55632B</t>
  </si>
  <si>
    <t>ELECTRICAL BOX,ELEMENT,HWB</t>
  </si>
  <si>
    <t>04.59.004.00</t>
  </si>
  <si>
    <t>55638</t>
  </si>
  <si>
    <t>ELEMENT CLAMP, HWB</t>
  </si>
  <si>
    <t>04.59.013.00</t>
  </si>
  <si>
    <t>55639</t>
  </si>
  <si>
    <t>HWB-43 PAN DELFIELD W/O COUPLI</t>
  </si>
  <si>
    <t>04.59.018.00</t>
  </si>
  <si>
    <t>55640</t>
  </si>
  <si>
    <t>HWB-43 ASM INS W/DRAIN</t>
  </si>
  <si>
    <t>04.59.021.00</t>
  </si>
  <si>
    <t>55641</t>
  </si>
  <si>
    <t>BOTTOM W/DRAIN,HWB-43 INS</t>
  </si>
  <si>
    <t>04.59.033.00</t>
  </si>
  <si>
    <t>55642</t>
  </si>
  <si>
    <t>HWB-43 PAN ASM W/O CPLING,AUTO</t>
  </si>
  <si>
    <t>04.59.045.00</t>
  </si>
  <si>
    <t>55643</t>
  </si>
  <si>
    <t>BOTTOM W/DRAIN,HWB</t>
  </si>
  <si>
    <t>04.59.049.00</t>
  </si>
  <si>
    <t>55644</t>
  </si>
  <si>
    <t>FULL PAN,CLMPS,BRKT,DRN,RD CNR</t>
  </si>
  <si>
    <t>04.59.054.00</t>
  </si>
  <si>
    <t>55645</t>
  </si>
  <si>
    <t>FULL PAN,SUP,DRN,RD CORNER</t>
  </si>
  <si>
    <t>04.59.058.00</t>
  </si>
  <si>
    <t>55646</t>
  </si>
  <si>
    <t>FULL PAN,SPRT,DRN,AF,RD CORNER</t>
  </si>
  <si>
    <t>04.59.071.00</t>
  </si>
  <si>
    <t>55647</t>
  </si>
  <si>
    <t>FULL PAN,CLMPS,DRN,RD CORNER</t>
  </si>
  <si>
    <t>04.59.072.00</t>
  </si>
  <si>
    <t>55648</t>
  </si>
  <si>
    <t>FULL PAN,CLAMPS,RD CORNER</t>
  </si>
  <si>
    <t>04.59.269.00</t>
  </si>
  <si>
    <t>55650</t>
  </si>
  <si>
    <t>CLAMP FOR DRAIN,RCTHW2</t>
  </si>
  <si>
    <t>04.59.362.00</t>
  </si>
  <si>
    <t>55650BM</t>
  </si>
  <si>
    <t>BOTTOM PLATE,RHW2-1</t>
  </si>
  <si>
    <t>04.59.364.00</t>
  </si>
  <si>
    <t>55650W</t>
  </si>
  <si>
    <t>BOTTOM COVER,RHW2-2</t>
  </si>
  <si>
    <t>04.60.024.00</t>
  </si>
  <si>
    <t>55651</t>
  </si>
  <si>
    <t>RACK,CPHC-24</t>
  </si>
  <si>
    <t>04.60.025.00</t>
  </si>
  <si>
    <t>55653</t>
  </si>
  <si>
    <t>RACK,CPHC-35</t>
  </si>
  <si>
    <t>04.61.002.01</t>
  </si>
  <si>
    <t>55654</t>
  </si>
  <si>
    <t>GRSD-24 SIGN HOLDER,BLK</t>
  </si>
  <si>
    <t>04.61.003.01</t>
  </si>
  <si>
    <t>55655</t>
  </si>
  <si>
    <t>GRSD-36 SIGN HOLDER,BLK</t>
  </si>
  <si>
    <t>04.61.003.12</t>
  </si>
  <si>
    <t>55656</t>
  </si>
  <si>
    <t>GRSD-36 SIGN HOLDER,GLOSS GRAY</t>
  </si>
  <si>
    <t>04.61.004.01</t>
  </si>
  <si>
    <t>55657</t>
  </si>
  <si>
    <t>GRSD-52 SIGN HOLDER,BLK</t>
  </si>
  <si>
    <t>04.61.020.01</t>
  </si>
  <si>
    <t>55658</t>
  </si>
  <si>
    <t>TRIVET,GRSDS-24,BLACK</t>
  </si>
  <si>
    <t>04.61.073.00</t>
  </si>
  <si>
    <t>55659</t>
  </si>
  <si>
    <t>DIVIDER ROD,GRSB-I,19.217"</t>
  </si>
  <si>
    <t>04.62.276.01</t>
  </si>
  <si>
    <t>55662</t>
  </si>
  <si>
    <t>F2G,EDGE BRACKET,BLACK</t>
  </si>
  <si>
    <t>04.62.286.01</t>
  </si>
  <si>
    <t>55663</t>
  </si>
  <si>
    <t>F2GC,CTRL MOD BASE WDMNT,BLACK</t>
  </si>
  <si>
    <t>04.62.316.01</t>
  </si>
  <si>
    <t>55670</t>
  </si>
  <si>
    <t>F2GC,FLOOR MNT BASE,BLACK</t>
  </si>
  <si>
    <t>04.63.023.00</t>
  </si>
  <si>
    <t>55680</t>
  </si>
  <si>
    <t>ELEM BRKT ASSY,FIN,FS3HAC-4226</t>
  </si>
  <si>
    <t>04.63.031.01</t>
  </si>
  <si>
    <t>55691</t>
  </si>
  <si>
    <t>SIGN HOLDER,FS3HAC-3626,BLK</t>
  </si>
  <si>
    <t>04.63.032.01</t>
  </si>
  <si>
    <t>55700BM</t>
  </si>
  <si>
    <t>SIGN HOLDER,FS3HAC-4226,BLK</t>
  </si>
  <si>
    <t>04.63.109.00</t>
  </si>
  <si>
    <t>55700N</t>
  </si>
  <si>
    <t>ELEM BRK ASY,2 FIN,FS3HAC-3626</t>
  </si>
  <si>
    <t>04.63.114.00</t>
  </si>
  <si>
    <t>55701WBC</t>
  </si>
  <si>
    <t>SHELF ASSEMBLY,IHDCH-45,SS</t>
  </si>
  <si>
    <t>04.63.136.00</t>
  </si>
  <si>
    <t>55702</t>
  </si>
  <si>
    <t>FSDT 4 TIER CIR RACK 15" W/RET</t>
  </si>
  <si>
    <t>04.63.175.01</t>
  </si>
  <si>
    <t>55703</t>
  </si>
  <si>
    <t>CHNNL,MTG,DIS,FS3HAC-3626,BLK</t>
  </si>
  <si>
    <t>04.65.080.00</t>
  </si>
  <si>
    <t>55704</t>
  </si>
  <si>
    <t>GRS2G BACK PANEL, SS</t>
  </si>
  <si>
    <t>04.65.081.00</t>
  </si>
  <si>
    <t>55706</t>
  </si>
  <si>
    <t>GRS2G SIDE PANEL,SS</t>
  </si>
  <si>
    <t>04.65.085.02</t>
  </si>
  <si>
    <t>55707</t>
  </si>
  <si>
    <t>GRS2G BACK PANEL, GRAY</t>
  </si>
  <si>
    <t>04.67.025.00</t>
  </si>
  <si>
    <t>55711</t>
  </si>
  <si>
    <t>CASTER,4" SWIVEL</t>
  </si>
  <si>
    <t>04.67.026.00</t>
  </si>
  <si>
    <t>55715</t>
  </si>
  <si>
    <t>CASTER,4" SWIVEL W/LOCK</t>
  </si>
  <si>
    <t>04.67.043.00</t>
  </si>
  <si>
    <t>55716</t>
  </si>
  <si>
    <t>REMOVABLE RACK, Z13</t>
  </si>
  <si>
    <t>04.67.044.01</t>
  </si>
  <si>
    <t>55720N</t>
  </si>
  <si>
    <t>TOP COVER,Z13,BLACK</t>
  </si>
  <si>
    <t>04.67.054.01</t>
  </si>
  <si>
    <t>55722</t>
  </si>
  <si>
    <t>BACK COVER,Z13,BLACK</t>
  </si>
  <si>
    <t>04.67.055.01</t>
  </si>
  <si>
    <t>55730</t>
  </si>
  <si>
    <t>SIDE COVER,Z13,BLACK</t>
  </si>
  <si>
    <t>04.67.059.00</t>
  </si>
  <si>
    <t>55751</t>
  </si>
  <si>
    <t>LAMP REFLECTOR,Z13</t>
  </si>
  <si>
    <t>04.67.064.01</t>
  </si>
  <si>
    <t>55752</t>
  </si>
  <si>
    <t>BACK COVER,B3,BLACK</t>
  </si>
  <si>
    <t>04.67.065.01</t>
  </si>
  <si>
    <t>55753</t>
  </si>
  <si>
    <t>SIDE COVER,B3,BLACK</t>
  </si>
  <si>
    <t>04.67.077.00</t>
  </si>
  <si>
    <t>55755</t>
  </si>
  <si>
    <t>LAMP REFLECTOR,B3</t>
  </si>
  <si>
    <t>04.70.023.00</t>
  </si>
  <si>
    <t>55760</t>
  </si>
  <si>
    <t>COPED BULLETS W/ SET SC</t>
  </si>
  <si>
    <t>04.70.196.00</t>
  </si>
  <si>
    <t>55761</t>
  </si>
  <si>
    <t>SPLIT TEE MOUNT ASSEMBLY</t>
  </si>
  <si>
    <t>05.01.042.00</t>
  </si>
  <si>
    <t>55762</t>
  </si>
  <si>
    <t>TAPE BOND,VHB 1" ACRYLIC FOAM</t>
  </si>
  <si>
    <t>05.01.056.00</t>
  </si>
  <si>
    <t>55765</t>
  </si>
  <si>
    <t>HEATSNK COMPOUND,AS-6008</t>
  </si>
  <si>
    <t>05.01.069.00</t>
  </si>
  <si>
    <t>55800</t>
  </si>
  <si>
    <t>HEATSNK COMP,AS-6008,15G PACK</t>
  </si>
  <si>
    <t>05.01.071.00</t>
  </si>
  <si>
    <t>55801</t>
  </si>
  <si>
    <t>THERMAL MASTIC,10.1 OZ TUBE</t>
  </si>
  <si>
    <t>05.01.083.00</t>
  </si>
  <si>
    <t>55802</t>
  </si>
  <si>
    <t>SILICONE,ALUM,NSF,10 OZ W/NOZ</t>
  </si>
  <si>
    <t>05.01.087.00</t>
  </si>
  <si>
    <t>55803</t>
  </si>
  <si>
    <t>NOMEX 410,ITQ,6" X 11"</t>
  </si>
  <si>
    <t>05.01.089.00</t>
  </si>
  <si>
    <t>55805</t>
  </si>
  <si>
    <t>THERMAL PAD,SSR,CRYDOM</t>
  </si>
  <si>
    <t>05.01.095.00</t>
  </si>
  <si>
    <t>55808</t>
  </si>
  <si>
    <t>ADHESIVE SPREADER,3" W V-NOTCH</t>
  </si>
  <si>
    <t>05.02.003.00</t>
  </si>
  <si>
    <t>55810</t>
  </si>
  <si>
    <t>BEARING TK INNER CLUTCH RACE</t>
  </si>
  <si>
    <t>05.02.004.00</t>
  </si>
  <si>
    <t>55822</t>
  </si>
  <si>
    <t>BEARING ONE WAY ROLLER CLUTCH</t>
  </si>
  <si>
    <t>05.02.011.00</t>
  </si>
  <si>
    <t>55823</t>
  </si>
  <si>
    <t>BEARING HUB ASSEMBLY</t>
  </si>
  <si>
    <t>05.02.029.00</t>
  </si>
  <si>
    <t>55825</t>
  </si>
  <si>
    <t>DOOR SHEAVE,BALL BRNG,FLAT</t>
  </si>
  <si>
    <t>05.02.030.00</t>
  </si>
  <si>
    <t>55826</t>
  </si>
  <si>
    <t>DOOR SHEAVE,BALL BRNG,OFFSET</t>
  </si>
  <si>
    <t>05.03.003.00</t>
  </si>
  <si>
    <t>55827</t>
  </si>
  <si>
    <t>CHAIN 40 PITCH W/LINK</t>
  </si>
  <si>
    <t>05.03.004.00</t>
  </si>
  <si>
    <t>55828</t>
  </si>
  <si>
    <t>CHAIN SPRING CLIP CONN LINK</t>
  </si>
  <si>
    <t>05.03.006.00</t>
  </si>
  <si>
    <t>55829</t>
  </si>
  <si>
    <t>CHAIN 34 PITCH W/LINK</t>
  </si>
  <si>
    <t>05.03.009A.00</t>
  </si>
  <si>
    <t>55830</t>
  </si>
  <si>
    <t>CHAIN CONNECTOR LINK</t>
  </si>
  <si>
    <t>05.03.020.00</t>
  </si>
  <si>
    <t>55831WBC</t>
  </si>
  <si>
    <t>CHAIN 14 SINGLE STEEL JACK</t>
  </si>
  <si>
    <t>05.03.021.00</t>
  </si>
  <si>
    <t>55832</t>
  </si>
  <si>
    <t>CHAIN 12 SINGLE STEEL JACK</t>
  </si>
  <si>
    <t>05.03.022.00</t>
  </si>
  <si>
    <t>55833</t>
  </si>
  <si>
    <t>CHAIN S.S. TQ-300 CONVEYOR</t>
  </si>
  <si>
    <t>05.03.035.00</t>
  </si>
  <si>
    <t>55840BM</t>
  </si>
  <si>
    <t>WIRE BELT,10x.5x72 LINKS</t>
  </si>
  <si>
    <t>73141490</t>
  </si>
  <si>
    <t>05.03.036.00</t>
  </si>
  <si>
    <t>55840N</t>
  </si>
  <si>
    <t>WIRE BELT,10x.5x51 LINKS</t>
  </si>
  <si>
    <t>05.03.037.00</t>
  </si>
  <si>
    <t>55841</t>
  </si>
  <si>
    <t>CHAIN 30 PITCH W/LINK</t>
  </si>
  <si>
    <t>05.03.038.00</t>
  </si>
  <si>
    <t>55841A</t>
  </si>
  <si>
    <t>CHAIN 35 PITCH</t>
  </si>
  <si>
    <t>05.03.039.00</t>
  </si>
  <si>
    <t>55841C</t>
  </si>
  <si>
    <t>CABLE PULLBOX PLUS 5LB</t>
  </si>
  <si>
    <t>05.03.046.00</t>
  </si>
  <si>
    <t>55843</t>
  </si>
  <si>
    <t>WIRE BELT,14x.5x72 LINKS</t>
  </si>
  <si>
    <t>05.03.049.00</t>
  </si>
  <si>
    <t>55845</t>
  </si>
  <si>
    <t>CHAIN,ROLLER,1/4P X 1/8W 14"L</t>
  </si>
  <si>
    <t>05.03.053.00</t>
  </si>
  <si>
    <t>55847</t>
  </si>
  <si>
    <t>CHAIN,14 GA,6.5",SINGLE,STEEL</t>
  </si>
  <si>
    <t>05.03.054.00</t>
  </si>
  <si>
    <t>55849</t>
  </si>
  <si>
    <t>S-HOOK,CLOSED,.121 X 1,STEEL</t>
  </si>
  <si>
    <t>05.03.055.01</t>
  </si>
  <si>
    <t>55849BM</t>
  </si>
  <si>
    <t>MECHANICAL REEL,BASE MT,0.5LB</t>
  </si>
  <si>
    <t>05.03.055.02</t>
  </si>
  <si>
    <t>55851</t>
  </si>
  <si>
    <t>MECHANICAL REEL,BASE MT,1.0LB</t>
  </si>
  <si>
    <t>05.03.056.00</t>
  </si>
  <si>
    <t>55852</t>
  </si>
  <si>
    <t>CHAIN,ROLL,1/4P X 1/8W 14.5"L</t>
  </si>
  <si>
    <t>05.03.057.00</t>
  </si>
  <si>
    <t>55854</t>
  </si>
  <si>
    <t>WIRE BELT,6.875x.5x51 LINKS</t>
  </si>
  <si>
    <t>05.03.062.00</t>
  </si>
  <si>
    <t>55855</t>
  </si>
  <si>
    <t>PULLEY STRAP,QTS-24</t>
  </si>
  <si>
    <t>05.03.064.00</t>
  </si>
  <si>
    <t>59103</t>
  </si>
  <si>
    <t>CHAIN 36 PITCH W/LINK</t>
  </si>
  <si>
    <t>05.03.065.00</t>
  </si>
  <si>
    <t>59104</t>
  </si>
  <si>
    <t>CHAIN 37 PITCH W/LINK</t>
  </si>
  <si>
    <t>05.03.066.00</t>
  </si>
  <si>
    <t>59105</t>
  </si>
  <si>
    <t>CHAIN 41 PITCH W/LINK</t>
  </si>
  <si>
    <t>05.03.069.00</t>
  </si>
  <si>
    <t>59106</t>
  </si>
  <si>
    <t>WIRE BELT,10x.5x96 LINKS</t>
  </si>
  <si>
    <t>05.03.070.00</t>
  </si>
  <si>
    <t>59107</t>
  </si>
  <si>
    <t>CHAIN,ROLLER,1/4P X 1/8W 15"L</t>
  </si>
  <si>
    <t>05.03.072.00</t>
  </si>
  <si>
    <t>59108</t>
  </si>
  <si>
    <t>WIRE BELT,5.875x.5x91 LINKS</t>
  </si>
  <si>
    <t>05.03.073.00</t>
  </si>
  <si>
    <t>59130</t>
  </si>
  <si>
    <t>WIRE BELT,5.875x.5x96 LINKS</t>
  </si>
  <si>
    <t>05.03.074.00</t>
  </si>
  <si>
    <t>59131</t>
  </si>
  <si>
    <t>CHAIN,ROLLER,1/4P X 1/8W 13"L</t>
  </si>
  <si>
    <t>05.03.075.00</t>
  </si>
  <si>
    <t>59132</t>
  </si>
  <si>
    <t>CHAIN,ROLLER,1/4P X 1/8W 8.5"L</t>
  </si>
  <si>
    <t>05.03.076.00</t>
  </si>
  <si>
    <t>59133</t>
  </si>
  <si>
    <t>CHAIN,ROLLER,1/4P X1/8W 16.5"L</t>
  </si>
  <si>
    <t>05.03.077.00</t>
  </si>
  <si>
    <t>59134</t>
  </si>
  <si>
    <t>WIRE BELT,10x.5x54 LINKS</t>
  </si>
  <si>
    <t>05.03.078.00</t>
  </si>
  <si>
    <t>59135</t>
  </si>
  <si>
    <t>CHAIN,ROLLER,1/4P X1/8W 12"L</t>
  </si>
  <si>
    <t>05.03.079.00</t>
  </si>
  <si>
    <t>59200</t>
  </si>
  <si>
    <t>WIRE BELT,14x.5x54 LINKS</t>
  </si>
  <si>
    <t>05.04.002.00</t>
  </si>
  <si>
    <t>59200B</t>
  </si>
  <si>
    <t>SC PLT 10-32X5/16 PH PAN TCS F</t>
  </si>
  <si>
    <t>05.04.004.00</t>
  </si>
  <si>
    <t>59202</t>
  </si>
  <si>
    <t>RIV ALUM 1/8 DRIVE .08-.11</t>
  </si>
  <si>
    <t>05.04.005.00</t>
  </si>
  <si>
    <t>59203</t>
  </si>
  <si>
    <t>SC PLT 8-32X5/16 ZNC PH</t>
  </si>
  <si>
    <t>05.04.005.54</t>
  </si>
  <si>
    <t>59206</t>
  </si>
  <si>
    <t>SC PLT 8-32X5/16 ZNC PH,ROYBL</t>
  </si>
  <si>
    <t>05.04.005BK.00</t>
  </si>
  <si>
    <t>59207</t>
  </si>
  <si>
    <t>SC PLT 8-32X5/16 ZNC PH BLACK</t>
  </si>
  <si>
    <t>05.04.007.00</t>
  </si>
  <si>
    <t>59208</t>
  </si>
  <si>
    <t>SC PLT 6-32X1/4 PH RD MACH ZNC</t>
  </si>
  <si>
    <t>05.04.008.00</t>
  </si>
  <si>
    <t>59209</t>
  </si>
  <si>
    <t>SC PLT 6-32X3/8 PH PAN MACH</t>
  </si>
  <si>
    <t>05.04.009.00</t>
  </si>
  <si>
    <t>59300</t>
  </si>
  <si>
    <t>SC PLT 8-32X1/4 ZNC PH PAN</t>
  </si>
  <si>
    <t>05.04.010.00</t>
  </si>
  <si>
    <t>59300B</t>
  </si>
  <si>
    <t>SC PLT 8-32X3/8 PH PAN ROLOK</t>
  </si>
  <si>
    <t>05.04.010N.00</t>
  </si>
  <si>
    <t>59301</t>
  </si>
  <si>
    <t>SC PLT 8-32X3/8 PHPAN NY PATCH</t>
  </si>
  <si>
    <t>05.04.011.00</t>
  </si>
  <si>
    <t>59303</t>
  </si>
  <si>
    <t>SC PLT 8-32X5/8 PH TR TCS 23</t>
  </si>
  <si>
    <t>05.04.013.00</t>
  </si>
  <si>
    <t>59304</t>
  </si>
  <si>
    <t>SC PLT 8-18X1/2 PH PN TEK</t>
  </si>
  <si>
    <t>05.04.016.00</t>
  </si>
  <si>
    <t>59305</t>
  </si>
  <si>
    <t>SC PLT 4-40X3/8 SL PAN TCS F</t>
  </si>
  <si>
    <t>05.04.018.00</t>
  </si>
  <si>
    <t>59308</t>
  </si>
  <si>
    <t>SC PLT 0X3/16 RD HD DRIVE</t>
  </si>
  <si>
    <t>05.04.022.00</t>
  </si>
  <si>
    <t>59310</t>
  </si>
  <si>
    <t>BLT PLT 3/8-16X1 PKRZ #5 SQ MACH</t>
  </si>
  <si>
    <t>05.04.023.00</t>
  </si>
  <si>
    <t>59311</t>
  </si>
  <si>
    <t>NUT PLT 8-32 KEPS</t>
  </si>
  <si>
    <t>05.04.027.00</t>
  </si>
  <si>
    <t>59314</t>
  </si>
  <si>
    <t>NUT PLT 1/4-20 NIC HEX</t>
  </si>
  <si>
    <t>05.04.028.00</t>
  </si>
  <si>
    <t>59315</t>
  </si>
  <si>
    <t>NUT PLT 3/8-16 PKRZ HEX GR 5</t>
  </si>
  <si>
    <t>05.04.033.00</t>
  </si>
  <si>
    <t>59316</t>
  </si>
  <si>
    <t>SC PLT 1/4-20X1/2 PH RD</t>
  </si>
  <si>
    <t>05.04.034.00</t>
  </si>
  <si>
    <t>59500B</t>
  </si>
  <si>
    <t>SC PLT 8-32X1 PH FIL MACH</t>
  </si>
  <si>
    <t>05.04.038.00</t>
  </si>
  <si>
    <t>59501</t>
  </si>
  <si>
    <t>NUT PLT 10-24 KEPS</t>
  </si>
  <si>
    <t>05.04.049.00</t>
  </si>
  <si>
    <t>59502</t>
  </si>
  <si>
    <t>BLT PLT 3/8-16X1-1/2 "J" BOLT</t>
  </si>
  <si>
    <t>05.04.057.00</t>
  </si>
  <si>
    <t>59503</t>
  </si>
  <si>
    <t>NUT PLT 6-32 KEPS</t>
  </si>
  <si>
    <t>05.04.059.00</t>
  </si>
  <si>
    <t>59504</t>
  </si>
  <si>
    <t>NUTC RN PLT 8-32 BNP</t>
  </si>
  <si>
    <t>05.04.062.00</t>
  </si>
  <si>
    <t>59505</t>
  </si>
  <si>
    <t>SC PLT 1/4-28X3/8 SL HX WS MS</t>
  </si>
  <si>
    <t>05.04.068A.00</t>
  </si>
  <si>
    <t>59506</t>
  </si>
  <si>
    <t>NUT PLT 8-32 NI ACORN</t>
  </si>
  <si>
    <t>05.04.070.00</t>
  </si>
  <si>
    <t>59509</t>
  </si>
  <si>
    <t>NUT PLT 10-32 ACORN LOW CROWN</t>
  </si>
  <si>
    <t>05.04.074.00</t>
  </si>
  <si>
    <t>59510</t>
  </si>
  <si>
    <t>SC PLT 10-32X5/16 NI PH PN</t>
  </si>
  <si>
    <t>05.04.077.00</t>
  </si>
  <si>
    <t>59515B</t>
  </si>
  <si>
    <t>RING PLT 5/16 PUSH ON RETAIN</t>
  </si>
  <si>
    <t>05.04.083.00</t>
  </si>
  <si>
    <t>59520</t>
  </si>
  <si>
    <t>SC SS 1/4-20X1-1/2 SL TR</t>
  </si>
  <si>
    <t>05.04.087.00</t>
  </si>
  <si>
    <t>59521</t>
  </si>
  <si>
    <t>SPC PLT 3/8-16X3/4 .48OD SHLDR</t>
  </si>
  <si>
    <t>05.04.093.00</t>
  </si>
  <si>
    <t>59522</t>
  </si>
  <si>
    <t>SC PLT 8-32X5/8 PH FL TCS F</t>
  </si>
  <si>
    <t>05.04.101.00</t>
  </si>
  <si>
    <t>59527</t>
  </si>
  <si>
    <t>SC SS 8-32X1/4 PH RD MACH</t>
  </si>
  <si>
    <t>05.04.102.00</t>
  </si>
  <si>
    <t>59528</t>
  </si>
  <si>
    <t>SC SS 8-32X5/8 PH FL MACH</t>
  </si>
  <si>
    <t>05.04.1030.00</t>
  </si>
  <si>
    <t>59530</t>
  </si>
  <si>
    <t>HOSE CLAMP,1/2" BAND,.375-.875</t>
  </si>
  <si>
    <t>05.04.105.00</t>
  </si>
  <si>
    <t>59533</t>
  </si>
  <si>
    <t>NUT PLT 8-32 LOWCRWN ACORN 2PC</t>
  </si>
  <si>
    <t>05.04.1097.00</t>
  </si>
  <si>
    <t>59534</t>
  </si>
  <si>
    <t>SC,PLT,M3X8,PAN,PH,NYLON</t>
  </si>
  <si>
    <t>05.04.1100.00</t>
  </si>
  <si>
    <t>59536</t>
  </si>
  <si>
    <t>SC PLT 1/4-20X1/2 PH TR BK</t>
  </si>
  <si>
    <t>05.04.1104.00</t>
  </si>
  <si>
    <t>59537</t>
  </si>
  <si>
    <t>SC PLT 10-32x1/4" SLT SET CONE</t>
  </si>
  <si>
    <t>05.04.1110.00</t>
  </si>
  <si>
    <t>59538</t>
  </si>
  <si>
    <t>SC PLT 8X3/8 FASTITE D-HEX NI</t>
  </si>
  <si>
    <t>05.04.1147.00</t>
  </si>
  <si>
    <t>59540</t>
  </si>
  <si>
    <t>SPACER,ID 3.2MM,OD 7X10MM</t>
  </si>
  <si>
    <t>05.04.1158.00</t>
  </si>
  <si>
    <t>59541</t>
  </si>
  <si>
    <t>TOGGLER TC PLST ANCHOR,5/8-3/4</t>
  </si>
  <si>
    <t>05.04.1159.00</t>
  </si>
  <si>
    <t>59542</t>
  </si>
  <si>
    <t>SC PLT 8-15x1-5/8,MOD TRUSS HD</t>
  </si>
  <si>
    <t>05.04.1161.00</t>
  </si>
  <si>
    <t>59543</t>
  </si>
  <si>
    <t>TOGGLER (TK) KEY</t>
  </si>
  <si>
    <t>05.04.117.00</t>
  </si>
  <si>
    <t>59550</t>
  </si>
  <si>
    <t>SC SS 10-32X1-3/4 PH RD MACH</t>
  </si>
  <si>
    <t>05.04.118.00</t>
  </si>
  <si>
    <t>59551</t>
  </si>
  <si>
    <t>SC SS 10-32X3 SL RD MACH</t>
  </si>
  <si>
    <t>05.04.125.00</t>
  </si>
  <si>
    <t>59552</t>
  </si>
  <si>
    <t>SC SS 10-32X1/2 PH RD MACH</t>
  </si>
  <si>
    <t>05.04.128.00</t>
  </si>
  <si>
    <t>59560</t>
  </si>
  <si>
    <t>SC SS 1/4-20X1-3/4 PH TR</t>
  </si>
  <si>
    <t>05.04.1292.00</t>
  </si>
  <si>
    <t>59560B</t>
  </si>
  <si>
    <t>SC,M4X10,FL,PH,WHITE ZINC</t>
  </si>
  <si>
    <t>05.04.1308.00</t>
  </si>
  <si>
    <t>59561</t>
  </si>
  <si>
    <t>SC M5X30 PH FLAT MACH,BLACK</t>
  </si>
  <si>
    <t>05.04.1309.00</t>
  </si>
  <si>
    <t>59562</t>
  </si>
  <si>
    <t>SC,M4X10,FL,PH,BLACK ZINC</t>
  </si>
  <si>
    <t>05.04.139.00</t>
  </si>
  <si>
    <t>59564</t>
  </si>
  <si>
    <t>SC SS 8-32X3/8 WSHR HD THUMB</t>
  </si>
  <si>
    <t>05.04.140.00</t>
  </si>
  <si>
    <t>59565</t>
  </si>
  <si>
    <t>SPC SS 10-32X3/16 THUMB</t>
  </si>
  <si>
    <t>05.04.144.00</t>
  </si>
  <si>
    <t>59565B</t>
  </si>
  <si>
    <t>SC SS 10-32X4 SL RD MACH</t>
  </si>
  <si>
    <t>05.04.145.00</t>
  </si>
  <si>
    <t>59567</t>
  </si>
  <si>
    <t>SC SS 10-32x2-1/4 SL RD MACH</t>
  </si>
  <si>
    <t>05.04.146.00</t>
  </si>
  <si>
    <t>59569</t>
  </si>
  <si>
    <t>SC SS 1/4-20 HINGE SCREW</t>
  </si>
  <si>
    <t>05.04.147.00</t>
  </si>
  <si>
    <t>59600</t>
  </si>
  <si>
    <t>NUTC TN PLT 1/4-20</t>
  </si>
  <si>
    <t>05.04.149.00</t>
  </si>
  <si>
    <t>59600B</t>
  </si>
  <si>
    <t>SPC SS 1/4-20X5/16 SHOULDER</t>
  </si>
  <si>
    <t>05.04.150.00</t>
  </si>
  <si>
    <t>59601</t>
  </si>
  <si>
    <t>PIN-DIVIDER LOCATNG,1/4-20,PLT</t>
  </si>
  <si>
    <t>05.04.151.00</t>
  </si>
  <si>
    <t>59602</t>
  </si>
  <si>
    <t>NUTW CRS 1/4-20 DUAL SPUR</t>
  </si>
  <si>
    <t>05.04.153.00</t>
  </si>
  <si>
    <t>59604</t>
  </si>
  <si>
    <t>SC PLT 1/4-28X3/4 PH PAN MACH</t>
  </si>
  <si>
    <t>05.04.155.00</t>
  </si>
  <si>
    <t>59609</t>
  </si>
  <si>
    <t>INACT-NUT PLT #8 PALNUT-SELF</t>
  </si>
  <si>
    <t>05.04.163.00</t>
  </si>
  <si>
    <t>59609B</t>
  </si>
  <si>
    <t>NUTC TN PLT 10-32</t>
  </si>
  <si>
    <t>05.04.177.00</t>
  </si>
  <si>
    <t>59610</t>
  </si>
  <si>
    <t>SC SS 10-32X3/8 PH FL UNCUT MS</t>
  </si>
  <si>
    <t>05.04.190.00</t>
  </si>
  <si>
    <t>59611</t>
  </si>
  <si>
    <t>SC PLT 8-32X5/8 PH PN MACH ZNC</t>
  </si>
  <si>
    <t>05.04.191.00</t>
  </si>
  <si>
    <t>59612</t>
  </si>
  <si>
    <t>NUTC TN PLT 8-32</t>
  </si>
  <si>
    <t>05.04.201.00</t>
  </si>
  <si>
    <t>59613</t>
  </si>
  <si>
    <t>BLT SS 1/4-20X1/2 HEX GRADE 2</t>
  </si>
  <si>
    <t>05.04.202.00</t>
  </si>
  <si>
    <t>59614</t>
  </si>
  <si>
    <t>BLT SS 1/4-20X1 HEX GRADE 2</t>
  </si>
  <si>
    <t>05.04.203.00</t>
  </si>
  <si>
    <t>59615</t>
  </si>
  <si>
    <t>SPC SS 1/4-20x1-1/4 HEX BOLT</t>
  </si>
  <si>
    <t>05.04.205.00</t>
  </si>
  <si>
    <t>59616</t>
  </si>
  <si>
    <t>NUT PLT 1/4-20 KEPS</t>
  </si>
  <si>
    <t>05.04.210.00</t>
  </si>
  <si>
    <t>59616B</t>
  </si>
  <si>
    <t>NUT SS 1/4-20 HEX ACORN</t>
  </si>
  <si>
    <t>05.04.211.00</t>
  </si>
  <si>
    <t>59617</t>
  </si>
  <si>
    <t>SC SS 8-32X3/8 ONE WAY MACH</t>
  </si>
  <si>
    <t>05.04.215.00</t>
  </si>
  <si>
    <t>59618</t>
  </si>
  <si>
    <t>NUT PLT 15/32 BS HEX</t>
  </si>
  <si>
    <t>05.04.219.00</t>
  </si>
  <si>
    <t>59621</t>
  </si>
  <si>
    <t>SPC SS 10-32X.531 THUMB SCREW</t>
  </si>
  <si>
    <t>05.04.238.00</t>
  </si>
  <si>
    <t>59622</t>
  </si>
  <si>
    <t>RIV NYL NYLATCH FAST GROMMET</t>
  </si>
  <si>
    <t>05.04.239.00</t>
  </si>
  <si>
    <t>59623</t>
  </si>
  <si>
    <t>RIV NYL NYLATCH FAST PLUNGER</t>
  </si>
  <si>
    <t>05.04.242.00</t>
  </si>
  <si>
    <t>59624</t>
  </si>
  <si>
    <t>NUT PLT 3/8-24 HEX .094"THK</t>
  </si>
  <si>
    <t>05.04.250.00</t>
  </si>
  <si>
    <t>59625</t>
  </si>
  <si>
    <t>SC PLT 10-32X3/8 PH PAN MACH</t>
  </si>
  <si>
    <t>05.04.257.00</t>
  </si>
  <si>
    <t>59625B</t>
  </si>
  <si>
    <t>RING PLT .375 SNAP RETAIN WFST</t>
  </si>
  <si>
    <t>05.04.300.00</t>
  </si>
  <si>
    <t>59630</t>
  </si>
  <si>
    <t>SC SS 10-32X5/16 PH PN</t>
  </si>
  <si>
    <t>05.04.301.00</t>
  </si>
  <si>
    <t>59632</t>
  </si>
  <si>
    <t>SC SS 8-32X3/8 PH PN MACH</t>
  </si>
  <si>
    <t>05.04.303.00</t>
  </si>
  <si>
    <t>59632B</t>
  </si>
  <si>
    <t>SC SS 10-32X7/8 PH PN MACH</t>
  </si>
  <si>
    <t>05.04.305.00</t>
  </si>
  <si>
    <t>59646</t>
  </si>
  <si>
    <t>SPC SS 8-32X1/2 THUMBSCREW</t>
  </si>
  <si>
    <t>05.04.325.00</t>
  </si>
  <si>
    <t>59647</t>
  </si>
  <si>
    <t>NUT SS 8-32 TINNERMAN FASTNER</t>
  </si>
  <si>
    <t>05.04.350.00</t>
  </si>
  <si>
    <t>59648</t>
  </si>
  <si>
    <t>NUT SS 8-32 CAP</t>
  </si>
  <si>
    <t>05.04.351.00</t>
  </si>
  <si>
    <t>59651</t>
  </si>
  <si>
    <t>NUT SS 10-32 CAP</t>
  </si>
  <si>
    <t>05.04.352.00</t>
  </si>
  <si>
    <t>59651W</t>
  </si>
  <si>
    <t>PIN SS .090 COTTER PIN</t>
  </si>
  <si>
    <t>05.04.354.00</t>
  </si>
  <si>
    <t>59653</t>
  </si>
  <si>
    <t>HEYCO NYLON 6/6 HOSE CLAMP</t>
  </si>
  <si>
    <t>05.04.357.00</t>
  </si>
  <si>
    <t>59654</t>
  </si>
  <si>
    <t>SPACER PLT #6X7/32X3/8 BRASS</t>
  </si>
  <si>
    <t>05.04.369.00</t>
  </si>
  <si>
    <t>59655</t>
  </si>
  <si>
    <t>WASH PLT 3/8" FLAT WASHER</t>
  </si>
  <si>
    <t>05.04.371.00</t>
  </si>
  <si>
    <t>59659</t>
  </si>
  <si>
    <t>SPC SS 8-32X3/16 SHOULDER</t>
  </si>
  <si>
    <t>05.04.373.00</t>
  </si>
  <si>
    <t>59662</t>
  </si>
  <si>
    <t>PIN SPRING GLASS RETAINER</t>
  </si>
  <si>
    <t>05.04.377.00</t>
  </si>
  <si>
    <t>59663</t>
  </si>
  <si>
    <t>NUT SS 1/4-20 HEX .156THK</t>
  </si>
  <si>
    <t>05.04.378.00</t>
  </si>
  <si>
    <t>59670</t>
  </si>
  <si>
    <t>SC PLT M4x6mm PH</t>
  </si>
  <si>
    <t>05.04.383.00</t>
  </si>
  <si>
    <t>59680</t>
  </si>
  <si>
    <t>SC SS #8 RETAINER RING</t>
  </si>
  <si>
    <t>05.04.384.00</t>
  </si>
  <si>
    <t>59700</t>
  </si>
  <si>
    <t>SC PLT 8X1/2 PH CAPTIVE</t>
  </si>
  <si>
    <t>05.04.388.00</t>
  </si>
  <si>
    <t>59701</t>
  </si>
  <si>
    <t>SC PLT 8-32X2 SLHEX WASH TCS F</t>
  </si>
  <si>
    <t>05.04.397BK.00</t>
  </si>
  <si>
    <t>59704</t>
  </si>
  <si>
    <t>SC PLT 6-32x9/16 PH PANHD BLK</t>
  </si>
  <si>
    <t>05.04.414.00</t>
  </si>
  <si>
    <t>59705</t>
  </si>
  <si>
    <t>SC PLT 1/4-20x3/8 WING</t>
  </si>
  <si>
    <t>05.04.419.00</t>
  </si>
  <si>
    <t>59706</t>
  </si>
  <si>
    <t>ROD PLT 1/4-20x9.75 LG ZINC</t>
  </si>
  <si>
    <t>05.04.429.00</t>
  </si>
  <si>
    <t>59707</t>
  </si>
  <si>
    <t>NUT PLT 6-32 HEX</t>
  </si>
  <si>
    <t>05.04.440.00</t>
  </si>
  <si>
    <t>59708</t>
  </si>
  <si>
    <t>SC SS 4-40X1/4 PH FL MACH</t>
  </si>
  <si>
    <t>05.04.441.00</t>
  </si>
  <si>
    <t>59710</t>
  </si>
  <si>
    <t>NUT SS 4-40 CAP ACORN</t>
  </si>
  <si>
    <t>05.04.442.00</t>
  </si>
  <si>
    <t>59730</t>
  </si>
  <si>
    <t>SC SS 6-32X5/16 PH FL MACH</t>
  </si>
  <si>
    <t>05.04.443.00</t>
  </si>
  <si>
    <t>59731</t>
  </si>
  <si>
    <t>NUT SS 6-32 CAP,LOW CROWN</t>
  </si>
  <si>
    <t>05.04.445.00</t>
  </si>
  <si>
    <t>59732</t>
  </si>
  <si>
    <t>SPC SS 8-32X1/2 THMBSC BLK ZNC</t>
  </si>
  <si>
    <t>05.04.446.00</t>
  </si>
  <si>
    <t>59733</t>
  </si>
  <si>
    <t>SC PLT 8-32X3/8 HEX WSH PH NI</t>
  </si>
  <si>
    <t>05.04.466.00</t>
  </si>
  <si>
    <t>59734</t>
  </si>
  <si>
    <t>NUT BRASS 8-32 THUMB</t>
  </si>
  <si>
    <t>05.04.479.00</t>
  </si>
  <si>
    <t>59735</t>
  </si>
  <si>
    <t>STUDC INS SS 6-32X1/2</t>
  </si>
  <si>
    <t>05.04.482.00</t>
  </si>
  <si>
    <t>59737</t>
  </si>
  <si>
    <t>ROD PLT 8-32X6 ROD THREADED</t>
  </si>
  <si>
    <t>05.04.486.00</t>
  </si>
  <si>
    <t>59740</t>
  </si>
  <si>
    <t>STUDW SS 8-32X5/8</t>
  </si>
  <si>
    <t>05.04.494.00</t>
  </si>
  <si>
    <t>59741</t>
  </si>
  <si>
    <t>HINGE,FRICTION,8 LB</t>
  </si>
  <si>
    <t>05.04.495.00</t>
  </si>
  <si>
    <t>59742</t>
  </si>
  <si>
    <t>HINGE,FRICTION,16 LB</t>
  </si>
  <si>
    <t>05.04.501.00</t>
  </si>
  <si>
    <t>59743A</t>
  </si>
  <si>
    <t>PIN SS .375X1.00,1/4-20 THREAD</t>
  </si>
  <si>
    <t>05.04.512.00</t>
  </si>
  <si>
    <t>59743B</t>
  </si>
  <si>
    <t>NUT SS 1/4-20 FLANGE</t>
  </si>
  <si>
    <t>05.04.521.00</t>
  </si>
  <si>
    <t>59743C</t>
  </si>
  <si>
    <t>SC SS 8-32X1-1/8 PH TR MACH</t>
  </si>
  <si>
    <t>05.04.532.00</t>
  </si>
  <si>
    <t>59744</t>
  </si>
  <si>
    <t>SC SS 1/4-20X3/4 SL TR MACH</t>
  </si>
  <si>
    <t>05.04.535.00</t>
  </si>
  <si>
    <t>59749</t>
  </si>
  <si>
    <t>SC PLT 8-32X3-1/2 PH PN MACH</t>
  </si>
  <si>
    <t>05.04.536.00</t>
  </si>
  <si>
    <t>59751</t>
  </si>
  <si>
    <t>SC PLT 8-32X2-1/2 PH PN MACH</t>
  </si>
  <si>
    <t>05.04.547.00</t>
  </si>
  <si>
    <t>59752</t>
  </si>
  <si>
    <t>NUT SS 10-32 NYLOCK</t>
  </si>
  <si>
    <t>05.04.550.00</t>
  </si>
  <si>
    <t>59753</t>
  </si>
  <si>
    <t>HOSE CLAMP,1/2" BAND,.438-1.0</t>
  </si>
  <si>
    <t>05.04.555.00</t>
  </si>
  <si>
    <t>59755</t>
  </si>
  <si>
    <t>RIV SS 1/8 STR BLIND,FLUSH</t>
  </si>
  <si>
    <t>05.04.558.00</t>
  </si>
  <si>
    <t>59760</t>
  </si>
  <si>
    <t>RING STEEL 5mm E-TYPE</t>
  </si>
  <si>
    <t>05.04.563.01</t>
  </si>
  <si>
    <t>59761</t>
  </si>
  <si>
    <t>NUT BRASS 8-32 BLACK</t>
  </si>
  <si>
    <t>05.04.563.02</t>
  </si>
  <si>
    <t>59762</t>
  </si>
  <si>
    <t>NUT BRASS 8-32 GRAY GRANITE</t>
  </si>
  <si>
    <t>05.04.563.03</t>
  </si>
  <si>
    <t>59765</t>
  </si>
  <si>
    <t>NUT BRASS 8-32 WARM RED</t>
  </si>
  <si>
    <t>05.04.563.04</t>
  </si>
  <si>
    <t>59800</t>
  </si>
  <si>
    <t>NUT BRASS 8-32 WHITE GRANITE</t>
  </si>
  <si>
    <t>05.04.563.05</t>
  </si>
  <si>
    <t>59801</t>
  </si>
  <si>
    <t>NUT BRASS 8-32 NAVY BLUE</t>
  </si>
  <si>
    <t>05.04.563.07</t>
  </si>
  <si>
    <t>59802</t>
  </si>
  <si>
    <t>NUT BRASS 8-32 HUNTER GREEN</t>
  </si>
  <si>
    <t>05.04.563.09</t>
  </si>
  <si>
    <t>59803</t>
  </si>
  <si>
    <t>NUT BRASS 8-32 BOLD BLACK</t>
  </si>
  <si>
    <t>05.04.563.11</t>
  </si>
  <si>
    <t>59805</t>
  </si>
  <si>
    <t>NUT BRASS 8-32 GLEAMING GOLD</t>
  </si>
  <si>
    <t>05.04.563.12</t>
  </si>
  <si>
    <t>59808</t>
  </si>
  <si>
    <t>NUT BRASS 8-32 GLOSSY GRAY</t>
  </si>
  <si>
    <t>05.04.563.19</t>
  </si>
  <si>
    <t>59810</t>
  </si>
  <si>
    <t>NUT BRASS 8-32 SMOOTH WHITE</t>
  </si>
  <si>
    <t>05.04.563.20</t>
  </si>
  <si>
    <t>59823</t>
  </si>
  <si>
    <t>NUT BRASS 8-32 TURQUOISE GREEN</t>
  </si>
  <si>
    <t>05.04.563.21</t>
  </si>
  <si>
    <t>59825</t>
  </si>
  <si>
    <t>NUT BRASS 8-32 ANTIQUE COPPER</t>
  </si>
  <si>
    <t>05.04.563.26</t>
  </si>
  <si>
    <t>59826</t>
  </si>
  <si>
    <t>NUT BRASS 8-32 LEGENDS BLUE</t>
  </si>
  <si>
    <t>05.04.563.29</t>
  </si>
  <si>
    <t>59827</t>
  </si>
  <si>
    <t>NUT BRASS 8-32 SMOOTH RED</t>
  </si>
  <si>
    <t>05.04.563.31</t>
  </si>
  <si>
    <t>59828</t>
  </si>
  <si>
    <t>NUT BRASS 8-32 BALL BRIGHT NI</t>
  </si>
  <si>
    <t>05.04.563.32</t>
  </si>
  <si>
    <t>59830</t>
  </si>
  <si>
    <t>NUT BRASS 8-32 BALL BRIGHT BRS</t>
  </si>
  <si>
    <t>05.04.563.33</t>
  </si>
  <si>
    <t>59831</t>
  </si>
  <si>
    <t>NUT BRASS 8-32 BALL BRIGHT COP</t>
  </si>
  <si>
    <t>05.04.563.34</t>
  </si>
  <si>
    <t>59832</t>
  </si>
  <si>
    <t>NUT BRASS 8-32 BALL ANT NICK</t>
  </si>
  <si>
    <t>05.04.563.35</t>
  </si>
  <si>
    <t>62100</t>
  </si>
  <si>
    <t>NUT BRASS 8-32 BALL ANT BRASS</t>
  </si>
  <si>
    <t>05.04.563.36</t>
  </si>
  <si>
    <t>62100E</t>
  </si>
  <si>
    <t>NUT BRASS 8-32 BALL ANT BRONZE</t>
  </si>
  <si>
    <t>05.04.569.00</t>
  </si>
  <si>
    <t>62100M</t>
  </si>
  <si>
    <t>SC SS 1/4-20X1-1/2 PH TR</t>
  </si>
  <si>
    <t>05.04.577.00</t>
  </si>
  <si>
    <t>62100ME</t>
  </si>
  <si>
    <t>SC SS 10-32X1/2 PH FL UNCUT MS</t>
  </si>
  <si>
    <t>05.04.622.00</t>
  </si>
  <si>
    <t>62100R</t>
  </si>
  <si>
    <t>SPRING PLUNG,PRESS,HOLD OPEN</t>
  </si>
  <si>
    <t>05.04.623.00</t>
  </si>
  <si>
    <t>62100RE</t>
  </si>
  <si>
    <t>SC PLT M3X4 PH THRD ROLLING</t>
  </si>
  <si>
    <t>05.04.629.00</t>
  </si>
  <si>
    <t>62100Y</t>
  </si>
  <si>
    <t>NUT SS M6 CAP</t>
  </si>
  <si>
    <t>05.04.633.00</t>
  </si>
  <si>
    <t>62100YE</t>
  </si>
  <si>
    <t>SC PLT 1/4-20 HINGE SPRING</t>
  </si>
  <si>
    <t>05.04.644.00</t>
  </si>
  <si>
    <t>62101</t>
  </si>
  <si>
    <t>BLT PLT 1/4-20X1/2 HEX PATCH</t>
  </si>
  <si>
    <t>05.04.664.00</t>
  </si>
  <si>
    <t>62101R</t>
  </si>
  <si>
    <t>NUT PLT 6-32 NYLOCK</t>
  </si>
  <si>
    <t>05.04.665.00</t>
  </si>
  <si>
    <t>62101Y</t>
  </si>
  <si>
    <t>SC SS M4X12 PH TRUSS MACHINE</t>
  </si>
  <si>
    <t>05.04.685.00</t>
  </si>
  <si>
    <t>62103</t>
  </si>
  <si>
    <t>SPRING CLAMP,RCTHW,18.4MM ID</t>
  </si>
  <si>
    <t>05.04.686.00</t>
  </si>
  <si>
    <t>62103R</t>
  </si>
  <si>
    <t>SC SS M4X6 PH TRUSS MACHINE</t>
  </si>
  <si>
    <t>05.04.694.00</t>
  </si>
  <si>
    <t>62103Y</t>
  </si>
  <si>
    <t>NUT PLT M4 FLANGE</t>
  </si>
  <si>
    <t>05.04.697.00</t>
  </si>
  <si>
    <t>62105</t>
  </si>
  <si>
    <t>HOSE CLAMP,16MM-25MM</t>
  </si>
  <si>
    <t>05.04.701.00</t>
  </si>
  <si>
    <t>62106</t>
  </si>
  <si>
    <t>NUT SS 8-32 HEX RIVET</t>
  </si>
  <si>
    <t>05.04.702.00</t>
  </si>
  <si>
    <t>62109</t>
  </si>
  <si>
    <t>NUT SS 10-32 HEX RIVET</t>
  </si>
  <si>
    <t>05.04.706.00</t>
  </si>
  <si>
    <t>62110</t>
  </si>
  <si>
    <t>NUT PLT 1/4-20 HEX RIVET</t>
  </si>
  <si>
    <t>05.04.730.00</t>
  </si>
  <si>
    <t>62110M</t>
  </si>
  <si>
    <t>BOWTIE COTTER PIN,SS</t>
  </si>
  <si>
    <t>05.04.738.00</t>
  </si>
  <si>
    <t>62114</t>
  </si>
  <si>
    <t>HOSE CLAMP,HEYCO2330,19.1-22.5</t>
  </si>
  <si>
    <t>05.04.741.00</t>
  </si>
  <si>
    <t>62116</t>
  </si>
  <si>
    <t>05.04.760.00</t>
  </si>
  <si>
    <t>62119</t>
  </si>
  <si>
    <t>SC SS 8-32X3/8 SEMS,PH,PHIL</t>
  </si>
  <si>
    <t>05.04.771.00</t>
  </si>
  <si>
    <t>62125</t>
  </si>
  <si>
    <t>SC PLT 8X3/8 HX WSHR SMS</t>
  </si>
  <si>
    <t>05.04.784.00</t>
  </si>
  <si>
    <t>62135</t>
  </si>
  <si>
    <t>SPC SS 10-32X1/4 HINGE SCREW</t>
  </si>
  <si>
    <t>05.04.818.00</t>
  </si>
  <si>
    <t>62150</t>
  </si>
  <si>
    <t>RIV ALUM 1/8 DRIVE .14-.17</t>
  </si>
  <si>
    <t>05.04.837.00</t>
  </si>
  <si>
    <t>62151</t>
  </si>
  <si>
    <t>SC SS 8-32X1/4 PH FL UNCUT MS</t>
  </si>
  <si>
    <t>05.04.843.00</t>
  </si>
  <si>
    <t>62153</t>
  </si>
  <si>
    <t>FAUCET DRAIN NUT,FM-5</t>
  </si>
  <si>
    <t>05.04.867.00</t>
  </si>
  <si>
    <t>62154</t>
  </si>
  <si>
    <t>SC PLT 3/8-16X3 HEX</t>
  </si>
  <si>
    <t>05.04.896.00</t>
  </si>
  <si>
    <t>62200</t>
  </si>
  <si>
    <t>SPC PLT 10-32X1 THUMB BLK OXID</t>
  </si>
  <si>
    <t>05.04.912.00</t>
  </si>
  <si>
    <t>62203</t>
  </si>
  <si>
    <t>SPACER,NYLON,#10 X 5/16" LG</t>
  </si>
  <si>
    <t>05.04.913.00</t>
  </si>
  <si>
    <t>62204</t>
  </si>
  <si>
    <t>SPACER,NYLON,#10 X 3/8" LG</t>
  </si>
  <si>
    <t>05.04.930.00</t>
  </si>
  <si>
    <t>62207</t>
  </si>
  <si>
    <t>SC NYL 10-32X.25 SLT SET</t>
  </si>
  <si>
    <t>05.04.934.00</t>
  </si>
  <si>
    <t>62208</t>
  </si>
  <si>
    <t>SC PLT 10-32X.4 PH RCS MACH</t>
  </si>
  <si>
    <t>05.04.946.00</t>
  </si>
  <si>
    <t>62220</t>
  </si>
  <si>
    <t>NUT SS M6-1.0 LH THREAD WING</t>
  </si>
  <si>
    <t>05.04.954.00</t>
  </si>
  <si>
    <t>62222</t>
  </si>
  <si>
    <t>SPACER,SHOULDER,.513 O.D.X.313</t>
  </si>
  <si>
    <t>05.04.955.00</t>
  </si>
  <si>
    <t>62250</t>
  </si>
  <si>
    <t>SC SS 10-24x1/2" PH PN MS BLK</t>
  </si>
  <si>
    <t>05.04.963.00</t>
  </si>
  <si>
    <t>62300</t>
  </si>
  <si>
    <t>SC PLT #12-14x3/4" PH PH #3PT</t>
  </si>
  <si>
    <t>05.05.008.00</t>
  </si>
  <si>
    <t>62300B</t>
  </si>
  <si>
    <t>INSUL TRS 10 W/FOIL 2X8X16</t>
  </si>
  <si>
    <t>05.05.009.00</t>
  </si>
  <si>
    <t>62301</t>
  </si>
  <si>
    <t>INSUL TRS 10 1X9-1/4X16</t>
  </si>
  <si>
    <t>05.05.010.00</t>
  </si>
  <si>
    <t>62303</t>
  </si>
  <si>
    <t>INSUL TRS 10 2X23-1/2X16</t>
  </si>
  <si>
    <t>05.05.013.00</t>
  </si>
  <si>
    <t>62304</t>
  </si>
  <si>
    <t>INSUL TRS 10 W/FOIL 2X13X16</t>
  </si>
  <si>
    <t>05.05.017.00</t>
  </si>
  <si>
    <t>62305</t>
  </si>
  <si>
    <t>INSUL RIGID 1/2X5-3/4X2-1/4</t>
  </si>
  <si>
    <t>05.05.024.00</t>
  </si>
  <si>
    <t>62308</t>
  </si>
  <si>
    <t>INSUL TRS 10 2THICK 10"WIDE</t>
  </si>
  <si>
    <t>05.05.027.00</t>
  </si>
  <si>
    <t>62308B</t>
  </si>
  <si>
    <t>INSUL RIGID 1/2X20X25-1/2</t>
  </si>
  <si>
    <t>05.05.028.00</t>
  </si>
  <si>
    <t>62309</t>
  </si>
  <si>
    <t>INSUL TRS 10 2X16X40</t>
  </si>
  <si>
    <t>05.05.029.00</t>
  </si>
  <si>
    <t>62310</t>
  </si>
  <si>
    <t>INSUL TRS 10 2X12X36</t>
  </si>
  <si>
    <t>05.05.030.00</t>
  </si>
  <si>
    <t>62312</t>
  </si>
  <si>
    <t>INSUL TRS 10 3X24 ROLL</t>
  </si>
  <si>
    <t>05.05.034.00</t>
  </si>
  <si>
    <t>62315</t>
  </si>
  <si>
    <t>INSUL TRS 10 1X21X50</t>
  </si>
  <si>
    <t>05.05.037.00</t>
  </si>
  <si>
    <t>62319</t>
  </si>
  <si>
    <t>INSUL 703 PLAIN 1/2X8X21.25</t>
  </si>
  <si>
    <t>05.05.038.00</t>
  </si>
  <si>
    <t>62322</t>
  </si>
  <si>
    <t>INSUL 703 F6 PLN1/2X15.4X25.75</t>
  </si>
  <si>
    <t>05.05.052.00</t>
  </si>
  <si>
    <t>62330</t>
  </si>
  <si>
    <t>INSUL RIGID 1X5X48</t>
  </si>
  <si>
    <t>05.05.059.00</t>
  </si>
  <si>
    <t>62330B</t>
  </si>
  <si>
    <t>INSUL TRS 10 1-1/2THK 6"WIDE</t>
  </si>
  <si>
    <t>05.05.065.00</t>
  </si>
  <si>
    <t>62335</t>
  </si>
  <si>
    <t>INSUL TRS10 2"x19.5"WIDE,ROLL</t>
  </si>
  <si>
    <t>05.05.068.00</t>
  </si>
  <si>
    <t>62340</t>
  </si>
  <si>
    <t>INSUL INSULBATTE 1/2x6x11</t>
  </si>
  <si>
    <t>05.05.069.00</t>
  </si>
  <si>
    <t>62341</t>
  </si>
  <si>
    <t>INSUL INSULBATTE 1x1-1/2x11</t>
  </si>
  <si>
    <t>05.05.072.00</t>
  </si>
  <si>
    <t>62342</t>
  </si>
  <si>
    <t>INSUL 1-1/2X46X16</t>
  </si>
  <si>
    <t>05.05.075.00</t>
  </si>
  <si>
    <t>62343</t>
  </si>
  <si>
    <t>INSUL RPC-2300 8.81x5.69x.25</t>
  </si>
  <si>
    <t>05.05.076.00</t>
  </si>
  <si>
    <t>62343B</t>
  </si>
  <si>
    <t>INSUL RPC-2300 8.81x16.69x.25</t>
  </si>
  <si>
    <t>05.05.077.00</t>
  </si>
  <si>
    <t>62344</t>
  </si>
  <si>
    <t>INSUL C-B 1000 8.25x9.88x.375</t>
  </si>
  <si>
    <t>05.05.078.00</t>
  </si>
  <si>
    <t>62345</t>
  </si>
  <si>
    <t>INSUL C-B 1000 5.75x18.25x.375</t>
  </si>
  <si>
    <t>05.05.079.00</t>
  </si>
  <si>
    <t>62346</t>
  </si>
  <si>
    <t>INSUL C-B 1000 5.75x9.75x.375</t>
  </si>
  <si>
    <t>05.05.080.00</t>
  </si>
  <si>
    <t>62347</t>
  </si>
  <si>
    <t>INSUL C-B 1000 8.25x18.38x.375</t>
  </si>
  <si>
    <t>05.05.081.00</t>
  </si>
  <si>
    <t>62348</t>
  </si>
  <si>
    <t>INSUL C-B 1000 8.25x12.88x.375</t>
  </si>
  <si>
    <t>05.05.082.00</t>
  </si>
  <si>
    <t>62350</t>
  </si>
  <si>
    <t>INSUL KAOWOOL 14.25x14.25x.5</t>
  </si>
  <si>
    <t>05.05.084.00</t>
  </si>
  <si>
    <t>62351</t>
  </si>
  <si>
    <t>INSUL KAOWOOL 12.5x55.25x.5</t>
  </si>
  <si>
    <t>05.05.085.00</t>
  </si>
  <si>
    <t>62352</t>
  </si>
  <si>
    <t>PMG-100,200 BLOWER ASSY INSUL</t>
  </si>
  <si>
    <t>05.05.100.00</t>
  </si>
  <si>
    <t>62353</t>
  </si>
  <si>
    <t>INSUL 1/2X10-1/2X23</t>
  </si>
  <si>
    <t>05.05.110.00</t>
  </si>
  <si>
    <t>62355</t>
  </si>
  <si>
    <t>INSUL CERAMIC PAPER 15x11x.25</t>
  </si>
  <si>
    <t>05.05.114.00</t>
  </si>
  <si>
    <t>62357</t>
  </si>
  <si>
    <t>INSUL RIGID 1/2X8-3/8X23-7/8</t>
  </si>
  <si>
    <t>05.05.115.00</t>
  </si>
  <si>
    <t>62358</t>
  </si>
  <si>
    <t>INSUL RIGID 1/2X5X19</t>
  </si>
  <si>
    <t>05.05.116.00</t>
  </si>
  <si>
    <t>62359</t>
  </si>
  <si>
    <t>INSUL RIGID 1/2X5-1/2X8-3/8</t>
  </si>
  <si>
    <t>05.05.117.00</t>
  </si>
  <si>
    <t>62362</t>
  </si>
  <si>
    <t>INSUL RIGID 1/2X9-1/4X25</t>
  </si>
  <si>
    <t>05.05.130.00</t>
  </si>
  <si>
    <t>62363</t>
  </si>
  <si>
    <t>INSUL TRS 10 2X24X84"</t>
  </si>
  <si>
    <t>05.05.132.02</t>
  </si>
  <si>
    <t>62365</t>
  </si>
  <si>
    <t>INSUL TRS 10 1X18.4X22.75</t>
  </si>
  <si>
    <t>05.05.137.00</t>
  </si>
  <si>
    <t>62365B</t>
  </si>
  <si>
    <t>INSUL RIGID 1/2X5X16.312</t>
  </si>
  <si>
    <t>05.05.138.00</t>
  </si>
  <si>
    <t>62366</t>
  </si>
  <si>
    <t>INSUL RIGID 1/2X8.375X21.187</t>
  </si>
  <si>
    <t>05.05.160.00</t>
  </si>
  <si>
    <t>62370</t>
  </si>
  <si>
    <t>INSUL TRS 10 2" THK 15.5" WIDE</t>
  </si>
  <si>
    <t>05.05.161.00</t>
  </si>
  <si>
    <t>62373</t>
  </si>
  <si>
    <t>INSUL TRS 10 1x10.63x17.25</t>
  </si>
  <si>
    <t>05.05.163.00</t>
  </si>
  <si>
    <t>62375</t>
  </si>
  <si>
    <t>INSUL TRS 10 1x6" DIA</t>
  </si>
  <si>
    <t>05.05.174.00</t>
  </si>
  <si>
    <t>62375B</t>
  </si>
  <si>
    <t>INSUL TIW,1x20x9.1</t>
  </si>
  <si>
    <t>05.05.175.00</t>
  </si>
  <si>
    <t>62376</t>
  </si>
  <si>
    <t>INSUL TIW,1x41.7x9</t>
  </si>
  <si>
    <t>05.05.181.00</t>
  </si>
  <si>
    <t>62377</t>
  </si>
  <si>
    <t>INSUL TIW,1x27.7x9</t>
  </si>
  <si>
    <t>05.05.191.00</t>
  </si>
  <si>
    <t>62378</t>
  </si>
  <si>
    <t>INSUL TIW,1x12x2.6</t>
  </si>
  <si>
    <t>05.05.194.00</t>
  </si>
  <si>
    <t>62379</t>
  </si>
  <si>
    <t>INSUL TIW,2x12.37x18</t>
  </si>
  <si>
    <t>05.05.212.00</t>
  </si>
  <si>
    <t>62380</t>
  </si>
  <si>
    <t>INSUL INSULBATTE 1/2x6x66"</t>
  </si>
  <si>
    <t>05.05.217.00</t>
  </si>
  <si>
    <t>62381</t>
  </si>
  <si>
    <t>INSUL RIGID 1/2X14.75X27</t>
  </si>
  <si>
    <t>05.05.276.00</t>
  </si>
  <si>
    <t>62383</t>
  </si>
  <si>
    <t>INSUL TRS10 1 X 10.63X20.71</t>
  </si>
  <si>
    <t>05.05.277.00</t>
  </si>
  <si>
    <t>62385</t>
  </si>
  <si>
    <t>INSUL KAOWOOL,.25X12.38X6.66</t>
  </si>
  <si>
    <t>05.05.278.00</t>
  </si>
  <si>
    <t>62386</t>
  </si>
  <si>
    <t>INSUL KAOWOOL,FRNT,TOP MNT -43</t>
  </si>
  <si>
    <t>05.05.279.00</t>
  </si>
  <si>
    <t>62387</t>
  </si>
  <si>
    <t>INSUL KAOWOOL,SIDE,TOP MNT -43</t>
  </si>
  <si>
    <t>05.05.285.00</t>
  </si>
  <si>
    <t>62388</t>
  </si>
  <si>
    <t>INSUL TIW 2X7.8X21.8</t>
  </si>
  <si>
    <t>05.05.287.00</t>
  </si>
  <si>
    <t>62389</t>
  </si>
  <si>
    <t>INSUL TIW 1X1.2X21.8</t>
  </si>
  <si>
    <t>05.05.288.00</t>
  </si>
  <si>
    <t>62390</t>
  </si>
  <si>
    <t>INSUL TIW 2X1.4X21.8</t>
  </si>
  <si>
    <t>05.05.290.00</t>
  </si>
  <si>
    <t>62391</t>
  </si>
  <si>
    <t>INSUL TIW 1X9X43.8</t>
  </si>
  <si>
    <t>05.05.308.00</t>
  </si>
  <si>
    <t>62392</t>
  </si>
  <si>
    <t>INSUL TIW 1X9X43.8 W/HOLES</t>
  </si>
  <si>
    <t>05.05.314.00</t>
  </si>
  <si>
    <t>62393</t>
  </si>
  <si>
    <t>INSULATION,CERAMIC</t>
  </si>
  <si>
    <t>05.05.337.00</t>
  </si>
  <si>
    <t>62394</t>
  </si>
  <si>
    <t>INSUL,GLASS,TRS-30,1.2M X 3CM</t>
  </si>
  <si>
    <t>05.05.363.00</t>
  </si>
  <si>
    <t>62395</t>
  </si>
  <si>
    <t>INSUL INSULBATTE 1/2x16.7X24.7</t>
  </si>
  <si>
    <t>05.05.404.00</t>
  </si>
  <si>
    <t>62396</t>
  </si>
  <si>
    <t>INSUL TIW 1.25X14X21.75</t>
  </si>
  <si>
    <t>05.05.517.00</t>
  </si>
  <si>
    <t>62397</t>
  </si>
  <si>
    <t>ELEMENT GASKET,TQ3</t>
  </si>
  <si>
    <t>05.05.571.00</t>
  </si>
  <si>
    <t>62400</t>
  </si>
  <si>
    <t>INSUL TIW 2 X 12.37 x 24.75</t>
  </si>
  <si>
    <t>05.05.579.00</t>
  </si>
  <si>
    <t>62401</t>
  </si>
  <si>
    <t>INSUL CER .25THK,FOIL,HDWTC-2</t>
  </si>
  <si>
    <t>05.05.580.00</t>
  </si>
  <si>
    <t>62402</t>
  </si>
  <si>
    <t>05.05.581.00</t>
  </si>
  <si>
    <t>62405</t>
  </si>
  <si>
    <t>05.05.613.00</t>
  </si>
  <si>
    <t>62970</t>
  </si>
  <si>
    <t>INSUL,KAOWOOL,SIDE,TMNT,HWBI43</t>
  </si>
  <si>
    <t>05.05.649.00</t>
  </si>
  <si>
    <t>62980</t>
  </si>
  <si>
    <t>INSUL,TRS-10, 1.00X11.87X11.87</t>
  </si>
  <si>
    <t>05.05.660.00</t>
  </si>
  <si>
    <t>63</t>
  </si>
  <si>
    <t>INSUL,TRS-10, 2.00X10.00X70.00</t>
  </si>
  <si>
    <t>05.05.662.00</t>
  </si>
  <si>
    <t>63101</t>
  </si>
  <si>
    <t>INSUL,TRS 10, 1.00X19.50X38.75</t>
  </si>
  <si>
    <t>05.05.666.00</t>
  </si>
  <si>
    <t>63102</t>
  </si>
  <si>
    <t>INSUL,TRS-10, 2.00X18.50X70.00</t>
  </si>
  <si>
    <t>05.05.700.00</t>
  </si>
  <si>
    <t>63103</t>
  </si>
  <si>
    <t>INSUL,TRS-10, 2.00X18.50X96.00</t>
  </si>
  <si>
    <t>05.05.728.00</t>
  </si>
  <si>
    <t>63104</t>
  </si>
  <si>
    <t>INSULATION,.5 X 20 X 9.1</t>
  </si>
  <si>
    <t>05.05.729.00</t>
  </si>
  <si>
    <t>63105</t>
  </si>
  <si>
    <t>INSULATION,.5 X 14 X 21.75</t>
  </si>
  <si>
    <t>05.05.730.00</t>
  </si>
  <si>
    <t>63107</t>
  </si>
  <si>
    <t>INSULATION,.5 X 13 X 9.1</t>
  </si>
  <si>
    <t>05.05.771.00</t>
  </si>
  <si>
    <t>63110</t>
  </si>
  <si>
    <t>INSUL,TRS 10,1.00X19.50X45.75</t>
  </si>
  <si>
    <t>05.06.002.00</t>
  </si>
  <si>
    <t>63111</t>
  </si>
  <si>
    <t>RUB #4151 - CHANNEL EXTRUSION</t>
  </si>
  <si>
    <t>05.06.003.00</t>
  </si>
  <si>
    <t>63112</t>
  </si>
  <si>
    <t>RUB 1-3/4" WHITE STOPPER</t>
  </si>
  <si>
    <t>05.06.005.00</t>
  </si>
  <si>
    <t>63113</t>
  </si>
  <si>
    <t>GASKET 3CS ELEMENT</t>
  </si>
  <si>
    <t>05.06.006.00</t>
  </si>
  <si>
    <t>63115</t>
  </si>
  <si>
    <t>RUB 1.0ID 2.5OD .188 BLK EPDM</t>
  </si>
  <si>
    <t>05.06.007.00</t>
  </si>
  <si>
    <t>63116</t>
  </si>
  <si>
    <t>RUB BLACK NEOPR HOSE ADAPTOR</t>
  </si>
  <si>
    <t>05.06.008.00</t>
  </si>
  <si>
    <t>63118</t>
  </si>
  <si>
    <t>GROMMET BLACK MOLDED</t>
  </si>
  <si>
    <t>05.06.009.00</t>
  </si>
  <si>
    <t>63152</t>
  </si>
  <si>
    <t>GASKET,STRAINER NUT NSF APPROV</t>
  </si>
  <si>
    <t>05.06.010A.00</t>
  </si>
  <si>
    <t>63153</t>
  </si>
  <si>
    <t>WASH NEOPRENE 80 DURO WHITE</t>
  </si>
  <si>
    <t>05.06.013.00</t>
  </si>
  <si>
    <t>63191</t>
  </si>
  <si>
    <t>WASH NITRL 1.5X1.188X.125 WHT</t>
  </si>
  <si>
    <t>05.06.017.00</t>
  </si>
  <si>
    <t>63193</t>
  </si>
  <si>
    <t>RUB 1.283X2.5X.188 BLK EPDM</t>
  </si>
  <si>
    <t>05.06.021.00</t>
  </si>
  <si>
    <t>63201</t>
  </si>
  <si>
    <t>RUB WINDOW CHANNEL SEAL</t>
  </si>
  <si>
    <t>05.06.024.00</t>
  </si>
  <si>
    <t>63201B</t>
  </si>
  <si>
    <t>RUB GLASING CHANNEL 1/4"</t>
  </si>
  <si>
    <t>05.06.026.00</t>
  </si>
  <si>
    <t>63201V4</t>
  </si>
  <si>
    <t>RUB 1-3/8" WHITE STOPPER</t>
  </si>
  <si>
    <t>05.06.028.00</t>
  </si>
  <si>
    <t>63202</t>
  </si>
  <si>
    <t>GASKET, SILICONE, .125 X .500</t>
  </si>
  <si>
    <t>05.06.029.00</t>
  </si>
  <si>
    <t>63203</t>
  </si>
  <si>
    <t>NUT RUB EXPANSION FS LW PROBE</t>
  </si>
  <si>
    <t>05.06.035.00</t>
  </si>
  <si>
    <t>63204</t>
  </si>
  <si>
    <t>PLUG NEOPRENE SEAL CORNER POST</t>
  </si>
  <si>
    <t>05.06.038.00</t>
  </si>
  <si>
    <t>63206</t>
  </si>
  <si>
    <t>LEG MOLDED TIP RUBBER FOOT</t>
  </si>
  <si>
    <t>05.06.039.00</t>
  </si>
  <si>
    <t>63208</t>
  </si>
  <si>
    <t>RUB END CAP 15/64ID</t>
  </si>
  <si>
    <t>05.06.046.00</t>
  </si>
  <si>
    <t>63208B</t>
  </si>
  <si>
    <t>TACKY GASKET ROLL</t>
  </si>
  <si>
    <t>05.06.061.00</t>
  </si>
  <si>
    <t>63208V4</t>
  </si>
  <si>
    <t>WASH NITRL 1.5X.875X.125 WHITE</t>
  </si>
  <si>
    <t>05.06.066.00</t>
  </si>
  <si>
    <t>63209</t>
  </si>
  <si>
    <t>PMG 5/8" HOT WATER CONN GASK</t>
  </si>
  <si>
    <t>05.06.069.00</t>
  </si>
  <si>
    <t>63211</t>
  </si>
  <si>
    <t>GASKET"D",.470X.382,NEOP,PLAIN</t>
  </si>
  <si>
    <t>05.06.070.00</t>
  </si>
  <si>
    <t>63220</t>
  </si>
  <si>
    <t>GASKET GRHDH,GRCDH HEATD WELL</t>
  </si>
  <si>
    <t>05.06.075.00</t>
  </si>
  <si>
    <t>63222</t>
  </si>
  <si>
    <t>GROMMET,RUBBER, .75" ID</t>
  </si>
  <si>
    <t>05.06.076.00</t>
  </si>
  <si>
    <t>63223</t>
  </si>
  <si>
    <t>GASKET,AWD-12 TANK LID</t>
  </si>
  <si>
    <t>05.06.078C.00</t>
  </si>
  <si>
    <t>63224</t>
  </si>
  <si>
    <t>GASKET,OS BEARING COVER 1.5"</t>
  </si>
  <si>
    <t>05.06.080.00</t>
  </si>
  <si>
    <t>63225</t>
  </si>
  <si>
    <t>GASKET,FSD,FLOAT SWITCH</t>
  </si>
  <si>
    <t>05.06.081.00</t>
  </si>
  <si>
    <t>63226</t>
  </si>
  <si>
    <t>GASKET,1.0x.01,SILICONE STRIP</t>
  </si>
  <si>
    <t>05.06.086.00</t>
  </si>
  <si>
    <t>63230</t>
  </si>
  <si>
    <t>GASKET,FSHC-7-1,HD SS DOOR</t>
  </si>
  <si>
    <t>05.06.092.00</t>
  </si>
  <si>
    <t>63230I</t>
  </si>
  <si>
    <t>GASKET,FSHC-6W1,HD SS DOOR</t>
  </si>
  <si>
    <t>05.06.096.00</t>
  </si>
  <si>
    <t>63231</t>
  </si>
  <si>
    <t>GASKET ELEMENT,BUNDLED</t>
  </si>
  <si>
    <t>05.06.098.00</t>
  </si>
  <si>
    <t>63232</t>
  </si>
  <si>
    <t>NYLON COLLAR,POST,SERVE RITE</t>
  </si>
  <si>
    <t>05.06.108.00</t>
  </si>
  <si>
    <t>63233</t>
  </si>
  <si>
    <t>ATM FLANGE ELEMENT GASKET</t>
  </si>
  <si>
    <t>05.06.137.00</t>
  </si>
  <si>
    <t>63234</t>
  </si>
  <si>
    <t>GASKET,DOOR,FSHC-7W</t>
  </si>
  <si>
    <t>05.06.145.00</t>
  </si>
  <si>
    <t>63240</t>
  </si>
  <si>
    <t>RUB BLACK HOSE ASSEMBLY 8FT</t>
  </si>
  <si>
    <t>05.06.147.00</t>
  </si>
  <si>
    <t>63241</t>
  </si>
  <si>
    <t>GASKET,DOOR,FSHC-5W-EE</t>
  </si>
  <si>
    <t>05.06.151.00</t>
  </si>
  <si>
    <t>63242</t>
  </si>
  <si>
    <t>GASKET,GLASS,MICA,19.985X11.9</t>
  </si>
  <si>
    <t>05.06.156.00</t>
  </si>
  <si>
    <t>63242B</t>
  </si>
  <si>
    <t>CWB-1, BEZEL GASKET</t>
  </si>
  <si>
    <t>05.06.157.00</t>
  </si>
  <si>
    <t>63245</t>
  </si>
  <si>
    <t>GASKET, SILICONE, .125 X .375</t>
  </si>
  <si>
    <t>05.06.159.00</t>
  </si>
  <si>
    <t>63245B</t>
  </si>
  <si>
    <t>GASKET, 1 X .04" THK, ADHESIVE</t>
  </si>
  <si>
    <t>05.06.166.00</t>
  </si>
  <si>
    <t>63246</t>
  </si>
  <si>
    <t>GASKET,CPHC-24</t>
  </si>
  <si>
    <t>05.06.167.00</t>
  </si>
  <si>
    <t>63247</t>
  </si>
  <si>
    <t>GASKET,CPHC-35</t>
  </si>
  <si>
    <t>05.06.187.00</t>
  </si>
  <si>
    <t>63248</t>
  </si>
  <si>
    <t>GASKET,DOOR,.408 WIDE BULB</t>
  </si>
  <si>
    <t>05.06.190.00</t>
  </si>
  <si>
    <t>63249</t>
  </si>
  <si>
    <t>GROMMET,RUBBER,.625" ID</t>
  </si>
  <si>
    <t>05.06.192.00</t>
  </si>
  <si>
    <t>63250</t>
  </si>
  <si>
    <t>GASK,HI TEMP,WOVEN FIBRGL W/SS</t>
  </si>
  <si>
    <t>05.06.194.00</t>
  </si>
  <si>
    <t>63251</t>
  </si>
  <si>
    <t>GASKET,TOUCHSCREEN BEZEL</t>
  </si>
  <si>
    <t>05.06.197.00</t>
  </si>
  <si>
    <t>63252</t>
  </si>
  <si>
    <t>GASKET,DOOR,1.312 X .032</t>
  </si>
  <si>
    <t>05.06.199.00</t>
  </si>
  <si>
    <t>63253</t>
  </si>
  <si>
    <t>SEALING COMPOUND,3/8 DIA ROPE</t>
  </si>
  <si>
    <t>05.06.220.00</t>
  </si>
  <si>
    <t>63255</t>
  </si>
  <si>
    <t>CWB-2, BEZEL GASKET</t>
  </si>
  <si>
    <t>05.06.222.00</t>
  </si>
  <si>
    <t>63256</t>
  </si>
  <si>
    <t>CWB-4, BEZEL GASKET</t>
  </si>
  <si>
    <t>05.06.238.00</t>
  </si>
  <si>
    <t>63257</t>
  </si>
  <si>
    <t>GASKET,HUMID TANK,FDWDB</t>
  </si>
  <si>
    <t>05.06.260.00</t>
  </si>
  <si>
    <t>63258</t>
  </si>
  <si>
    <t>SILICONE O RING,RCTHW2</t>
  </si>
  <si>
    <t>05.07.004.00</t>
  </si>
  <si>
    <t>63259</t>
  </si>
  <si>
    <t>SHAFT LOWER REAR DRIVE 3S</t>
  </si>
  <si>
    <t>05.07.005.00</t>
  </si>
  <si>
    <t>63260</t>
  </si>
  <si>
    <t>SHAFT UPPER 3S</t>
  </si>
  <si>
    <t>05.07.006.00</t>
  </si>
  <si>
    <t>63266</t>
  </si>
  <si>
    <t>SHAFT LOWER FRONT</t>
  </si>
  <si>
    <t>05.07.007.00</t>
  </si>
  <si>
    <t>63268</t>
  </si>
  <si>
    <t>SHAFT 2/S CONVEYOR</t>
  </si>
  <si>
    <t>05.07.008.00</t>
  </si>
  <si>
    <t>63270</t>
  </si>
  <si>
    <t>UPPER SHAFT 2/S CONVEYOR</t>
  </si>
  <si>
    <t>05.07.009.00</t>
  </si>
  <si>
    <t>63272</t>
  </si>
  <si>
    <t>LOWER SHAFT 2/S CONVEYOR</t>
  </si>
  <si>
    <t>05.07.042.00</t>
  </si>
  <si>
    <t>63274</t>
  </si>
  <si>
    <t>CARRIAGE SHAFT,PLT,TPT</t>
  </si>
  <si>
    <t>05.07.045.00</t>
  </si>
  <si>
    <t>63275</t>
  </si>
  <si>
    <t>UHMW PULLEY,QTS</t>
  </si>
  <si>
    <t>05.07.053.00</t>
  </si>
  <si>
    <t>63276</t>
  </si>
  <si>
    <t>HANDLE SHAFT,RWM,RCTWM</t>
  </si>
  <si>
    <t>05.07.058.00</t>
  </si>
  <si>
    <t>63281</t>
  </si>
  <si>
    <t>SHAFT W/CAM,SNACK SYSTEM</t>
  </si>
  <si>
    <t>05.08.001.00</t>
  </si>
  <si>
    <t>63282</t>
  </si>
  <si>
    <t>SPRING EXTENSION</t>
  </si>
  <si>
    <t>05.08.004.00</t>
  </si>
  <si>
    <t>63283</t>
  </si>
  <si>
    <t>PIN PLT SEL-LOC SPRG 3/32X7/16</t>
  </si>
  <si>
    <t>05.08.005.00</t>
  </si>
  <si>
    <t>63285</t>
  </si>
  <si>
    <t>SPRING COMPRESSION</t>
  </si>
  <si>
    <t>05.08.006.00</t>
  </si>
  <si>
    <t>63291</t>
  </si>
  <si>
    <t>PIN SS SEL-LOC SPRING 1/8X3/4</t>
  </si>
  <si>
    <t>05.08.007.00</t>
  </si>
  <si>
    <t>63292</t>
  </si>
  <si>
    <t>PIN PLT SEL-LOC SPRG 1/8X7/16</t>
  </si>
  <si>
    <t>05.08.011.00</t>
  </si>
  <si>
    <t>63293</t>
  </si>
  <si>
    <t>SPRING,COMP,2.43"OAL,13 TURN</t>
  </si>
  <si>
    <t>05.08.014.00</t>
  </si>
  <si>
    <t>63294</t>
  </si>
  <si>
    <t>.134 X 6.625" LG</t>
  </si>
  <si>
    <t>05.08.015.00</t>
  </si>
  <si>
    <t>63295</t>
  </si>
  <si>
    <t>SPRING,EXT,15OAL,9TURNS,5DIA</t>
  </si>
  <si>
    <t>05.08.016.00</t>
  </si>
  <si>
    <t>63302</t>
  </si>
  <si>
    <t>SPRING,EXTEN,53 OAL,52TURNS,9D</t>
  </si>
  <si>
    <t>05.08.017.00</t>
  </si>
  <si>
    <t>63310</t>
  </si>
  <si>
    <t>SPRING,COMP,18.5 OAL,9 TURN,8D</t>
  </si>
  <si>
    <t>05.08.019.00</t>
  </si>
  <si>
    <t>63312</t>
  </si>
  <si>
    <t>SPRING,EXTEN,44 OAL,90TURN,3.6</t>
  </si>
  <si>
    <t>05.08.023.00</t>
  </si>
  <si>
    <t>63313</t>
  </si>
  <si>
    <t>SPRING,HINGE,LH</t>
  </si>
  <si>
    <t>05.08.024.00</t>
  </si>
  <si>
    <t>63315</t>
  </si>
  <si>
    <t>SPRING,HINGE,RH</t>
  </si>
  <si>
    <t>05.08.030.00</t>
  </si>
  <si>
    <t>63316</t>
  </si>
  <si>
    <t>SPRING,BUTTON,TPT</t>
  </si>
  <si>
    <t>05.08.034.00</t>
  </si>
  <si>
    <t>63317</t>
  </si>
  <si>
    <t>SPRING,EXT,47OAL,52.5TURN,8DIA</t>
  </si>
  <si>
    <t>05.08.036.00</t>
  </si>
  <si>
    <t>63318</t>
  </si>
  <si>
    <t>SPRING,COUPLING,DISPL CABINET</t>
  </si>
  <si>
    <t>05.08.048.00</t>
  </si>
  <si>
    <t>63319</t>
  </si>
  <si>
    <t>SPRING PROBE,IRCTHW</t>
  </si>
  <si>
    <t>05.08.057.00</t>
  </si>
  <si>
    <t>63320</t>
  </si>
  <si>
    <t>SPRING COMPRESS,.25 LNG .21 OD</t>
  </si>
  <si>
    <t>05.09.020.00</t>
  </si>
  <si>
    <t>63321</t>
  </si>
  <si>
    <t>SPROCKET 10 TOOTH 3/8" BORE</t>
  </si>
  <si>
    <t>05.09.023.00</t>
  </si>
  <si>
    <t>63330</t>
  </si>
  <si>
    <t>SPROCKET 11 TOOTH DRIVE</t>
  </si>
  <si>
    <t>05.09.025.00</t>
  </si>
  <si>
    <t>63331</t>
  </si>
  <si>
    <t>SPROCKET 14 TOOTH .312 BORE</t>
  </si>
  <si>
    <t>05.09.027.00</t>
  </si>
  <si>
    <t>63332</t>
  </si>
  <si>
    <t>SPROCKET 10 TOOTH .312 BORE</t>
  </si>
  <si>
    <t>05.09.028.00</t>
  </si>
  <si>
    <t>63333</t>
  </si>
  <si>
    <t>SPROCKET 12 TOOTH .312 BORE</t>
  </si>
  <si>
    <t>05.09.029.00</t>
  </si>
  <si>
    <t>63334</t>
  </si>
  <si>
    <t>SPROCKET 12 TOOTH .375 BORE</t>
  </si>
  <si>
    <t>05.09.030.00</t>
  </si>
  <si>
    <t>63336</t>
  </si>
  <si>
    <t>SPROCKET 14 TOOTH .375 BORE</t>
  </si>
  <si>
    <t>05.09.031.00</t>
  </si>
  <si>
    <t>63391</t>
  </si>
  <si>
    <t>SPROCKET W/CLUTCH ASSEMBLY</t>
  </si>
  <si>
    <t>05.09.033.00</t>
  </si>
  <si>
    <t>63392</t>
  </si>
  <si>
    <t>SPROCKET 17 TOOTH .312 BORE</t>
  </si>
  <si>
    <t>05.09.040.00</t>
  </si>
  <si>
    <t>63393</t>
  </si>
  <si>
    <t>SPROCKET</t>
  </si>
  <si>
    <t>05.09.041.00</t>
  </si>
  <si>
    <t>63394</t>
  </si>
  <si>
    <t>CONVEYOR DRIVE GEAR,TQ-300SRVC</t>
  </si>
  <si>
    <t>05.09.042.00</t>
  </si>
  <si>
    <t>63395</t>
  </si>
  <si>
    <t>CHAIN CONVEYOR IDLER</t>
  </si>
  <si>
    <t>05.09.045.00</t>
  </si>
  <si>
    <t>63402</t>
  </si>
  <si>
    <t>SPROCKET 17 TOOTH .375 BORE</t>
  </si>
  <si>
    <t>05.09.055.00</t>
  </si>
  <si>
    <t>63402B</t>
  </si>
  <si>
    <t>SPROCKET,CONVEYOR,TM-10H</t>
  </si>
  <si>
    <t>05.09.056.00</t>
  </si>
  <si>
    <t>63403</t>
  </si>
  <si>
    <t>SPROCKET,MOTOR,TM,16 TOOTH</t>
  </si>
  <si>
    <t>05.09.057.00</t>
  </si>
  <si>
    <t>63404</t>
  </si>
  <si>
    <t>SPROCKET,MOTOR,TM,14 TOOTH</t>
  </si>
  <si>
    <t>05.09.059.00</t>
  </si>
  <si>
    <t>63405</t>
  </si>
  <si>
    <t>SPROCKET 7 TOOTH .312 BORE</t>
  </si>
  <si>
    <t>05.09.061.00</t>
  </si>
  <si>
    <t>63405B</t>
  </si>
  <si>
    <t>SPROCKET #25RC 10TOOTH .250B</t>
  </si>
  <si>
    <t>05.09.062.00</t>
  </si>
  <si>
    <t>63406</t>
  </si>
  <si>
    <t>SPROCKET #25RC 14TOOTH .375B</t>
  </si>
  <si>
    <t>05.09.066.00</t>
  </si>
  <si>
    <t>63407</t>
  </si>
  <si>
    <t>SPROCKET,MOTOR,TM,24 TOOTH</t>
  </si>
  <si>
    <t>05.09.069.00</t>
  </si>
  <si>
    <t>63408</t>
  </si>
  <si>
    <t>SPROCKET,#25RC,10 TOOTH</t>
  </si>
  <si>
    <t>05.09.070.00</t>
  </si>
  <si>
    <t>63410</t>
  </si>
  <si>
    <t>SPROCKET,#25RC,14 TOOTH</t>
  </si>
  <si>
    <t>05.10.003.00</t>
  </si>
  <si>
    <t>63411</t>
  </si>
  <si>
    <t>STRAP BOOSTER TANK 36"</t>
  </si>
  <si>
    <t>05.10.004.00</t>
  </si>
  <si>
    <t>63411B</t>
  </si>
  <si>
    <t>STRAP 32.562 BOOSTER TANK</t>
  </si>
  <si>
    <t>05.10.005.00</t>
  </si>
  <si>
    <t>63412</t>
  </si>
  <si>
    <t>STRAP PERFORATED 18"</t>
  </si>
  <si>
    <t>05.10.006.00</t>
  </si>
  <si>
    <t>63413</t>
  </si>
  <si>
    <t>STRAP PERFORATED 9"</t>
  </si>
  <si>
    <t>05.11.004.00</t>
  </si>
  <si>
    <t>63414</t>
  </si>
  <si>
    <t>WASH NYL BLACK NYLON THRUST</t>
  </si>
  <si>
    <t>05.11.005.00</t>
  </si>
  <si>
    <t>63415</t>
  </si>
  <si>
    <t>WASH SS .25ID .562OD .065THK</t>
  </si>
  <si>
    <t>05.11.006.00</t>
  </si>
  <si>
    <t>63416</t>
  </si>
  <si>
    <t>WASH NYL WHITE 1/2"X.317X.032</t>
  </si>
  <si>
    <t>05.11.007.00</t>
  </si>
  <si>
    <t>63417</t>
  </si>
  <si>
    <t>WASH NYL WHITE 1/2"X.317X.062</t>
  </si>
  <si>
    <t>05.11.008.00</t>
  </si>
  <si>
    <t>63418</t>
  </si>
  <si>
    <t>WASH PLT 1/4" ZNC LOCKWASHER</t>
  </si>
  <si>
    <t>05.11.017.00</t>
  </si>
  <si>
    <t>63419</t>
  </si>
  <si>
    <t>WASH PLT #10 STEEL LOCKWASHER</t>
  </si>
  <si>
    <t>05.11.020.00</t>
  </si>
  <si>
    <t>63420</t>
  </si>
  <si>
    <t>WASH SS 3/4" FLAT PUNCHED</t>
  </si>
  <si>
    <t>05.11.022.00</t>
  </si>
  <si>
    <t>63421</t>
  </si>
  <si>
    <t>SPACER 3/8X1/2 ZNC PLT CEM</t>
  </si>
  <si>
    <t>05.11.031.00</t>
  </si>
  <si>
    <t>63431B</t>
  </si>
  <si>
    <t>WASH PLT EXT LCKWASHER 1/4-20</t>
  </si>
  <si>
    <t>05.11.033.00</t>
  </si>
  <si>
    <t>63432B</t>
  </si>
  <si>
    <t>WASH NYL .365-.370ID .5 OD</t>
  </si>
  <si>
    <t>05.11.035.00</t>
  </si>
  <si>
    <t>63433B</t>
  </si>
  <si>
    <t>E-RING,SS,.375" SHAFT DIA.</t>
  </si>
  <si>
    <t>05.11.064.00</t>
  </si>
  <si>
    <t>63434B</t>
  </si>
  <si>
    <t>WASH SS #10 HELICAL LOCKWASHER</t>
  </si>
  <si>
    <t>05.11.068.00</t>
  </si>
  <si>
    <t>63435B</t>
  </si>
  <si>
    <t>WASH PLT .51"ID,.79"OD,CURVED</t>
  </si>
  <si>
    <t>05.11.126.00</t>
  </si>
  <si>
    <t>63440</t>
  </si>
  <si>
    <t>WASH SS,.875 ID 1.5 OD .10 THK</t>
  </si>
  <si>
    <t>05.11.127.00</t>
  </si>
  <si>
    <t>63441</t>
  </si>
  <si>
    <t>WASH SS,.812 ID 1.5 OD .125THK</t>
  </si>
  <si>
    <t>05.12.014.00</t>
  </si>
  <si>
    <t>63442</t>
  </si>
  <si>
    <t>HINGE,ASSY,FSD COVER</t>
  </si>
  <si>
    <t>05.13.091.00</t>
  </si>
  <si>
    <t>63443</t>
  </si>
  <si>
    <t>TORSION SPRNG L C-G S L,AD0601</t>
  </si>
  <si>
    <t>05.13.092.00</t>
  </si>
  <si>
    <t>63444</t>
  </si>
  <si>
    <t>TORSION SPRNG R C-G S L,AD0602</t>
  </si>
  <si>
    <t>05.13.093.00</t>
  </si>
  <si>
    <t>63445</t>
  </si>
  <si>
    <t>CORD SJTOW 3/C 14 AWG,AE0156</t>
  </si>
  <si>
    <t>05.13.094.00</t>
  </si>
  <si>
    <t>63446</t>
  </si>
  <si>
    <t>SHIELD HTR UL 240V 880W,AE0591</t>
  </si>
  <si>
    <t>05.13.095.00</t>
  </si>
  <si>
    <t>63450</t>
  </si>
  <si>
    <t>CORD SJTOW 3/C 14 AWG,AE0653</t>
  </si>
  <si>
    <t>05.13.096.00</t>
  </si>
  <si>
    <t>63450B</t>
  </si>
  <si>
    <t>SAFETY THERMOCOUPLE,FD0122</t>
  </si>
  <si>
    <t>05.13.097.00</t>
  </si>
  <si>
    <t>63451</t>
  </si>
  <si>
    <t>NAT GAS KIT 8kW SING. 48/40 UL</t>
  </si>
  <si>
    <t>05.13.098.00</t>
  </si>
  <si>
    <t>63491</t>
  </si>
  <si>
    <t>KIT B/P8kW SGL 48/40 UL,SK0042</t>
  </si>
  <si>
    <t>05.13.099.00</t>
  </si>
  <si>
    <t>63492</t>
  </si>
  <si>
    <t>HEAT EL,1250 W-240V-CR CONFORT</t>
  </si>
  <si>
    <t>05.30.001.00</t>
  </si>
  <si>
    <t>63505</t>
  </si>
  <si>
    <t>KNOB,MANUAL ADVANCE-TOASTER</t>
  </si>
  <si>
    <t>05.30.007.00</t>
  </si>
  <si>
    <t>63510</t>
  </si>
  <si>
    <t>LEG 4" BLACK COUNTER APPLIANCE</t>
  </si>
  <si>
    <t>05.30.009A.00</t>
  </si>
  <si>
    <t>63511</t>
  </si>
  <si>
    <t>NUT BRS 1-1/2" BRASS LOCKNUT</t>
  </si>
  <si>
    <t>05.30.009B.00</t>
  </si>
  <si>
    <t>63514</t>
  </si>
  <si>
    <t>WASH NEOPRENE FOR SPUD THIN</t>
  </si>
  <si>
    <t>05.30.009C.00</t>
  </si>
  <si>
    <t>63521</t>
  </si>
  <si>
    <t>WASH NEOPRENE FOR SPUD THICK</t>
  </si>
  <si>
    <t>05.30.009D.00</t>
  </si>
  <si>
    <t>63522</t>
  </si>
  <si>
    <t>WASH FIBER WASHER</t>
  </si>
  <si>
    <t>05.30.013.00</t>
  </si>
  <si>
    <t>63523</t>
  </si>
  <si>
    <t>PLUG,BLACK CAP,1" DIA TUBE</t>
  </si>
  <si>
    <t>05.30.018.00</t>
  </si>
  <si>
    <t>63525</t>
  </si>
  <si>
    <t>KNOB INFINITE SWITCH GR &amp; GRHD</t>
  </si>
  <si>
    <t>05.30.019.00</t>
  </si>
  <si>
    <t>63526</t>
  </si>
  <si>
    <t>KNOB,INF SWITCH TOASTER FRS</t>
  </si>
  <si>
    <t>05.30.020.00</t>
  </si>
  <si>
    <t>63591</t>
  </si>
  <si>
    <t>KNOB,1.5 OD .25 ID SET SCREW</t>
  </si>
  <si>
    <t>05.30.021.00</t>
  </si>
  <si>
    <t>63601</t>
  </si>
  <si>
    <t>KNOB,FR CONTROL</t>
  </si>
  <si>
    <t>05.30.026.00</t>
  </si>
  <si>
    <t>63601B</t>
  </si>
  <si>
    <t>MAGNET FOR FDW-1</t>
  </si>
  <si>
    <t>05.30.027.00</t>
  </si>
  <si>
    <t>63602</t>
  </si>
  <si>
    <t>MAGNET STRIKER PLATE FDW-1</t>
  </si>
  <si>
    <t>05.30.032.00</t>
  </si>
  <si>
    <t>63605</t>
  </si>
  <si>
    <t>KNOB DW D-10 1/4-20 STUD 11406</t>
  </si>
  <si>
    <t>05.30.039.00</t>
  </si>
  <si>
    <t>63605B</t>
  </si>
  <si>
    <t>KNOB,BASE THERMOSTAT BULB&amp;CAP</t>
  </si>
  <si>
    <t>05.30.040.00</t>
  </si>
  <si>
    <t>63606</t>
  </si>
  <si>
    <t>LEG 2-1/2" BLACK PLASTIC ADJ.</t>
  </si>
  <si>
    <t>05.30.042.00</t>
  </si>
  <si>
    <t>63607</t>
  </si>
  <si>
    <t>KNOB,ELEC INFINITE POTENT</t>
  </si>
  <si>
    <t>05.30.043.00</t>
  </si>
  <si>
    <t>63608</t>
  </si>
  <si>
    <t>KNOB FOR EGO INFINITE SWITCH</t>
  </si>
  <si>
    <t>05.30.044.00</t>
  </si>
  <si>
    <t>63608B</t>
  </si>
  <si>
    <t>LEG 3/8-16x3/8 BLK RUBBER FOOT</t>
  </si>
  <si>
    <t>05.30.047.00</t>
  </si>
  <si>
    <t>63691</t>
  </si>
  <si>
    <t>KNOB HDW CONTROL EGO</t>
  </si>
  <si>
    <t>05.30.048.00</t>
  </si>
  <si>
    <t>63701</t>
  </si>
  <si>
    <t>KNOB,10-32x3/8 STUD,BLACK</t>
  </si>
  <si>
    <t>05.30.060.00</t>
  </si>
  <si>
    <t>63702</t>
  </si>
  <si>
    <t>KNOB .25BUSH W/SETSC BLK</t>
  </si>
  <si>
    <t>05.30.064.00</t>
  </si>
  <si>
    <t>63705</t>
  </si>
  <si>
    <t>2 1/2" DIA RUBBER FOOT W/WASH</t>
  </si>
  <si>
    <t>05.30.065A.00</t>
  </si>
  <si>
    <t>63707</t>
  </si>
  <si>
    <t>PAD FOR 05.30.065.00</t>
  </si>
  <si>
    <t>05.30.068.00</t>
  </si>
  <si>
    <t>63712</t>
  </si>
  <si>
    <t>5/8"DIA W/8-32 INSERT BUMPER</t>
  </si>
  <si>
    <t>05.30.069.00</t>
  </si>
  <si>
    <t>63713</t>
  </si>
  <si>
    <t>LEG 6" BLACK PLASTIC 1/2"-13</t>
  </si>
  <si>
    <t>05.30.070.00</t>
  </si>
  <si>
    <t>63715</t>
  </si>
  <si>
    <t>LEG 6" SS 1/2"-13</t>
  </si>
  <si>
    <t>05.30.071.00</t>
  </si>
  <si>
    <t>63716</t>
  </si>
  <si>
    <t>LEG 4" BLACK PLASTIC 1/2"-13</t>
  </si>
  <si>
    <t>05.30.073.00</t>
  </si>
  <si>
    <t>63718</t>
  </si>
  <si>
    <t>LEG 6" SS 1/2"-13 DECK MOUNTNG</t>
  </si>
  <si>
    <t>05.30.082.00</t>
  </si>
  <si>
    <t>63719</t>
  </si>
  <si>
    <t>KNOB,.906 OD .25 ID,SET SCREW</t>
  </si>
  <si>
    <t>05.30.089.00</t>
  </si>
  <si>
    <t>63720</t>
  </si>
  <si>
    <t>GLIDE,SNAP-ON,100 FT COIL</t>
  </si>
  <si>
    <t>05.30.093.00</t>
  </si>
  <si>
    <t>63721</t>
  </si>
  <si>
    <t>CONTROL KNOB,TM</t>
  </si>
  <si>
    <t>05.30.113.00</t>
  </si>
  <si>
    <t>63722</t>
  </si>
  <si>
    <t>MAGNETIC EDGE MOUNT LATCH KIT</t>
  </si>
  <si>
    <t>05.30.114.00</t>
  </si>
  <si>
    <t>63723</t>
  </si>
  <si>
    <t>RUBBER FOOT</t>
  </si>
  <si>
    <t>05.30.115.00</t>
  </si>
  <si>
    <t>63791</t>
  </si>
  <si>
    <t>CONTROL KNOB,TPT-120</t>
  </si>
  <si>
    <t>05.30.126.00</t>
  </si>
  <si>
    <t>63792</t>
  </si>
  <si>
    <t>KNOB,CTRL,W/SETSCREW,SERV-RITE</t>
  </si>
  <si>
    <t>05.30.129.00</t>
  </si>
  <si>
    <t>63793</t>
  </si>
  <si>
    <t>KNOB.PAN LID,RHW</t>
  </si>
  <si>
    <t>05.30.137.00</t>
  </si>
  <si>
    <t>63795</t>
  </si>
  <si>
    <t>HANDLE PLUG,TPT</t>
  </si>
  <si>
    <t>05.30.139.00</t>
  </si>
  <si>
    <t>65101</t>
  </si>
  <si>
    <t>DOOR MAGNET,NEODYMIUM,FDWD</t>
  </si>
  <si>
    <t>05.30.149.00</t>
  </si>
  <si>
    <t>65101B</t>
  </si>
  <si>
    <t>FOOT CUSHION,RHW</t>
  </si>
  <si>
    <t>05.30.150.00</t>
  </si>
  <si>
    <t>65102</t>
  </si>
  <si>
    <t>SERVICE,4"DIA 5"CLR CAST SWIVL</t>
  </si>
  <si>
    <t>05.30.155.00</t>
  </si>
  <si>
    <t>65102B</t>
  </si>
  <si>
    <t>SEALED MAGNETIC LATCH</t>
  </si>
  <si>
    <t>05.30.165.00</t>
  </si>
  <si>
    <t>65104</t>
  </si>
  <si>
    <t>KNOB,SELECTION,TMS</t>
  </si>
  <si>
    <t>05.30.169.00</t>
  </si>
  <si>
    <t>65105</t>
  </si>
  <si>
    <t>SILICONE HANDLE COVER,RCTHW</t>
  </si>
  <si>
    <t>05.30.175.00</t>
  </si>
  <si>
    <t>65106</t>
  </si>
  <si>
    <t>BUSHING,RUBBER,22.5 X 14.5 MM</t>
  </si>
  <si>
    <t>05.30.176.00</t>
  </si>
  <si>
    <t>65107</t>
  </si>
  <si>
    <t>DISC MAGNET 3/4" DIA. W/C'SINK</t>
  </si>
  <si>
    <t>05.30.200.00</t>
  </si>
  <si>
    <t>65111</t>
  </si>
  <si>
    <t>LEG .394H X .709DIA BLK RUBBER</t>
  </si>
  <si>
    <t>05.30.204.00</t>
  </si>
  <si>
    <t>65203</t>
  </si>
  <si>
    <t>LEG 2.5",PLASTIC,1/4-20.BLACK</t>
  </si>
  <si>
    <t>05.30.205.00</t>
  </si>
  <si>
    <t>65204</t>
  </si>
  <si>
    <t>MAGNET,10mm ROUND,NEODYMIUM</t>
  </si>
  <si>
    <t>05.30.221.00</t>
  </si>
  <si>
    <t>65206</t>
  </si>
  <si>
    <t>TUBE SUPPORT,UPPER FAUCET,FM-5</t>
  </si>
  <si>
    <t>05.30.227.00</t>
  </si>
  <si>
    <t>65207</t>
  </si>
  <si>
    <t>HANDLE,RECESSED PLASTIC</t>
  </si>
  <si>
    <t>05.30.232.00</t>
  </si>
  <si>
    <t>65208</t>
  </si>
  <si>
    <t>BLK RUB FOOT ASSY,.6x.2,3/8-16</t>
  </si>
  <si>
    <t>05.30.236.00</t>
  </si>
  <si>
    <t>65209</t>
  </si>
  <si>
    <t>DOOR MAGNET,SIDE MNT,W/STRIKER</t>
  </si>
  <si>
    <t>05.30.243.00</t>
  </si>
  <si>
    <t>65219</t>
  </si>
  <si>
    <t>MAGNET,HITEMP,SENSOR,.25X.5OD</t>
  </si>
  <si>
    <t>05.30.247.00</t>
  </si>
  <si>
    <t>65220</t>
  </si>
  <si>
    <t>FOOT,RUBBER,17.5mm TALL</t>
  </si>
  <si>
    <t>05.30.248.00</t>
  </si>
  <si>
    <t>65230</t>
  </si>
  <si>
    <t>KNOB,32mm DIA,6mm SHAFT</t>
  </si>
  <si>
    <t>05.30.249.00</t>
  </si>
  <si>
    <t>65239</t>
  </si>
  <si>
    <t>NYLON INSULATING CAP,7.5mm ID</t>
  </si>
  <si>
    <t>05.30.250.00</t>
  </si>
  <si>
    <t>65240</t>
  </si>
  <si>
    <t>FERRITE CORE,5.46 MICRO HENRIE</t>
  </si>
  <si>
    <t>05.30.252.00</t>
  </si>
  <si>
    <t>65260</t>
  </si>
  <si>
    <t>SPACER,NYL,7.5mmID X12 OD,5.5T</t>
  </si>
  <si>
    <t>05.30.253.00</t>
  </si>
  <si>
    <t>65263</t>
  </si>
  <si>
    <t>SHAFT SEAL,8mm ID X 12.5mmTALL</t>
  </si>
  <si>
    <t>05.30.259.00</t>
  </si>
  <si>
    <t>65264</t>
  </si>
  <si>
    <t>LENS,LED CORNER 18" LG</t>
  </si>
  <si>
    <t>05.30.260.00</t>
  </si>
  <si>
    <t>65265</t>
  </si>
  <si>
    <t>LENS,LED CORNER 38" LG</t>
  </si>
  <si>
    <t>05.30.268.00</t>
  </si>
  <si>
    <t>65266</t>
  </si>
  <si>
    <t>LEG 1",ADJ,DIE CAST,1/4-20</t>
  </si>
  <si>
    <t>05.30.271.00</t>
  </si>
  <si>
    <t>65267</t>
  </si>
  <si>
    <t>KNOB,40mm DIA,6mm SHAFT</t>
  </si>
  <si>
    <t>05.30.287.00</t>
  </si>
  <si>
    <t>65268</t>
  </si>
  <si>
    <t>HANDLE,PULL,4.75"LG,NYLON BLK</t>
  </si>
  <si>
    <t>05.30.298.00</t>
  </si>
  <si>
    <t>65269</t>
  </si>
  <si>
    <t>SNAP-ON BEZEL,TOUCH SCREEN</t>
  </si>
  <si>
    <t>05.30.300.00</t>
  </si>
  <si>
    <t>65271</t>
  </si>
  <si>
    <t>MAGNET ASSY,.25 X.375 X 3.600"</t>
  </si>
  <si>
    <t>05.30.302.00</t>
  </si>
  <si>
    <t>65272</t>
  </si>
  <si>
    <t>HANDLE,RWM,RCTWM</t>
  </si>
  <si>
    <t>05.30.305.00</t>
  </si>
  <si>
    <t>65273</t>
  </si>
  <si>
    <t>CURVED T PULL HANDLE 350MM C-C</t>
  </si>
  <si>
    <t>05.30.308.00</t>
  </si>
  <si>
    <t>65274</t>
  </si>
  <si>
    <t>DOOR HANDLE,GMHDH,SILVER GRAY</t>
  </si>
  <si>
    <t>05.30.311.00</t>
  </si>
  <si>
    <t>65275</t>
  </si>
  <si>
    <t>LEG,4" ADJ METAL</t>
  </si>
  <si>
    <t>05.30.332.00</t>
  </si>
  <si>
    <t>65276</t>
  </si>
  <si>
    <t>KNOB,WAVE SHAPE,6mm DIA SHAFT</t>
  </si>
  <si>
    <t>05.30.356.00</t>
  </si>
  <si>
    <t>65277</t>
  </si>
  <si>
    <t>4" ADJ LEG W/1 FLANGE FOOT,BLK</t>
  </si>
  <si>
    <t>05.30.362.00</t>
  </si>
  <si>
    <t>65278</t>
  </si>
  <si>
    <t>TEFLON PLT,GRAVITY SENSOR,TMS2</t>
  </si>
  <si>
    <t>05.30.363.00</t>
  </si>
  <si>
    <t>65279</t>
  </si>
  <si>
    <t>LEG,2.5",ADJ PLASTIC,TMS-2</t>
  </si>
  <si>
    <t>05.30.379.00</t>
  </si>
  <si>
    <t>65280</t>
  </si>
  <si>
    <t>HANDLE,FWM</t>
  </si>
  <si>
    <t>05.30.384.00</t>
  </si>
  <si>
    <t>65282</t>
  </si>
  <si>
    <t>SHAFT SEAL,8MM ID X 17MM TALL</t>
  </si>
  <si>
    <t>05.30.387.00</t>
  </si>
  <si>
    <t>65283</t>
  </si>
  <si>
    <t>LEG, 6" SS, 1/2-13, FLANGED</t>
  </si>
  <si>
    <t>05.30.389.00</t>
  </si>
  <si>
    <t>65284</t>
  </si>
  <si>
    <t>KNOB,38MM DIA,6MM SHAFT</t>
  </si>
  <si>
    <t>05.30.419.00</t>
  </si>
  <si>
    <t>65286</t>
  </si>
  <si>
    <t>MAGNET,D5X10</t>
  </si>
  <si>
    <t>05.30.491.00</t>
  </si>
  <si>
    <t>65287</t>
  </si>
  <si>
    <t>KNOB,58MM DIA,21MM THK,6MM SHAFT,BLK</t>
  </si>
  <si>
    <t>06.01.042B.00</t>
  </si>
  <si>
    <t>65288</t>
  </si>
  <si>
    <t>FFB,FFBL PAD</t>
  </si>
  <si>
    <t>06.01.043.00</t>
  </si>
  <si>
    <t>65290</t>
  </si>
  <si>
    <t>#84 INDESTRUCTO CARTON</t>
  </si>
  <si>
    <t>06.01.066B.00</t>
  </si>
  <si>
    <t>65301</t>
  </si>
  <si>
    <t>36 AND 24D C/S, REV C/S SHT</t>
  </si>
  <si>
    <t>06.01.066C.00</t>
  </si>
  <si>
    <t>65302</t>
  </si>
  <si>
    <t>CONDUIT PROTECTIVE FILLER</t>
  </si>
  <si>
    <t>06.01.066E.00</t>
  </si>
  <si>
    <t>65303</t>
  </si>
  <si>
    <t>GR/GRA CONDUIT SPACER</t>
  </si>
  <si>
    <t>06.01.090A.00</t>
  </si>
  <si>
    <t>65304</t>
  </si>
  <si>
    <t>FS INNERPACK CORNER</t>
  </si>
  <si>
    <t>06.01.090D.00</t>
  </si>
  <si>
    <t>65305</t>
  </si>
  <si>
    <t>FS BOTTOM PAD</t>
  </si>
  <si>
    <t>06.01.090E.00</t>
  </si>
  <si>
    <t>65306</t>
  </si>
  <si>
    <t>FS INNERPACK DIE CUT CORNER</t>
  </si>
  <si>
    <t>06.01.100.00</t>
  </si>
  <si>
    <t>65307</t>
  </si>
  <si>
    <t>GRL 18-24-30 SHIPPING CARTON</t>
  </si>
  <si>
    <t>06.01.1001.00</t>
  </si>
  <si>
    <t>65311</t>
  </si>
  <si>
    <t>TQ3-2000 CARTON</t>
  </si>
  <si>
    <t>06.01.101.00</t>
  </si>
  <si>
    <t>65312</t>
  </si>
  <si>
    <t>GRL 36-42 SHIPPING CARTON</t>
  </si>
  <si>
    <t>06.01.1021.00</t>
  </si>
  <si>
    <t>65313</t>
  </si>
  <si>
    <t>CARTON BOX,SINGLE,WM</t>
  </si>
  <si>
    <t>06.01.1022.00</t>
  </si>
  <si>
    <t>65314</t>
  </si>
  <si>
    <t>EPE CORNER POST-L,RWM,RCTWM</t>
  </si>
  <si>
    <t>06.01.1023.00</t>
  </si>
  <si>
    <t>65315</t>
  </si>
  <si>
    <t>EPE CORNER POST-R,RWM,RCTWM</t>
  </si>
  <si>
    <t>06.01.103.00</t>
  </si>
  <si>
    <t>65316</t>
  </si>
  <si>
    <t>GRL 60-66-72 SHIPPING CARTON</t>
  </si>
  <si>
    <t>06.01.104.00</t>
  </si>
  <si>
    <t>65317</t>
  </si>
  <si>
    <t>GRL SC SHT</t>
  </si>
  <si>
    <t>06.01.1053B.00</t>
  </si>
  <si>
    <t>65318</t>
  </si>
  <si>
    <t>4/3 MODULAR WELL FILLER</t>
  </si>
  <si>
    <t>06.01.1055A.00</t>
  </si>
  <si>
    <t>65321</t>
  </si>
  <si>
    <t>4/3 MODULAR 4/5/6 WELL SLEEVE</t>
  </si>
  <si>
    <t>06.01.1057.00</t>
  </si>
  <si>
    <t>65322</t>
  </si>
  <si>
    <t>4/3 MODULAR 6 WELL TRAY</t>
  </si>
  <si>
    <t>06.01.1106.00</t>
  </si>
  <si>
    <t>65323</t>
  </si>
  <si>
    <t>GRSBF42H2081212 CARTON</t>
  </si>
  <si>
    <t>06.01.1106A.00</t>
  </si>
  <si>
    <t>65324</t>
  </si>
  <si>
    <t>GRSBF HUSSMANN CORNER CUSHION</t>
  </si>
  <si>
    <t>06.01.1106B.00</t>
  </si>
  <si>
    <t>65325</t>
  </si>
  <si>
    <t>GRSBF HUSSMANN SIDE CUSHION</t>
  </si>
  <si>
    <t>06.01.1107.00</t>
  </si>
  <si>
    <t>65327</t>
  </si>
  <si>
    <t>GRSBF54H2401212 CARTON</t>
  </si>
  <si>
    <t>06.01.1132.00</t>
  </si>
  <si>
    <t>65328</t>
  </si>
  <si>
    <t>GRL 36, 42 W/RMB CARTON</t>
  </si>
  <si>
    <t>06.01.1132B.00</t>
  </si>
  <si>
    <t>65329</t>
  </si>
  <si>
    <t>GRAL/HL 6.25 FILLER</t>
  </si>
  <si>
    <t>06.01.1132C.00</t>
  </si>
  <si>
    <t>65331</t>
  </si>
  <si>
    <t>GRAL/HL 12.25 FILLER</t>
  </si>
  <si>
    <t>06.01.119.00</t>
  </si>
  <si>
    <t>65332</t>
  </si>
  <si>
    <t>TOP DIVIDER S &amp; L SHEET</t>
  </si>
  <si>
    <t>06.01.1232.00</t>
  </si>
  <si>
    <t>65333</t>
  </si>
  <si>
    <t>GRS2G 4620 TRAY</t>
  </si>
  <si>
    <t>06.01.1232A.00</t>
  </si>
  <si>
    <t>65334</t>
  </si>
  <si>
    <t>GRS2G 4620 - 5 SHELF SURROUND</t>
  </si>
  <si>
    <t>06.01.1238.00</t>
  </si>
  <si>
    <t>65335</t>
  </si>
  <si>
    <t>MINNOW FLAT TRAY &amp; TOP</t>
  </si>
  <si>
    <t>06.01.1238A.00</t>
  </si>
  <si>
    <t>65336</t>
  </si>
  <si>
    <t>MINNOW FLAT SURROUND</t>
  </si>
  <si>
    <t>06.01.124B.00</t>
  </si>
  <si>
    <t>65337</t>
  </si>
  <si>
    <t>GRS D/C 10.11X11.06 275#CB</t>
  </si>
  <si>
    <t>06.01.133.00</t>
  </si>
  <si>
    <t>65338</t>
  </si>
  <si>
    <t>GRBW CORNER FILLER 17:8 X 38:2</t>
  </si>
  <si>
    <t>06.01.134.00</t>
  </si>
  <si>
    <t>65339</t>
  </si>
  <si>
    <t>GRBW 6" END FILLER</t>
  </si>
  <si>
    <t>06.01.136.00</t>
  </si>
  <si>
    <t>65341</t>
  </si>
  <si>
    <t>GRBW CARTON, 42" 48" 54"</t>
  </si>
  <si>
    <t>06.01.137.00</t>
  </si>
  <si>
    <t>65342</t>
  </si>
  <si>
    <t>GRBW CARTON, WHITE</t>
  </si>
  <si>
    <t>06.01.164.00</t>
  </si>
  <si>
    <t>65343</t>
  </si>
  <si>
    <t>GRHD DOOR RETAINER</t>
  </si>
  <si>
    <t>06.01.172.00</t>
  </si>
  <si>
    <t>65344</t>
  </si>
  <si>
    <t>GRSDH 30" FILLER</t>
  </si>
  <si>
    <t>06.01.173.00</t>
  </si>
  <si>
    <t>65345</t>
  </si>
  <si>
    <t>GRSDH 36" FILLER</t>
  </si>
  <si>
    <t>06.01.215.00</t>
  </si>
  <si>
    <t>65346</t>
  </si>
  <si>
    <t>7" DIE CUT CONTAINER</t>
  </si>
  <si>
    <t>06.01.230.00</t>
  </si>
  <si>
    <t>65347</t>
  </si>
  <si>
    <t>HDW CARTON</t>
  </si>
  <si>
    <t>06.01.231.00</t>
  </si>
  <si>
    <t>65348</t>
  </si>
  <si>
    <t>HDW CARTON TRAY</t>
  </si>
  <si>
    <t>06.01.233.00</t>
  </si>
  <si>
    <t>65349</t>
  </si>
  <si>
    <t>HDW CORNER POST</t>
  </si>
  <si>
    <t>06.01.234.00</t>
  </si>
  <si>
    <t>65350</t>
  </si>
  <si>
    <t>HDW TOP/BOTTOM PAD</t>
  </si>
  <si>
    <t>06.01.235.00</t>
  </si>
  <si>
    <t>65350B</t>
  </si>
  <si>
    <t>HDW-1 CONTAINER</t>
  </si>
  <si>
    <t>06.01.250.00</t>
  </si>
  <si>
    <t>65351</t>
  </si>
  <si>
    <t>CARTON GRS 30 X 19.5"</t>
  </si>
  <si>
    <t>06.01.275.00</t>
  </si>
  <si>
    <t>65352</t>
  </si>
  <si>
    <t>FF/FFL CARTON</t>
  </si>
  <si>
    <t>06.01.275A.00</t>
  </si>
  <si>
    <t>65353</t>
  </si>
  <si>
    <t>FF/FFL INNER FILLER KNOCK DOWN</t>
  </si>
  <si>
    <t>06.01.275B.00</t>
  </si>
  <si>
    <t>65354</t>
  </si>
  <si>
    <t>FF/FFL OUTER FILLER</t>
  </si>
  <si>
    <t>06.01.275C.00</t>
  </si>
  <si>
    <t>65355</t>
  </si>
  <si>
    <t>FF/FFL END PAD KNOCK DOWN</t>
  </si>
  <si>
    <t>06.01.280.00</t>
  </si>
  <si>
    <t>65356</t>
  </si>
  <si>
    <t>GRHD-3P,3PD CARTON</t>
  </si>
  <si>
    <t>06.01.283.00</t>
  </si>
  <si>
    <t>65357</t>
  </si>
  <si>
    <t>GRSDS GLASS SUPPORT BOX</t>
  </si>
  <si>
    <t>06.01.284.00</t>
  </si>
  <si>
    <t>65358</t>
  </si>
  <si>
    <t>GRSDS DUAL GLASS SUPPORT BOX</t>
  </si>
  <si>
    <t>06.01.294.00</t>
  </si>
  <si>
    <t>65359</t>
  </si>
  <si>
    <t>AIH-36,42,48 DUAL OUTER SLEEVE</t>
  </si>
  <si>
    <t>06.01.294A.00</t>
  </si>
  <si>
    <t>65361</t>
  </si>
  <si>
    <t>AIH-36,42,48 DUAL INNER SLEEVE</t>
  </si>
  <si>
    <t>06.01.296.00</t>
  </si>
  <si>
    <t>65362</t>
  </si>
  <si>
    <t>INFRABLACK INNER PACK</t>
  </si>
  <si>
    <t>06.01.302.00</t>
  </si>
  <si>
    <t>65363</t>
  </si>
  <si>
    <t>GR DUAL 18-36" OUTER SLEEVE</t>
  </si>
  <si>
    <t>06.01.302A.00</t>
  </si>
  <si>
    <t>65364</t>
  </si>
  <si>
    <t>GR DUAL 18-36" INNER SLEEVE</t>
  </si>
  <si>
    <t>06.01.312.00</t>
  </si>
  <si>
    <t>65365</t>
  </si>
  <si>
    <t>GRS CORNER PROTECTION</t>
  </si>
  <si>
    <t>06.01.322.00</t>
  </si>
  <si>
    <t>65366</t>
  </si>
  <si>
    <t>GRSDS-24D TOP/BOTTOM TRAY</t>
  </si>
  <si>
    <t>06.01.323.00</t>
  </si>
  <si>
    <t>65367</t>
  </si>
  <si>
    <t>GRSDS-30D TOP/BOTTOM TRAY</t>
  </si>
  <si>
    <t>06.01.324.00</t>
  </si>
  <si>
    <t>65368</t>
  </si>
  <si>
    <t>GRSDS-36D TOP/BOTTOM TRAY</t>
  </si>
  <si>
    <t>06.01.326.00</t>
  </si>
  <si>
    <t>65369</t>
  </si>
  <si>
    <t>GRSDS-52D TOP/BOTTOM TRAY</t>
  </si>
  <si>
    <t>06.01.329.00</t>
  </si>
  <si>
    <t>65372B</t>
  </si>
  <si>
    <t>GRSDS DUAL SMALL SLEEVE</t>
  </si>
  <si>
    <t>06.01.331.00</t>
  </si>
  <si>
    <t>65373</t>
  </si>
  <si>
    <t>GRSDS-24-41D ACCESSORY CARTON</t>
  </si>
  <si>
    <t>06.01.332.00</t>
  </si>
  <si>
    <t>65373B</t>
  </si>
  <si>
    <t>GRSDS-52,60D ACCESSORY CARTON</t>
  </si>
  <si>
    <t>06.01.334A.00</t>
  </si>
  <si>
    <t>65374</t>
  </si>
  <si>
    <t>PMG-100,200 ACCESSORY BOX</t>
  </si>
  <si>
    <t>06.01.347D.00</t>
  </si>
  <si>
    <t>65375</t>
  </si>
  <si>
    <t>FS,FSD,DT FLAT TOP/BOTTOM PAD</t>
  </si>
  <si>
    <t>06.01.350.00</t>
  </si>
  <si>
    <t>65377</t>
  </si>
  <si>
    <t>GR2SDS-24D TO 36D SLEEVE</t>
  </si>
  <si>
    <t>06.01.350C.00</t>
  </si>
  <si>
    <t>65378</t>
  </si>
  <si>
    <t>GR2SDS-42D TO 60D SLEEVE</t>
  </si>
  <si>
    <t>06.01.352.00</t>
  </si>
  <si>
    <t>65379</t>
  </si>
  <si>
    <t>GR2SDH-24D TO 36D SLEEVE</t>
  </si>
  <si>
    <t>06.01.355A.00</t>
  </si>
  <si>
    <t>65382</t>
  </si>
  <si>
    <t>GR2SDS-30 TOP PAD</t>
  </si>
  <si>
    <t>06.01.356A.00</t>
  </si>
  <si>
    <t>65383</t>
  </si>
  <si>
    <t>GR2SDS-36 TOP PAD</t>
  </si>
  <si>
    <t>06.01.357A.00</t>
  </si>
  <si>
    <t>65383B</t>
  </si>
  <si>
    <t>GR2SDS-42 TOP PAD</t>
  </si>
  <si>
    <t>06.01.360A.00</t>
  </si>
  <si>
    <t>65384</t>
  </si>
  <si>
    <t>GR2SDS-60 TOP PAD</t>
  </si>
  <si>
    <t>06.01.364.00</t>
  </si>
  <si>
    <t>65385</t>
  </si>
  <si>
    <t>GR2BW-24 TRAY</t>
  </si>
  <si>
    <t>06.01.365.00</t>
  </si>
  <si>
    <t>65386</t>
  </si>
  <si>
    <t>GR2BW-30 TRAY</t>
  </si>
  <si>
    <t>06.01.366.00</t>
  </si>
  <si>
    <t>65387</t>
  </si>
  <si>
    <t>GR2BW-36 TRAY</t>
  </si>
  <si>
    <t>06.01.367.00</t>
  </si>
  <si>
    <t>65388</t>
  </si>
  <si>
    <t>GR2BW-42 TRAY</t>
  </si>
  <si>
    <t>06.01.368.00</t>
  </si>
  <si>
    <t>65389</t>
  </si>
  <si>
    <t>GR2BW-48 TRAY</t>
  </si>
  <si>
    <t>06.01.370.00</t>
  </si>
  <si>
    <t>65391</t>
  </si>
  <si>
    <t>GR2BW-60 TRAY</t>
  </si>
  <si>
    <t>06.01.374A.00</t>
  </si>
  <si>
    <t>65392</t>
  </si>
  <si>
    <t>FF/FFL/FFB BOTTOM PAD</t>
  </si>
  <si>
    <t>06.01.390D.00</t>
  </si>
  <si>
    <t>65393</t>
  </si>
  <si>
    <t>GRCD-2PD EDGE PROTECTOR-CORNER</t>
  </si>
  <si>
    <t>06.01.394.00</t>
  </si>
  <si>
    <t>65396</t>
  </si>
  <si>
    <t>RMB-16 MASTER CARTON</t>
  </si>
  <si>
    <t>06.01.394B.00</t>
  </si>
  <si>
    <t>65397</t>
  </si>
  <si>
    <t>RMB-7 INNER PACK</t>
  </si>
  <si>
    <t>06.01.404.00</t>
  </si>
  <si>
    <t>65398</t>
  </si>
  <si>
    <t>GR2 MULTI-DEPTH CORNER</t>
  </si>
  <si>
    <t>06.01.433.00</t>
  </si>
  <si>
    <t>65401</t>
  </si>
  <si>
    <t>TQ-10,400 CARTON</t>
  </si>
  <si>
    <t>06.01.434.00</t>
  </si>
  <si>
    <t>65402</t>
  </si>
  <si>
    <t>TQ-800 CARTON</t>
  </si>
  <si>
    <t>06.01.434A.00</t>
  </si>
  <si>
    <t>65403</t>
  </si>
  <si>
    <t>TQ FRONT RH CUSHION</t>
  </si>
  <si>
    <t>06.01.434B.00</t>
  </si>
  <si>
    <t>65404</t>
  </si>
  <si>
    <t>TQ FRONT LH CUSHION</t>
  </si>
  <si>
    <t>06.01.434C.00</t>
  </si>
  <si>
    <t>65405</t>
  </si>
  <si>
    <t>TQ REAR RH CUSHION</t>
  </si>
  <si>
    <t>06.01.434D.00</t>
  </si>
  <si>
    <t>65406</t>
  </si>
  <si>
    <t>TQ REAR LH CUSHION</t>
  </si>
  <si>
    <t>06.01.434G.00</t>
  </si>
  <si>
    <t>65407</t>
  </si>
  <si>
    <t>TQ BOTTOM CUSHION</t>
  </si>
  <si>
    <t>06.01.437E.00</t>
  </si>
  <si>
    <t>65408</t>
  </si>
  <si>
    <t>GRSBF FOAM CORNER</t>
  </si>
  <si>
    <t>06.01.437F.00</t>
  </si>
  <si>
    <t>65409</t>
  </si>
  <si>
    <t>GRSBF FOAM CENTER</t>
  </si>
  <si>
    <t>06.01.442B.00</t>
  </si>
  <si>
    <t>65410</t>
  </si>
  <si>
    <t>GRSB/F FILLER - 5.875" x 7.75" x 25" L</t>
  </si>
  <si>
    <t>06.01.445B.00</t>
  </si>
  <si>
    <t>65411</t>
  </si>
  <si>
    <t>GRSB/F FILLER - 7" x 8" x 35.75" L</t>
  </si>
  <si>
    <t>06.01.447.00</t>
  </si>
  <si>
    <t>65412</t>
  </si>
  <si>
    <t>GRSB/GRSBF 30 X 60-72 BOTTOM</t>
  </si>
  <si>
    <t>06.01.447A.00</t>
  </si>
  <si>
    <t>65413</t>
  </si>
  <si>
    <t>GRSB/GRSBF 30 X 60-72 TOP</t>
  </si>
  <si>
    <t>06.01.456.00</t>
  </si>
  <si>
    <t>65414</t>
  </si>
  <si>
    <t>HDW-3 HSC CARTON</t>
  </si>
  <si>
    <t>06.01.458E.00</t>
  </si>
  <si>
    <t>65418</t>
  </si>
  <si>
    <t>FOAM RAIL,TF</t>
  </si>
  <si>
    <t>06.01.461.00</t>
  </si>
  <si>
    <t>65420</t>
  </si>
  <si>
    <t>DL RSC BOX</t>
  </si>
  <si>
    <t>06.01.461A.00</t>
  </si>
  <si>
    <t>65421</t>
  </si>
  <si>
    <t>DL DIE CUT INNER PACK</t>
  </si>
  <si>
    <t>06.01.472C.00</t>
  </si>
  <si>
    <t>65422</t>
  </si>
  <si>
    <t>CARTON,GR2A(L)-36D3 BOTTOM</t>
  </si>
  <si>
    <t>06.01.472CC.00</t>
  </si>
  <si>
    <t>65423</t>
  </si>
  <si>
    <t>CARTON,GR2A(L)-36D3 TOP</t>
  </si>
  <si>
    <t>06.01.473.00</t>
  </si>
  <si>
    <t>65424</t>
  </si>
  <si>
    <t>GR2A CUSHION</t>
  </si>
  <si>
    <t>06.01.473A.00</t>
  </si>
  <si>
    <t>65425</t>
  </si>
  <si>
    <t>GR2A DESIGNER GLO-RAY CUSHION</t>
  </si>
  <si>
    <t>06.01.486.00</t>
  </si>
  <si>
    <t>65426</t>
  </si>
  <si>
    <t>CARTON,TC-DON</t>
  </si>
  <si>
    <t>06.01.488B.00</t>
  </si>
  <si>
    <t>65427</t>
  </si>
  <si>
    <t>GRCD TOP RH CUSHION</t>
  </si>
  <si>
    <t>06.01.488C.00</t>
  </si>
  <si>
    <t>65428</t>
  </si>
  <si>
    <t>GRCD TOP LH CUSHION</t>
  </si>
  <si>
    <t>06.01.488D.00</t>
  </si>
  <si>
    <t>65431</t>
  </si>
  <si>
    <t>GRCD BOTTOM RH CUSHION</t>
  </si>
  <si>
    <t>06.01.488E.00</t>
  </si>
  <si>
    <t>65441</t>
  </si>
  <si>
    <t>GRCD BOTTOM LH CUSHION</t>
  </si>
  <si>
    <t>06.01.490.00</t>
  </si>
  <si>
    <t>65450</t>
  </si>
  <si>
    <t>GRCD-3P TOP/BOTTOM TRAY</t>
  </si>
  <si>
    <t>06.01.490A.00</t>
  </si>
  <si>
    <t>65451</t>
  </si>
  <si>
    <t>GRCD-2P,2PD,3P,3PD SURROUND</t>
  </si>
  <si>
    <t>06.01.490B.00</t>
  </si>
  <si>
    <t>65501</t>
  </si>
  <si>
    <t>GRCD-3P,3PD TOP FILLER</t>
  </si>
  <si>
    <t>06.01.492.00</t>
  </si>
  <si>
    <t>65502</t>
  </si>
  <si>
    <t>TQ-1800 RSC BOX</t>
  </si>
  <si>
    <t>06.01.496B.00</t>
  </si>
  <si>
    <t>65503</t>
  </si>
  <si>
    <t>GRSS FOAM CORNER</t>
  </si>
  <si>
    <t>06.01.496C.00</t>
  </si>
  <si>
    <t>65503B</t>
  </si>
  <si>
    <t>GRSS SIDE CUSHION</t>
  </si>
  <si>
    <t>06.01.514.00</t>
  </si>
  <si>
    <t>65504</t>
  </si>
  <si>
    <t>SMALL COMPACT HSC CARTON</t>
  </si>
  <si>
    <t>06.01.514A.00</t>
  </si>
  <si>
    <t>65505</t>
  </si>
  <si>
    <t>SMALL COMPACT TRAY</t>
  </si>
  <si>
    <t>06.01.514B.00</t>
  </si>
  <si>
    <t>65506</t>
  </si>
  <si>
    <t>SMALL COMPACT CORNER LARGE</t>
  </si>
  <si>
    <t>06.01.514C.00</t>
  </si>
  <si>
    <t>65507</t>
  </si>
  <si>
    <t>SMALL COMPACT CORNER SMALL</t>
  </si>
  <si>
    <t>06.01.514D.00</t>
  </si>
  <si>
    <t>65508</t>
  </si>
  <si>
    <t>SMALL COMPACT BASE PAD</t>
  </si>
  <si>
    <t>06.01.514E.00</t>
  </si>
  <si>
    <t>65510</t>
  </si>
  <si>
    <t>SMALL COMPACT TOP PAD</t>
  </si>
  <si>
    <t>06.01.514F.00</t>
  </si>
  <si>
    <t>65511</t>
  </si>
  <si>
    <t>SMALL COMPACT ACCY TRAY</t>
  </si>
  <si>
    <t>06.01.514G.00</t>
  </si>
  <si>
    <t>65512</t>
  </si>
  <si>
    <t>SMALL COMPACT ACCY DIVIDER</t>
  </si>
  <si>
    <t>06.01.515.00</t>
  </si>
  <si>
    <t>65513</t>
  </si>
  <si>
    <t>LARGE COMPACT HSC CARTON</t>
  </si>
  <si>
    <t>06.01.515A.00</t>
  </si>
  <si>
    <t>65514</t>
  </si>
  <si>
    <t>LARGE COMPACT TRAY</t>
  </si>
  <si>
    <t>06.01.515B.00</t>
  </si>
  <si>
    <t>65521</t>
  </si>
  <si>
    <t>LARGE COMPACT CORNER LARGE</t>
  </si>
  <si>
    <t>06.01.515C.00</t>
  </si>
  <si>
    <t>65522</t>
  </si>
  <si>
    <t>LARGE COMPACT CORNER SMALL</t>
  </si>
  <si>
    <t>06.01.515D.00</t>
  </si>
  <si>
    <t>65524</t>
  </si>
  <si>
    <t>LARGE COMPACT BASE PAD</t>
  </si>
  <si>
    <t>06.01.515E.00</t>
  </si>
  <si>
    <t>65525</t>
  </si>
  <si>
    <t>LARGE COMPACT TOP PAD</t>
  </si>
  <si>
    <t>06.01.515F.00</t>
  </si>
  <si>
    <t>65526</t>
  </si>
  <si>
    <t>LARGE COMPACT ACCY TRAY</t>
  </si>
  <si>
    <t>06.01.515G.00</t>
  </si>
  <si>
    <t>65531</t>
  </si>
  <si>
    <t>LARGE COMPACT ACCY DIVIDER</t>
  </si>
  <si>
    <t>06.01.516A.00</t>
  </si>
  <si>
    <t>65532</t>
  </si>
  <si>
    <t>IMPERIAL TRAY</t>
  </si>
  <si>
    <t>06.01.516B.00</t>
  </si>
  <si>
    <t>65533</t>
  </si>
  <si>
    <t>IMPERIAL FOAM PAD</t>
  </si>
  <si>
    <t>06.01.516D.00</t>
  </si>
  <si>
    <t>65534</t>
  </si>
  <si>
    <t>IMPERIAL TOP PAD</t>
  </si>
  <si>
    <t>06.01.518C.00</t>
  </si>
  <si>
    <t>65536</t>
  </si>
  <si>
    <t>IMP/PMG-100,200 CORNER</t>
  </si>
  <si>
    <t>06.01.519.00</t>
  </si>
  <si>
    <t>65537</t>
  </si>
  <si>
    <t>PMG-200 HSC CARTON</t>
  </si>
  <si>
    <t>06.01.519A.00</t>
  </si>
  <si>
    <t>65538</t>
  </si>
  <si>
    <t>PMG-200 TRAY</t>
  </si>
  <si>
    <t>06.01.519B.00</t>
  </si>
  <si>
    <t>65539</t>
  </si>
  <si>
    <t>PMG-200 LAMINATED PAD</t>
  </si>
  <si>
    <t>06.01.519D.00</t>
  </si>
  <si>
    <t>65541</t>
  </si>
  <si>
    <t>PMG-200 TOP PAD</t>
  </si>
  <si>
    <t>06.01.519E.00</t>
  </si>
  <si>
    <t>65542</t>
  </si>
  <si>
    <t>PMG-200 BOTTOM PAD</t>
  </si>
  <si>
    <t>06.01.521B.00</t>
  </si>
  <si>
    <t>65543</t>
  </si>
  <si>
    <t>FDW RH TOP CUSHION</t>
  </si>
  <si>
    <t>06.01.521C.00</t>
  </si>
  <si>
    <t>65544</t>
  </si>
  <si>
    <t>FDW LH TOP CUSHION</t>
  </si>
  <si>
    <t>06.01.535.00</t>
  </si>
  <si>
    <t>65545</t>
  </si>
  <si>
    <t>GRSS-48 CARTON</t>
  </si>
  <si>
    <t>06.01.552.00</t>
  </si>
  <si>
    <t>65546</t>
  </si>
  <si>
    <t>LFST-48 TRAY</t>
  </si>
  <si>
    <t>06.01.552A.00</t>
  </si>
  <si>
    <t>65547</t>
  </si>
  <si>
    <t>LFST-48 SURROUND</t>
  </si>
  <si>
    <t>06.01.554D.00</t>
  </si>
  <si>
    <t>65548</t>
  </si>
  <si>
    <t>HWBI CORNER POST</t>
  </si>
  <si>
    <t>06.01.555A.00</t>
  </si>
  <si>
    <t>65549</t>
  </si>
  <si>
    <t>HWBI OUTER SLEEVE</t>
  </si>
  <si>
    <t>06.01.555B.00</t>
  </si>
  <si>
    <t>65550</t>
  </si>
  <si>
    <t>HWBI FILLER</t>
  </si>
  <si>
    <t>06.01.557.00</t>
  </si>
  <si>
    <t>65551</t>
  </si>
  <si>
    <t>HWBI-5 PAN TRAY</t>
  </si>
  <si>
    <t>06.01.557A.00</t>
  </si>
  <si>
    <t>65552</t>
  </si>
  <si>
    <t>HWBI-5 TOPPER</t>
  </si>
  <si>
    <t>06.01.562.00</t>
  </si>
  <si>
    <t>65553</t>
  </si>
  <si>
    <t>FDWD HSC BOX</t>
  </si>
  <si>
    <t>06.01.562A.00</t>
  </si>
  <si>
    <t>65554</t>
  </si>
  <si>
    <t>FDWD BOTTOM TRAY</t>
  </si>
  <si>
    <t>06.01.562B.00</t>
  </si>
  <si>
    <t>65555</t>
  </si>
  <si>
    <t>FDWD/FSD/T BOTTOM CUSHION</t>
  </si>
  <si>
    <t>06.01.562C.00</t>
  </si>
  <si>
    <t>65556</t>
  </si>
  <si>
    <t>FDWD/FSD/T TOP CUSHION</t>
  </si>
  <si>
    <t>06.01.583A.00</t>
  </si>
  <si>
    <t>65557</t>
  </si>
  <si>
    <t>TK FOAM CORNER RAIL</t>
  </si>
  <si>
    <t>06.01.584.00</t>
  </si>
  <si>
    <t>65561</t>
  </si>
  <si>
    <t>TK-100 RSC BOX</t>
  </si>
  <si>
    <t>06.01.595.00</t>
  </si>
  <si>
    <t>65562</t>
  </si>
  <si>
    <t>FSHC-6,-7,TOP/BOTTOM PAD</t>
  </si>
  <si>
    <t>06.01.602.00</t>
  </si>
  <si>
    <t>65563</t>
  </si>
  <si>
    <t>TM,CUSHION,LH.</t>
  </si>
  <si>
    <t>06.01.603.00</t>
  </si>
  <si>
    <t>65564</t>
  </si>
  <si>
    <t>TM,CUSHION,RH.</t>
  </si>
  <si>
    <t>06.01.611.00</t>
  </si>
  <si>
    <t>65565</t>
  </si>
  <si>
    <t>MPWS-36 TOP/BOTTOM TRAY</t>
  </si>
  <si>
    <t>06.01.611A.00</t>
  </si>
  <si>
    <t>65565I</t>
  </si>
  <si>
    <t>MPWS-36/45 SURROUND</t>
  </si>
  <si>
    <t>06.01.612.00</t>
  </si>
  <si>
    <t>65566</t>
  </si>
  <si>
    <t>MPWS-45 TOP/BOTTOM TRAY</t>
  </si>
  <si>
    <t>06.01.622.00</t>
  </si>
  <si>
    <t>65567</t>
  </si>
  <si>
    <t>TM-10,PAD,30CM X 40CM,2-PLY</t>
  </si>
  <si>
    <t>06.01.627C.00</t>
  </si>
  <si>
    <t>65568</t>
  </si>
  <si>
    <t>FSHC-8 BUILT UP SPACER</t>
  </si>
  <si>
    <t>06.01.627E.00</t>
  </si>
  <si>
    <t>65569</t>
  </si>
  <si>
    <t>FSHC-8 BOTTOM PAD</t>
  </si>
  <si>
    <t>06.01.630.00</t>
  </si>
  <si>
    <t>65601</t>
  </si>
  <si>
    <t>BOX,INNER,TPT-120,372x360x255</t>
  </si>
  <si>
    <t>06.01.631.00</t>
  </si>
  <si>
    <t>65602</t>
  </si>
  <si>
    <t>BOX,OUTER,TPT3,390x363x273</t>
  </si>
  <si>
    <t>06.01.633.00</t>
  </si>
  <si>
    <t>65603</t>
  </si>
  <si>
    <t>FOAM INSERT,TPT-120,RIGHT</t>
  </si>
  <si>
    <t>06.01.636.00</t>
  </si>
  <si>
    <t>65604</t>
  </si>
  <si>
    <t>.665" ID TUBE,60" LONG</t>
  </si>
  <si>
    <t>06.01.638D.00</t>
  </si>
  <si>
    <t>65611</t>
  </si>
  <si>
    <t>FDWD-NARROW PAD HUNT BROTHERS</t>
  </si>
  <si>
    <t>06.01.641A.00</t>
  </si>
  <si>
    <t>65612</t>
  </si>
  <si>
    <t>COLD WELL,2 PAN,TOP PAD</t>
  </si>
  <si>
    <t>06.01.642.00</t>
  </si>
  <si>
    <t>65613</t>
  </si>
  <si>
    <t>TPT INNER PACK</t>
  </si>
  <si>
    <t>06.01.665.00</t>
  </si>
  <si>
    <t>65615</t>
  </si>
  <si>
    <t>FDWD-MN TRAY</t>
  </si>
  <si>
    <t>06.01.665A.00</t>
  </si>
  <si>
    <t>65616</t>
  </si>
  <si>
    <t>FDWD-MN SLEEVE</t>
  </si>
  <si>
    <t>06.01.665B.00</t>
  </si>
  <si>
    <t>65624</t>
  </si>
  <si>
    <t>FDWD-MN FILLER</t>
  </si>
  <si>
    <t>06.01.678C.00</t>
  </si>
  <si>
    <t>65624B</t>
  </si>
  <si>
    <t>DCSBXXX-2420/3624-2 BOT CUSH</t>
  </si>
  <si>
    <t>06.01.678D.00</t>
  </si>
  <si>
    <t>65625</t>
  </si>
  <si>
    <t>DCSBXXX-2420/3624-2 TOP CUSH</t>
  </si>
  <si>
    <t>06.01.679A.00</t>
  </si>
  <si>
    <t>65626</t>
  </si>
  <si>
    <t>DCSBXXX-2420-1 SLEEVE</t>
  </si>
  <si>
    <t>06.01.679B.00</t>
  </si>
  <si>
    <t>65627</t>
  </si>
  <si>
    <t>DCSBXXX-2420-1 INNER BOX</t>
  </si>
  <si>
    <t>06.01.679C.00</t>
  </si>
  <si>
    <t>65628</t>
  </si>
  <si>
    <t>DCS WEDGE</t>
  </si>
  <si>
    <t>06.01.700.00</t>
  </si>
  <si>
    <t>65981</t>
  </si>
  <si>
    <t>GRAD 15",96-144 INNER BOX</t>
  </si>
  <si>
    <t>06.01.700A.00</t>
  </si>
  <si>
    <t>66100</t>
  </si>
  <si>
    <t>GRAD 15",96-144 OUTER BOX</t>
  </si>
  <si>
    <t>06.01.709A.00</t>
  </si>
  <si>
    <t>66100E</t>
  </si>
  <si>
    <t>GRPWS-48XXQ SLEEVE</t>
  </si>
  <si>
    <t>06.01.723.00</t>
  </si>
  <si>
    <t>66100M</t>
  </si>
  <si>
    <t>FILLER,SHORT,BUMPING,TMS</t>
  </si>
  <si>
    <t>06.01.731.00</t>
  </si>
  <si>
    <t>66100ME</t>
  </si>
  <si>
    <t>FILLER,LONG,BUMPING,TMS</t>
  </si>
  <si>
    <t>06.01.737.00</t>
  </si>
  <si>
    <t>66100R</t>
  </si>
  <si>
    <t>POLYFOAM SPACER,HGSM-4060</t>
  </si>
  <si>
    <t>06.01.738.00</t>
  </si>
  <si>
    <t>66100Y</t>
  </si>
  <si>
    <t>EXPORT CARTON,HGSM-4060</t>
  </si>
  <si>
    <t>06.01.750A.00</t>
  </si>
  <si>
    <t>66101</t>
  </si>
  <si>
    <t>HZM/HXM DUAL 24, 30, 36 SLEEVE</t>
  </si>
  <si>
    <t>06.01.750B.00</t>
  </si>
  <si>
    <t>66102</t>
  </si>
  <si>
    <t>HZM END FILLER</t>
  </si>
  <si>
    <t>06.01.779.00</t>
  </si>
  <si>
    <t>66104</t>
  </si>
  <si>
    <t>FSHC-5W1-EE TRAY,32" TOP</t>
  </si>
  <si>
    <t>06.01.779A.00</t>
  </si>
  <si>
    <t>66104R</t>
  </si>
  <si>
    <t>FSHC-5W1-EE SURROUND</t>
  </si>
  <si>
    <t>06.01.779B.00</t>
  </si>
  <si>
    <t>66104Y</t>
  </si>
  <si>
    <t>FSHC-5W1-EE RACK BOX</t>
  </si>
  <si>
    <t>06.01.779D.00</t>
  </si>
  <si>
    <t>66105</t>
  </si>
  <si>
    <t>FSHC-5W1-EE TOP FILLER</t>
  </si>
  <si>
    <t>06.01.787.00</t>
  </si>
  <si>
    <t>66106</t>
  </si>
  <si>
    <t>TANK FOAM COVER,FM-5</t>
  </si>
  <si>
    <t>06.01.788B.00</t>
  </si>
  <si>
    <t>66109</t>
  </si>
  <si>
    <t>GRFHS-16 SMALL FILLER</t>
  </si>
  <si>
    <t>06.01.791D.00</t>
  </si>
  <si>
    <t>66110</t>
  </si>
  <si>
    <t>ITQ BOTTOM FRONT FILLER</t>
  </si>
  <si>
    <t>06.01.791E.00</t>
  </si>
  <si>
    <t>66110M</t>
  </si>
  <si>
    <t>ITQ BOTTOM RH CUSHION</t>
  </si>
  <si>
    <t>06.01.791F.00</t>
  </si>
  <si>
    <t>66114</t>
  </si>
  <si>
    <t>ITQ BOTTOM LH CUSHION</t>
  </si>
  <si>
    <t>06.01.791G.00</t>
  </si>
  <si>
    <t>66116</t>
  </si>
  <si>
    <t>ITQ TOP RH CUSHION</t>
  </si>
  <si>
    <t>06.01.791H.00</t>
  </si>
  <si>
    <t>66119</t>
  </si>
  <si>
    <t>ITQ TOP LH CUSHION</t>
  </si>
  <si>
    <t>06.01.806.00</t>
  </si>
  <si>
    <t>66125</t>
  </si>
  <si>
    <t>ITQ-1750 TOASTER HSC TOP</t>
  </si>
  <si>
    <t>06.01.806A.00</t>
  </si>
  <si>
    <t>66201</t>
  </si>
  <si>
    <t>ITQ-1750 TOASTER BOTTOM TRAY</t>
  </si>
  <si>
    <t>06.01.806B.00</t>
  </si>
  <si>
    <t>66210</t>
  </si>
  <si>
    <t>ITQ-1750 TOASTER FILLER</t>
  </si>
  <si>
    <t>06.01.806C.00</t>
  </si>
  <si>
    <t>66214</t>
  </si>
  <si>
    <t>ITQ-1750 TOASTER HSC TOP PAD</t>
  </si>
  <si>
    <t>06.01.816.00</t>
  </si>
  <si>
    <t>66230</t>
  </si>
  <si>
    <t>8 X 8 X 10 PALLET CONE</t>
  </si>
  <si>
    <t>06.01.840C.00</t>
  </si>
  <si>
    <t>66230E</t>
  </si>
  <si>
    <t>DCS400-1CM LIGHT CRADLE CUSH</t>
  </si>
  <si>
    <t>06.01.852F.00</t>
  </si>
  <si>
    <t>66232</t>
  </si>
  <si>
    <t>H/C TOP PAD 48 X 15.5</t>
  </si>
  <si>
    <t>06.01.853.00</t>
  </si>
  <si>
    <t>66233</t>
  </si>
  <si>
    <t>CUSHION,RH,TM3</t>
  </si>
  <si>
    <t>06.01.854.00</t>
  </si>
  <si>
    <t>66234</t>
  </si>
  <si>
    <t>CUSHION,LH,TM3</t>
  </si>
  <si>
    <t>06.01.855.00</t>
  </si>
  <si>
    <t>66236</t>
  </si>
  <si>
    <t>CARTON,TM3-10,-10H</t>
  </si>
  <si>
    <t>06.01.862.00</t>
  </si>
  <si>
    <t>66241</t>
  </si>
  <si>
    <t>PFST TOP/BOTTOM TRAY</t>
  </si>
  <si>
    <t>06.01.862A.00</t>
  </si>
  <si>
    <t>66242</t>
  </si>
  <si>
    <t>PFST SURROUND</t>
  </si>
  <si>
    <t>06.01.868.00</t>
  </si>
  <si>
    <t>66243</t>
  </si>
  <si>
    <t>IHDCH-45 TOP/BOTTOM TRAY</t>
  </si>
  <si>
    <t>06.01.868E.00</t>
  </si>
  <si>
    <t>66251</t>
  </si>
  <si>
    <t>IHDCH-45 END/SIDE CUSHION</t>
  </si>
  <si>
    <t>06.01.881C.00</t>
  </si>
  <si>
    <t>66252</t>
  </si>
  <si>
    <t>GR5 CENTER</t>
  </si>
  <si>
    <t>06.01.881D.00</t>
  </si>
  <si>
    <t>66253</t>
  </si>
  <si>
    <t>GR5 ENDCAP</t>
  </si>
  <si>
    <t>06.01.883.00</t>
  </si>
  <si>
    <t>66254</t>
  </si>
  <si>
    <t>GR5-36 BOTTOM CARTON</t>
  </si>
  <si>
    <t>06.01.883A.00</t>
  </si>
  <si>
    <t>66255</t>
  </si>
  <si>
    <t>GR5-36 TOP CARTON</t>
  </si>
  <si>
    <t>06.01.892B.00</t>
  </si>
  <si>
    <t>66260</t>
  </si>
  <si>
    <t>HL5 FILLER</t>
  </si>
  <si>
    <t>06.01.918A.00</t>
  </si>
  <si>
    <t>66260E</t>
  </si>
  <si>
    <t>29" CWB COM CORNER LEGS</t>
  </si>
  <si>
    <t>06.01.924.00</t>
  </si>
  <si>
    <t>66263</t>
  </si>
  <si>
    <t>CORNER POST,TMS</t>
  </si>
  <si>
    <t>06.01.925.00</t>
  </si>
  <si>
    <t>66264</t>
  </si>
  <si>
    <t>CARTON BOTTOM,TMS</t>
  </si>
  <si>
    <t>06.01.926.00</t>
  </si>
  <si>
    <t>66265</t>
  </si>
  <si>
    <t>TOP/BOTTOM PAD,TMS</t>
  </si>
  <si>
    <t>06.01.927.00</t>
  </si>
  <si>
    <t>66266</t>
  </si>
  <si>
    <t>CARTON,TMS</t>
  </si>
  <si>
    <t>06.01.956.00</t>
  </si>
  <si>
    <t>66268</t>
  </si>
  <si>
    <t>TQ3 RSC</t>
  </si>
  <si>
    <t>06.01.956A.00</t>
  </si>
  <si>
    <t>66271</t>
  </si>
  <si>
    <t>TQ3 BOTTOM FRONT CUSHION</t>
  </si>
  <si>
    <t>06.01.956B.00</t>
  </si>
  <si>
    <t>66272</t>
  </si>
  <si>
    <t>TQ3 BOTTOM BACK CUSHION</t>
  </si>
  <si>
    <t>06.01.956C.00</t>
  </si>
  <si>
    <t>66305</t>
  </si>
  <si>
    <t>TQ3 TOP FRONT CUSHION</t>
  </si>
  <si>
    <t>06.01.956D.00</t>
  </si>
  <si>
    <t>66306</t>
  </si>
  <si>
    <t>TQ3 TOP BACK CUSHION</t>
  </si>
  <si>
    <t>06.01.969A.00</t>
  </si>
  <si>
    <t>66307</t>
  </si>
  <si>
    <t>CWBS-3PAN TOP TRAY</t>
  </si>
  <si>
    <t>06.01.983.00</t>
  </si>
  <si>
    <t>66310</t>
  </si>
  <si>
    <t>GRSDS-33TCT TRAY</t>
  </si>
  <si>
    <t>06.01.983A.00</t>
  </si>
  <si>
    <t>66311</t>
  </si>
  <si>
    <t>GRSDS-33TCT SURROUND</t>
  </si>
  <si>
    <t>06.01.983B.00</t>
  </si>
  <si>
    <t>66312</t>
  </si>
  <si>
    <t>GRSDS-33/39 END FILLER</t>
  </si>
  <si>
    <t>06.01.983C.00</t>
  </si>
  <si>
    <t>66313</t>
  </si>
  <si>
    <t>SURE CRATE GRSDS-33/39 TOPPER</t>
  </si>
  <si>
    <t>06.01.983D.00</t>
  </si>
  <si>
    <t>66314</t>
  </si>
  <si>
    <t>SURE CRATE GRSDS-33/39 LEGS</t>
  </si>
  <si>
    <t>06.01.983E.00</t>
  </si>
  <si>
    <t>66411</t>
  </si>
  <si>
    <t>GR3SDS-27 FILLER</t>
  </si>
  <si>
    <t>06.02.059.00</t>
  </si>
  <si>
    <t>66421</t>
  </si>
  <si>
    <t>SKID,44 X 31</t>
  </si>
  <si>
    <t>06.02.086.00</t>
  </si>
  <si>
    <t>66422</t>
  </si>
  <si>
    <t>SKID,26 X 26</t>
  </si>
  <si>
    <t>06.02.097.00</t>
  </si>
  <si>
    <t>66423</t>
  </si>
  <si>
    <t>SKID,28 X 26,PMG-60</t>
  </si>
  <si>
    <t>06.02.136.00</t>
  </si>
  <si>
    <t>66430</t>
  </si>
  <si>
    <t>1 X 4 X 31" SLAT</t>
  </si>
  <si>
    <t>06.02.162A.00</t>
  </si>
  <si>
    <t>66431</t>
  </si>
  <si>
    <t>8" LOWER LEG SUPPORT</t>
  </si>
  <si>
    <t>06.02.163.00</t>
  </si>
  <si>
    <t>66432</t>
  </si>
  <si>
    <t>SKID, CWB-4 59.5 X 29</t>
  </si>
  <si>
    <t>06.02.166.00</t>
  </si>
  <si>
    <t>66433</t>
  </si>
  <si>
    <t>DCS SURE CRATE CORNER LEG</t>
  </si>
  <si>
    <t>06.02.166C.00</t>
  </si>
  <si>
    <t>66434</t>
  </si>
  <si>
    <t>DCS-2420 SURE CRATE TOPPER</t>
  </si>
  <si>
    <t>06.02.170.00</t>
  </si>
  <si>
    <t>66435</t>
  </si>
  <si>
    <t>SKID,TMS,600MM X 700MM</t>
  </si>
  <si>
    <t>06.02.191.00</t>
  </si>
  <si>
    <t>66436</t>
  </si>
  <si>
    <t>1" X 4" X 29" BOARD</t>
  </si>
  <si>
    <t>06.02.197.00</t>
  </si>
  <si>
    <t>66437</t>
  </si>
  <si>
    <t>MPP-8I/PT SKID 85.5 X 39</t>
  </si>
  <si>
    <t>06.02.197A.00</t>
  </si>
  <si>
    <t>66438</t>
  </si>
  <si>
    <t>MPP-8I/PT TOPPER 85.375x38.625</t>
  </si>
  <si>
    <t>06.02.197B.00</t>
  </si>
  <si>
    <t>67</t>
  </si>
  <si>
    <t>23.5" MINNOW CORNER LEG</t>
  </si>
  <si>
    <t>06.02.197C.00</t>
  </si>
  <si>
    <t>67005</t>
  </si>
  <si>
    <t>23.5" MINNOW SIDE FLAT</t>
  </si>
  <si>
    <t>06.03.001.00</t>
  </si>
  <si>
    <t>67100</t>
  </si>
  <si>
    <t>POLY BAG 38" x 24" x 2 MIL</t>
  </si>
  <si>
    <t>06.03.002.00</t>
  </si>
  <si>
    <t>67101</t>
  </si>
  <si>
    <t>POLY BAG 48" x 40" x 62" x 2 MIL</t>
  </si>
  <si>
    <t>06.03.004.00</t>
  </si>
  <si>
    <t>67102</t>
  </si>
  <si>
    <t>POLY BAG 40" x 22" x 63" x 2 MIL</t>
  </si>
  <si>
    <t>06.03.008.00</t>
  </si>
  <si>
    <t>67103</t>
  </si>
  <si>
    <t>EPS END CAP 8.375x3.75x3.375</t>
  </si>
  <si>
    <t>06.03.012.00</t>
  </si>
  <si>
    <t>67104</t>
  </si>
  <si>
    <t>SIDE PAD 13/4 X 21/2 X 12"</t>
  </si>
  <si>
    <t>06.03.014.00</t>
  </si>
  <si>
    <t>67105</t>
  </si>
  <si>
    <t>TOP PAD 1/2 X 31/2 X 18"</t>
  </si>
  <si>
    <t>06.03.015.00</t>
  </si>
  <si>
    <t>67106</t>
  </si>
  <si>
    <t>CONTOUR CUTOUT-#1</t>
  </si>
  <si>
    <t>06.03.016.00</t>
  </si>
  <si>
    <t>67107</t>
  </si>
  <si>
    <t>3/4X13/4X15 CNTR CUT OUT #2</t>
  </si>
  <si>
    <t>06.03.031.00</t>
  </si>
  <si>
    <t>67110</t>
  </si>
  <si>
    <t>POLY BAG 54" x 52" x 60" x 4 MIL</t>
  </si>
  <si>
    <t>06.03.035.00</t>
  </si>
  <si>
    <t>67200</t>
  </si>
  <si>
    <t>DL POLY BAG</t>
  </si>
  <si>
    <t>06.03.052.00</t>
  </si>
  <si>
    <t>67201</t>
  </si>
  <si>
    <t>POLY BAG,410MM x 300MM x 390MM</t>
  </si>
  <si>
    <t>06.03.053.00</t>
  </si>
  <si>
    <t>67202</t>
  </si>
  <si>
    <t>POLY BAG,150MM x 900MM</t>
  </si>
  <si>
    <t>06.03.056.00</t>
  </si>
  <si>
    <t>67203</t>
  </si>
  <si>
    <t>POLY BAG,UNIT,RHW-2</t>
  </si>
  <si>
    <t>06.03.068.00</t>
  </si>
  <si>
    <t>67204</t>
  </si>
  <si>
    <t>POLY SHROUD,510X305X300MM</t>
  </si>
  <si>
    <t>06.03.074.00</t>
  </si>
  <si>
    <t>67205</t>
  </si>
  <si>
    <t>POLY BAG 90X44X35 2MIL</t>
  </si>
  <si>
    <t>07.01.034.00</t>
  </si>
  <si>
    <t>67206</t>
  </si>
  <si>
    <t>SW PLATE FOR MULTI INF SW</t>
  </si>
  <si>
    <t>07.01.035.00</t>
  </si>
  <si>
    <t>67220</t>
  </si>
  <si>
    <t>GR W/MULT TOG SW PLATE</t>
  </si>
  <si>
    <t>07.01.039.00</t>
  </si>
  <si>
    <t>67221</t>
  </si>
  <si>
    <t>FFWB W/TOG SW CONTROL PLATE</t>
  </si>
  <si>
    <t>07.01.041.00</t>
  </si>
  <si>
    <t>67222</t>
  </si>
  <si>
    <t>CNTRL PNL,GR,GRH,GRA,GRAH W/TOGGLE</t>
  </si>
  <si>
    <t>07.01.043.00</t>
  </si>
  <si>
    <t>67223</t>
  </si>
  <si>
    <t>GRFFL TOGGLE CONTROL PLT</t>
  </si>
  <si>
    <t>07.01.058.00</t>
  </si>
  <si>
    <t>67224</t>
  </si>
  <si>
    <t>TOGGLE SWITCH PLATE I-O</t>
  </si>
  <si>
    <t>07.01.073.00</t>
  </si>
  <si>
    <t>67225</t>
  </si>
  <si>
    <t>CNTRL PNL,GR,2 CIR,WITH UL</t>
  </si>
  <si>
    <t>07.01.075.00</t>
  </si>
  <si>
    <t>67226</t>
  </si>
  <si>
    <t>SPEC PLATE, PITCO FOODWARMER</t>
  </si>
  <si>
    <t>07.01.113.00</t>
  </si>
  <si>
    <t>67227</t>
  </si>
  <si>
    <t>FS CONTROL FACE PLT W/O HUMID</t>
  </si>
  <si>
    <t>07.01.114.00</t>
  </si>
  <si>
    <t>67228</t>
  </si>
  <si>
    <t>GRSB CONTROL PLATE 180F</t>
  </si>
  <si>
    <t>07.01.179.00</t>
  </si>
  <si>
    <t>67229</t>
  </si>
  <si>
    <t>HDW CONTROL FACE PLATE,TSTAT</t>
  </si>
  <si>
    <t>07.01.180.00</t>
  </si>
  <si>
    <t>67230</t>
  </si>
  <si>
    <t>HDW HANDLE LOGO</t>
  </si>
  <si>
    <t>07.01.198.00</t>
  </si>
  <si>
    <t>67231</t>
  </si>
  <si>
    <t>INFRABLK CTRL PLT LH CONTROL</t>
  </si>
  <si>
    <t>07.01.200.00</t>
  </si>
  <si>
    <t>67232</t>
  </si>
  <si>
    <t>SWITCH PLATE,ELEC INF 50-100%</t>
  </si>
  <si>
    <t>07.01.217.00</t>
  </si>
  <si>
    <t>67233</t>
  </si>
  <si>
    <t>CONTROL PLATE,TK,TOAST &amp; BUNS</t>
  </si>
  <si>
    <t>07.01.253.00</t>
  </si>
  <si>
    <t>67234</t>
  </si>
  <si>
    <t>CONTROL PANEL,BOOSTER W/TOGGLE SWITCH</t>
  </si>
  <si>
    <t>07.01.255.00</t>
  </si>
  <si>
    <t>67300</t>
  </si>
  <si>
    <t>CONTROL PLATE,TQ STANDARD</t>
  </si>
  <si>
    <t>07.01.258.00</t>
  </si>
  <si>
    <t>67301</t>
  </si>
  <si>
    <t>CONTROL PLATE,FR SERIES</t>
  </si>
  <si>
    <t>07.01.261.00</t>
  </si>
  <si>
    <t>67302</t>
  </si>
  <si>
    <t>CONTROL PLATE,3CS</t>
  </si>
  <si>
    <t>07.01.266.00</t>
  </si>
  <si>
    <t>67303</t>
  </si>
  <si>
    <t>CONTROL PLATE,TQ BAGEL &amp; BUN</t>
  </si>
  <si>
    <t>07.01.269.00</t>
  </si>
  <si>
    <t>67310</t>
  </si>
  <si>
    <t>PLATE,ULTRA-GLO LOGO,6"</t>
  </si>
  <si>
    <t>07.01.280.00</t>
  </si>
  <si>
    <t>67311</t>
  </si>
  <si>
    <t>CONTROL PLATE,TQ WITH LEGS</t>
  </si>
  <si>
    <t>07.01.284.00</t>
  </si>
  <si>
    <t>67312</t>
  </si>
  <si>
    <t>CONTROL PANEL LABEL,HDW,ITC</t>
  </si>
  <si>
    <t>07.01.286.00</t>
  </si>
  <si>
    <t>67313</t>
  </si>
  <si>
    <t>CONTROL PANEL,GR2SD-XX TSTAT</t>
  </si>
  <si>
    <t>07.01.287.00</t>
  </si>
  <si>
    <t>67315</t>
  </si>
  <si>
    <t>CONTROL PANEL,GR2SD-XXD ITC</t>
  </si>
  <si>
    <t>07.01.289.00</t>
  </si>
  <si>
    <t>67320</t>
  </si>
  <si>
    <t>CONTROL PLATE,TQ BAGEL,NO HEAT</t>
  </si>
  <si>
    <t>07.01.298.00</t>
  </si>
  <si>
    <t>67321</t>
  </si>
  <si>
    <t>CONTROL PLATE,TQ-20,DON</t>
  </si>
  <si>
    <t>07.01.299.00</t>
  </si>
  <si>
    <t>67322</t>
  </si>
  <si>
    <t>LABEL,CONTROL PANEL,HTD SHELF</t>
  </si>
  <si>
    <t>07.01.301.00</t>
  </si>
  <si>
    <t>67323</t>
  </si>
  <si>
    <t>CONTROL PLATE,TQ-1800,STANDARD</t>
  </si>
  <si>
    <t>07.01.305.00</t>
  </si>
  <si>
    <t>67325</t>
  </si>
  <si>
    <t>FSHC CONTROL PANEL W/TID</t>
  </si>
  <si>
    <t>07.01.308.00</t>
  </si>
  <si>
    <t>67326</t>
  </si>
  <si>
    <t>FSHCW LOW PROFILE CONTROL</t>
  </si>
  <si>
    <t>07.01.311.00</t>
  </si>
  <si>
    <t>67330</t>
  </si>
  <si>
    <t>CONTROL LABEL,TSTAT,GRSB,SSBF</t>
  </si>
  <si>
    <t>07.01.312.00</t>
  </si>
  <si>
    <t>67331</t>
  </si>
  <si>
    <t>CONTROL LABEL,ITC,GRSB,SSBF</t>
  </si>
  <si>
    <t>07.01.317.00</t>
  </si>
  <si>
    <t>67333</t>
  </si>
  <si>
    <t>CDW-3N CONTROL PANEL LABEL</t>
  </si>
  <si>
    <t>07.01.323.00</t>
  </si>
  <si>
    <t>67336</t>
  </si>
  <si>
    <t>CONTROL PANEL LABEL,TM-5</t>
  </si>
  <si>
    <t>07.01.326.00</t>
  </si>
  <si>
    <t>67340</t>
  </si>
  <si>
    <t>CONTROL PANEL LABEL,TM-10</t>
  </si>
  <si>
    <t>07.01.329.00</t>
  </si>
  <si>
    <t>67345</t>
  </si>
  <si>
    <t>OVERLAY,CONTROL,TPT-120</t>
  </si>
  <si>
    <t>07.01.333.00</t>
  </si>
  <si>
    <t>67346</t>
  </si>
  <si>
    <t>CONTROL PANEL LABEL,RHW</t>
  </si>
  <si>
    <t>07.01.335.00</t>
  </si>
  <si>
    <t>67347</t>
  </si>
  <si>
    <t>CONTROL PLATE,TQ-20BA</t>
  </si>
  <si>
    <t>07.01.341.00</t>
  </si>
  <si>
    <t>67350</t>
  </si>
  <si>
    <t>CONTROL LABEL,FSHC-7W</t>
  </si>
  <si>
    <t>07.01.347.00</t>
  </si>
  <si>
    <t>67351</t>
  </si>
  <si>
    <t>CONTROL LABEL,ITC,FS2HAC</t>
  </si>
  <si>
    <t>07.01.349.00</t>
  </si>
  <si>
    <t>67355</t>
  </si>
  <si>
    <t>CONTROL PLATE,RCTHW-6</t>
  </si>
  <si>
    <t>07.01.352.00</t>
  </si>
  <si>
    <t>67357</t>
  </si>
  <si>
    <t>CONTROL PANEL,RCTHW-1</t>
  </si>
  <si>
    <t>07.01.354.00</t>
  </si>
  <si>
    <t>67400</t>
  </si>
  <si>
    <t>CONTROL PANEL,TMS-1H</t>
  </si>
  <si>
    <t>07.01.359.00</t>
  </si>
  <si>
    <t>67405</t>
  </si>
  <si>
    <t>CONTROL PANEL,TMS-1</t>
  </si>
  <si>
    <t>07.01.360.00</t>
  </si>
  <si>
    <t>67410</t>
  </si>
  <si>
    <t>OVERLAY,CONTROL,TPT-208,-240</t>
  </si>
  <si>
    <t>07.01.378.00</t>
  </si>
  <si>
    <t>67411</t>
  </si>
  <si>
    <t>TOUCH PANEL,FM-5</t>
  </si>
  <si>
    <t>07.01.379.00</t>
  </si>
  <si>
    <t>67413</t>
  </si>
  <si>
    <t>CONTROL PANEL,FM-5</t>
  </si>
  <si>
    <t>07.01.388.00</t>
  </si>
  <si>
    <t>67414</t>
  </si>
  <si>
    <t>CONTROL PANEL,RHW-UL</t>
  </si>
  <si>
    <t>07.01.404.00</t>
  </si>
  <si>
    <t>67415</t>
  </si>
  <si>
    <t>CONTROL PANEL,IRC</t>
  </si>
  <si>
    <t>07.01.406.00</t>
  </si>
  <si>
    <t>67420</t>
  </si>
  <si>
    <t>INSTR PLATE WARMING CABINET</t>
  </si>
  <si>
    <t>07.01.407.00</t>
  </si>
  <si>
    <t>67421</t>
  </si>
  <si>
    <t>CONTROL PANEL,EN,TM3-10,-10H</t>
  </si>
  <si>
    <t>07.01.411.00</t>
  </si>
  <si>
    <t>67422</t>
  </si>
  <si>
    <t>CONTROL PANEL,RCTHW/RHW-1B</t>
  </si>
  <si>
    <t>07.01.412.00</t>
  </si>
  <si>
    <t>67425</t>
  </si>
  <si>
    <t>CONTROL PANEL,RHW-1B UL</t>
  </si>
  <si>
    <t>07.01.414.00</t>
  </si>
  <si>
    <t>67426</t>
  </si>
  <si>
    <t>CONTROL PANEL,TM3-5,-5H</t>
  </si>
  <si>
    <t>07.01.428.00</t>
  </si>
  <si>
    <t>67427</t>
  </si>
  <si>
    <t>CONTROL PANEL,IRNG-PB1</t>
  </si>
  <si>
    <t>07.01.433.00</t>
  </si>
  <si>
    <t>67428</t>
  </si>
  <si>
    <t>CONTROL PANEL,IRNG-PC1-36</t>
  </si>
  <si>
    <t>07.01.436.00</t>
  </si>
  <si>
    <t>67501</t>
  </si>
  <si>
    <t>CONTROL PANEL,TQ3</t>
  </si>
  <si>
    <t>07.01.439.00</t>
  </si>
  <si>
    <t>67502</t>
  </si>
  <si>
    <t>FAUCET TACTILE PANEL,FM5</t>
  </si>
  <si>
    <t>07.01.440.00</t>
  </si>
  <si>
    <t>67503</t>
  </si>
  <si>
    <t>CNTRL PNL,ETC BOOSTER W/SW</t>
  </si>
  <si>
    <t>07.01.446.00</t>
  </si>
  <si>
    <t>67510</t>
  </si>
  <si>
    <t>CONTROL PANEL,TQ3-2000</t>
  </si>
  <si>
    <t>07.01.447.00</t>
  </si>
  <si>
    <t>67511</t>
  </si>
  <si>
    <t>CONTROL PANEL,TQ3-10</t>
  </si>
  <si>
    <t>07.01.448.00</t>
  </si>
  <si>
    <t>67512</t>
  </si>
  <si>
    <t>CONTROL PANEL,IWRM-C1-1317-06</t>
  </si>
  <si>
    <t>07.01.463.00</t>
  </si>
  <si>
    <t>67513</t>
  </si>
  <si>
    <t>CONTROL PANEL,TC3-XXXXXX</t>
  </si>
  <si>
    <t>07.01.470.00</t>
  </si>
  <si>
    <t>67514</t>
  </si>
  <si>
    <t>CONTROL PANEL,IRNG-PC2F</t>
  </si>
  <si>
    <t>07.01.479.00</t>
  </si>
  <si>
    <t>67515</t>
  </si>
  <si>
    <t>CONTROL PANEL,SNACK-A</t>
  </si>
  <si>
    <t>07.01.488.00</t>
  </si>
  <si>
    <t>67521</t>
  </si>
  <si>
    <t>CONTROL BOX PANEL, GM5</t>
  </si>
  <si>
    <t>07.01.492.00</t>
  </si>
  <si>
    <t>67522</t>
  </si>
  <si>
    <t>CONTROL PANEL,BOXER</t>
  </si>
  <si>
    <t>07.01.508.00</t>
  </si>
  <si>
    <t>67530</t>
  </si>
  <si>
    <t>CONTROL PANEL,RHW2-1</t>
  </si>
  <si>
    <t>07.01.515.00</t>
  </si>
  <si>
    <t>67531</t>
  </si>
  <si>
    <t>CONTROL PANEL,HBGBHC,GMSSB</t>
  </si>
  <si>
    <t>07.01.517.00</t>
  </si>
  <si>
    <t>67532</t>
  </si>
  <si>
    <t>SWITCH PLATE,ELEC INF 0-100%</t>
  </si>
  <si>
    <t>07.01.523.00</t>
  </si>
  <si>
    <t>67533</t>
  </si>
  <si>
    <t>CONTROL PANEL,FWM</t>
  </si>
  <si>
    <t>07.01.527.00</t>
  </si>
  <si>
    <t>67534</t>
  </si>
  <si>
    <t>CONTROL BOX PANEL,GM5</t>
  </si>
  <si>
    <t>07.01.530.00</t>
  </si>
  <si>
    <t>67535</t>
  </si>
  <si>
    <t>CONTROL BOX PANEL W/O LED,GM5</t>
  </si>
  <si>
    <t>07.01.543.00</t>
  </si>
  <si>
    <t>67536</t>
  </si>
  <si>
    <t>SW PLATE,TOG SWITCH,ALUMINUM</t>
  </si>
  <si>
    <t>07.01.546.00</t>
  </si>
  <si>
    <t>67537</t>
  </si>
  <si>
    <t>CONTROL PANEL, RCTHW2-6B</t>
  </si>
  <si>
    <t>07.01.550.00</t>
  </si>
  <si>
    <t>67538</t>
  </si>
  <si>
    <t>CONTROL PANEL, RCTHW2-3B</t>
  </si>
  <si>
    <t>07.01.555.00</t>
  </si>
  <si>
    <t>67539</t>
  </si>
  <si>
    <t>SW PLT,LH W/PILOT,CTRL BOX,IB</t>
  </si>
  <si>
    <t>07.01.556.00</t>
  </si>
  <si>
    <t>67540</t>
  </si>
  <si>
    <t>SW PLT,RH W/PILOT,CTRL BOX,IB</t>
  </si>
  <si>
    <t>07.03.017.00</t>
  </si>
  <si>
    <t>67541</t>
  </si>
  <si>
    <t>CAUTION-180 RINSE WATER</t>
  </si>
  <si>
    <t>07.03.018.00</t>
  </si>
  <si>
    <t>67542</t>
  </si>
  <si>
    <t>LABEL,CAUTION HOT,BLACK/SILVER</t>
  </si>
  <si>
    <t>07.03.079.00</t>
  </si>
  <si>
    <t>67544</t>
  </si>
  <si>
    <t>3650-13 RED 1/2" WIDE TAPE</t>
  </si>
  <si>
    <t>07.03.134.00</t>
  </si>
  <si>
    <t>67545</t>
  </si>
  <si>
    <t>LOW/HIGH TEMP LABEL BULB&amp;CAP</t>
  </si>
  <si>
    <t>07.03.160.00</t>
  </si>
  <si>
    <t>67546</t>
  </si>
  <si>
    <t>CONTROL PANEL,WFST UNITS</t>
  </si>
  <si>
    <t>07.03.240.00</t>
  </si>
  <si>
    <t>67547</t>
  </si>
  <si>
    <t>LABEL,BOOSTER MASTER SHEET</t>
  </si>
  <si>
    <t>07.03.288.00</t>
  </si>
  <si>
    <t>67550</t>
  </si>
  <si>
    <t>FSD ELEC CONTROL PANEL DECAL</t>
  </si>
  <si>
    <t>07.03.316.00</t>
  </si>
  <si>
    <t>67551</t>
  </si>
  <si>
    <t>CONTROL DECAL GRHD/CD W/HUMID</t>
  </si>
  <si>
    <t>07.03.317.00</t>
  </si>
  <si>
    <t>67560</t>
  </si>
  <si>
    <t>CONTROL DECAL GRHD/CD DUAL</t>
  </si>
  <si>
    <t>07.03.318.00</t>
  </si>
  <si>
    <t>67561</t>
  </si>
  <si>
    <t>CONTROL DECAL GRHD/CD SINGLE</t>
  </si>
  <si>
    <t>07.03.319.00</t>
  </si>
  <si>
    <t>67562</t>
  </si>
  <si>
    <t>GRFHS CONTROL DECAL</t>
  </si>
  <si>
    <t>07.03.411.00</t>
  </si>
  <si>
    <t>67563</t>
  </si>
  <si>
    <t>LABEL PLBG INSTALL COMPACT</t>
  </si>
  <si>
    <t>07.03.421.00</t>
  </si>
  <si>
    <t>67565</t>
  </si>
  <si>
    <t>OVERLAY VERT TF TOP,BOT HEAT</t>
  </si>
  <si>
    <t>07.03.422.00</t>
  </si>
  <si>
    <t>67566</t>
  </si>
  <si>
    <t>CONTROL DECAL,HH2</t>
  </si>
  <si>
    <t>07.03.430.00</t>
  </si>
  <si>
    <t>67567</t>
  </si>
  <si>
    <t>CONTROL PANEL,AWD-12</t>
  </si>
  <si>
    <t>07.03.462.00</t>
  </si>
  <si>
    <t>67570</t>
  </si>
  <si>
    <t>FSD ELECTRONIC CONTROL OVERLAY</t>
  </si>
  <si>
    <t>07.03.494.00</t>
  </si>
  <si>
    <t>67571</t>
  </si>
  <si>
    <t>CONTROL LABEL,HWB</t>
  </si>
  <si>
    <t>07.03.509.00</t>
  </si>
  <si>
    <t>67572</t>
  </si>
  <si>
    <t>INFINITE CTRL PANEL,HWB</t>
  </si>
  <si>
    <t>07.03.510.00</t>
  </si>
  <si>
    <t>67573</t>
  </si>
  <si>
    <t>T-STAT CTRL PANEL,HWB-UR</t>
  </si>
  <si>
    <t>07.03.513.00</t>
  </si>
  <si>
    <t>67575</t>
  </si>
  <si>
    <t>LABEL,T-STAT,HWB SMALL</t>
  </si>
  <si>
    <t>07.03.536.00</t>
  </si>
  <si>
    <t>67577</t>
  </si>
  <si>
    <t>GRMW CONTROL PANEL</t>
  </si>
  <si>
    <t>07.03.540.00</t>
  </si>
  <si>
    <t>67578</t>
  </si>
  <si>
    <t>LABEL,CONTROL PANEL,FDWD</t>
  </si>
  <si>
    <t>07.03.558.00</t>
  </si>
  <si>
    <t>67580</t>
  </si>
  <si>
    <t>CONTROL LBL,FDWD,ELECT,W/O HUM</t>
  </si>
  <si>
    <t>07.03.588.00</t>
  </si>
  <si>
    <t>67581</t>
  </si>
  <si>
    <t>LABEL,CONTROL,FDWD-12,ELECTRON</t>
  </si>
  <si>
    <t>07.03.640.00</t>
  </si>
  <si>
    <t>67582</t>
  </si>
  <si>
    <t>OBS LABEL,SWITCH,GRNL,1 TOG 1 INF</t>
  </si>
  <si>
    <t>07.03.655.00</t>
  </si>
  <si>
    <t>67583</t>
  </si>
  <si>
    <t>POLYPANEL,CONTROL,RMB2-1R</t>
  </si>
  <si>
    <t>07.03.664.00</t>
  </si>
  <si>
    <t>67600</t>
  </si>
  <si>
    <t>LABEL,CONTROL,GRPWS-XXXXD-HB</t>
  </si>
  <si>
    <t>07.03.730.00</t>
  </si>
  <si>
    <t>67601</t>
  </si>
  <si>
    <t>ELEC CONTROL OVERLAY,FSCDH-2PD</t>
  </si>
  <si>
    <t>07.03.746.00</t>
  </si>
  <si>
    <t>67603</t>
  </si>
  <si>
    <t>CONTROL DECAL,HGSM-4060,ZZ</t>
  </si>
  <si>
    <t>07.03.789.00</t>
  </si>
  <si>
    <t>67605</t>
  </si>
  <si>
    <t>SERVICE,PROD SENSOR FRTCVR,ITQ</t>
  </si>
  <si>
    <t>07.03.817.00</t>
  </si>
  <si>
    <t>67610</t>
  </si>
  <si>
    <t>HEADER &amp; TAGS,GRPWS,HUNT BROS</t>
  </si>
  <si>
    <t>07.03.819.00</t>
  </si>
  <si>
    <t>67611</t>
  </si>
  <si>
    <t>CONTROL LABEL,HCSBF HOT/COLD</t>
  </si>
  <si>
    <t>07.03.829.00</t>
  </si>
  <si>
    <t>67900</t>
  </si>
  <si>
    <t>LABEL,CONTROL W/AUTO,HWBI-1</t>
  </si>
  <si>
    <t>07.03.831.00</t>
  </si>
  <si>
    <t>68100</t>
  </si>
  <si>
    <t>LABEL,CONTROL W/AUTO,HWBI-3</t>
  </si>
  <si>
    <t>07.03.837.00</t>
  </si>
  <si>
    <t>68105</t>
  </si>
  <si>
    <t>LABEL,CONTROL,HWBI-2</t>
  </si>
  <si>
    <t>07.03.838.00</t>
  </si>
  <si>
    <t>68110</t>
  </si>
  <si>
    <t>CONTROL LABEL,HWBI-3</t>
  </si>
  <si>
    <t>07.03.840.00</t>
  </si>
  <si>
    <t>68200</t>
  </si>
  <si>
    <t>LABEL,CONTROL,HWBI-5</t>
  </si>
  <si>
    <t>07.03.862.00</t>
  </si>
  <si>
    <t>68200B</t>
  </si>
  <si>
    <t>CONTROL LABEL,2 PAN DRY WELL</t>
  </si>
  <si>
    <t>07.03.918.00</t>
  </si>
  <si>
    <t>68200C</t>
  </si>
  <si>
    <t>LABEL,FUSE 250V 20A</t>
  </si>
  <si>
    <t>08.09.001.00</t>
  </si>
  <si>
    <t>68200S</t>
  </si>
  <si>
    <t>1" X .049 TUBING</t>
  </si>
  <si>
    <t>AS.12.005.00</t>
  </si>
  <si>
    <t>68202</t>
  </si>
  <si>
    <t>GRCW-1 REAR DOOR ASSEMBLY</t>
  </si>
  <si>
    <t>AS.1324.01</t>
  </si>
  <si>
    <t>68202S</t>
  </si>
  <si>
    <t>LED HOUSING ASSY HZM-48 BLK</t>
  </si>
  <si>
    <t>AS.306.00</t>
  </si>
  <si>
    <t>68205</t>
  </si>
  <si>
    <t>DRAWER ASSY,GRMW-3,W/O NUMBERS</t>
  </si>
  <si>
    <t>AS.315.01</t>
  </si>
  <si>
    <t>68206</t>
  </si>
  <si>
    <t>LFST-48 RH DOOR BLACK</t>
  </si>
  <si>
    <t>AS.316.01</t>
  </si>
  <si>
    <t>68207</t>
  </si>
  <si>
    <t>LFST-48 LH DOOR BLACK</t>
  </si>
  <si>
    <t>AS.319.01</t>
  </si>
  <si>
    <t>68210</t>
  </si>
  <si>
    <t>LFST-41 OUTER SLIDE DOOR BLK</t>
  </si>
  <si>
    <t>AS.320.01</t>
  </si>
  <si>
    <t>68210B</t>
  </si>
  <si>
    <t>LFST-41 INNER SLIDE DOOR BLK</t>
  </si>
  <si>
    <t>FM5-MNT-80</t>
  </si>
  <si>
    <t>68210C</t>
  </si>
  <si>
    <t>MOUNT CONNECT,FAUCET,FM5-MNT-8</t>
  </si>
  <si>
    <t>I6110012045.625</t>
  </si>
  <si>
    <t>68213</t>
  </si>
  <si>
    <t>GRAIH-48 120V 1100W ELEM ASSY</t>
  </si>
  <si>
    <t>I6110020845.625</t>
  </si>
  <si>
    <t>68230</t>
  </si>
  <si>
    <t>GRAIH-48 208V 1100W ELEM ASSY</t>
  </si>
  <si>
    <t>I6110022045.625</t>
  </si>
  <si>
    <t>68300</t>
  </si>
  <si>
    <t>GRAIH-48 220V 1100W ELEM ASSY</t>
  </si>
  <si>
    <t>I6110024045.625</t>
  </si>
  <si>
    <t>68303</t>
  </si>
  <si>
    <t>GRAIH-48 240V 1100W ELEM ASSY</t>
  </si>
  <si>
    <t>I6125012051.625</t>
  </si>
  <si>
    <t>68308</t>
  </si>
  <si>
    <t>GRAIH-54 120V 1250W ELEM ASSY</t>
  </si>
  <si>
    <t>I6125020851.625</t>
  </si>
  <si>
    <t>68311</t>
  </si>
  <si>
    <t>GRAIH-54 208V 1250W ELEM ASSY</t>
  </si>
  <si>
    <t>I6125022051.81</t>
  </si>
  <si>
    <t>68312</t>
  </si>
  <si>
    <t>GRAIH-54 220V 1250W ELEM ASSY</t>
  </si>
  <si>
    <t>I6125024051.625</t>
  </si>
  <si>
    <t>68320</t>
  </si>
  <si>
    <t>GRAIH-54 240V 1250W ELEM ASSY</t>
  </si>
  <si>
    <t>I6140012057.625</t>
  </si>
  <si>
    <t>68410</t>
  </si>
  <si>
    <t>GRAIH-60 120V 1400W ELEM ASSY</t>
  </si>
  <si>
    <t>I6140020857.625</t>
  </si>
  <si>
    <t>68412</t>
  </si>
  <si>
    <t>GRAIH-60 208V 1400W ELEM ASSY</t>
  </si>
  <si>
    <t>I6140022057.625</t>
  </si>
  <si>
    <t>68413</t>
  </si>
  <si>
    <t>GRAIH-60 220V 1400W ELEM ASSY</t>
  </si>
  <si>
    <t>I6140024057.625</t>
  </si>
  <si>
    <t>68414</t>
  </si>
  <si>
    <t>GRAIH-60 240V 1400W ELEM ASSY</t>
  </si>
  <si>
    <t>I6156012063.625</t>
  </si>
  <si>
    <t>68415</t>
  </si>
  <si>
    <t>GRAIH-66 120V 1560W ELEM ASSY</t>
  </si>
  <si>
    <t>I6156020863.625</t>
  </si>
  <si>
    <t>68416</t>
  </si>
  <si>
    <t>GRAIH-66 208V 1560W ELEM ASSY</t>
  </si>
  <si>
    <t>I6156022063.625</t>
  </si>
  <si>
    <t>68418</t>
  </si>
  <si>
    <t>GRAIH-66 220V 1560W ELEM ASSY</t>
  </si>
  <si>
    <t>I6156024063.625</t>
  </si>
  <si>
    <t>68420</t>
  </si>
  <si>
    <t>GRAIH-66 240V 1560W ELEM ASSY</t>
  </si>
  <si>
    <t>I616512015.625</t>
  </si>
  <si>
    <t>68450</t>
  </si>
  <si>
    <t>GRAI-18D 120 165W ELEM ASSY</t>
  </si>
  <si>
    <t>I6172512069.625</t>
  </si>
  <si>
    <t>68501</t>
  </si>
  <si>
    <t>GRAIH-72 120V 1725W ELEM ASSY</t>
  </si>
  <si>
    <t>I6172520869.625</t>
  </si>
  <si>
    <t>68502</t>
  </si>
  <si>
    <t>GRAIH-72 208V 1725W ELEM ASSY</t>
  </si>
  <si>
    <t>I6172522069.625</t>
  </si>
  <si>
    <t>68502B</t>
  </si>
  <si>
    <t>GRAIH-72 220V 1725W ELEM ASSY</t>
  </si>
  <si>
    <t>I6172524069.625</t>
  </si>
  <si>
    <t>68505</t>
  </si>
  <si>
    <t>GRAIH-72 240V 1725W ELEM ASSY</t>
  </si>
  <si>
    <t>I6205020881.625</t>
  </si>
  <si>
    <t>68505B</t>
  </si>
  <si>
    <t>KIT, GRAIHL-84, RD 943501</t>
  </si>
  <si>
    <t>I625012015.625</t>
  </si>
  <si>
    <t>68508</t>
  </si>
  <si>
    <t>GRAI-18D 120V 250W ELEM ASSY</t>
  </si>
  <si>
    <t>I627512011.375</t>
  </si>
  <si>
    <t>68509</t>
  </si>
  <si>
    <t>GRBWI-15 120V 275W ELEM ASSY</t>
  </si>
  <si>
    <t>I631524037.750</t>
  </si>
  <si>
    <t>68510</t>
  </si>
  <si>
    <t>GRAI-41 240V 315W ELEMENT ASSY</t>
  </si>
  <si>
    <t>I631524040.125</t>
  </si>
  <si>
    <t>68510B</t>
  </si>
  <si>
    <t>GRAI-84T 240V 315W ELE ASSY</t>
  </si>
  <si>
    <t>I635012012.875</t>
  </si>
  <si>
    <t>68511</t>
  </si>
  <si>
    <t>GRAIH-18 120V 350W ELEM ASSY</t>
  </si>
  <si>
    <t>I635012015.625</t>
  </si>
  <si>
    <t>68513</t>
  </si>
  <si>
    <t>I635012026.125</t>
  </si>
  <si>
    <t>68514</t>
  </si>
  <si>
    <t>GRAI-28D 120V 350W ELEM ASSY</t>
  </si>
  <si>
    <t>I635020815.625</t>
  </si>
  <si>
    <t>68516</t>
  </si>
  <si>
    <t>GRAIH-18 208V 350W ELEM ASSY</t>
  </si>
  <si>
    <t>I635022015.625</t>
  </si>
  <si>
    <t>68516B</t>
  </si>
  <si>
    <t>GRAIH-18 220V 350W ELEM ASSY</t>
  </si>
  <si>
    <t>I635022026.125</t>
  </si>
  <si>
    <t>68522</t>
  </si>
  <si>
    <t>GRAI-28D 220V 450W ELEM ASSY</t>
  </si>
  <si>
    <t>I635024015.625</t>
  </si>
  <si>
    <t>68522B</t>
  </si>
  <si>
    <t>GRAIH-18 240V 350W ELEM ASSY</t>
  </si>
  <si>
    <t>I635024026.31</t>
  </si>
  <si>
    <t>68523</t>
  </si>
  <si>
    <t>GRAI-28D 240v 350W ELEM ASSY</t>
  </si>
  <si>
    <t>I640024048.750</t>
  </si>
  <si>
    <t>68651</t>
  </si>
  <si>
    <t>GRAI-52 240V 400W ELEMENT ASSY</t>
  </si>
  <si>
    <t>I645012016.00</t>
  </si>
  <si>
    <t>68652</t>
  </si>
  <si>
    <t>GRAIM-18 120V 450W ELEM ASSY</t>
  </si>
  <si>
    <t>I645012026.125</t>
  </si>
  <si>
    <t>68653</t>
  </si>
  <si>
    <t>GRAI-28D 120V 450W ELEM ASSY</t>
  </si>
  <si>
    <t>I645012038.625</t>
  </si>
  <si>
    <t>68654</t>
  </si>
  <si>
    <t>KIT,GRAI-41 120V 450W ELEM ASY</t>
  </si>
  <si>
    <t>I645022026.125</t>
  </si>
  <si>
    <t>68658</t>
  </si>
  <si>
    <t>I645024026.31</t>
  </si>
  <si>
    <t>68659</t>
  </si>
  <si>
    <t>GRAI-28D 240V 450W ELEM ASSY</t>
  </si>
  <si>
    <t>I650012021.625</t>
  </si>
  <si>
    <t>68660</t>
  </si>
  <si>
    <t>GRAIH-24 120V 500W ELEM ASSY</t>
  </si>
  <si>
    <t>I650020821.625</t>
  </si>
  <si>
    <t>68661</t>
  </si>
  <si>
    <t>GRAIH-24 208V 500W ELEM ASSY</t>
  </si>
  <si>
    <t>I650022021.625</t>
  </si>
  <si>
    <t>68701</t>
  </si>
  <si>
    <t>GRAIH-24 220V 500W ELEM ASSY</t>
  </si>
  <si>
    <t>I650024021.625</t>
  </si>
  <si>
    <t>68702</t>
  </si>
  <si>
    <t>GRAIH-24 240V 500W ELEM ASSY</t>
  </si>
  <si>
    <t>I652520852.06</t>
  </si>
  <si>
    <t>68703</t>
  </si>
  <si>
    <t>GRAIL-54.5T 208V 525W ELEM ASY</t>
  </si>
  <si>
    <t>I652524052.06</t>
  </si>
  <si>
    <t>68704</t>
  </si>
  <si>
    <t>GRAIL-54 240V 525W ELEM-(TB)</t>
  </si>
  <si>
    <t>I655012038.625</t>
  </si>
  <si>
    <t>68705</t>
  </si>
  <si>
    <t>KIT,GRAI-41 120V 550W ELEM ASY</t>
  </si>
  <si>
    <t>I659524057.81</t>
  </si>
  <si>
    <t>68706</t>
  </si>
  <si>
    <t>GRAIL-60 240V 595W ELEM ASSY</t>
  </si>
  <si>
    <t>I666012027.625</t>
  </si>
  <si>
    <t>68707</t>
  </si>
  <si>
    <t>GRAIH-30 120V 660W ELEM ASSY</t>
  </si>
  <si>
    <t>I666020827.625</t>
  </si>
  <si>
    <t>68709</t>
  </si>
  <si>
    <t>GRAIH-30 208V 660W ELEM ASSY</t>
  </si>
  <si>
    <t>I666022027.625</t>
  </si>
  <si>
    <t>68711</t>
  </si>
  <si>
    <t>GRAIH-30 220V 660W ELEM ASSY</t>
  </si>
  <si>
    <t>I666024027.625</t>
  </si>
  <si>
    <t>68712</t>
  </si>
  <si>
    <t>GRAIH-30 240V 660W ELEM ASSY</t>
  </si>
  <si>
    <t>I667520839.625</t>
  </si>
  <si>
    <t>68714</t>
  </si>
  <si>
    <t>GRAI-42 208V 675W ELEM ASSY</t>
  </si>
  <si>
    <t>I667520840.125</t>
  </si>
  <si>
    <t>68715</t>
  </si>
  <si>
    <t>GRAI-84T 208V 675W ELE ASSY</t>
  </si>
  <si>
    <t>I667520841.810</t>
  </si>
  <si>
    <t>68716</t>
  </si>
  <si>
    <t>GRAI-44 208V 675W ELE ASSY</t>
  </si>
  <si>
    <t>I667524036.625</t>
  </si>
  <si>
    <t>68717</t>
  </si>
  <si>
    <t>GRAIL-39D 240V 675W ELEM ASSY</t>
  </si>
  <si>
    <t>I667524039.625</t>
  </si>
  <si>
    <t>68718</t>
  </si>
  <si>
    <t>GRAI-42 240V 675W ELEM ASSY</t>
  </si>
  <si>
    <t>I680012033.625</t>
  </si>
  <si>
    <t>68719</t>
  </si>
  <si>
    <t>GRAIH-36 120V 800W ELEM ASSY</t>
  </si>
  <si>
    <t>I680020833.625</t>
  </si>
  <si>
    <t>68801</t>
  </si>
  <si>
    <t>GRAIH-36 208V 800W ELEM ASSY</t>
  </si>
  <si>
    <t>I680020845.625</t>
  </si>
  <si>
    <t>68802</t>
  </si>
  <si>
    <t>GRAI-48 208V 800W ELEMENT ASSY</t>
  </si>
  <si>
    <t>I680022033.625</t>
  </si>
  <si>
    <t>68810</t>
  </si>
  <si>
    <t>GRAIH-36 220V 800W ELEM ASSY</t>
  </si>
  <si>
    <t>I680024033.625</t>
  </si>
  <si>
    <t>68820</t>
  </si>
  <si>
    <t>GRAIH-36 240V 800W ELEM ASSY</t>
  </si>
  <si>
    <t>I680024045.375</t>
  </si>
  <si>
    <t>68851</t>
  </si>
  <si>
    <t>GRAI-48 240V 800W-TACO BELL</t>
  </si>
  <si>
    <t>I680024045.625</t>
  </si>
  <si>
    <t>68852</t>
  </si>
  <si>
    <t>GRAI-48 240V 800W ELEM ASSY</t>
  </si>
  <si>
    <t>I695012039.625</t>
  </si>
  <si>
    <t>68853</t>
  </si>
  <si>
    <t>GRAIH-42 120V 950W ELEM ASSY</t>
  </si>
  <si>
    <t>I695020839.625</t>
  </si>
  <si>
    <t>68854</t>
  </si>
  <si>
    <t>GRAIH-42 208V 950W ELEM ASSY</t>
  </si>
  <si>
    <t>I695022039.625</t>
  </si>
  <si>
    <t>68856</t>
  </si>
  <si>
    <t>GRAIH-42 220V 950W ELE ASSY</t>
  </si>
  <si>
    <t>I695022041.81</t>
  </si>
  <si>
    <t>68857</t>
  </si>
  <si>
    <t>GRAIH-48 220V 950W ELEM ASSY</t>
  </si>
  <si>
    <t>I695024039.625</t>
  </si>
  <si>
    <t>68858</t>
  </si>
  <si>
    <t>GRAIH-42 240V 950W ELEM ASSY</t>
  </si>
  <si>
    <t>I9100020833.625</t>
  </si>
  <si>
    <t>68860</t>
  </si>
  <si>
    <t>GRAIWM-36 208V 1000W ELEM ASSY</t>
  </si>
  <si>
    <t>I9110020845.375</t>
  </si>
  <si>
    <t>68861</t>
  </si>
  <si>
    <t>KIT,GRAIW-48 208V 1100W ELEM</t>
  </si>
  <si>
    <t>I9120020841.810</t>
  </si>
  <si>
    <t>68865</t>
  </si>
  <si>
    <t>KIT,GRAIWHL-44,208V,1200W ELE</t>
  </si>
  <si>
    <t>I9125020851.370</t>
  </si>
  <si>
    <t>68865B</t>
  </si>
  <si>
    <t>GRAIWH-54 208V 1250W ELEM ASSY</t>
  </si>
  <si>
    <t>I9140012045.625</t>
  </si>
  <si>
    <t>68866</t>
  </si>
  <si>
    <t>KIT,GRAIWHL-48 120V 1400W ELEM</t>
  </si>
  <si>
    <t>I9140020845.375</t>
  </si>
  <si>
    <t>68867</t>
  </si>
  <si>
    <t>GRAIWH 208V HS2-4440&amp;4441 ASSY</t>
  </si>
  <si>
    <t>I9140020845.500</t>
  </si>
  <si>
    <t>68868</t>
  </si>
  <si>
    <t>GRAIWHL-96 208V 1400W ELE ASSY</t>
  </si>
  <si>
    <t>I9140020856.590</t>
  </si>
  <si>
    <t>68869</t>
  </si>
  <si>
    <t>KIT,GRSDSI-60T,208V,1400W,ELEM</t>
  </si>
  <si>
    <t>I9140020857.625</t>
  </si>
  <si>
    <t>68870</t>
  </si>
  <si>
    <t>KIT,GRAIWH 1400W 208V ELEMENT</t>
  </si>
  <si>
    <t>I9156020863.375</t>
  </si>
  <si>
    <t>68871</t>
  </si>
  <si>
    <t>GRAIWH-66 208V 1560W ELEM ASSY</t>
  </si>
  <si>
    <t>I9160020851.560</t>
  </si>
  <si>
    <t>68872</t>
  </si>
  <si>
    <t>GRAIWML-54 208V 1600W ELE ASSY</t>
  </si>
  <si>
    <t>I9172520869.625</t>
  </si>
  <si>
    <t>68873</t>
  </si>
  <si>
    <t>GRAIWH-72 208V 1725W ELEM ASSY</t>
  </si>
  <si>
    <t>I9180020856.590</t>
  </si>
  <si>
    <t>68874</t>
  </si>
  <si>
    <t>KIT,GRSDSI-60T,208V,1800W,ELEM</t>
  </si>
  <si>
    <t>I9180020857.375</t>
  </si>
  <si>
    <t>68875</t>
  </si>
  <si>
    <t>KIT,GRAIW-60 208V 1800W ELEM</t>
  </si>
  <si>
    <t>I9192020863.56</t>
  </si>
  <si>
    <t>68877</t>
  </si>
  <si>
    <t>OBS,GRAIW-66 208V 1920W ELEM</t>
  </si>
  <si>
    <t>I9220020869.375</t>
  </si>
  <si>
    <t>68878</t>
  </si>
  <si>
    <t>KIT,GRAIW-72 208V 2200W ELEM</t>
  </si>
  <si>
    <t>I9260020881.625</t>
  </si>
  <si>
    <t>68879</t>
  </si>
  <si>
    <t>GRAIWH-84 208V 2600W ELE ASSY</t>
  </si>
  <si>
    <t>I945012016.00</t>
  </si>
  <si>
    <t>68880</t>
  </si>
  <si>
    <t>GRAIWM-18 120V 450W ELEM ASSY</t>
  </si>
  <si>
    <t>I966020827.625</t>
  </si>
  <si>
    <t>68881</t>
  </si>
  <si>
    <t>KIT,GRAIWH-30 208V 660W ELEM</t>
  </si>
  <si>
    <t>I966024025.00</t>
  </si>
  <si>
    <t>68882</t>
  </si>
  <si>
    <t>GRIBW-2920D 240V 660W ELE ASSY</t>
  </si>
  <si>
    <t>I970012016.00</t>
  </si>
  <si>
    <t>68884</t>
  </si>
  <si>
    <t>GRAIM-18 120V 700W ELEM ASSY</t>
  </si>
  <si>
    <t>I980020833.375</t>
  </si>
  <si>
    <t>68891</t>
  </si>
  <si>
    <t>GRAIWHL-36 208V 800W ELEM ASSY</t>
  </si>
  <si>
    <t>I980024038.00</t>
  </si>
  <si>
    <t>68893</t>
  </si>
  <si>
    <t>GRIBW-4220D 240V 800W ELE ASSY</t>
  </si>
  <si>
    <t>I995020838.00</t>
  </si>
  <si>
    <t>68894</t>
  </si>
  <si>
    <t>GRIBW-4220D 208V 950W ELE ASSY</t>
  </si>
  <si>
    <t>ISS695022041.81</t>
  </si>
  <si>
    <t>68895</t>
  </si>
  <si>
    <t>GRIH-48SS 220V 950W ELEM ASSY</t>
  </si>
  <si>
    <t>R00.01.0001.00</t>
  </si>
  <si>
    <t>68896</t>
  </si>
  <si>
    <t>KIT,OUTER DOOR GRHD-2P</t>
  </si>
  <si>
    <t>R00.01.0002.00</t>
  </si>
  <si>
    <t>68897</t>
  </si>
  <si>
    <t>KIT,INNER DOOR GRHD-2P</t>
  </si>
  <si>
    <t>R00.01.0003.00</t>
  </si>
  <si>
    <t>68950</t>
  </si>
  <si>
    <t>KIT,OUTER DOOR GRHD-3P</t>
  </si>
  <si>
    <t>R00.01.0004.00</t>
  </si>
  <si>
    <t>68960</t>
  </si>
  <si>
    <t>KIT,INNER DOOR GRHD-3P</t>
  </si>
  <si>
    <t>R00.01.0005.00</t>
  </si>
  <si>
    <t>70100</t>
  </si>
  <si>
    <t>KIT,OUTER DOOR GRHD-4P</t>
  </si>
  <si>
    <t>R00.01.0006.00</t>
  </si>
  <si>
    <t>70101</t>
  </si>
  <si>
    <t>KIT,INNER DOOR GRHD-4P</t>
  </si>
  <si>
    <t>R00.01.0007.00</t>
  </si>
  <si>
    <t>70102</t>
  </si>
  <si>
    <t>KIT,OUTER DOOR GRHD-2PD</t>
  </si>
  <si>
    <t>R00.01.0008.00</t>
  </si>
  <si>
    <t>70103</t>
  </si>
  <si>
    <t>KIT,INNER DOOR GRHD-2PD</t>
  </si>
  <si>
    <t>R00.01.0009.00</t>
  </si>
  <si>
    <t>70104</t>
  </si>
  <si>
    <t>KIT,OUTER DOOR GRHD-3PD</t>
  </si>
  <si>
    <t>R00.01.0010.00</t>
  </si>
  <si>
    <t>70105</t>
  </si>
  <si>
    <t>KIT,INNER DOOR GRHD-3PD</t>
  </si>
  <si>
    <t>R00.01.0011.00</t>
  </si>
  <si>
    <t>70106</t>
  </si>
  <si>
    <t>KIT,OUTER DOOR GRHD-4PD</t>
  </si>
  <si>
    <t>R00.01.0012.00</t>
  </si>
  <si>
    <t>70107</t>
  </si>
  <si>
    <t>KIT,INNER DOOR GRHD-4PD</t>
  </si>
  <si>
    <t>R00.01.0013.00</t>
  </si>
  <si>
    <t>70108</t>
  </si>
  <si>
    <t>KIT,OUTER MIRROR DOOR GRHD-2P</t>
  </si>
  <si>
    <t>R00.01.0014.00</t>
  </si>
  <si>
    <t>70110</t>
  </si>
  <si>
    <t>KIT,INNER MIRROR DOOR GRHD-2P</t>
  </si>
  <si>
    <t>R00.01.0015.00</t>
  </si>
  <si>
    <t>70112</t>
  </si>
  <si>
    <t>KIT,OUTER MIRROR DOOR GRHD-3P</t>
  </si>
  <si>
    <t>R00.01.0016.00</t>
  </si>
  <si>
    <t>70113</t>
  </si>
  <si>
    <t>KIT,INNER MIRROR DOOR GRHD-3P</t>
  </si>
  <si>
    <t>R00.01.0017.00</t>
  </si>
  <si>
    <t>70114</t>
  </si>
  <si>
    <t>KIT,OUTER MIRROR DOOR GRHD-4P</t>
  </si>
  <si>
    <t>R00.01.0018.00</t>
  </si>
  <si>
    <t>70115</t>
  </si>
  <si>
    <t>KIT,INNER MIRROR DOOR GRHD-4P</t>
  </si>
  <si>
    <t>R00.01.0019.00</t>
  </si>
  <si>
    <t>70150</t>
  </si>
  <si>
    <t>KIT,OUTER MIRROR DOOR GRHD-2PD</t>
  </si>
  <si>
    <t>R00.01.0020.00</t>
  </si>
  <si>
    <t>70200</t>
  </si>
  <si>
    <t>KIT,INNER MIRROR DOOR GRHD-2PD</t>
  </si>
  <si>
    <t>R00.01.0021.00</t>
  </si>
  <si>
    <t>70240</t>
  </si>
  <si>
    <t>KIT,OUTER MIRROR DOOR GRHD-3PD</t>
  </si>
  <si>
    <t>R00.01.0022.00</t>
  </si>
  <si>
    <t>70250</t>
  </si>
  <si>
    <t>KIT,INNER MIRROR DOOR GRHD-3PD</t>
  </si>
  <si>
    <t>R00.01.0023.00</t>
  </si>
  <si>
    <t>70251</t>
  </si>
  <si>
    <t>KIT,OUTER MIRROR DOOR GRHD-4PD</t>
  </si>
  <si>
    <t>R00.01.0024.00</t>
  </si>
  <si>
    <t>70300N</t>
  </si>
  <si>
    <t>KIT,INNER MIRROR DOOR GRHD-4PD</t>
  </si>
  <si>
    <t>R00.01.0025.00</t>
  </si>
  <si>
    <t>70301C</t>
  </si>
  <si>
    <t>KIT,OUTER DOOR GRCD&amp;GRCDH-2P</t>
  </si>
  <si>
    <t>R00.01.0026.00</t>
  </si>
  <si>
    <t>70301N</t>
  </si>
  <si>
    <t>KIT,INNER DOOR GRCD&amp;GRCDH-2P</t>
  </si>
  <si>
    <t>R00.01.0027.00</t>
  </si>
  <si>
    <t>70302</t>
  </si>
  <si>
    <t>KIT,OUTER DOOR GRCD&amp;GRCDH-3P</t>
  </si>
  <si>
    <t>R00.01.0028.00</t>
  </si>
  <si>
    <t>70303</t>
  </si>
  <si>
    <t>KIT,INNER DOOR GRCD&amp;GRCDH-3P</t>
  </si>
  <si>
    <t>R00.01.0029.00</t>
  </si>
  <si>
    <t>70400</t>
  </si>
  <si>
    <t>KIT,OUTER DOOR GRCD&amp;GRCDH-2PD</t>
  </si>
  <si>
    <t>R00.01.0030.00</t>
  </si>
  <si>
    <t>70401</t>
  </si>
  <si>
    <t>KIT,INNER DOOR,GRCD&amp;GRCDH-2PD</t>
  </si>
  <si>
    <t>R00.01.0031.00</t>
  </si>
  <si>
    <t>70402</t>
  </si>
  <si>
    <t>KIT,OUTER DOOR,GRCD&amp;GRCDH-3PD</t>
  </si>
  <si>
    <t>R00.01.0032.00</t>
  </si>
  <si>
    <t>70403</t>
  </si>
  <si>
    <t>KIT,INNER DOOR,GRCD&amp;GRCDH-3PD</t>
  </si>
  <si>
    <t>R00.01.0033.00</t>
  </si>
  <si>
    <t>70404</t>
  </si>
  <si>
    <t>KIT,OUTER MIRROR DOOR-CD-2P</t>
  </si>
  <si>
    <t>R00.01.0034.00</t>
  </si>
  <si>
    <t>70405</t>
  </si>
  <si>
    <t>KIT,INNER MIRROR DOOR-CD-2P</t>
  </si>
  <si>
    <t>R00.01.0035.00</t>
  </si>
  <si>
    <t>70406</t>
  </si>
  <si>
    <t>KIT,OUTER MIRROR DOOR-CD-3P</t>
  </si>
  <si>
    <t>R00.01.0036.00</t>
  </si>
  <si>
    <t>70407</t>
  </si>
  <si>
    <t>KIT,INNER MIRROR DOOR-CD-3P</t>
  </si>
  <si>
    <t>R00.01.0037.00</t>
  </si>
  <si>
    <t>70408</t>
  </si>
  <si>
    <t>KIT,OUTER MIRROR DOOR-CD-2PD</t>
  </si>
  <si>
    <t>R00.01.0038.00</t>
  </si>
  <si>
    <t>70409</t>
  </si>
  <si>
    <t>KIT,INNER MIRROR DOOR-CD-2PD</t>
  </si>
  <si>
    <t>R00.01.0039.00</t>
  </si>
  <si>
    <t>70500</t>
  </si>
  <si>
    <t>KIT,INNER MIRROR DOOR-CD-3PD</t>
  </si>
  <si>
    <t>R00.01.0040.00</t>
  </si>
  <si>
    <t>70500B</t>
  </si>
  <si>
    <t>KIT,OUTER MIRROR DOOR-CD-3PD</t>
  </si>
  <si>
    <t>R00.01.0041.00</t>
  </si>
  <si>
    <t>70504</t>
  </si>
  <si>
    <t>KIT,SLIDING INNER (LH) DOOR</t>
  </si>
  <si>
    <t>R00.01.0042.00</t>
  </si>
  <si>
    <t>70505</t>
  </si>
  <si>
    <t>KIT,SLIDING OUTER (R.H.) DOOR</t>
  </si>
  <si>
    <t>R00.01.0044.00</t>
  </si>
  <si>
    <t>70506</t>
  </si>
  <si>
    <t>KIT,GRS2G 120V, SHELF TOP ASSY</t>
  </si>
  <si>
    <t>R00.01.0045.00</t>
  </si>
  <si>
    <t>70507</t>
  </si>
  <si>
    <t>KIT,GRS2G 220V, SHELF TOP ASSY</t>
  </si>
  <si>
    <t>R00.01.0046.00</t>
  </si>
  <si>
    <t>70510</t>
  </si>
  <si>
    <t>KIT,LH SELF CLOSING DOOR ASSY</t>
  </si>
  <si>
    <t>R00.01.0047.00</t>
  </si>
  <si>
    <t>70511</t>
  </si>
  <si>
    <t>KIT,RH SELF CLOSING DOOR ASSY</t>
  </si>
  <si>
    <t>R00.01.0101.00</t>
  </si>
  <si>
    <t>70512</t>
  </si>
  <si>
    <t>KIT,GLASS DOOR,FST</t>
  </si>
  <si>
    <t>R00.01.0103.00</t>
  </si>
  <si>
    <t>70515</t>
  </si>
  <si>
    <t>KIT,DOOR GASKET-FS (AS.207)</t>
  </si>
  <si>
    <t>R00.01.0104.00</t>
  </si>
  <si>
    <t>70515B</t>
  </si>
  <si>
    <t>KIT,DOOR GASKET-FST(as.206.00)</t>
  </si>
  <si>
    <t>R00.01.0105.00</t>
  </si>
  <si>
    <t>70517</t>
  </si>
  <si>
    <t>KIT,DOOR GASKET-FSHC(AS.216)</t>
  </si>
  <si>
    <t>R00.01.0107.00</t>
  </si>
  <si>
    <t>70518</t>
  </si>
  <si>
    <t>KIT, S.S. DOOR FSHC</t>
  </si>
  <si>
    <t>R00.01.0108.00</t>
  </si>
  <si>
    <t>70519</t>
  </si>
  <si>
    <t>KIT, L.H. DOOR,FST-CR,WFST</t>
  </si>
  <si>
    <t>R00.01.0109.00</t>
  </si>
  <si>
    <t>70520</t>
  </si>
  <si>
    <t>KIT, R.H. DOOR,WFST-CR</t>
  </si>
  <si>
    <t>R00.01.0110.00</t>
  </si>
  <si>
    <t>70530</t>
  </si>
  <si>
    <t>KIT,HINGE ASSY WFST</t>
  </si>
  <si>
    <t>R00.01.0111.00</t>
  </si>
  <si>
    <t>70531</t>
  </si>
  <si>
    <t>KIT,UPPER GLASS DOOR FST 1 MN</t>
  </si>
  <si>
    <t>R00.01.0112.00</t>
  </si>
  <si>
    <t>70532</t>
  </si>
  <si>
    <t>KIT, LOWER GLASS DOOR,FST 1 MN</t>
  </si>
  <si>
    <t>R00.01.0113.00</t>
  </si>
  <si>
    <t>70540</t>
  </si>
  <si>
    <t>KIT,BLACK L.H.DOOR-WFST</t>
  </si>
  <si>
    <t>R00.01.0114.00</t>
  </si>
  <si>
    <t>70541</t>
  </si>
  <si>
    <t>KIT,BLACK R.H.DOOR-WFST</t>
  </si>
  <si>
    <t>R00.01.0115.00</t>
  </si>
  <si>
    <t>70542</t>
  </si>
  <si>
    <t>KIT,HINGES W/HDW-"STYLE A"</t>
  </si>
  <si>
    <t>R00.01.0116.00</t>
  </si>
  <si>
    <t>70543</t>
  </si>
  <si>
    <t>KIT,FSD REVERSIBLE DOOR HDW</t>
  </si>
  <si>
    <t>R00.01.0117.00</t>
  </si>
  <si>
    <t>70544</t>
  </si>
  <si>
    <t>KIT,GLASS DOOR,PFST-012 HANDLE</t>
  </si>
  <si>
    <t>R00.01.0118.00</t>
  </si>
  <si>
    <t>70600</t>
  </si>
  <si>
    <t>KIT,DOOR GASKET-PFST (AS.253)</t>
  </si>
  <si>
    <t>R00.01.0121.00</t>
  </si>
  <si>
    <t>70601</t>
  </si>
  <si>
    <t>KIT,HINGES W/HDW-FSD"STYLE B"</t>
  </si>
  <si>
    <t>R00.01.0122.00</t>
  </si>
  <si>
    <t>70602</t>
  </si>
  <si>
    <t>KIT,DOOR GASKET-W/A-FST-AS.220</t>
  </si>
  <si>
    <t>R00.01.0123.00</t>
  </si>
  <si>
    <t>70603</t>
  </si>
  <si>
    <t>KIT,GLASS DOOR,FSHC-7 W/HDW</t>
  </si>
  <si>
    <t>R00.01.0124.00</t>
  </si>
  <si>
    <t>70700</t>
  </si>
  <si>
    <t>KIT,DOOR GSKT-FSHC7 AS.524/535</t>
  </si>
  <si>
    <t>R00.01.0125.00</t>
  </si>
  <si>
    <t>70700B</t>
  </si>
  <si>
    <t>KIT,S.S.DOOR,FSHC-7 W/HDW</t>
  </si>
  <si>
    <t>R00.01.0126.00</t>
  </si>
  <si>
    <t>70700C</t>
  </si>
  <si>
    <t>KIT,GLASS DOOR,FSHC-6W W/HDW</t>
  </si>
  <si>
    <t>R00.01.0127.00</t>
  </si>
  <si>
    <t>70700CB</t>
  </si>
  <si>
    <t>KIT,DOOR GASKET-FSHC-6W AS.371</t>
  </si>
  <si>
    <t>R00.01.0128.00</t>
  </si>
  <si>
    <t>70701</t>
  </si>
  <si>
    <t>KIT,S.S.DOOR,FSHC-6W W/HDW</t>
  </si>
  <si>
    <t>R00.01.0129.00</t>
  </si>
  <si>
    <t>70701C</t>
  </si>
  <si>
    <t>KIT,S.S.VENTED DOOR,PH-7 W/HDW</t>
  </si>
  <si>
    <t>R00.01.0130.00</t>
  </si>
  <si>
    <t>70702</t>
  </si>
  <si>
    <t>KIT,DOOR ASSY HD SS VENT-HC-7</t>
  </si>
  <si>
    <t>R00.01.0131.00</t>
  </si>
  <si>
    <t>70703</t>
  </si>
  <si>
    <t>KIT,DOOR ASSY HD SS HC-7,NO VT</t>
  </si>
  <si>
    <t>R00.01.0132.00</t>
  </si>
  <si>
    <t>70703B</t>
  </si>
  <si>
    <t>KIT,DOOR ASSY HD GLASS HC-7</t>
  </si>
  <si>
    <t>R00.01.0133.00</t>
  </si>
  <si>
    <t>70704</t>
  </si>
  <si>
    <t>KIT,DOOR HINGES&amp;HDW,FSHC-6/7</t>
  </si>
  <si>
    <t>R00.01.0134.00</t>
  </si>
  <si>
    <t>70705</t>
  </si>
  <si>
    <t>KIT,DOOR GASKET-FDWD (AS.613)</t>
  </si>
  <si>
    <t>R00.01.0135.00</t>
  </si>
  <si>
    <t>70710</t>
  </si>
  <si>
    <t>KIT,DOOR GASKET-FSD&amp;T SERIES</t>
  </si>
  <si>
    <t>R00.01.0137.00</t>
  </si>
  <si>
    <t>70711</t>
  </si>
  <si>
    <t>KIT,DOOR ASSY HD SS FSHC-6W</t>
  </si>
  <si>
    <t>R00.01.0138.00</t>
  </si>
  <si>
    <t>70712</t>
  </si>
  <si>
    <t>KIT,DOOR ASSEMBLY-FSHC-5W</t>
  </si>
  <si>
    <t>R00.01.0139.00</t>
  </si>
  <si>
    <t>70713</t>
  </si>
  <si>
    <t>KIT,DOOR GASKET-LFST(AS.315/6)</t>
  </si>
  <si>
    <t>R00.01.0141.00</t>
  </si>
  <si>
    <t>70720</t>
  </si>
  <si>
    <t>KIT,GLASS DOOR,FSHC-5EE</t>
  </si>
  <si>
    <t>R00.01.0142.00</t>
  </si>
  <si>
    <t>70720B</t>
  </si>
  <si>
    <t>KIT,DOOR GASKET-BC-39</t>
  </si>
  <si>
    <t>R00.01.0143.00</t>
  </si>
  <si>
    <t>70721</t>
  </si>
  <si>
    <t>KIT,DOOR FSHC-6W HD SS VT BE</t>
  </si>
  <si>
    <t>R00.01.0144.00</t>
  </si>
  <si>
    <t>70722</t>
  </si>
  <si>
    <t>KIT,RH SIDE DOOR,BLK,GRCMW-26D</t>
  </si>
  <si>
    <t>R00.01.0145.00</t>
  </si>
  <si>
    <t>70723</t>
  </si>
  <si>
    <t>KIT,LH SIDE DOOR,BLK,GRCMW-26D</t>
  </si>
  <si>
    <t>R00.01.0146.00</t>
  </si>
  <si>
    <t>70723B</t>
  </si>
  <si>
    <t>OBSKIT,CLR BK DOOR,BLK,GRCMW-26D</t>
  </si>
  <si>
    <t>R00.01.0147.00</t>
  </si>
  <si>
    <t>70724</t>
  </si>
  <si>
    <t>KIT,MIR BK DOOR,BLK,GRCMW-26D</t>
  </si>
  <si>
    <t>R00.01.0148.00</t>
  </si>
  <si>
    <t>70725</t>
  </si>
  <si>
    <t>KIT,PFST DOOR ASSEMBLY</t>
  </si>
  <si>
    <t>R00.01.0149.00</t>
  </si>
  <si>
    <t>70726</t>
  </si>
  <si>
    <t>KIT,PFST DOOR,BLK,LATCH HANDLE</t>
  </si>
  <si>
    <t>R00.01.0150.00</t>
  </si>
  <si>
    <t>70727</t>
  </si>
  <si>
    <t>KIT,DOOR GASKET,FST-2P4 AS.525</t>
  </si>
  <si>
    <t>R00.01.0151.00</t>
  </si>
  <si>
    <t>70728</t>
  </si>
  <si>
    <t>KIT,LFST-41 LH FRCH DOOR BLACK</t>
  </si>
  <si>
    <t>R00.01.0152.00</t>
  </si>
  <si>
    <t>70730N</t>
  </si>
  <si>
    <t>KIT,LFST-41 RH FRCH DOOR BLACK</t>
  </si>
  <si>
    <t>R00.01.0154.00</t>
  </si>
  <si>
    <t>70730NB</t>
  </si>
  <si>
    <t>KIT,DOOR,RIGHT,GMHDH-3PT</t>
  </si>
  <si>
    <t>R00.01.0155.00</t>
  </si>
  <si>
    <t>70731N</t>
  </si>
  <si>
    <t>FS3HAC-4226 SLIDING DOOR ASSY</t>
  </si>
  <si>
    <t>R00.01.0156.00</t>
  </si>
  <si>
    <t>70732</t>
  </si>
  <si>
    <t>KIT,HINGE DOOR FS3HAC 24/30 GG</t>
  </si>
  <si>
    <t>R00.01.0157.00</t>
  </si>
  <si>
    <t>70733</t>
  </si>
  <si>
    <t>KIT, DOOR ASSY,FSHC-5EE HD SS</t>
  </si>
  <si>
    <t>R00.01.0350.00</t>
  </si>
  <si>
    <t>70735</t>
  </si>
  <si>
    <t>KIT,GRCD-1PD FLIP DOOR</t>
  </si>
  <si>
    <t>R00.01.0350.01</t>
  </si>
  <si>
    <t>70735B</t>
  </si>
  <si>
    <t>KIT,GRCD-1PD FLIP DOOR BLACK</t>
  </si>
  <si>
    <t>R00.01.0350.03</t>
  </si>
  <si>
    <t>70801</t>
  </si>
  <si>
    <t>KIT,GRCD-1PD FLIP DOOR RED</t>
  </si>
  <si>
    <t>R00.01.0350.04</t>
  </si>
  <si>
    <t>70802</t>
  </si>
  <si>
    <t>KIT,GRCD-1PD FLIP DOOR WHITE</t>
  </si>
  <si>
    <t>R00.01.0350.05</t>
  </si>
  <si>
    <t>70803</t>
  </si>
  <si>
    <t>KIT,GRCD-1PD FLIP DOOR BLUE</t>
  </si>
  <si>
    <t>R00.01.0350.07</t>
  </si>
  <si>
    <t>70804</t>
  </si>
  <si>
    <t>KIT,GRCD-1PD FLIP DOOR GREEN</t>
  </si>
  <si>
    <t>R00.01.0350.12</t>
  </si>
  <si>
    <t>70805</t>
  </si>
  <si>
    <t>KIT,GRCD-1PD FLIP DOOR GRAY</t>
  </si>
  <si>
    <t>R00.01.0350.21</t>
  </si>
  <si>
    <t>70806</t>
  </si>
  <si>
    <t>KIT,GRCD-1PD FLIP DOOR ANT COP</t>
  </si>
  <si>
    <t>R00.01.0351.00</t>
  </si>
  <si>
    <t>70807</t>
  </si>
  <si>
    <t>KIT,GRCD-2PD FLIP DOOR</t>
  </si>
  <si>
    <t>R00.01.0351.01</t>
  </si>
  <si>
    <t>71101</t>
  </si>
  <si>
    <t>KIT,GRCD-2PD FLIP DOOR BLACK</t>
  </si>
  <si>
    <t>R00.01.0351.03</t>
  </si>
  <si>
    <t>71200C</t>
  </si>
  <si>
    <t>KIT,GRCD-2PD FLIP DOOR RED</t>
  </si>
  <si>
    <t>R00.01.0351.04</t>
  </si>
  <si>
    <t>71202</t>
  </si>
  <si>
    <t>KIT,GRCD-2PD FLIP DOOR WHITE</t>
  </si>
  <si>
    <t>R00.01.0351.05</t>
  </si>
  <si>
    <t>71204NN</t>
  </si>
  <si>
    <t>KIT,GRCD-2PD FLIP DOOR BLUE</t>
  </si>
  <si>
    <t>R00.01.0351.07</t>
  </si>
  <si>
    <t>71300</t>
  </si>
  <si>
    <t>KIT,GRCD-2PD FLIP DOOR GREEN</t>
  </si>
  <si>
    <t>R00.01.0351.12</t>
  </si>
  <si>
    <t>71300B</t>
  </si>
  <si>
    <t>KIT,GRCD-2PD FLIP DOOR GRAY</t>
  </si>
  <si>
    <t>R00.01.0351.21</t>
  </si>
  <si>
    <t>71301</t>
  </si>
  <si>
    <t>KIT,GRCD-2PD FLIP DOOR ANT COP</t>
  </si>
  <si>
    <t>R00.01.0352.00</t>
  </si>
  <si>
    <t>71301B</t>
  </si>
  <si>
    <t>KIT,GRCD-3PD FLIP DOOR</t>
  </si>
  <si>
    <t>R00.01.0352.01</t>
  </si>
  <si>
    <t>71302</t>
  </si>
  <si>
    <t>KIT,GRCD-3PD FLIP DOOR BLACK</t>
  </si>
  <si>
    <t>R00.01.0352.03</t>
  </si>
  <si>
    <t>71305</t>
  </si>
  <si>
    <t>KIT,GRCD-3PD FLIP DOOR RED</t>
  </si>
  <si>
    <t>R00.01.0352.04</t>
  </si>
  <si>
    <t>71307</t>
  </si>
  <si>
    <t>KIT,GRCD-3PD FLIP DOOR WHITE</t>
  </si>
  <si>
    <t>R00.01.0352.05</t>
  </si>
  <si>
    <t>71311</t>
  </si>
  <si>
    <t>KIT,GRCD-3PD FLIP DOOR BLUE</t>
  </si>
  <si>
    <t>R00.01.0352.07</t>
  </si>
  <si>
    <t>71312</t>
  </si>
  <si>
    <t>KIT,GRCD-3PD FLIP DOOR GREEN</t>
  </si>
  <si>
    <t>R00.01.0352.12</t>
  </si>
  <si>
    <t>71313</t>
  </si>
  <si>
    <t>KIT,GRCD-3PD FLIP DOOR GRAY</t>
  </si>
  <si>
    <t>R00.01.0352.21</t>
  </si>
  <si>
    <t>71314</t>
  </si>
  <si>
    <t>KIT,GRCD-3PD FLIP DOOR ANT COP</t>
  </si>
  <si>
    <t>R00.02.0004.00</t>
  </si>
  <si>
    <t>71400C</t>
  </si>
  <si>
    <t>KIT,LPG CONVERSION,PMG-60</t>
  </si>
  <si>
    <t>R00.02.0005.00</t>
  </si>
  <si>
    <t>71401C</t>
  </si>
  <si>
    <t>KIT,LPG CONVERSION PMG 100&amp;200</t>
  </si>
  <si>
    <t>R00.02.0019.00</t>
  </si>
  <si>
    <t>71402</t>
  </si>
  <si>
    <t>KIT,RELAY RETROFIT-700H240V</t>
  </si>
  <si>
    <t>R00.02.0020.00</t>
  </si>
  <si>
    <t>71403</t>
  </si>
  <si>
    <t>KIT,RELAY RETROFIT-700H220V</t>
  </si>
  <si>
    <t>R00.02.0021.00</t>
  </si>
  <si>
    <t>71404</t>
  </si>
  <si>
    <t>KIT,RELAY RETROFIT-FR5 208V</t>
  </si>
  <si>
    <t>R00.02.0022.00</t>
  </si>
  <si>
    <t>71405</t>
  </si>
  <si>
    <t>KIT,RELAY RETROFIT-FR5 240V</t>
  </si>
  <si>
    <t>R00.02.0026.00</t>
  </si>
  <si>
    <t>71406</t>
  </si>
  <si>
    <t>KIT,RELAY-RETRO-SDS/HD/CD 220V</t>
  </si>
  <si>
    <t>R00.02.0027.00</t>
  </si>
  <si>
    <t>71407</t>
  </si>
  <si>
    <t>KIT,RELAY-RETRO-SDS/HD/CD 240V</t>
  </si>
  <si>
    <t>R00.02.0028.00</t>
  </si>
  <si>
    <t>71408</t>
  </si>
  <si>
    <t>KIT,ROCKER SW-GRFHS&amp;LEADS 125V</t>
  </si>
  <si>
    <t>R00.02.0029.00</t>
  </si>
  <si>
    <t>71409</t>
  </si>
  <si>
    <t>KIT,ROCKER SW-GRFHS&amp;LEADS 250V</t>
  </si>
  <si>
    <t>R00.02.0030.00</t>
  </si>
  <si>
    <t>71410</t>
  </si>
  <si>
    <t>KIT,GRFHS TOGGLE SW.RETRO-FIT</t>
  </si>
  <si>
    <t>R00.02.0038.00</t>
  </si>
  <si>
    <t>71411</t>
  </si>
  <si>
    <t>KIT,HWB STD CONTROL BOX ASSY</t>
  </si>
  <si>
    <t>R00.02.0044.00</t>
  </si>
  <si>
    <t>71415</t>
  </si>
  <si>
    <t>KIT,BLOWER FAN RETRO-HDW-2MN</t>
  </si>
  <si>
    <t>R00.02.0045.00</t>
  </si>
  <si>
    <t>71500</t>
  </si>
  <si>
    <t>KIT,SWITCH-LEADS&amp;TERMINALS-QT</t>
  </si>
  <si>
    <t>R00.02.0046.00</t>
  </si>
  <si>
    <t>71500B</t>
  </si>
  <si>
    <t>KIT,BLANKING FLANGE,ABB SERIES</t>
  </si>
  <si>
    <t>R00.02.0047.00</t>
  </si>
  <si>
    <t>71501</t>
  </si>
  <si>
    <t>KIT,AUTO-FILL SENSOR,HWBI</t>
  </si>
  <si>
    <t>R00.02.0050.00</t>
  </si>
  <si>
    <t>71502</t>
  </si>
  <si>
    <t>KIT,TOGGLE RETRO-FIT-CASEYS</t>
  </si>
  <si>
    <t>R00.02.0053.00</t>
  </si>
  <si>
    <t>71507</t>
  </si>
  <si>
    <t>KIT,FS2HAC-COVER,220-240 VOLT</t>
  </si>
  <si>
    <t>R00.02.0055.00</t>
  </si>
  <si>
    <t>71507B</t>
  </si>
  <si>
    <t>KIT,XENON LAMP HOLDER-GRN4L</t>
  </si>
  <si>
    <t>R00.02.0056.00</t>
  </si>
  <si>
    <t>71510</t>
  </si>
  <si>
    <t>KIT,XENON LAMP HOLDER-FSCDH</t>
  </si>
  <si>
    <t>R00.02.0057.00</t>
  </si>
  <si>
    <t>71512</t>
  </si>
  <si>
    <t>KIT,RMB-16-J</t>
  </si>
  <si>
    <t>R00.02.0058.00</t>
  </si>
  <si>
    <t>71513</t>
  </si>
  <si>
    <t>KIT,RMB-22B</t>
  </si>
  <si>
    <t>R00.02.0059.00</t>
  </si>
  <si>
    <t>71514</t>
  </si>
  <si>
    <t>KIT,DRUM TEMP DISPLAY RETRO</t>
  </si>
  <si>
    <t>R00.02.0060.00</t>
  </si>
  <si>
    <t>76</t>
  </si>
  <si>
    <t>KIT,HWB RECESSED CONT BOX 120V</t>
  </si>
  <si>
    <t>R00.02.0061.00</t>
  </si>
  <si>
    <t>76100</t>
  </si>
  <si>
    <t>OBSKIT,GRN4/NLX-1TOG &amp; 1 DIMMER</t>
  </si>
  <si>
    <t>R00.02.0062.00</t>
  </si>
  <si>
    <t>76101</t>
  </si>
  <si>
    <t>OBSKIT,GRN4L CONTROL-BOX-2TG&amp;1DIM</t>
  </si>
  <si>
    <t>R00.02.0067.00</t>
  </si>
  <si>
    <t>76102</t>
  </si>
  <si>
    <t>KIT,GRSSB-STD CONTROL BOX EXP</t>
  </si>
  <si>
    <t>R00.02.0069.00</t>
  </si>
  <si>
    <t>76103</t>
  </si>
  <si>
    <t>KIT,GRSB CONTROL BOX W/ T-STAT</t>
  </si>
  <si>
    <t>R00.02.0070.00</t>
  </si>
  <si>
    <t>76104</t>
  </si>
  <si>
    <t>KIT,HBG-2418 BLACK GLASS ASSY</t>
  </si>
  <si>
    <t>R00.02.0070.01</t>
  </si>
  <si>
    <t>76105</t>
  </si>
  <si>
    <t>KIT,HBG-2418 BLK GLS BLk TRM</t>
  </si>
  <si>
    <t>R00.02.0071.00</t>
  </si>
  <si>
    <t>76106</t>
  </si>
  <si>
    <t>KIT,HBG-3018 BLACK GLASS ASSY</t>
  </si>
  <si>
    <t>R00.02.0071.01</t>
  </si>
  <si>
    <t>76110</t>
  </si>
  <si>
    <t>KIT,HBG-3018 BLK GLS BLK TRM</t>
  </si>
  <si>
    <t>R00.02.0072.00</t>
  </si>
  <si>
    <t>76200</t>
  </si>
  <si>
    <t>KIT,HBG-3618 BLACK GLASS ASSY</t>
  </si>
  <si>
    <t>R00.02.0072.01</t>
  </si>
  <si>
    <t>76210</t>
  </si>
  <si>
    <t>KIT,HBG-3618 BLK GLS BLK TRM</t>
  </si>
  <si>
    <t>R00.02.0073.00</t>
  </si>
  <si>
    <t>76211</t>
  </si>
  <si>
    <t>R00.02.0073.01</t>
  </si>
  <si>
    <t>76212</t>
  </si>
  <si>
    <t>KIT,HBG-4818 BLK GLS BLK TRM</t>
  </si>
  <si>
    <t>R00.02.0074.00</t>
  </si>
  <si>
    <t>76213</t>
  </si>
  <si>
    <t>KIT,HBG-6018 BLACK GLASS ASSY</t>
  </si>
  <si>
    <t>R00.02.0074.01</t>
  </si>
  <si>
    <t>76214</t>
  </si>
  <si>
    <t>KIT,HBG-6018 BLK GLS BLK TRM</t>
  </si>
  <si>
    <t>R00.02.0075.00</t>
  </si>
  <si>
    <t>76220</t>
  </si>
  <si>
    <t>KIT,HBG-7218 BLACK GLASS ASSY</t>
  </si>
  <si>
    <t>R00.02.0075.01</t>
  </si>
  <si>
    <t>76221</t>
  </si>
  <si>
    <t>KIT,HBG-7218 BLK GLS BLK TRM</t>
  </si>
  <si>
    <t>R00.02.0076.00</t>
  </si>
  <si>
    <t>76222</t>
  </si>
  <si>
    <t>KIT,HBGB-2418 BLK GLS ASY SS</t>
  </si>
  <si>
    <t>R00.02.0076.01</t>
  </si>
  <si>
    <t>76223</t>
  </si>
  <si>
    <t>KIT,HBGB-2418 BLK GLS ASY BLK</t>
  </si>
  <si>
    <t>R00.02.0077.00</t>
  </si>
  <si>
    <t>76224</t>
  </si>
  <si>
    <t>KIT,HBGB/H-3018 BLK GLASS ASSY</t>
  </si>
  <si>
    <t>R00.02.0077.01</t>
  </si>
  <si>
    <t>76225</t>
  </si>
  <si>
    <t>KIT,HBGD-30 GLASS BLK W/TRM</t>
  </si>
  <si>
    <t>R00.02.0078.00</t>
  </si>
  <si>
    <t>76226</t>
  </si>
  <si>
    <t>KIT,HBGB-3618 BLACK GLASS ASSY</t>
  </si>
  <si>
    <t>R00.02.0078.01</t>
  </si>
  <si>
    <t>76227</t>
  </si>
  <si>
    <t>KIT,HBGB-3618 BLK GLASS,BK TRM</t>
  </si>
  <si>
    <t>R00.02.0079.00</t>
  </si>
  <si>
    <t>76228</t>
  </si>
  <si>
    <t>KIT,HBGB-4818 BLACK GLASS ASSY</t>
  </si>
  <si>
    <t>R00.02.0079.01</t>
  </si>
  <si>
    <t>76229</t>
  </si>
  <si>
    <t>KIT,HBGB-4818 BLK GLASS,BK TRM</t>
  </si>
  <si>
    <t>R00.02.0080.00</t>
  </si>
  <si>
    <t>76300</t>
  </si>
  <si>
    <t>KIT,HBGB-6018 BLACK GLASS ASSY</t>
  </si>
  <si>
    <t>R00.02.0080.01</t>
  </si>
  <si>
    <t>76301</t>
  </si>
  <si>
    <t>KIT,HBGB-6018 BLK GLS ASY BLK</t>
  </si>
  <si>
    <t>R00.02.0081.00</t>
  </si>
  <si>
    <t>76302</t>
  </si>
  <si>
    <t>KIT,HBGB-7218 BLACK GLASS ASSY</t>
  </si>
  <si>
    <t>R00.02.0081.01</t>
  </si>
  <si>
    <t>76500</t>
  </si>
  <si>
    <t>KIT,HBGB-7218 BLK GLASS-BLK TR</t>
  </si>
  <si>
    <t>R00.02.0082.00</t>
  </si>
  <si>
    <t>76510</t>
  </si>
  <si>
    <t>KIT,HBGBH-24 GLASS ASSY-SS</t>
  </si>
  <si>
    <t>R00.02.0082.01</t>
  </si>
  <si>
    <t>76511</t>
  </si>
  <si>
    <t>KIT,HBGBH-24 GLASS ASSY-BLACK</t>
  </si>
  <si>
    <t>R00.02.0083.00</t>
  </si>
  <si>
    <t>76513</t>
  </si>
  <si>
    <t>KIT,HBGBH-30 GLASS ASSY-SS</t>
  </si>
  <si>
    <t>R00.02.0083.01</t>
  </si>
  <si>
    <t>76514</t>
  </si>
  <si>
    <t>KIT,HBGBH-30 GLASS ASSY-BLACK</t>
  </si>
  <si>
    <t>R00.02.0087.00</t>
  </si>
  <si>
    <t>76520</t>
  </si>
  <si>
    <t>KIT,HBGBH-36 GLASS ASSY-SS</t>
  </si>
  <si>
    <t>R00.02.0087.01</t>
  </si>
  <si>
    <t>76521</t>
  </si>
  <si>
    <t>KIT,HBGBH-36 GLASS ASSY-BLACK</t>
  </si>
  <si>
    <t>R00.02.0088.00</t>
  </si>
  <si>
    <t>76523</t>
  </si>
  <si>
    <t>KIT,HBGBH-48 GLASS ASSY-SS</t>
  </si>
  <si>
    <t>R00.02.0088.01</t>
  </si>
  <si>
    <t>76530</t>
  </si>
  <si>
    <t>KIT,HBGBH-48 GLASS ASSY-BLACK</t>
  </si>
  <si>
    <t>R00.02.0089.00</t>
  </si>
  <si>
    <t>76532</t>
  </si>
  <si>
    <t>KIT,HBGBH-60 GLASS ASSY-SS</t>
  </si>
  <si>
    <t>R00.02.0089.01</t>
  </si>
  <si>
    <t>76533</t>
  </si>
  <si>
    <t>KIT,HBGBH-60 GLASS ASSY-BLACK</t>
  </si>
  <si>
    <t>R00.02.0090.00</t>
  </si>
  <si>
    <t>76540</t>
  </si>
  <si>
    <t>KIT,HBGBH-72 GLASS ASSY-SS</t>
  </si>
  <si>
    <t>R00.02.0090.01</t>
  </si>
  <si>
    <t>76545</t>
  </si>
  <si>
    <t>KIT,HBGBH-72 GLASS ASSY-BLACK</t>
  </si>
  <si>
    <t>R00.02.0091.00</t>
  </si>
  <si>
    <t>76545B</t>
  </si>
  <si>
    <t>KIT,RMB-22D</t>
  </si>
  <si>
    <t>R00.02.0092.00</t>
  </si>
  <si>
    <t>76600</t>
  </si>
  <si>
    <t>KIT,LAMP HOLDER,30"LEADS,120V</t>
  </si>
  <si>
    <t>R00.02.0093.00</t>
  </si>
  <si>
    <t>76601</t>
  </si>
  <si>
    <t>KIT,LAMP HOLDER,30" LEADS, CE</t>
  </si>
  <si>
    <t>R00.02.0094.00</t>
  </si>
  <si>
    <t>76602</t>
  </si>
  <si>
    <t>KIT,CONVERSION-CWB CNTRL 120V</t>
  </si>
  <si>
    <t>R00.02.0095.00</t>
  </si>
  <si>
    <t>76603</t>
  </si>
  <si>
    <t>KIT,CONVERSION-FTB CONTROL&amp;BOX</t>
  </si>
  <si>
    <t>R00.02.0096.00</t>
  </si>
  <si>
    <t>76604</t>
  </si>
  <si>
    <t>KIT,PROBE AND CONNECTORS-HUSSM</t>
  </si>
  <si>
    <t>R00.02.0097.00</t>
  </si>
  <si>
    <t>76605</t>
  </si>
  <si>
    <t>KIT,HWB RECESS CONTOL BOX 250V</t>
  </si>
  <si>
    <t>R00.02.0098.00</t>
  </si>
  <si>
    <t>76606</t>
  </si>
  <si>
    <t>KIT,HWB RECESS BOX, 240V-LONG</t>
  </si>
  <si>
    <t>R00.02.0099.00</t>
  </si>
  <si>
    <t>76607</t>
  </si>
  <si>
    <t>KIT,CONT ASSEMBLY HCSBF</t>
  </si>
  <si>
    <t>R00.02.0100.00</t>
  </si>
  <si>
    <t>76608</t>
  </si>
  <si>
    <t>KIT,SPC UGAH RMB 1 SW 1 LAMP</t>
  </si>
  <si>
    <t>R00.02.0101.00</t>
  </si>
  <si>
    <t>76609</t>
  </si>
  <si>
    <t>KIT,COUNTER CRAFT 02.05.442.00</t>
  </si>
  <si>
    <t>R00.02.0103.00</t>
  </si>
  <si>
    <t>76651</t>
  </si>
  <si>
    <t>KIT,RMB SPC FOR UGAL.00032</t>
  </si>
  <si>
    <t>R00.02.0104.00</t>
  </si>
  <si>
    <t>76652</t>
  </si>
  <si>
    <t>KIT,RMB-24B ASSEMBLY</t>
  </si>
  <si>
    <t>R00.02.0105.00</t>
  </si>
  <si>
    <t>76653</t>
  </si>
  <si>
    <t>KIT,CONTROL BOX-GRAH-114T-CB</t>
  </si>
  <si>
    <t>R00.02.0111.00</t>
  </si>
  <si>
    <t>76654</t>
  </si>
  <si>
    <t>KIT,HBGBH FLUSH ITC BOX 250V</t>
  </si>
  <si>
    <t>R00.02.0112.00</t>
  </si>
  <si>
    <t>76655</t>
  </si>
  <si>
    <t>KIT,SENSOR-ITQ-GLASS BLOCK</t>
  </si>
  <si>
    <t>R00.02.0113.00</t>
  </si>
  <si>
    <t>76656</t>
  </si>
  <si>
    <t>KIT,ITQ DUNKIN TOASTER TUNE-UP</t>
  </si>
  <si>
    <t>R00.02.0114.00</t>
  </si>
  <si>
    <t>76659</t>
  </si>
  <si>
    <t>KIT,JACKSON FUSE BLOCK SET</t>
  </si>
  <si>
    <t>R00.02.0115.00</t>
  </si>
  <si>
    <t>76662</t>
  </si>
  <si>
    <t>KIT,RMB SPC FOR UGADL.00045</t>
  </si>
  <si>
    <t>R00.02.0116.00</t>
  </si>
  <si>
    <t>76700</t>
  </si>
  <si>
    <t>KIT,COUNTER CRAFT 02.05.305.00</t>
  </si>
  <si>
    <t>R00.02.0117.00</t>
  </si>
  <si>
    <t>76701</t>
  </si>
  <si>
    <t>KIT,COUNTER CRAFT 02.05.502.00</t>
  </si>
  <si>
    <t>R00.02.0118.00</t>
  </si>
  <si>
    <t>76702</t>
  </si>
  <si>
    <t>KIT,COUNTER CRAFT 02.05.273.00</t>
  </si>
  <si>
    <t>R00.02.0119.00</t>
  </si>
  <si>
    <t>76703</t>
  </si>
  <si>
    <t>KIT,COUNTER CRAFT 02.05.501.00</t>
  </si>
  <si>
    <t>R00.02.0120.00</t>
  </si>
  <si>
    <t>76750</t>
  </si>
  <si>
    <t>KIT,GRSB CONT BOX-CE W/T-STAT</t>
  </si>
  <si>
    <t>R00.02.0122.00</t>
  </si>
  <si>
    <t>76751</t>
  </si>
  <si>
    <t>KIT,RMB BOX-7T (RMB-7T)</t>
  </si>
  <si>
    <t>R00.02.0123.00</t>
  </si>
  <si>
    <t>76752</t>
  </si>
  <si>
    <t>KIT,HWB CONTROL BOX,UR,250V</t>
  </si>
  <si>
    <t>R00.02.0124.00</t>
  </si>
  <si>
    <t>76755</t>
  </si>
  <si>
    <t>KIT,RMB SPC FOR UGADL.00582</t>
  </si>
  <si>
    <t>R00.02.0125.00</t>
  </si>
  <si>
    <t>76756</t>
  </si>
  <si>
    <t>KIT,FIN,6500W 120V,FS3HAC-3026</t>
  </si>
  <si>
    <t>R00.02.0126.00</t>
  </si>
  <si>
    <t>76757</t>
  </si>
  <si>
    <t>KIT,FIN,6500W 120V,FS3HAC-3626</t>
  </si>
  <si>
    <t>R00.02.0127.00</t>
  </si>
  <si>
    <t>76800</t>
  </si>
  <si>
    <t>KIT,COUNTER CRAFT 02.05.544.00</t>
  </si>
  <si>
    <t>R00.02.0128.00</t>
  </si>
  <si>
    <t>76801</t>
  </si>
  <si>
    <t>KIT,COUNTER CRAFT-02.05.444.00</t>
  </si>
  <si>
    <t>R00.02.0129.00</t>
  </si>
  <si>
    <t>76803</t>
  </si>
  <si>
    <t>KIT,GM5A INFINITE CONTROL BOX</t>
  </si>
  <si>
    <t>R00.02.0130.00</t>
  </si>
  <si>
    <t>76804</t>
  </si>
  <si>
    <t>KIT,GM5AL INFINITE CONTROL BOX</t>
  </si>
  <si>
    <t>R00.02.0131.00</t>
  </si>
  <si>
    <t>76810</t>
  </si>
  <si>
    <t>KIT,FIN,3250W 120V,FS3HAC-4226,RETROFIT</t>
  </si>
  <si>
    <t>R00.02.0132.00</t>
  </si>
  <si>
    <t>76811</t>
  </si>
  <si>
    <t>KIT,LED RETROFIT FDWD WW</t>
  </si>
  <si>
    <t>R00.02.0133.00</t>
  </si>
  <si>
    <t>76814</t>
  </si>
  <si>
    <t>KIT,LED RETROFIT FDWD NW</t>
  </si>
  <si>
    <t>R00.02.0134.00</t>
  </si>
  <si>
    <t>76815</t>
  </si>
  <si>
    <t>KIT,LED RETROFIT FSD WW</t>
  </si>
  <si>
    <t>R00.02.0135.00</t>
  </si>
  <si>
    <t>9101</t>
  </si>
  <si>
    <t>KIT,LED RETROFIT FSD NW</t>
  </si>
  <si>
    <t>R00.02.0136.00</t>
  </si>
  <si>
    <t>9107</t>
  </si>
  <si>
    <t>KIT,LED RETROFIT FSDT WW</t>
  </si>
  <si>
    <t>R00.02.0137.00</t>
  </si>
  <si>
    <t>9110</t>
  </si>
  <si>
    <t>KIT,LED RETROFIT FSDT NW</t>
  </si>
  <si>
    <t>R00.02.0139.00</t>
  </si>
  <si>
    <t>9124</t>
  </si>
  <si>
    <t>KIT,CONTROL BOX HCSSFR.00088</t>
  </si>
  <si>
    <t>R00.02.0140.00</t>
  </si>
  <si>
    <t>9125</t>
  </si>
  <si>
    <t>KIT,HBGBH-24 GLASS ASM,NO TRIM</t>
  </si>
  <si>
    <t>R00.02.0141.00</t>
  </si>
  <si>
    <t>9126</t>
  </si>
  <si>
    <t>KIT,HBGBH-30 GLASS ASM,NO TRIM</t>
  </si>
  <si>
    <t>R00.02.0142.00</t>
  </si>
  <si>
    <t>9127</t>
  </si>
  <si>
    <t>KIT,HBGBH-36 GLASS ASM,NO TRIM</t>
  </si>
  <si>
    <t>R00.02.0143.00</t>
  </si>
  <si>
    <t>9128</t>
  </si>
  <si>
    <t>KIT,HBGBH-48 GLASS ASM,NO TRIM</t>
  </si>
  <si>
    <t>R00.02.0144.00</t>
  </si>
  <si>
    <t>9129</t>
  </si>
  <si>
    <t>KIT,HBGBH-60 GLASS ASM,NO TRIM</t>
  </si>
  <si>
    <t>R00.02.0145.00</t>
  </si>
  <si>
    <t>9137</t>
  </si>
  <si>
    <t>KIT,HBGBH-72 GLASS ASM,NO TRIM</t>
  </si>
  <si>
    <t>R00.02.0146.00</t>
  </si>
  <si>
    <t>9140</t>
  </si>
  <si>
    <t>KIT,RMB-16N</t>
  </si>
  <si>
    <t>R00.02.0147.00</t>
  </si>
  <si>
    <t>9145</t>
  </si>
  <si>
    <t>KIT,COUNTER CRAFT 02.05.436.00</t>
  </si>
  <si>
    <t>R00.02.0148.00</t>
  </si>
  <si>
    <t>9146</t>
  </si>
  <si>
    <t>KIT,RMB SPECIFIC TO UGAL.00922</t>
  </si>
  <si>
    <t>R00.02.0149.00</t>
  </si>
  <si>
    <t>9147</t>
  </si>
  <si>
    <t>KIT,CONTROL BOX GRSB.00650</t>
  </si>
  <si>
    <t>R00.02.0150.00</t>
  </si>
  <si>
    <t>9148</t>
  </si>
  <si>
    <t>UPPER SHELF HTD GLASS QT 27in</t>
  </si>
  <si>
    <t>R00.02.0151.00</t>
  </si>
  <si>
    <t>9149</t>
  </si>
  <si>
    <t>MIDDLE SHELF HTD GLASS QT 27in</t>
  </si>
  <si>
    <t>R00.02.0152.00</t>
  </si>
  <si>
    <t>9151</t>
  </si>
  <si>
    <t>KIT,F2GP ACTUATOR ASSY</t>
  </si>
  <si>
    <t>R00.02.0161.00</t>
  </si>
  <si>
    <t>9152</t>
  </si>
  <si>
    <t>KIT,GR5AL 120V SGL COLOR RMB</t>
  </si>
  <si>
    <t>R00.02.0164.00</t>
  </si>
  <si>
    <t>9153</t>
  </si>
  <si>
    <t>KIT,RMB-22C</t>
  </si>
  <si>
    <t>R00.02.0165.00</t>
  </si>
  <si>
    <t>9154</t>
  </si>
  <si>
    <t>KIT,UGAH-26D&amp;35D RETRO-FIT-TOG</t>
  </si>
  <si>
    <t>R00.02.0166.00</t>
  </si>
  <si>
    <t>9155</t>
  </si>
  <si>
    <t>KIT,GRSB FLUSH CONTROL BOX</t>
  </si>
  <si>
    <t>R00.02.0167.00</t>
  </si>
  <si>
    <t>9156</t>
  </si>
  <si>
    <t>KIT,RMB-14BD</t>
  </si>
  <si>
    <t>R00.02.0168.00</t>
  </si>
  <si>
    <t>9157</t>
  </si>
  <si>
    <t>KIT,RMB-14BE</t>
  </si>
  <si>
    <t>R00.02.0169.00</t>
  </si>
  <si>
    <t>9160</t>
  </si>
  <si>
    <t>KIT,RMB SPC FOR UGAL.00890</t>
  </si>
  <si>
    <t>R00.02.0174.00</t>
  </si>
  <si>
    <t>9166</t>
  </si>
  <si>
    <t>KIT,HBGBHC-3014 STAINLESS TRIM</t>
  </si>
  <si>
    <t>R00.02.0175.00</t>
  </si>
  <si>
    <t>9167</t>
  </si>
  <si>
    <t>KIT,HBGBHC-3014 NO TRIM</t>
  </si>
  <si>
    <t>R00.02.0177.00</t>
  </si>
  <si>
    <t>9168</t>
  </si>
  <si>
    <t>KIT,HBGBHC-3614 NO TRIM</t>
  </si>
  <si>
    <t>R00.02.0179.00</t>
  </si>
  <si>
    <t>9172</t>
  </si>
  <si>
    <t>KIT,HBGBHC-4814 NO TRIM</t>
  </si>
  <si>
    <t>R00.02.0180.00</t>
  </si>
  <si>
    <t>9173</t>
  </si>
  <si>
    <t>KIT,HBGBHC-6014 STAINLESS TRIM</t>
  </si>
  <si>
    <t>R00.02.0181.00</t>
  </si>
  <si>
    <t>9174</t>
  </si>
  <si>
    <t>KIT,HBGBHC-6014 NO TRIM</t>
  </si>
  <si>
    <t>R00.02.0182.00</t>
  </si>
  <si>
    <t>9177</t>
  </si>
  <si>
    <t>KIT,HBGBHC-7214 STAINLESS TRIM</t>
  </si>
  <si>
    <t>R00.02.0183.00</t>
  </si>
  <si>
    <t>9179</t>
  </si>
  <si>
    <t>KIT,HBGBHC-7214 NO TRIM</t>
  </si>
  <si>
    <t>R00.02.0184.00</t>
  </si>
  <si>
    <t>9180</t>
  </si>
  <si>
    <t>KIT,HOT/COLD CONTROL ASSY EXP</t>
  </si>
  <si>
    <t>R00.02.0185.00</t>
  </si>
  <si>
    <t>9190</t>
  </si>
  <si>
    <t>KIT,RMB SPC FOR UGAL.00637</t>
  </si>
  <si>
    <t>R00.02.0186.00</t>
  </si>
  <si>
    <t>9200</t>
  </si>
  <si>
    <t>KIT,CONTROL BOX SPC GRSB.00895</t>
  </si>
  <si>
    <t>R00.02.0187.00</t>
  </si>
  <si>
    <t>9201</t>
  </si>
  <si>
    <t>KIT,HBG-2418 WHT GLS ASY SS</t>
  </si>
  <si>
    <t>R00.02.0187.02</t>
  </si>
  <si>
    <t>9202</t>
  </si>
  <si>
    <t>KIT,HBG-2418 WHT GLS WHT TRM</t>
  </si>
  <si>
    <t>R00.02.0188.00</t>
  </si>
  <si>
    <t>9203</t>
  </si>
  <si>
    <t>KIT,HBG-3018 WHT GLS ASY SS</t>
  </si>
  <si>
    <t>R00.02.0188.02</t>
  </si>
  <si>
    <t>9204</t>
  </si>
  <si>
    <t>KIT,HBG-3018 WHT GLS WHT TRM</t>
  </si>
  <si>
    <t>R00.02.0189.00</t>
  </si>
  <si>
    <t>9205</t>
  </si>
  <si>
    <t>KIT,HBG-3618 WHT GLS ASY SS</t>
  </si>
  <si>
    <t>R00.02.0189.02</t>
  </si>
  <si>
    <t>9206</t>
  </si>
  <si>
    <t>KIT,HBG-3618 WHT GLS WHT TRM</t>
  </si>
  <si>
    <t>R00.02.0190.00</t>
  </si>
  <si>
    <t>9208</t>
  </si>
  <si>
    <t>KIT,HBG-4818 WHT GLS ASY SS</t>
  </si>
  <si>
    <t>R00.02.0190.02</t>
  </si>
  <si>
    <t>9209</t>
  </si>
  <si>
    <t>KIT,HBG-4818 WHT GLS WHT TRM</t>
  </si>
  <si>
    <t>R00.02.0191.00</t>
  </si>
  <si>
    <t>9210</t>
  </si>
  <si>
    <t>KIT,HBG-6018 WHT GLS ASY SS</t>
  </si>
  <si>
    <t>R00.02.0191.02</t>
  </si>
  <si>
    <t>9212</t>
  </si>
  <si>
    <t>KIT,HBG-6018 WHT GLS WHT TRM</t>
  </si>
  <si>
    <t>R00.02.0192.00</t>
  </si>
  <si>
    <t>9303</t>
  </si>
  <si>
    <t>KIT,HBG-7218 WHT GLS ASY SS</t>
  </si>
  <si>
    <t>R00.02.0192.02</t>
  </si>
  <si>
    <t>9304</t>
  </si>
  <si>
    <t>KIT,HBG-7218 WHT GLS WHT TRM</t>
  </si>
  <si>
    <t>R00.02.0193.00</t>
  </si>
  <si>
    <t>9312</t>
  </si>
  <si>
    <t>KIT,HBGB-2418 BLK GLS SS REC</t>
  </si>
  <si>
    <t>R00.02.0193.01</t>
  </si>
  <si>
    <t>9313</t>
  </si>
  <si>
    <t>KIT,HBGB-2418 BLK GLS BLK REC</t>
  </si>
  <si>
    <t>R00.02.0194.00</t>
  </si>
  <si>
    <t>9314</t>
  </si>
  <si>
    <t>KIT,HBGB-3018 BLK GLS SS REC</t>
  </si>
  <si>
    <t>R00.02.0194.01</t>
  </si>
  <si>
    <t>9317</t>
  </si>
  <si>
    <t>KIT,HBGB-3018 BLK GLS BLK REC</t>
  </si>
  <si>
    <t>R00.02.0195.00</t>
  </si>
  <si>
    <t>9318</t>
  </si>
  <si>
    <t>KIT,HBGB-3618 BLK GLS SS REC</t>
  </si>
  <si>
    <t>R00.02.0195.01</t>
  </si>
  <si>
    <t>9319</t>
  </si>
  <si>
    <t>KIT,HBGB-3618 BLK GLS BLK REC</t>
  </si>
  <si>
    <t>R00.02.0196.00</t>
  </si>
  <si>
    <t>9323</t>
  </si>
  <si>
    <t>KIT,HBGB-4818 BLK GLS SS REC</t>
  </si>
  <si>
    <t>R00.02.0196.01</t>
  </si>
  <si>
    <t>9324</t>
  </si>
  <si>
    <t>KIT,HBGB-4818 BLK GLS BLK REC</t>
  </si>
  <si>
    <t>R00.02.0197.00</t>
  </si>
  <si>
    <t>9327</t>
  </si>
  <si>
    <t>KIT,HBGB-6018 BLK GLS SS REC</t>
  </si>
  <si>
    <t>R00.02.0197.01</t>
  </si>
  <si>
    <t>9329</t>
  </si>
  <si>
    <t>KIT,HBGB-6018 BLK GLS BLK REC</t>
  </si>
  <si>
    <t>R00.02.0198.00</t>
  </si>
  <si>
    <t>9330</t>
  </si>
  <si>
    <t>KIT,HBGB-7218 BLK GLS SS REC</t>
  </si>
  <si>
    <t>R00.02.0198.01</t>
  </si>
  <si>
    <t>9332</t>
  </si>
  <si>
    <t>KIT,HBGB-7218 BLK GLS BLK REC</t>
  </si>
  <si>
    <t>R00.02.0199.00</t>
  </si>
  <si>
    <t>9334</t>
  </si>
  <si>
    <t>KIT,HBGB-2418 WHT GLS ASY SS</t>
  </si>
  <si>
    <t>R00.02.0199.02</t>
  </si>
  <si>
    <t>9335</t>
  </si>
  <si>
    <t>KIT,HBGB-2418 WHT GLS WHT TRM</t>
  </si>
  <si>
    <t>R00.02.0200.00</t>
  </si>
  <si>
    <t>9336</t>
  </si>
  <si>
    <t>KIT,HBGB-3018 WHT GLS ASY SS</t>
  </si>
  <si>
    <t>R00.02.0200.02</t>
  </si>
  <si>
    <t>9337</t>
  </si>
  <si>
    <t>KIT,HBGB-3018 WHT GLS WHT TRM</t>
  </si>
  <si>
    <t>R00.02.0201.00</t>
  </si>
  <si>
    <t>9338</t>
  </si>
  <si>
    <t>KIT,HBGB-3618 WHT GLS ASY SS</t>
  </si>
  <si>
    <t>R00.02.0201.02</t>
  </si>
  <si>
    <t>9340</t>
  </si>
  <si>
    <t>KIT,HBGB-3618 WHT GLS WHT TRM</t>
  </si>
  <si>
    <t>R00.02.0202.00</t>
  </si>
  <si>
    <t>9341</t>
  </si>
  <si>
    <t>KIT,HBGB-4818 WHT GLS ASY SS</t>
  </si>
  <si>
    <t>R00.02.0202.02</t>
  </si>
  <si>
    <t>9342</t>
  </si>
  <si>
    <t>KIT,HBGB-4818 WHT GLS WHT TRM</t>
  </si>
  <si>
    <t>R00.02.0203.00</t>
  </si>
  <si>
    <t>9343</t>
  </si>
  <si>
    <t>KIT,HBGB-6018 WHT GLS ASY SS</t>
  </si>
  <si>
    <t>R00.02.0203.02</t>
  </si>
  <si>
    <t>9345</t>
  </si>
  <si>
    <t>KIT,HBGB-6018 WHT GLS WHT TRM</t>
  </si>
  <si>
    <t>R00.02.0204.00</t>
  </si>
  <si>
    <t>9350</t>
  </si>
  <si>
    <t>KIT,HBGB-7218 WHT GLS ASY SS</t>
  </si>
  <si>
    <t>R00.02.0204.02</t>
  </si>
  <si>
    <t>9352</t>
  </si>
  <si>
    <t>KIT,HBGB-7218 WHT GLS WHT TRM</t>
  </si>
  <si>
    <t>R00.02.0205.00</t>
  </si>
  <si>
    <t>9380</t>
  </si>
  <si>
    <t>KIT,HBGB-2418 WHT GLS SS REC</t>
  </si>
  <si>
    <t>R00.02.0205.02</t>
  </si>
  <si>
    <t>9403</t>
  </si>
  <si>
    <t>KIT,HBGB-2418 WHT GLS WHT REC</t>
  </si>
  <si>
    <t>R00.02.0206.00</t>
  </si>
  <si>
    <t>9406</t>
  </si>
  <si>
    <t>KIT,HBGB-3018 WHT GLS SS REC</t>
  </si>
  <si>
    <t>R00.02.0206.02</t>
  </si>
  <si>
    <t>9407</t>
  </si>
  <si>
    <t>KIT,HBGB-3018 WHT GLS WHT REC</t>
  </si>
  <si>
    <t>R00.02.0207.00</t>
  </si>
  <si>
    <t>9409</t>
  </si>
  <si>
    <t>KIT,HBGB-3618 WHT GLS SS REC</t>
  </si>
  <si>
    <t>R00.02.0207.02</t>
  </si>
  <si>
    <t>9410</t>
  </si>
  <si>
    <t>KIT,HBGB-3618 WHT GLS WHT REC</t>
  </si>
  <si>
    <t>R00.02.0208.00</t>
  </si>
  <si>
    <t>9411</t>
  </si>
  <si>
    <t>KIT,HBGB-4818 WHT GLS SS REC</t>
  </si>
  <si>
    <t>R00.02.0208.02</t>
  </si>
  <si>
    <t>9412</t>
  </si>
  <si>
    <t>R00.02.0209.00</t>
  </si>
  <si>
    <t>9413</t>
  </si>
  <si>
    <t>KIT,HBGB-6018 WHT GLS SS REC</t>
  </si>
  <si>
    <t>R00.02.0209.02</t>
  </si>
  <si>
    <t>9414</t>
  </si>
  <si>
    <t>R00.02.0210.00</t>
  </si>
  <si>
    <t>9419</t>
  </si>
  <si>
    <t>KIT,HBGB-7218 WHT GLS SS REC</t>
  </si>
  <si>
    <t>R00.02.0210.02</t>
  </si>
  <si>
    <t>9430</t>
  </si>
  <si>
    <t>R00.02.0211.00</t>
  </si>
  <si>
    <t>9431</t>
  </si>
  <si>
    <t>KIT,HBGBH-2418 WHT GLS ASY SS</t>
  </si>
  <si>
    <t>R00.02.0211.02</t>
  </si>
  <si>
    <t>9432</t>
  </si>
  <si>
    <t>KIT,HBGBH-2418 WHT GLS WHT TRM</t>
  </si>
  <si>
    <t>R00.02.0212.00</t>
  </si>
  <si>
    <t>9434</t>
  </si>
  <si>
    <t>KIT,HBGBH-3018 WHT GLS ASY SS</t>
  </si>
  <si>
    <t>R00.02.0212.02</t>
  </si>
  <si>
    <t>9435</t>
  </si>
  <si>
    <t>KIT,HBGBH-3018 WHT GLS WHT TRM</t>
  </si>
  <si>
    <t>R00.02.0213.00</t>
  </si>
  <si>
    <t>9436</t>
  </si>
  <si>
    <t>KIT,HBGBH-3618 WHT GLS ASY SS</t>
  </si>
  <si>
    <t>R00.02.0213.02</t>
  </si>
  <si>
    <t>9437</t>
  </si>
  <si>
    <t>KIT,HBGBH-3618 WHT GLS WHT TRM</t>
  </si>
  <si>
    <t>R00.02.0214.00</t>
  </si>
  <si>
    <t>9439</t>
  </si>
  <si>
    <t>KIT,HBGBH-4818 WHT GLS ASY SS</t>
  </si>
  <si>
    <t>R00.02.0214.02</t>
  </si>
  <si>
    <t>9440</t>
  </si>
  <si>
    <t>KIT,HBGBH-4818 WHT GLS WHT TRM</t>
  </si>
  <si>
    <t>R00.02.0215.00</t>
  </si>
  <si>
    <t>9441</t>
  </si>
  <si>
    <t>KIT,HBGBH-6018 WHT GLS ASY SS</t>
  </si>
  <si>
    <t>R00.02.0215.02</t>
  </si>
  <si>
    <t>9447</t>
  </si>
  <si>
    <t>KIT,HBGBH-6018 WHT GLS WHT TRM</t>
  </si>
  <si>
    <t>R00.02.0216.00</t>
  </si>
  <si>
    <t>9448</t>
  </si>
  <si>
    <t>KIT,HBGBH-7218 WHT GLS ASY SS</t>
  </si>
  <si>
    <t>R00.02.0216.02</t>
  </si>
  <si>
    <t>9449</t>
  </si>
  <si>
    <t>KIT,HBGBH-7218 WHT GLS WHT TRM</t>
  </si>
  <si>
    <t>R00.02.0217.00</t>
  </si>
  <si>
    <t>9450</t>
  </si>
  <si>
    <t>KIT,HBGBH-2418 WHT GLS NO TRIM</t>
  </si>
  <si>
    <t>R00.02.0218.00</t>
  </si>
  <si>
    <t>9480</t>
  </si>
  <si>
    <t>KIT,HBGBH-3018 WHT GLS NO TRIM</t>
  </si>
  <si>
    <t>R00.02.0219.00</t>
  </si>
  <si>
    <t>9502</t>
  </si>
  <si>
    <t>KIT,HBGBH-3618 WHT GLS NO TRIM</t>
  </si>
  <si>
    <t>R00.02.0220.00</t>
  </si>
  <si>
    <t>9503</t>
  </si>
  <si>
    <t>KIT,HBGBH-4818 WHT GLS NO TRIM</t>
  </si>
  <si>
    <t>R00.02.0221.00</t>
  </si>
  <si>
    <t>9505</t>
  </si>
  <si>
    <t>KIT,HBGBH-6018 WHT GLS NO TRIM</t>
  </si>
  <si>
    <t>R00.02.0222.00</t>
  </si>
  <si>
    <t>9901</t>
  </si>
  <si>
    <t>KIT,HBGBH-7218 WHT GLS NO TRIM</t>
  </si>
  <si>
    <t>R00.02.0223.00</t>
  </si>
  <si>
    <t>99601</t>
  </si>
  <si>
    <t>KIT,LAMP ASSY INVZBl B3</t>
  </si>
  <si>
    <t>R00.02.0224.00</t>
  </si>
  <si>
    <t>PlugGB</t>
  </si>
  <si>
    <t>KIT,DIN TBLOCK ASSY INVZBL</t>
  </si>
  <si>
    <t>R00.02.0225.00</t>
  </si>
  <si>
    <t>PlugUE</t>
  </si>
  <si>
    <t>KIT,LAMP ASSY INVZBL Z13</t>
  </si>
  <si>
    <t>R00.02.0226.00</t>
  </si>
  <si>
    <t>TABLE</t>
  </si>
  <si>
    <t>KIT,RHW-B HARNESS ASSEMBLY</t>
  </si>
  <si>
    <t>R00.02.0227.00</t>
  </si>
  <si>
    <t>KIT,DIN TBLOCK ASSY MINNOW</t>
  </si>
  <si>
    <t>R00.02.0228.00</t>
  </si>
  <si>
    <t>ELEC CONT,IMP RETROFIT 3 ELEMT</t>
  </si>
  <si>
    <t>R00.02.0229.00</t>
  </si>
  <si>
    <t>ELEC CONT,IMP RETROFIT 6 ELEMT</t>
  </si>
  <si>
    <t>R00.02.0230.00</t>
  </si>
  <si>
    <t>ELEC CONT,IMP RETROFIT 9 ELEMT</t>
  </si>
  <si>
    <t>R00.02.0231.00</t>
  </si>
  <si>
    <t>KIT,CONTROL BOX ASSY,IRNG-PB2</t>
  </si>
  <si>
    <t>R00.02.0232.00</t>
  </si>
  <si>
    <t>KIT,CONTROL BOX ASSY CWBR 120V</t>
  </si>
  <si>
    <t>R00.02.0233.00</t>
  </si>
  <si>
    <t>KIT,HBGBHC-2418 W/TRIM</t>
  </si>
  <si>
    <t>R00.02.0234.00</t>
  </si>
  <si>
    <t>KIT,HBGBHC-2418 W/O TRIM</t>
  </si>
  <si>
    <t>R00.02.0238.00</t>
  </si>
  <si>
    <t>KIT,HBGBHC-3618 W/O TRIM</t>
  </si>
  <si>
    <t>R00.02.0239.00</t>
  </si>
  <si>
    <t>KIT,HBGBHC-4818 W/TRIM</t>
  </si>
  <si>
    <t>R00.02.0245.00</t>
  </si>
  <si>
    <t>CNTRL BOX,SMALL FLUSH,TSTAT</t>
  </si>
  <si>
    <t>R00.02.0246.00</t>
  </si>
  <si>
    <t>CNTRL BOX,SM FLUSH,ITC &lt;8amps</t>
  </si>
  <si>
    <t>R00.02.0247.00</t>
  </si>
  <si>
    <t>KIT,CNTRL BOX ASSY IRNG-PB1</t>
  </si>
  <si>
    <t>R00.02.0249.00</t>
  </si>
  <si>
    <t>KIT,CONVERSION-CWB CNTRL 230V</t>
  </si>
  <si>
    <t>R00.02.0256.00</t>
  </si>
  <si>
    <t>KIT,HDW THERMOMETER HORIZONTAL</t>
  </si>
  <si>
    <t>R00.02.0257.00</t>
  </si>
  <si>
    <t>KIT,REMOTE TOGGLE SWITCH DL 240V</t>
  </si>
  <si>
    <t>R00.02.0258.00</t>
  </si>
  <si>
    <t>KIT RHW2-1&amp;RHW2-2 110V CONTROL BOARD ASSY</t>
  </si>
  <si>
    <t>R00.02.0259.00</t>
  </si>
  <si>
    <t>KIT,RHW2-1&amp;RHW2-2 220-240V CONTROL BOARD ASSY</t>
  </si>
  <si>
    <t>R00.02.0260.00</t>
  </si>
  <si>
    <t>KIT,RHW2-1B 220-240V PCB</t>
  </si>
  <si>
    <t>R00.02.0261.00</t>
  </si>
  <si>
    <t>KIT,RMB-22E</t>
  </si>
  <si>
    <t>R00.02.0263.00</t>
  </si>
  <si>
    <t>KIT,TEMP SENSOR &amp; HARNESS RHW2</t>
  </si>
  <si>
    <t>R00.02.0264.00</t>
  </si>
  <si>
    <t>KIT,RMB-14BF</t>
  </si>
  <si>
    <t>R00.02.0266.00</t>
  </si>
  <si>
    <t>KIT, RMB for GR5AL.00352</t>
  </si>
  <si>
    <t>R00.02.0353.00</t>
  </si>
  <si>
    <t>KIT,FLIP DOOR ASSY,GRHD-2P</t>
  </si>
  <si>
    <t>R00.02.0354.00</t>
  </si>
  <si>
    <t>KIT,FLIP DOOR ASSY,GRHD-3P</t>
  </si>
  <si>
    <t>R00.02.0355.00</t>
  </si>
  <si>
    <t>KIT,FLIP DOOR ASSY,GRHD-4P</t>
  </si>
  <si>
    <t>R00.02.0356.00</t>
  </si>
  <si>
    <t>KIT,FLIP DOOR ASSY,GRHD-2PD</t>
  </si>
  <si>
    <t>R00.02.0357.00</t>
  </si>
  <si>
    <t>KIT,FLIP DOOR ASSY,GRHD-3PD</t>
  </si>
  <si>
    <t>R00.02.0358.00</t>
  </si>
  <si>
    <t>KIT,FLIP DOOR ASSY,GRHD-4PD</t>
  </si>
  <si>
    <t>R00.02.0362.00</t>
  </si>
  <si>
    <t>KIT,DL,DLH,DLL-RC,RCT TRACK MNT BLACK</t>
  </si>
  <si>
    <t>R00.02.0363.00</t>
  </si>
  <si>
    <t>KIT,DL,DLH,DLL-RC,RCT TRACK MNT WHITE</t>
  </si>
  <si>
    <t>R00.02.0364.00</t>
  </si>
  <si>
    <t>KIT,CONTRL BOX ASSY,RCTHW2-3B</t>
  </si>
  <si>
    <t>R00.02.0365.00</t>
  </si>
  <si>
    <t>KIT,CONTRL BOX ASSY,RCTHW2-6B</t>
  </si>
  <si>
    <t>R00.02.0366.00</t>
  </si>
  <si>
    <t>KIT,CONTRL BOX ASSY,RHW2-1B</t>
  </si>
  <si>
    <t>R00.03.0001.00</t>
  </si>
  <si>
    <t>KIT,TAIL PIECE EXTENSION</t>
  </si>
  <si>
    <t>R00.03.0006.00</t>
  </si>
  <si>
    <t>KIT,AWD WATER FILTER RETROFIT</t>
  </si>
  <si>
    <t>R00.03.0008.00</t>
  </si>
  <si>
    <t>KIT,RCTHW DRAIN FITTING</t>
  </si>
  <si>
    <t>R00.03.0009.00</t>
  </si>
  <si>
    <t>FM-5 COMPLETE TOUCH FAUCET ASY</t>
  </si>
  <si>
    <t>R00.03.0010.00</t>
  </si>
  <si>
    <t>FM-5 CMPLT TACTILE FAUCET ASSY</t>
  </si>
  <si>
    <t>R00.03.0011.00</t>
  </si>
  <si>
    <t>HCWBI Drain Kit</t>
  </si>
  <si>
    <t>R00.03.0012.00</t>
  </si>
  <si>
    <t>REMOTE AUTOFILL KIT THRU DRAIN</t>
  </si>
  <si>
    <t>R00.04.0003.00</t>
  </si>
  <si>
    <t>KIT,HDW DRAWER ASSEMBLY</t>
  </si>
  <si>
    <t>R00.04.0003.04</t>
  </si>
  <si>
    <t>KIT,HDW DRAWER ASSEMBLY-WHITE</t>
  </si>
  <si>
    <t>R00.04.0004.00</t>
  </si>
  <si>
    <t>KIT,BICSUIT DRAWER ASSEMBLY</t>
  </si>
  <si>
    <t>R00.04.0005.00</t>
  </si>
  <si>
    <t>KIT,OVERSIZE DRAWER ASSEMBLY</t>
  </si>
  <si>
    <t>R00.04.0016.00</t>
  </si>
  <si>
    <t>KIT,AFST-CABLES&amp;PULLEY BRKTS</t>
  </si>
  <si>
    <t>R00.04.0017.00</t>
  </si>
  <si>
    <t>KIT,HDW-XN DRAWER ASSEMBLY</t>
  </si>
  <si>
    <t>R00.04.0019.00</t>
  </si>
  <si>
    <t>KIT,DOOR-2SDS24-SINGLE/TOPDUAL</t>
  </si>
  <si>
    <t>R00.04.0020.00</t>
  </si>
  <si>
    <t>KIT,DOOR-2SDS30-SINGLE/TOPDUAL</t>
  </si>
  <si>
    <t>R00.04.0021.00</t>
  </si>
  <si>
    <t>KIT,DOOR-2SDS36-SINGLE/TOPDUAL</t>
  </si>
  <si>
    <t>R00.04.0022.00</t>
  </si>
  <si>
    <t>KIT,DOOR-2SDS42-SINGLE/TOPDUAL</t>
  </si>
  <si>
    <t>R00.04.0023.00</t>
  </si>
  <si>
    <t>KIT,DOOR-2SDS48-SINGLE/TOPDUAL</t>
  </si>
  <si>
    <t>R00.04.0024.00</t>
  </si>
  <si>
    <t>KIT,DOOR-2SDS54-SINGLE/TOPDUAL</t>
  </si>
  <si>
    <t>R00.04.0025.00</t>
  </si>
  <si>
    <t>KIT,DOOR-2SDS60-SINGLE/TOPDUAL</t>
  </si>
  <si>
    <t>R00.04.0026.00</t>
  </si>
  <si>
    <t>KIT,DOOR-2SDS24-CENTER&amp;BOTTOM</t>
  </si>
  <si>
    <t>R00.04.0027.00</t>
  </si>
  <si>
    <t>KIT,DOOR-2SDS30-CENTER&amp;BOTTOM</t>
  </si>
  <si>
    <t>R00.04.0028.00</t>
  </si>
  <si>
    <t>KIT,DOOR-2SDS36-CENTER&amp;BOTTOM</t>
  </si>
  <si>
    <t>R00.04.0029.00</t>
  </si>
  <si>
    <t>KIT,DOOR-2SDS42-CENTER&amp;BOTTOM</t>
  </si>
  <si>
    <t>R00.04.0030.00</t>
  </si>
  <si>
    <t>KIT,DOOR-2SDS48-CENTER&amp;BOTTOM</t>
  </si>
  <si>
    <t>R00.04.0031.00</t>
  </si>
  <si>
    <t>KIT,DOOR-2SDS54-CENTER&amp;BOTTOM</t>
  </si>
  <si>
    <t>R00.04.0032.00</t>
  </si>
  <si>
    <t>KIT,DOOR-2SDS60-CENTER&amp;BOTTOM</t>
  </si>
  <si>
    <t>R00.04.0040.00</t>
  </si>
  <si>
    <t>KIT,HDWBR DRAWER ASSEMBLY</t>
  </si>
  <si>
    <t>R00.04.0041.00</t>
  </si>
  <si>
    <t>KIT,DRAWER ASSY HDW-1R2-VENTED</t>
  </si>
  <si>
    <t>R00.04.0043.00</t>
  </si>
  <si>
    <t>KIT,FLIP-UP BACK-3SDS-39-QUIK</t>
  </si>
  <si>
    <t>R00.04.0044.00</t>
  </si>
  <si>
    <t>KIT,LOW PROFILE CASTERS-FSHC-7</t>
  </si>
  <si>
    <t>R00.04.0045.00</t>
  </si>
  <si>
    <t>KIT,FLIP-UP FRONT DOOR 3SDS-39</t>
  </si>
  <si>
    <t>R00.04.0046.01</t>
  </si>
  <si>
    <t>KIT,MDW DOOR ASSY W/HDW-BLACK</t>
  </si>
  <si>
    <t>R00.04.0046.02</t>
  </si>
  <si>
    <t>KIT,MDW DOOR ASSY W/HDW-GRAY</t>
  </si>
  <si>
    <t>R00.04.0046.03</t>
  </si>
  <si>
    <t>KIT,MDW DOOR ASSY W/HDW-RED</t>
  </si>
  <si>
    <t>R00.04.0046.04</t>
  </si>
  <si>
    <t>KIT,MDW DOOR ASSY W/HDW-WHITE</t>
  </si>
  <si>
    <t>R00.04.0046.05</t>
  </si>
  <si>
    <t>KIT,MDW DOOR ASSY W/HDW-BLUE</t>
  </si>
  <si>
    <t>R00.04.0046.07</t>
  </si>
  <si>
    <t>KIT,MDM DOOR ASSY W/HDW-GREEN</t>
  </si>
  <si>
    <t>R00.04.0046.21</t>
  </si>
  <si>
    <t>KIT,MDM DOOR ASSY W/HDW-COPPER</t>
  </si>
  <si>
    <t>R00.04.0049.00</t>
  </si>
  <si>
    <t>KIT,FLIP-UP FRONT DOOR 3SDS-27</t>
  </si>
  <si>
    <t>R00.04.0050.00</t>
  </si>
  <si>
    <t>KIT,FLIP-UP BACK DOOR 3SDS-27</t>
  </si>
  <si>
    <t>R00.04.0051.00</t>
  </si>
  <si>
    <t>KIT,FLIP-UP FRONT DOOR 3SDS-33</t>
  </si>
  <si>
    <t>R00.04.0052.00</t>
  </si>
  <si>
    <t>KIT,FLIP-UP BACK DOOR 3SDS-33</t>
  </si>
  <si>
    <t>R00.04.0053.00</t>
  </si>
  <si>
    <t>KIT,FLIP-UP DOOR 3SDH-27</t>
  </si>
  <si>
    <t>R00.04.0054.00</t>
  </si>
  <si>
    <t>KIT,FLIP-UP DOOR 3SDH-33</t>
  </si>
  <si>
    <t>R00.04.0055.00</t>
  </si>
  <si>
    <t>KIT,FLIP-UP DOOR 3SDH-39</t>
  </si>
  <si>
    <t>R00.04.0057.00</t>
  </si>
  <si>
    <t>KIT,LEGS,16.0",BLACK,4 PCS.</t>
  </si>
  <si>
    <t>R00.04.0059.00</t>
  </si>
  <si>
    <t>KIT,FLIP-UP BACK DOOR 3SDS-39</t>
  </si>
  <si>
    <t>R00.04.0061.00</t>
  </si>
  <si>
    <t>KIT,S.S.DOOR ASSY.L.H.FSHC-8</t>
  </si>
  <si>
    <t>R00.04.0063.00</t>
  </si>
  <si>
    <t>R00.04.0064.00</t>
  </si>
  <si>
    <t>R00.04.0065.00</t>
  </si>
  <si>
    <t>R00.04.0066.00</t>
  </si>
  <si>
    <t>R00.04.0067.00</t>
  </si>
  <si>
    <t>R00.04.0068.00</t>
  </si>
  <si>
    <t>R00.04.0069.00</t>
  </si>
  <si>
    <t>R00.04.0070.00</t>
  </si>
  <si>
    <t>R00.04.0071.00</t>
  </si>
  <si>
    <t>R00.04.0072.00</t>
  </si>
  <si>
    <t>KIT,DCS HOOK ASSY BRT NICK-LH</t>
  </si>
  <si>
    <t>R00.04.0073.00</t>
  </si>
  <si>
    <t>KIT,DCS HOOK ASSY BRT BRASS-LH</t>
  </si>
  <si>
    <t>R00.04.0074.00</t>
  </si>
  <si>
    <t>KIT,DOOR-2SDS48-CENTER/BOTTOM</t>
  </si>
  <si>
    <t>R00.04.0075.00</t>
  </si>
  <si>
    <t>KIT,DCS HOOK ASSY BRT NICK-RH</t>
  </si>
  <si>
    <t>R00.04.0076.00</t>
  </si>
  <si>
    <t>KIT,DCS HOOK ASSY,FREE STD-BRZ</t>
  </si>
  <si>
    <t>R00.04.0077.00</t>
  </si>
  <si>
    <t>KIT,DCS HOOK ASSY BRT BRASS-RH</t>
  </si>
  <si>
    <t>R00.04.0078.00</t>
  </si>
  <si>
    <t>KIT,DCS HOOK ASSY ANTQ BRNZ-LH</t>
  </si>
  <si>
    <t>R00.04.0079.00</t>
  </si>
  <si>
    <t>KIT,DOOR,UPPER,BACK,BLK,GRCMW</t>
  </si>
  <si>
    <t>R00.04.0080.00</t>
  </si>
  <si>
    <t>KIT,DOOR,LOWER,BACK,BLK,GRCMW</t>
  </si>
  <si>
    <t>R00.04.0081.00</t>
  </si>
  <si>
    <t>KIT,HDW-2R2N DRAWER ASSEMBLY</t>
  </si>
  <si>
    <t>R00.04.0082.00</t>
  </si>
  <si>
    <t>KIT,DOOR&amp;TOP PROTECTOR-GRCMW</t>
  </si>
  <si>
    <t>R00.04.0082.01</t>
  </si>
  <si>
    <t>KIT,DOOR,FRONT,UP,BLK,BP,2CMWD</t>
  </si>
  <si>
    <t>R00.04.0084.00</t>
  </si>
  <si>
    <t>KIT,DCS HOOK ASSY ANTQ BRNZ-RH</t>
  </si>
  <si>
    <t>R00.04.0085.00</t>
  </si>
  <si>
    <t>KIT,DCS HOOK ASSY,FREE STD-NIC</t>
  </si>
  <si>
    <t>R00.04.0086.00</t>
  </si>
  <si>
    <t>KIT,DCS HOOK ASSY,FREE STD B.</t>
  </si>
  <si>
    <t>R00.04.0088.00</t>
  </si>
  <si>
    <t>KIT,HDW-XN W/O VENT DRAWER</t>
  </si>
  <si>
    <t>R00.04.0089.00</t>
  </si>
  <si>
    <t>KIT,GRS BUMPER BRACKETS</t>
  </si>
  <si>
    <t>R00.04.0090.00</t>
  </si>
  <si>
    <t>R00.04.0091.00</t>
  </si>
  <si>
    <t>R00.04.0092.00</t>
  </si>
  <si>
    <t>R00.04.0093.00</t>
  </si>
  <si>
    <t>R00.04.0094.00</t>
  </si>
  <si>
    <t>KIT,DCS HOOK ASSY COPPER-LH</t>
  </si>
  <si>
    <t>R00.04.0095.00</t>
  </si>
  <si>
    <t>KIT,DCS HOOK ASSY COPPER-RH</t>
  </si>
  <si>
    <t>R00.04.0096.00</t>
  </si>
  <si>
    <t>KIT,DCS HOOK ASSY,FREE STD COP</t>
  </si>
  <si>
    <t>R00.04.0098.00</t>
  </si>
  <si>
    <t>KIT,DRAWER ASSY,GRJW-2T W/NUMB</t>
  </si>
  <si>
    <t>R00.04.0099.00</t>
  </si>
  <si>
    <t>KIT,PIZZA ARM,STAINLESS STEEL</t>
  </si>
  <si>
    <t>R00.04.0100.00</t>
  </si>
  <si>
    <t>KIT,LEGS 16"NTL 2 PCS</t>
  </si>
  <si>
    <t>R00.04.0101.00</t>
  </si>
  <si>
    <t>KIT,DOOR ASSY INVZBL B3 BLACK</t>
  </si>
  <si>
    <t>R00.04.0102.00</t>
  </si>
  <si>
    <t>KIT,DOOR ASSY INVZBL Z13 BLACK</t>
  </si>
  <si>
    <t>R00.04.0103.00</t>
  </si>
  <si>
    <t>KIT,TOP ASSY,IRNG-PB2</t>
  </si>
  <si>
    <t>R00.04.0107.00</t>
  </si>
  <si>
    <t>KIT,HWBI CONTROL MOUNT BRACKET</t>
  </si>
  <si>
    <t>R00.04.0108.00</t>
  </si>
  <si>
    <t>KIT,HDW TTC EXTENDED DRAWER</t>
  </si>
  <si>
    <t>R00.04.0109.00</t>
  </si>
  <si>
    <t>KIT,IHDCH-45 PIZZA ARM BLACK</t>
  </si>
  <si>
    <t>R00.04.0110.00</t>
  </si>
  <si>
    <t>KIT,IHDCH PIZZA ARM STAINLESS</t>
  </si>
  <si>
    <t>R00.04.0111.00</t>
  </si>
  <si>
    <t>KIT,AIR CHAMBER ASSY FSHC-7-1</t>
  </si>
  <si>
    <t>R00.04.0112.00</t>
  </si>
  <si>
    <t>KIT,NTL LEGS,10", 4PCS.</t>
  </si>
  <si>
    <t>R00.04.0113.00</t>
  </si>
  <si>
    <t>KIT,LP CASTERS FSHC-5W-EE</t>
  </si>
  <si>
    <t>R00.04.0114.00</t>
  </si>
  <si>
    <t>KIT,LEGS,12" NTL 2PCS</t>
  </si>
  <si>
    <t>R00.04.0115.00</t>
  </si>
  <si>
    <t>KIT,LEGS,14" NTL 2PC</t>
  </si>
  <si>
    <t>R00.04.0116.00</t>
  </si>
  <si>
    <t>KIT,GRSD DIODE ASSY</t>
  </si>
  <si>
    <t>R00.04.0117.00</t>
  </si>
  <si>
    <t>KIT,TOP ASSY IRNG-PC2F</t>
  </si>
  <si>
    <t>R00.04.0118.00</t>
  </si>
  <si>
    <t>KIT,TOP ASSY IRNG-PC2S</t>
  </si>
  <si>
    <t>R00.04.0119.00</t>
  </si>
  <si>
    <t>KIT,TOP ASSY IRNG-PB2</t>
  </si>
  <si>
    <t>R00.04.0121.00</t>
  </si>
  <si>
    <t>KIT,HDM COMPLETE DRAWER ASSY</t>
  </si>
  <si>
    <t>R00.04.0123.00</t>
  </si>
  <si>
    <t>KIT,DRAWER HDW-1R2 &amp; 2R2</t>
  </si>
  <si>
    <t>R00.04.0124.00</t>
  </si>
  <si>
    <t>KIT,HRDW DRAWER</t>
  </si>
  <si>
    <t>R00.04.0125.00</t>
  </si>
  <si>
    <t>KIT,DRAWER ASSY HDM-XN</t>
  </si>
  <si>
    <t>R00.04.0126.00</t>
  </si>
  <si>
    <t>KIT,GRS2G-3920 SHELF TOP 120V SS</t>
  </si>
  <si>
    <t>R00.04.0127.00</t>
  </si>
  <si>
    <t>KIT,IWRM-UX-06 CNTRL BOX ASSY</t>
  </si>
  <si>
    <t>R00.04.0128.00</t>
  </si>
  <si>
    <t>KIT,NTL LEG GM5A/GM5AL CONVERSION</t>
  </si>
  <si>
    <t>R00.04.0130.00</t>
  </si>
  <si>
    <t>KIT,HZM-24,FLIP DOOR ASSY,BLK</t>
  </si>
  <si>
    <t>R00.04.0131.00</t>
  </si>
  <si>
    <t>KIT,HZM-24,FLIP DOOR ASSY,GRY</t>
  </si>
  <si>
    <t>R00.04.0132.00</t>
  </si>
  <si>
    <t>KIT,HZM-24,FLIP DOOR ASSY,RED</t>
  </si>
  <si>
    <t>R00.04.0133.00</t>
  </si>
  <si>
    <t>KIT,HZM-24,FLIP DOOR ASSY,WG</t>
  </si>
  <si>
    <t>R00.04.0134.00</t>
  </si>
  <si>
    <t>KIT,HZM-24,FLIP DOOR ASSY,NB</t>
  </si>
  <si>
    <t>R00.04.0135.00</t>
  </si>
  <si>
    <t>KIT,HZM-24,FLIP DOOR ASSY,GRN</t>
  </si>
  <si>
    <t>R00.04.0136.00</t>
  </si>
  <si>
    <t>KIT,HZM-24,FLIP DOOR ASSY,BBLK</t>
  </si>
  <si>
    <t>R00.04.0137.00</t>
  </si>
  <si>
    <t>KIT,HZM-24,FLIP DOOR ASSY,GG</t>
  </si>
  <si>
    <t>R00.04.0138.00</t>
  </si>
  <si>
    <t>KIT,HZM-24,FLIP DOOR ASSY,AC</t>
  </si>
  <si>
    <t>R00.04.0139.00</t>
  </si>
  <si>
    <t>KIT,HZM-30,FLIP DOOR ASSY,BLK</t>
  </si>
  <si>
    <t>R00.04.0140.00</t>
  </si>
  <si>
    <t>KIT,HZM-30,FLIP DOOR ASSY,GRY</t>
  </si>
  <si>
    <t>R00.04.0141.00</t>
  </si>
  <si>
    <t>KIT,HZM-30,FLIP DOOR ASSY,RED</t>
  </si>
  <si>
    <t>R00.04.0142.00</t>
  </si>
  <si>
    <t>KIT,HZM-30,FLIP DOOR ASSY,WG</t>
  </si>
  <si>
    <t>R00.04.0143.00</t>
  </si>
  <si>
    <t>KIT,HZM-30,FLIP DOOR ASSY,NB</t>
  </si>
  <si>
    <t>R00.04.0144.00</t>
  </si>
  <si>
    <t>KIT,HZM-30,FLIP DOOR ASSY,GRN</t>
  </si>
  <si>
    <t>R00.04.0145.00</t>
  </si>
  <si>
    <t>KIT,HZM-30,FLIP DOOR ASSY,BBLK</t>
  </si>
  <si>
    <t>R00.04.0146.00</t>
  </si>
  <si>
    <t>KIT,HZM-30,FLIP DOOR ASSY,GG</t>
  </si>
  <si>
    <t>R00.04.0147.00</t>
  </si>
  <si>
    <t>KIT,HZM-30,FLIP DOOR ASSY,AC</t>
  </si>
  <si>
    <t>R00.04.0148.00</t>
  </si>
  <si>
    <t>KIT,HZM-36,FLIP DOOR ASSY,BLK</t>
  </si>
  <si>
    <t>R00.04.0149.00</t>
  </si>
  <si>
    <t>KIT,HZM-36,FLIP DOOR ASSY,GRAY</t>
  </si>
  <si>
    <t>R00.04.0150.00</t>
  </si>
  <si>
    <t>KIT,HZM-36,FLIP DOOR ASSY,RED</t>
  </si>
  <si>
    <t>R00.04.0151.00</t>
  </si>
  <si>
    <t>KIT,HZM-36,FLIPDOOR ASSY,WHITE</t>
  </si>
  <si>
    <t>R00.04.0152.00</t>
  </si>
  <si>
    <t>KIT,HZM-36,FLIP DOOR ASSY,NAVY</t>
  </si>
  <si>
    <t>R00.04.0153.00</t>
  </si>
  <si>
    <t>KIT,HZM-36,FLIPDOOR ASSY,GREEN</t>
  </si>
  <si>
    <t>R00.04.0155.00</t>
  </si>
  <si>
    <t>KIT,HZM-36,FLIP DOOR ASSY,GG</t>
  </si>
  <si>
    <t>R00.04.0156.00</t>
  </si>
  <si>
    <t>KIT,HZM-36,FLIP DOOR ASSY,AC</t>
  </si>
  <si>
    <t>R00.04.0157.00</t>
  </si>
  <si>
    <t>KIT,HZM-42,FLIP DOOR ASSY,BLK</t>
  </si>
  <si>
    <t>R00.04.0158.00</t>
  </si>
  <si>
    <t>KIT,HZM-42,FLIP DOOR ASSY,GRAY</t>
  </si>
  <si>
    <t>R00.04.0159.00</t>
  </si>
  <si>
    <t>KIT,HZM-42,FLIP DOOR ASSY,RED</t>
  </si>
  <si>
    <t>R00.04.0160.00</t>
  </si>
  <si>
    <t>KIT,HZM-42,FLIPDOOR ASSY,WHITE</t>
  </si>
  <si>
    <t>R00.04.0161.00</t>
  </si>
  <si>
    <t>KIT,HZM-42,FLIP DOOR ASSY,NAVY</t>
  </si>
  <si>
    <t>R00.04.0162.00</t>
  </si>
  <si>
    <t>KIT,HZM-42,FLIPDOOR ASSY,GREEN</t>
  </si>
  <si>
    <t>R00.04.0164.00</t>
  </si>
  <si>
    <t>KIT,HZM-42,FLIP DOOR ASSY,GG</t>
  </si>
  <si>
    <t>R00.04.0165.00</t>
  </si>
  <si>
    <t>KIT,HZM-42,FLIP DOOR ASSY,AC</t>
  </si>
  <si>
    <t>R00.04.0166.00</t>
  </si>
  <si>
    <t>KIT,HZM-48,FLIP DOOR ASSY,BLK</t>
  </si>
  <si>
    <t>R00.04.0167.00</t>
  </si>
  <si>
    <t>KIT,HZM-48,FLIP DOOR ASSY,GRAY</t>
  </si>
  <si>
    <t>R00.04.0168.00</t>
  </si>
  <si>
    <t>KIT,HZM-48,FLIP DOOR ASSY,RED</t>
  </si>
  <si>
    <t>R00.04.0169.00</t>
  </si>
  <si>
    <t>KIT,HZM-48,FLIPDOOR ASSY,WHITE</t>
  </si>
  <si>
    <t>R00.04.0170.00</t>
  </si>
  <si>
    <t>KIT,HZM-48,FLIP DOOR ASSY,NAVY</t>
  </si>
  <si>
    <t>R00.04.0171.00</t>
  </si>
  <si>
    <t>KIT,HZM-48,FLIP DOOR ASSY,GRN</t>
  </si>
  <si>
    <t>R00.04.0173.00</t>
  </si>
  <si>
    <t>KIT,HZM-48,FLIP DOOR ASSY,GG</t>
  </si>
  <si>
    <t>R00.04.0174.00</t>
  </si>
  <si>
    <t>KIT,HZM-48,FLIP DOOR ASSY,AC</t>
  </si>
  <si>
    <t>R00.04.0175.00</t>
  </si>
  <si>
    <t>KIT,HDWTC DRAWER ASSEMBLY</t>
  </si>
  <si>
    <t>R00.04.0176.00</t>
  </si>
  <si>
    <t>KIT,HZM-54,FLIP DOOR ASSY,GRAY</t>
  </si>
  <si>
    <t>R00.04.0177.00</t>
  </si>
  <si>
    <t>KIT,HZM-54,FLIP DOOR ASSY,RED</t>
  </si>
  <si>
    <t>R00.04.0178.00</t>
  </si>
  <si>
    <t>KIT,HZM-54,FLIPDOOR ASSY,WHITE</t>
  </si>
  <si>
    <t>R00.04.0179.00</t>
  </si>
  <si>
    <t>KIT,HZM-54,FLIP DOOR ASSY,BLUE</t>
  </si>
  <si>
    <t>R00.04.0180.00</t>
  </si>
  <si>
    <t>KIT,HZM-54,FLIPDOOR ASSY,GREEN</t>
  </si>
  <si>
    <t>R00.04.0181.00</t>
  </si>
  <si>
    <t>KIT,HZM-54,FLIP DOOR ASSY,BLK</t>
  </si>
  <si>
    <t>R00.04.0182.00</t>
  </si>
  <si>
    <t>KIT,HZM-54,FLIP DOOR ASSY,GG</t>
  </si>
  <si>
    <t>R00.04.0183.00</t>
  </si>
  <si>
    <t>KIT,HZM-54,FLIP DOOR ASSY,AC</t>
  </si>
  <si>
    <t>R00.04.0184.00</t>
  </si>
  <si>
    <t>KIT,HZM-60,FLIP DOOR ASSY,BLK</t>
  </si>
  <si>
    <t>R00.04.0185.00</t>
  </si>
  <si>
    <t>KIT,HZM-60,FLIP DOOR ASSY,GRAY</t>
  </si>
  <si>
    <t>R00.04.0186.00</t>
  </si>
  <si>
    <t>KIT,HZM-60,FLIP DOOR ASSY,RED</t>
  </si>
  <si>
    <t>R00.04.0187.00</t>
  </si>
  <si>
    <t>KIT,HZM-60,FLIPDOOR ASSY,WHITE</t>
  </si>
  <si>
    <t>R00.04.0188.00</t>
  </si>
  <si>
    <t>KIT,HZM-60,FLIP DOOR ASSY,BLUE</t>
  </si>
  <si>
    <t>R00.04.0189.00</t>
  </si>
  <si>
    <t>KIT,HZM-60,FLIPDOOR ASSY,GREEN</t>
  </si>
  <si>
    <t>R00.04.0191.00</t>
  </si>
  <si>
    <t>KIT,HZM-60,FLIP DOOR ASSY,GG</t>
  </si>
  <si>
    <t>R00.04.0192.00</t>
  </si>
  <si>
    <t>KIT,HZM-60,FLIP DOOR ASSY,AC</t>
  </si>
  <si>
    <t>R00.04.0193.00</t>
  </si>
  <si>
    <t>KIT,BLKTRIVET24S (4)</t>
  </si>
  <si>
    <t>R00.04.0194.00</t>
  </si>
  <si>
    <t>KIT,BLKTRIVET36S (6)</t>
  </si>
  <si>
    <t>R00.04.0195.00</t>
  </si>
  <si>
    <t>KIT,RMB-20AQ</t>
  </si>
  <si>
    <t>R00.04.0196.00</t>
  </si>
  <si>
    <t>KIT,ANTI-TIP BRACKET F2G</t>
  </si>
  <si>
    <t>R00.04.0197.00</t>
  </si>
  <si>
    <t>KIT, FS3HAC-4226 DOOR FRAME</t>
  </si>
  <si>
    <t>R00.04.0201.00</t>
  </si>
  <si>
    <t>KIT,BC-39 RH BLK DOOR ASSM</t>
  </si>
  <si>
    <t>R00.04.0202.00</t>
  </si>
  <si>
    <t>KIT,BC-39 LH BLK DOOR ASSM</t>
  </si>
  <si>
    <t>R00.04.0203.00</t>
  </si>
  <si>
    <t>KIT,BC-22 BLK DOOR ASSM</t>
  </si>
  <si>
    <t>R00.04.0204.00</t>
  </si>
  <si>
    <t>KIT,BC-52 RH BLK DOOR ASSM</t>
  </si>
  <si>
    <t>R00.04.0205.00</t>
  </si>
  <si>
    <t>KIT,BC-52 LH BLK DOOR ASSM</t>
  </si>
  <si>
    <t>R00.04.0206.00</t>
  </si>
  <si>
    <t>KIT,BC-65 RH BLK DOOR ASSM</t>
  </si>
  <si>
    <t>R00.04.0207.00</t>
  </si>
  <si>
    <t>KIT,BC-65 CTR BLK DOOR ASSM</t>
  </si>
  <si>
    <t>R00.04.0208.00</t>
  </si>
  <si>
    <t>KIT,BC-65 LH BLK DOOR ASSM</t>
  </si>
  <si>
    <t>R00.04.0209.00</t>
  </si>
  <si>
    <t>KIT,HINGE BLK BC RH/LH/SNGL DR</t>
  </si>
  <si>
    <t>R00.04.0210.00</t>
  </si>
  <si>
    <t>KIT,HINGE BLK CTR/RH BC-65</t>
  </si>
  <si>
    <t>R00.04.0211.00</t>
  </si>
  <si>
    <t>KIT,TOP COVER GRCMW-1</t>
  </si>
  <si>
    <t>R00.04.0212.00</t>
  </si>
  <si>
    <t>KIT,FLIP DOOR,GRCMW-1 UNPNTD</t>
  </si>
  <si>
    <t>R00.04.0213.00</t>
  </si>
  <si>
    <t>KIT,FLIP DOOR,GRCMW-1 BLACK</t>
  </si>
  <si>
    <t>R00.04.0215.00</t>
  </si>
  <si>
    <t>KIT,FLIP DOOR,GRCMW-1 RED</t>
  </si>
  <si>
    <t>R00.04.0216.00</t>
  </si>
  <si>
    <t>KIT,FLIP DOOR,GRCMW-1 WHITE</t>
  </si>
  <si>
    <t>R00.04.0217.00</t>
  </si>
  <si>
    <t>KIT,FLIP DOOR,GRCMW-1 BLUE</t>
  </si>
  <si>
    <t>R00.04.0218.00</t>
  </si>
  <si>
    <t>KIT,FLIP DOOR,GRCMW-1 GREEN</t>
  </si>
  <si>
    <t>R00.04.0219.00</t>
  </si>
  <si>
    <t>KIT,FLIP DOOR,GRCMW-1 ANT COP</t>
  </si>
  <si>
    <t>R00.04.0220.00</t>
  </si>
  <si>
    <t>KIT,FLIP DOOR,GRCMW-1 NHT SKY</t>
  </si>
  <si>
    <t>R00.04.0221.00</t>
  </si>
  <si>
    <t>KIT,FLIP DOOR,GRCMW-1 BRM SAND</t>
  </si>
  <si>
    <t>R00.04.0222.00</t>
  </si>
  <si>
    <t>KIT,FLIP DOOR,GRCMW-1 GRY GRNT</t>
  </si>
  <si>
    <t>R00.04.0223.00</t>
  </si>
  <si>
    <t>KIT,FLIP DOOR,GRCMW-1 SAW GRS</t>
  </si>
  <si>
    <t>R00.04.0224.00</t>
  </si>
  <si>
    <t>KIT,TOP COVER GRCMW-1D/1DH</t>
  </si>
  <si>
    <t>R00.04.0225.00</t>
  </si>
  <si>
    <t>KIT,FLIP DOOR,GRCMW 1D/H UNPTD</t>
  </si>
  <si>
    <t>R00.04.0226.00</t>
  </si>
  <si>
    <t>KIT,FLIP DOOR,GRCMW 1D/H BLACK</t>
  </si>
  <si>
    <t>R00.04.0227.00</t>
  </si>
  <si>
    <t>KIT,FLIP DOOR,GRCMW 1D/H GRAY</t>
  </si>
  <si>
    <t>R00.04.0228.00</t>
  </si>
  <si>
    <t>KIT,FLIP DOOR,GRCMW 1D/H RED</t>
  </si>
  <si>
    <t>R00.04.0229.00</t>
  </si>
  <si>
    <t>KIT,FLIP DOOR,GRCMW 1D/H WHITE</t>
  </si>
  <si>
    <t>R00.04.0230.00</t>
  </si>
  <si>
    <t>KIT,FLIP DOOR,GRCMW 1D/H BLUE</t>
  </si>
  <si>
    <t>R00.04.0231.00</t>
  </si>
  <si>
    <t>KIT,FLIP DOOR,GRCMW 1D/H GREEN</t>
  </si>
  <si>
    <t>R00.04.0232.00</t>
  </si>
  <si>
    <t>KIT,FLIP DR,GRCMW 1D/H ANT COP</t>
  </si>
  <si>
    <t>R00.04.0233.00</t>
  </si>
  <si>
    <t>KIT,FLIP DR,GRCMW 1D/H NHT SKY</t>
  </si>
  <si>
    <t>R00.04.0234.00</t>
  </si>
  <si>
    <t>KIT,FLIP DR,GRCMW 1D/H BER SND</t>
  </si>
  <si>
    <t>R00.04.0235.00</t>
  </si>
  <si>
    <t>KIT,FLIP DR,GRCMW 1D/H GRY GNT</t>
  </si>
  <si>
    <t>R00.04.0236.00</t>
  </si>
  <si>
    <t>KIT,FLIP DR,GRCMW 1D/H SAW GRS</t>
  </si>
  <si>
    <t>R00.04.0237.00</t>
  </si>
  <si>
    <t>KIT,DOOR ASSM,MDW-12 BLACK</t>
  </si>
  <si>
    <t>R00.04.0238.00</t>
  </si>
  <si>
    <t>KIT,DOOR LOCK KIT</t>
  </si>
  <si>
    <t>R00.04.0239.00</t>
  </si>
  <si>
    <t>KIT,RMB-22A</t>
  </si>
  <si>
    <t>R00.04.0240.00</t>
  </si>
  <si>
    <t>KIT,TOP ASSY IRNG-PC1</t>
  </si>
  <si>
    <t>R00.04.0241.00</t>
  </si>
  <si>
    <t>KIT,IRNG-PB1-36,TOP ASSY</t>
  </si>
  <si>
    <t>R00.04.0242.00</t>
  </si>
  <si>
    <t>KIT,RMB-14AU</t>
  </si>
  <si>
    <t>R00.04.0243.00</t>
  </si>
  <si>
    <t>KIT,CONTROL BOX,HBGBHC CCC PLUG</t>
  </si>
  <si>
    <t>R00.04.0244.00</t>
  </si>
  <si>
    <t>KIT,TOP ASSY IRNG-PB1-18</t>
  </si>
  <si>
    <t>R00.04.0248.00</t>
  </si>
  <si>
    <t>KIT,DOM BLACK REEL ASSY 18MM</t>
  </si>
  <si>
    <t>R00.04.0249.00</t>
  </si>
  <si>
    <t>KIT,DOM BLACK REEL ASSY 13MM</t>
  </si>
  <si>
    <t>R00.04.0254.00</t>
  </si>
  <si>
    <t>KIT,EXPORT REEL ASSY BLACK 30MM</t>
  </si>
  <si>
    <t>R00.04.0255.00</t>
  </si>
  <si>
    <t>KIT,EXPORT REEL ASSY BLACK 24MM</t>
  </si>
  <si>
    <t>R00.04.0256.00</t>
  </si>
  <si>
    <t>KIT,EXPORT REEL ASSY BLACK 18MM</t>
  </si>
  <si>
    <t>R00.04.0257.00</t>
  </si>
  <si>
    <t>KIT,EXPORT REEL ASSY BLACK 13MM</t>
  </si>
  <si>
    <t>R00.04.0262.00</t>
  </si>
  <si>
    <t>KIT,GRS2G-3920 SHELF TOP 120V GRAY</t>
  </si>
  <si>
    <t>R00.04.0263.00</t>
  </si>
  <si>
    <t>KIT,CONTROL BOX ASSY,HBGB STD</t>
  </si>
  <si>
    <t>R00.04.0264.00</t>
  </si>
  <si>
    <t>KIT,TOP ASSY,IRNG-HC1,SS</t>
  </si>
  <si>
    <t>R00.04.0265.00</t>
  </si>
  <si>
    <t>KIT,PAINT COUPON SAMPLES</t>
  </si>
  <si>
    <t>R00.04.0266.00</t>
  </si>
  <si>
    <t>KIT,NTL5-16" 2 LEG SET ASSY</t>
  </si>
  <si>
    <t>R00.04.0269.00</t>
  </si>
  <si>
    <t>KIT,ADM SPLIT TEE MOUNT, W/ TUBING</t>
  </si>
  <si>
    <t>R00.04.0270.00</t>
  </si>
  <si>
    <t>KIT,GM5 END CAP KIT,ADM</t>
  </si>
  <si>
    <t>R00.04.0271.00</t>
  </si>
  <si>
    <t>KIT,CWB CONDENSING UNIT BRACKET ASSY</t>
  </si>
  <si>
    <t>R00.04.0272.00</t>
  </si>
  <si>
    <t>KIT,TOP ASSY,HSBF GL 3618 B,240V</t>
  </si>
  <si>
    <t>R00.04.0300.00</t>
  </si>
  <si>
    <t>KIT,DOOR-HXM-24 SERIES,BLACK</t>
  </si>
  <si>
    <t>R00.04.0350.00</t>
  </si>
  <si>
    <t>IHDCH-45 OUTER SLIDING DOOR</t>
  </si>
  <si>
    <t>R00.04.0351.00</t>
  </si>
  <si>
    <t>IHDCH-45 INNER SLIDING DOOR</t>
  </si>
  <si>
    <t>R00.04.0352.00</t>
  </si>
  <si>
    <t>KIT,FDWD FLIP-UP DOOR HARDWARE</t>
  </si>
  <si>
    <t>R00.04.0353.00</t>
  </si>
  <si>
    <t>KIT,TOP GLASS ASSY,IWEL</t>
  </si>
  <si>
    <t>R00.04.0400.00</t>
  </si>
  <si>
    <t>KIT,CRUMB TRAY,LH,ITQ-2C,PB</t>
  </si>
  <si>
    <t>R00.04.0401.00</t>
  </si>
  <si>
    <t>KIT,CRUMB TRAY,RH,ITQ-2C,PB</t>
  </si>
  <si>
    <t>R00.04.0402.00</t>
  </si>
  <si>
    <t>KIT,CRUMB TRAY,RH,ITQ-I/O,PB</t>
  </si>
  <si>
    <t>R00.04.0404.00</t>
  </si>
  <si>
    <t>KIT,WIRE GUARDS,GRAIHL-30D6</t>
  </si>
  <si>
    <t>R00.04.0407.00</t>
  </si>
  <si>
    <t>KIT,ITQ FAN GUARD ASSEMBLY</t>
  </si>
  <si>
    <t>R00.05.0002.00</t>
  </si>
  <si>
    <t>KIT,STRAINER GASKETS 3CS/FR</t>
  </si>
  <si>
    <t>R00.05.0003.00</t>
  </si>
  <si>
    <t>KIT,STOPPER &amp; FLUSH HOSE 8 FT.</t>
  </si>
  <si>
    <t>R00.05.0004.00</t>
  </si>
  <si>
    <t>KIT,STRAINER GASKETS-HCWBI</t>
  </si>
  <si>
    <t>R00.05.0007.00</t>
  </si>
  <si>
    <t>KIT,LEG WITH RUBBER FOOT</t>
  </si>
  <si>
    <t>R00.05.0009.00</t>
  </si>
  <si>
    <t>KIT,F2GP LATCH DOOR HANDLE</t>
  </si>
  <si>
    <t>R00.05.0010.00</t>
  </si>
  <si>
    <t>KIT,MAGNETIC LATCH ASSY F2GP</t>
  </si>
  <si>
    <t>R00.05.0011.00</t>
  </si>
  <si>
    <t>KIT,F2GP CUSTOMER DOOR HINGE</t>
  </si>
  <si>
    <t>R00.05.0013.00</t>
  </si>
  <si>
    <t>KIT,SENSOR ASSY, FWM</t>
  </si>
  <si>
    <t>R00.05.0034.00</t>
  </si>
  <si>
    <t>KIT,INSULATION-RCTHW-6 SERIES</t>
  </si>
  <si>
    <t>R00.05.0036.00</t>
  </si>
  <si>
    <t>KIT, BOOSTER HEATER HARDWARE</t>
  </si>
  <si>
    <t>R00.05.0038.00</t>
  </si>
  <si>
    <t>KIT,FOOT ASSEMBLY-HW &amp; CHW</t>
  </si>
  <si>
    <t>R00.05.0101.00</t>
  </si>
  <si>
    <t>KIT,DOOR HINGE W/HARDWARE</t>
  </si>
  <si>
    <t>R00.05.0103.00</t>
  </si>
  <si>
    <t>KIT,BEARING ASSY,90B,135B,155B</t>
  </si>
  <si>
    <t>R00.16.135BC.00</t>
  </si>
  <si>
    <t>KIT,THERMOSTAT W/BENT BULB</t>
  </si>
  <si>
    <t>R01.02.002.00</t>
  </si>
  <si>
    <t>KIT,TANK,SM CM,2 ELEMENT HOLES</t>
  </si>
  <si>
    <t>R01.02.003.00</t>
  </si>
  <si>
    <t>KIT,TANK,SM CM,3 ELEMENT HOLES</t>
  </si>
  <si>
    <t>R01.02.007S.00</t>
  </si>
  <si>
    <t>KIT,TANK,IMP,3 ELEMENT HOLES</t>
  </si>
  <si>
    <t>R01.02.008S.00</t>
  </si>
  <si>
    <t>KIT,TANK,IMP,6 ELEMENT HOLES</t>
  </si>
  <si>
    <t>R01.02.009S.00</t>
  </si>
  <si>
    <t>KIT,TANK,IMP,9 ELEMENT HOLES</t>
  </si>
  <si>
    <t>R01.02.031.00</t>
  </si>
  <si>
    <t>KIT,TANK,LG CM,6 ELEMENT HOLES</t>
  </si>
  <si>
    <t>R01.02.047.00</t>
  </si>
  <si>
    <t>KIT,TANK,LG CM,6 ELEMENT W/INTERLOCK</t>
  </si>
  <si>
    <t>R01.02.055.00</t>
  </si>
  <si>
    <t>KIT,TANK,SM CM,SS-2 ELEMENT</t>
  </si>
  <si>
    <t>R01.02.056.00</t>
  </si>
  <si>
    <t>KIT,TANK,SM CM,SS-3 ELEMENT</t>
  </si>
  <si>
    <t>R01.02.063.00</t>
  </si>
  <si>
    <t>KIT,TANK,LG CM,SS-6 ELEMENT</t>
  </si>
  <si>
    <t>R01.04.001.00</t>
  </si>
  <si>
    <t>KIT,TANK 3CS,1 ELEMENT HOLE</t>
  </si>
  <si>
    <t>R01.04.002.00</t>
  </si>
  <si>
    <t>KIT,TANK,3CS,2 ELEMENT HOLES</t>
  </si>
  <si>
    <t>R01.04.006.00</t>
  </si>
  <si>
    <t>KIT,TANK,3CS,3 ELEMENT HOLES</t>
  </si>
  <si>
    <t>R01.04.016.00</t>
  </si>
  <si>
    <t>KIT, 3CS/FR 1 ELE TANK W/LW</t>
  </si>
  <si>
    <t>R01.04.017.00</t>
  </si>
  <si>
    <t>KIT,2 ELEMENT 3CS TANK</t>
  </si>
  <si>
    <t>R01.04.018.00</t>
  </si>
  <si>
    <t>KIT,TANK,FR,3 ELE HOLES &amp;LWCO</t>
  </si>
  <si>
    <t>R01.05.001.00</t>
  </si>
  <si>
    <t>KIT,TANK,S/S MINI CM,3 ELE</t>
  </si>
  <si>
    <t>R01.05.015.00</t>
  </si>
  <si>
    <t>KIT,ABB-8-13 TANK ASSY</t>
  </si>
  <si>
    <t>R01.05.026.00</t>
  </si>
  <si>
    <t>KIT,TANK AB8-3</t>
  </si>
  <si>
    <t>R02.01.025.00</t>
  </si>
  <si>
    <t>KIT,RELAY,25A,SPDT</t>
  </si>
  <si>
    <t>R02.01.029.00</t>
  </si>
  <si>
    <t>KIT,FLOAT SWITCH WITH HARDWARE</t>
  </si>
  <si>
    <t>R02.01.050.00</t>
  </si>
  <si>
    <t>KIT,RELAY MINI 30A,SPST,24V DC</t>
  </si>
  <si>
    <t>R02.01.062.00</t>
  </si>
  <si>
    <t>KIT,CONTROLLER WITH PROBE"C"</t>
  </si>
  <si>
    <t>R02.01.074.00</t>
  </si>
  <si>
    <t>KIT,T-STAT PROBE 36"x7"SS CAP</t>
  </si>
  <si>
    <t>R02.01.088.00</t>
  </si>
  <si>
    <t>KIT,REL,MINI,120AC,SPDT,30RES</t>
  </si>
  <si>
    <t>R02.01.098CB.00</t>
  </si>
  <si>
    <t>KIT,RELAY GRAH-114T-CB</t>
  </si>
  <si>
    <t>R02.01.101.00</t>
  </si>
  <si>
    <t>KIT,ELECTRONIC INF.SWITCH 120V</t>
  </si>
  <si>
    <t>R02.01.102.00</t>
  </si>
  <si>
    <t>KIT,ELEC.INF.SW.240V-GLO-RAY.</t>
  </si>
  <si>
    <t>R02.01.121.00</t>
  </si>
  <si>
    <t>KIT,LEVEL BOARD 208/240 VOLT</t>
  </si>
  <si>
    <t>R02.01.165R.00</t>
  </si>
  <si>
    <t>KIT,ELEC.CONTROLLER</t>
  </si>
  <si>
    <t>R02.01.168.00</t>
  </si>
  <si>
    <t>KIT,CONTACTOR,50A,3P,120V MC</t>
  </si>
  <si>
    <t>R02.01.189.00</t>
  </si>
  <si>
    <t>KIT,T-STAT&amp;PORT,WATER HTR,24V</t>
  </si>
  <si>
    <t>R02.01.193.00</t>
  </si>
  <si>
    <t>KIT,HEATED GLASS CONTROL 120V</t>
  </si>
  <si>
    <t>R02.01.210.00</t>
  </si>
  <si>
    <t>KIT,LWCO BOARD 120/240V W/DLAY</t>
  </si>
  <si>
    <t>R02.01.212.00</t>
  </si>
  <si>
    <t>KIT,LWCO BOARD 24V W/DELAY</t>
  </si>
  <si>
    <t>R02.01.221.00</t>
  </si>
  <si>
    <t>KIT,GFCI 80 VA W/CORD-RETROFIT</t>
  </si>
  <si>
    <t>R02.01.229.00</t>
  </si>
  <si>
    <t>KIT,TOASTER CONTROL BOARD W/HL</t>
  </si>
  <si>
    <t>R02.01.235.00</t>
  </si>
  <si>
    <t>KIT,LWCO BOARD 230 VOLT "CE"</t>
  </si>
  <si>
    <t>R02.01.244.00</t>
  </si>
  <si>
    <t>KIT,CONTROL/DISPLAY ASSY-FLOM</t>
  </si>
  <si>
    <t>R02.01.259.00</t>
  </si>
  <si>
    <t>KIT,T-STAT CONT,24VDC,W/BEZEL</t>
  </si>
  <si>
    <t>R02.01.259G.00</t>
  </si>
  <si>
    <t>R02.01.273.00</t>
  </si>
  <si>
    <t>KIT,T-STAT CONTROL BOARD</t>
  </si>
  <si>
    <t>R02.01.294.00</t>
  </si>
  <si>
    <t>KIT,INF.S.S.208-240V,0-100%</t>
  </si>
  <si>
    <t>R02.01.295.00</t>
  </si>
  <si>
    <t>KIT,ELEC.TEMP CONTROL W/PROBE</t>
  </si>
  <si>
    <t>R02.01.295J.00</t>
  </si>
  <si>
    <t>KIT,ELEC.TEMP CONT W/PROBE FS3</t>
  </si>
  <si>
    <t>R02.01.297.00</t>
  </si>
  <si>
    <t>KIT,INF.S.S.120V,0-100%</t>
  </si>
  <si>
    <t>R02.01.355.00</t>
  </si>
  <si>
    <t>KIT,SOLID STATE RELAY, 25A</t>
  </si>
  <si>
    <t>R02.01.362.00</t>
  </si>
  <si>
    <t>KIT,LWCO RCTHW PROBE</t>
  </si>
  <si>
    <t>R02.01.368.00</t>
  </si>
  <si>
    <t>KIT,PRODUCT SENSOR ITQ-1C &amp; 2C</t>
  </si>
  <si>
    <t>R02.01.375.01</t>
  </si>
  <si>
    <t>KIT,CONT&amp;PRB,COLD,FTB,CS</t>
  </si>
  <si>
    <t>R02.01.375.02</t>
  </si>
  <si>
    <t>KIT,CONT &amp; PRB,COLD,HCWBI</t>
  </si>
  <si>
    <t>R02.01.375.03</t>
  </si>
  <si>
    <t>KIT,CONTROL&amp;PROBE-HOT FOR HCW</t>
  </si>
  <si>
    <t>R02.01.375.03B</t>
  </si>
  <si>
    <t>KIT,CONT &amp; PRB,HCSBF,HCSSB &amp; HCSSBF</t>
  </si>
  <si>
    <t>R02.01.375.06</t>
  </si>
  <si>
    <t>KIT,CONT &amp; PRB,HOT,CPHC</t>
  </si>
  <si>
    <t>R02.01.375.10</t>
  </si>
  <si>
    <t>KIT,CONT &amp; PRB,COLD,DOM CWB</t>
  </si>
  <si>
    <t>R02.01.375.11</t>
  </si>
  <si>
    <t>KIT,CONT&amp;PRB,COLD, HCS</t>
  </si>
  <si>
    <t>R02.01.375.12</t>
  </si>
  <si>
    <t>KIT,CWBP CONTROL &amp; PROBE</t>
  </si>
  <si>
    <t>R02.01.384.00</t>
  </si>
  <si>
    <t>KIT,FM-5 TOUCH CONTROL ASSM.</t>
  </si>
  <si>
    <t>R02.01.385A.00</t>
  </si>
  <si>
    <t>KIT,CONTROLLER ASSY,ITQ-1C</t>
  </si>
  <si>
    <t>R02.01.385A.AW</t>
  </si>
  <si>
    <t>KIT,CONTROLLER ASSY,ITQ-1C A&amp;W</t>
  </si>
  <si>
    <t>R02.01.385B.00</t>
  </si>
  <si>
    <t>KIT,CONTROLLER ASSY,ITQ-2C</t>
  </si>
  <si>
    <t>R02.01.406.04</t>
  </si>
  <si>
    <t>KIT,CONT &amp; PRB,COLD,CWB EXPORT</t>
  </si>
  <si>
    <t>R02.01.406.05</t>
  </si>
  <si>
    <t>KIT,CONT &amp; PRB,COLD,FTB EXPORT</t>
  </si>
  <si>
    <t>R02.01.406.06</t>
  </si>
  <si>
    <t>KIT, CONT&amp;PROB, HOT,HCS,EXPORT</t>
  </si>
  <si>
    <t>R02.01.406.07</t>
  </si>
  <si>
    <t>KIT,CONT&amp;PRB,COLD,HCS,EXPORT</t>
  </si>
  <si>
    <t>R02.01.406.08</t>
  </si>
  <si>
    <t>KIT,CWBP CONTROL &amp; PROBE EXPORT</t>
  </si>
  <si>
    <t>R02.01.417.00</t>
  </si>
  <si>
    <t>KIT,SSR,25A,120-240 AC CONTROL</t>
  </si>
  <si>
    <t>R02.01.418.00</t>
  </si>
  <si>
    <t>KIT,PROBE W/PLUG-PIN CONNECT</t>
  </si>
  <si>
    <t>R02.01.426.00</t>
  </si>
  <si>
    <t>KIT,SSR,DUAL,25A,24-265VAC</t>
  </si>
  <si>
    <t>R02.01.443.00</t>
  </si>
  <si>
    <t>Elec cont,compact retrofit kit</t>
  </si>
  <si>
    <t>R02.01.447.00</t>
  </si>
  <si>
    <t>KIT, CONTROLLER ASSEMBLY</t>
  </si>
  <si>
    <t>R02.01.447.01</t>
  </si>
  <si>
    <t>KIT,DISPLAY ASSEMBLY</t>
  </si>
  <si>
    <t>R02.01.448.00</t>
  </si>
  <si>
    <t>KIT,CONTROLLER ASSEMBLY</t>
  </si>
  <si>
    <t>R02.01.448.01</t>
  </si>
  <si>
    <t>KIT,CONTROLLER ASSY-IHDCH-ORIG</t>
  </si>
  <si>
    <t>R02.01.448.02</t>
  </si>
  <si>
    <t>KIT,CONTROLLER ASSY-IHDCH-NEW</t>
  </si>
  <si>
    <t>R02.01.448.03</t>
  </si>
  <si>
    <t>KIT,CONTROLLER-TQ3-400 SERIES</t>
  </si>
  <si>
    <t>R02.01.448.04</t>
  </si>
  <si>
    <t>KIT,CONTROLLER-TQ3-500 SERIES</t>
  </si>
  <si>
    <t>R02.01.448.05</t>
  </si>
  <si>
    <t>KIT,CONTROLLER-TQ3-500H SERIES</t>
  </si>
  <si>
    <t>R02.01.448.06</t>
  </si>
  <si>
    <t>KIT,CONTROLLER-TQ3-900 SERIES</t>
  </si>
  <si>
    <t>R02.01.448.07</t>
  </si>
  <si>
    <t>KIT,CONTROLLER-TQ3-900H SERIES</t>
  </si>
  <si>
    <t>R02.01.448.07BV</t>
  </si>
  <si>
    <t>KIT,CONTROLLER-TQ3-900H-BV</t>
  </si>
  <si>
    <t>R02.01.448.07PA</t>
  </si>
  <si>
    <t>KIT,CONTROLLER-TQ3-900H-PANERA</t>
  </si>
  <si>
    <t>R02.01.448.08</t>
  </si>
  <si>
    <t>KIT,CONTROLLER-TQ3-2000 SERIES</t>
  </si>
  <si>
    <t>R02.01.448.09</t>
  </si>
  <si>
    <t>KIT,CONTROLLER-TQ3-2000H SERIE</t>
  </si>
  <si>
    <t>R02.01.448.10</t>
  </si>
  <si>
    <t>KIT, CONTROLLER HDWTC-2 NANDO</t>
  </si>
  <si>
    <t>R02.01.448.11</t>
  </si>
  <si>
    <t>KIT,CONTROLLER-WFST</t>
  </si>
  <si>
    <t>R02.01.448.12</t>
  </si>
  <si>
    <t>KIT,CONTROLLER-FDWDB,SPEEDWAY</t>
  </si>
  <si>
    <t>R02.01.448.13</t>
  </si>
  <si>
    <t>KIT,CONTROLLER-FDWD,HB</t>
  </si>
  <si>
    <t>R02.01.448.14</t>
  </si>
  <si>
    <t>KIT,CONTROLLER-FS2HAC-15</t>
  </si>
  <si>
    <t>R02.01.448.15</t>
  </si>
  <si>
    <t>KIT,CONTROLLER-GRS2G-5</t>
  </si>
  <si>
    <t>R02.01.448.16</t>
  </si>
  <si>
    <t>KIT,CONTROLLER-GRPWS-HB</t>
  </si>
  <si>
    <t>R02.01.448.17</t>
  </si>
  <si>
    <t>KIT,CONTROLLER-HDW-2</t>
  </si>
  <si>
    <t>R02.01.448.18</t>
  </si>
  <si>
    <t>KIT,CONTROLLE,HDW-1</t>
  </si>
  <si>
    <t>R02.01.448.18FZ</t>
  </si>
  <si>
    <t>KIT,CONTROLLER,HDW-1FAZOLIS</t>
  </si>
  <si>
    <t>R02.01.448.19</t>
  </si>
  <si>
    <t>KIT,CONTROLLER-HDWTC-2</t>
  </si>
  <si>
    <t>R02.01.448.20</t>
  </si>
  <si>
    <t>KIT,CONTROLLER-INVZBL</t>
  </si>
  <si>
    <t>R02.01.448.21</t>
  </si>
  <si>
    <t>KIT,CONTROLLER-GRS2G-4</t>
  </si>
  <si>
    <t>R02.01.448.22</t>
  </si>
  <si>
    <t>KIT,CONTROLLER-GRS2G-3</t>
  </si>
  <si>
    <t>R02.01.448.23</t>
  </si>
  <si>
    <t>KIT,CONTROLLER-GRS2G-2</t>
  </si>
  <si>
    <t>R02.01.448.24</t>
  </si>
  <si>
    <t>KIT,CONTROLLER-HDW-3</t>
  </si>
  <si>
    <t>R02.01.448.25</t>
  </si>
  <si>
    <t>KIT,CONTROLLER-HDW-4</t>
  </si>
  <si>
    <t>R02.01.448.26</t>
  </si>
  <si>
    <t>KIT,CONTROLLER-HDW-2N</t>
  </si>
  <si>
    <t>R02.01.448.27</t>
  </si>
  <si>
    <t>KIT,CONTROLLER-HDWTC-3</t>
  </si>
  <si>
    <t>R02.01.448.28</t>
  </si>
  <si>
    <t>KIT,CONTROLLER HDWTC-3 NANDO</t>
  </si>
  <si>
    <t>R02.01.448.29</t>
  </si>
  <si>
    <t>KIT,CONTROLLER-HDWTC-1</t>
  </si>
  <si>
    <t>R02.01.448.30</t>
  </si>
  <si>
    <t>KIT,GRS2G CONTROLLER GEN 2</t>
  </si>
  <si>
    <t>R02.01.448.31</t>
  </si>
  <si>
    <t>KIT,CONTROLLER-HDW-1R2</t>
  </si>
  <si>
    <t>R02.01.448.32</t>
  </si>
  <si>
    <t>KIT,CONTROLLER-HDW-1.5R2</t>
  </si>
  <si>
    <t>R02.01.448N.10</t>
  </si>
  <si>
    <t>KIT,HDWTC-2 NANDO CONTROL W/DISPLAY</t>
  </si>
  <si>
    <t>R02.01.448N.28</t>
  </si>
  <si>
    <t>KIT,HDWTC-3 NANDO CONTROL W/DISPLAY</t>
  </si>
  <si>
    <t>R02.01.451.00</t>
  </si>
  <si>
    <t>KIT,UI BOARD INDUCTION</t>
  </si>
  <si>
    <t>R02.01.452.00</t>
  </si>
  <si>
    <t>KIT,MAIN CNTRL BOARD INDUCTION</t>
  </si>
  <si>
    <t>R02.01.458.00</t>
  </si>
  <si>
    <t>KIT,DUAL,SOLID STATE RELAY</t>
  </si>
  <si>
    <t>R02.01.463A.16</t>
  </si>
  <si>
    <t>KIT,IRNG-PC2S-16 SOFTWARE</t>
  </si>
  <si>
    <t>R02.01.463A.18</t>
  </si>
  <si>
    <t>KIT,IRNG-PC2S-18 SOFTWARE</t>
  </si>
  <si>
    <t>R02.01.463A.36</t>
  </si>
  <si>
    <t>KIT,IRNG-PC2S-36</t>
  </si>
  <si>
    <t>R02.01.481.00</t>
  </si>
  <si>
    <t>KIT, MAIN PCB,INDUCTION,3600W</t>
  </si>
  <si>
    <t>R02.01.486.00</t>
  </si>
  <si>
    <t>KIT,FM-5 TACTILE CONTROL ASSM.</t>
  </si>
  <si>
    <t>R02.01.518.00</t>
  </si>
  <si>
    <t>KIT,SENSOR ASSY,SNACK</t>
  </si>
  <si>
    <t>R02.01.541.00</t>
  </si>
  <si>
    <t>KIT, IRNG-BXC1 CNTRL BOARD</t>
  </si>
  <si>
    <t>R02.01.551.01</t>
  </si>
  <si>
    <t>KIT,MAIN PCB,230V,IWRM-B1</t>
  </si>
  <si>
    <t>R02.01.551.02</t>
  </si>
  <si>
    <t>KIT,MAIN PCB,230V,IWRM-CD1</t>
  </si>
  <si>
    <t>R02.01.551.03</t>
  </si>
  <si>
    <t>KIT,MAIN PCB,120V,IWRM-C1</t>
  </si>
  <si>
    <t>R02.01.551.04</t>
  </si>
  <si>
    <t>KIT,MAIN PCB,120V,IWRM-B1</t>
  </si>
  <si>
    <t>R02.01.551.06</t>
  </si>
  <si>
    <t>KIT,MAIN PCB,120V,IWRM-UX</t>
  </si>
  <si>
    <t>R02.01.556.00</t>
  </si>
  <si>
    <t>KIT,F2G 10" DISPLAY 2 SIDED</t>
  </si>
  <si>
    <t>R02.01.556.01</t>
  </si>
  <si>
    <t>KIT,F2G 10" DISPLAY PIZZA LOCK</t>
  </si>
  <si>
    <t>R02.01.556.02</t>
  </si>
  <si>
    <t>KIT,F2G 10" DISPLAY SIMPLE</t>
  </si>
  <si>
    <t>R02.01.556.03</t>
  </si>
  <si>
    <t>KIT,F2G 10" DISPLAY 1 SIDED</t>
  </si>
  <si>
    <t>R02.01.556.04</t>
  </si>
  <si>
    <t>KIT,F2G 10" DISPLAY CAFE RIO</t>
  </si>
  <si>
    <t>R02.01.556.05</t>
  </si>
  <si>
    <t>KIT,F2G 10" DISPLAY AUBURN</t>
  </si>
  <si>
    <t>R02.01.556.06</t>
  </si>
  <si>
    <t>KIT,F2G 10" DISPL DODGE 1SIDED</t>
  </si>
  <si>
    <t>R02.01.556.07</t>
  </si>
  <si>
    <t>KIT,F2G 10" DISPL DODGE 2 SIDE</t>
  </si>
  <si>
    <t>R02.01.556.08</t>
  </si>
  <si>
    <t>KIT,F2G 10" DISPLAY BOARD BWW</t>
  </si>
  <si>
    <t>R02.01.558.00</t>
  </si>
  <si>
    <t>KIT,F2G CONTROL BOARD 2 SIDED</t>
  </si>
  <si>
    <t>R02.01.558.01</t>
  </si>
  <si>
    <t>KIT,F2G CONTROL BRD PIZZA LOCK</t>
  </si>
  <si>
    <t>R02.01.558.02</t>
  </si>
  <si>
    <t>KIT,F2G CONTROL BOARD SIMPLE</t>
  </si>
  <si>
    <t>R02.01.558.03</t>
  </si>
  <si>
    <t>KIT,F2G CONTROL BOARD 1SIDED</t>
  </si>
  <si>
    <t>R02.01.558.04</t>
  </si>
  <si>
    <t>KIT,F2G CNTROL BOARD CAFE RIO</t>
  </si>
  <si>
    <t>R02.01.558.05</t>
  </si>
  <si>
    <t>KIT,F2G CONTROL BOARD AUBURN</t>
  </si>
  <si>
    <t>R02.01.558.06</t>
  </si>
  <si>
    <t>KIT,F2G CNTROL BRD DODGE 1SIDE</t>
  </si>
  <si>
    <t>R02.01.558.07</t>
  </si>
  <si>
    <t>KIT,F2G CNTROL BRD DODGE 2SIDE</t>
  </si>
  <si>
    <t>R02.01.558.08</t>
  </si>
  <si>
    <t>KIT,F2G CONTROL BOARD BWW</t>
  </si>
  <si>
    <t>R02.01.560.00</t>
  </si>
  <si>
    <t>KIT,UI PCB,IWRM-UT</t>
  </si>
  <si>
    <t>R02.01.561.00</t>
  </si>
  <si>
    <t>KIT,MAIN BOARD,IWRM-UT,120V</t>
  </si>
  <si>
    <t>R02.01.566.00</t>
  </si>
  <si>
    <t>KIT,F2G SENSOR</t>
  </si>
  <si>
    <t>R02.01.569.00</t>
  </si>
  <si>
    <t>R02.01.569.01</t>
  </si>
  <si>
    <t>KIT,UI BOARD,IRNG P MODEL</t>
  </si>
  <si>
    <t>R02.01.569.03</t>
  </si>
  <si>
    <t>KIT,UI BOARD,IRNG P MODEL CHINESE</t>
  </si>
  <si>
    <t>R02.01.569.05</t>
  </si>
  <si>
    <t>KIT,UI BOARD,IRNG BOJANGLES</t>
  </si>
  <si>
    <t>R02.01.574.01</t>
  </si>
  <si>
    <t>KIT,UI PCB,IWRM-C1/B1/CD1/UX</t>
  </si>
  <si>
    <t>R02.01.574.03</t>
  </si>
  <si>
    <t>KIT,UI PCB,IWRM-B1,BIBIBOP</t>
  </si>
  <si>
    <t>R02.01.598.00</t>
  </si>
  <si>
    <t>KIT,FWM CONTROL BOARD ASSY</t>
  </si>
  <si>
    <t>R02.01.598B.00</t>
  </si>
  <si>
    <t>KIT, FWM CONTROL ASSY, 100V</t>
  </si>
  <si>
    <t>R02.01.614.00</t>
  </si>
  <si>
    <t>KIT,SW DISPLAY WITH TAPE</t>
  </si>
  <si>
    <t>R02.03.001.02</t>
  </si>
  <si>
    <t>KIT,FUSE 1A AGC-2 PACK</t>
  </si>
  <si>
    <t>R02.03.005A.02</t>
  </si>
  <si>
    <t>KIT,FUSE 1A 600V-2 PACK</t>
  </si>
  <si>
    <t>R02.03.010.02</t>
  </si>
  <si>
    <t>KIT,FUSE 35A 600V-2 PACK</t>
  </si>
  <si>
    <t>R02.03.011.02</t>
  </si>
  <si>
    <t>KIT,FUSE 40A 600V-2 PACK</t>
  </si>
  <si>
    <t>R02.03.012.02</t>
  </si>
  <si>
    <t>KIT,FUSE 50A 600V-2 PACK</t>
  </si>
  <si>
    <t>R02.03.013.02</t>
  </si>
  <si>
    <t>R02.03.014.02</t>
  </si>
  <si>
    <t>KIT,FUSE 2A 480V-2 PACK</t>
  </si>
  <si>
    <t>R02.03.015.02</t>
  </si>
  <si>
    <t>KIT,FUSE 60A 600V-2 PACK</t>
  </si>
  <si>
    <t>R02.03.021.02</t>
  </si>
  <si>
    <t>R02.03.030.02</t>
  </si>
  <si>
    <t>KIT,FUSE 35A 300V-2 PACK</t>
  </si>
  <si>
    <t>R02.03.031.02</t>
  </si>
  <si>
    <t>KIT,FUSE 40A 300V-2 PACK</t>
  </si>
  <si>
    <t>R02.03.032.02</t>
  </si>
  <si>
    <t>KIT,FUSE 50A 300V-2 PACK</t>
  </si>
  <si>
    <t>R02.03.033.02</t>
  </si>
  <si>
    <t>KIT,FUSE 60A 300V-2 PACK</t>
  </si>
  <si>
    <t>R02.03.052.02</t>
  </si>
  <si>
    <t>KIT,FUSE 15 AMP-TQ-1200-2 PACK</t>
  </si>
  <si>
    <t>R02.04.100.00</t>
  </si>
  <si>
    <t>KIT,ELE 3200W,200V</t>
  </si>
  <si>
    <t>R02.04.101.00</t>
  </si>
  <si>
    <t>KIT,ELE 3300W 208V</t>
  </si>
  <si>
    <t>R02.04.102.00</t>
  </si>
  <si>
    <t>KIT,ELE 3800W,240V</t>
  </si>
  <si>
    <t>R02.04.103.00</t>
  </si>
  <si>
    <t>KIT,ELE 3800W,277V</t>
  </si>
  <si>
    <t>R02.04.104.00</t>
  </si>
  <si>
    <t>OBSKIT,ELE 3200W,220V</t>
  </si>
  <si>
    <t>R02.04.105.00</t>
  </si>
  <si>
    <t>KIT,ELE 3800W,346V</t>
  </si>
  <si>
    <t>R02.04.106.00</t>
  </si>
  <si>
    <t>KIT,ELE,1900W,120V</t>
  </si>
  <si>
    <t>R02.04.150.00</t>
  </si>
  <si>
    <t>KIT,ELEMENT 13500W 208/240V</t>
  </si>
  <si>
    <t>R02.04.151.00</t>
  </si>
  <si>
    <t>KIT,ELEMENT 13500W 380V</t>
  </si>
  <si>
    <t>R02.04.152.00</t>
  </si>
  <si>
    <t>KIT,ELEMENT 13500W 480V</t>
  </si>
  <si>
    <t>R02.04.302.00</t>
  </si>
  <si>
    <t>KIT,ELE,3000W,208V,9 13/16"</t>
  </si>
  <si>
    <t>R02.04.303.00</t>
  </si>
  <si>
    <t>KIT,ELE,3000W,240V,9 13/16"</t>
  </si>
  <si>
    <t>R02.04.304.00</t>
  </si>
  <si>
    <t>KIT,ELE,3000W,346V,9 13/16"</t>
  </si>
  <si>
    <t>R02.04.305.00</t>
  </si>
  <si>
    <t>KIT,ELE,3000W,480V,9 13/16"</t>
  </si>
  <si>
    <t>R02.04.306.00</t>
  </si>
  <si>
    <t>KIT,ELE,3000W,277V,9 13/16"</t>
  </si>
  <si>
    <t>R02.04.350.00</t>
  </si>
  <si>
    <t>KIT,ELE,3500W,208V, 9 13/16"</t>
  </si>
  <si>
    <t>R02.04.351.00</t>
  </si>
  <si>
    <t>KIT,ELE,3500W,240V, 9 13/16"</t>
  </si>
  <si>
    <t>R02.04.352.00</t>
  </si>
  <si>
    <t>KIT,ELE,3500W,480V,9 13/16"</t>
  </si>
  <si>
    <t>R02.04.353.00</t>
  </si>
  <si>
    <t>KIT,ELE,3500W,346V, 9 13/16"</t>
  </si>
  <si>
    <t>R02.04.354.00</t>
  </si>
  <si>
    <t>KIT,ELE,3500W,277V,9 13/16"</t>
  </si>
  <si>
    <t>R02.04.400.00</t>
  </si>
  <si>
    <t>KIT,ELE,4000W,208V,11 1/2"</t>
  </si>
  <si>
    <t>R02.04.401.00</t>
  </si>
  <si>
    <t>KIT,ELE,4000W,240V,11 1/2"</t>
  </si>
  <si>
    <t>R02.04.402.00</t>
  </si>
  <si>
    <t>KIT,ELE,4000W,346V,11 1/2"</t>
  </si>
  <si>
    <t>R02.04.404.00</t>
  </si>
  <si>
    <t>KIT,ELE,4000W,480V,11 1/2"</t>
  </si>
  <si>
    <t>R02.04.405.00</t>
  </si>
  <si>
    <t>KIT,ELE,4000W,277V,11 1/2"</t>
  </si>
  <si>
    <t>R02.04.450.00</t>
  </si>
  <si>
    <t>KIT,ELE,4500W,208V,11 1/2"</t>
  </si>
  <si>
    <t>R02.04.451.00</t>
  </si>
  <si>
    <t>KIT,ELE,4500W,240V,11 1/2"</t>
  </si>
  <si>
    <t>R02.04.452.00</t>
  </si>
  <si>
    <t>KIT,ELE,4500W,346V,11 1/2"</t>
  </si>
  <si>
    <t>R02.04.453.00</t>
  </si>
  <si>
    <t>KIT,ELE,4500W,480V,11 1/2"</t>
  </si>
  <si>
    <t>R02.04.454.00</t>
  </si>
  <si>
    <t>KIT,ELE,4500W,277V,11 1/2"</t>
  </si>
  <si>
    <t>R02.04.500.00</t>
  </si>
  <si>
    <t>KIT,ELE,5000W,208V,11.5"</t>
  </si>
  <si>
    <t>R02.04.501.00</t>
  </si>
  <si>
    <t>KIT,ELE,5000W,240V,11 1/2"</t>
  </si>
  <si>
    <t>R02.04.502.00</t>
  </si>
  <si>
    <t>KIT,ELE,5000W,480V,11 1/2"</t>
  </si>
  <si>
    <t>R02.04.510.00</t>
  </si>
  <si>
    <t>KIT,ELE,5000W,346V,11 1/2"</t>
  </si>
  <si>
    <t>R02.04.511.00</t>
  </si>
  <si>
    <t>KIT,ELE,5000W,277V,11 1/2'</t>
  </si>
  <si>
    <t>R02.04.600.00</t>
  </si>
  <si>
    <t>KIT,ELE,5750W,208V,13 5/16"</t>
  </si>
  <si>
    <t>R02.04.600A.00</t>
  </si>
  <si>
    <t>KIT,ELE,6000W,208V,13 5/16"</t>
  </si>
  <si>
    <t>R02.04.601.00</t>
  </si>
  <si>
    <t>KIT,ELE,6000W,220V,13 5/16"</t>
  </si>
  <si>
    <t>R02.04.603.00</t>
  </si>
  <si>
    <t>KIT,ELE,6000W,240V,13 5/16"</t>
  </si>
  <si>
    <t>R02.04.604.00</t>
  </si>
  <si>
    <t>KIT,ELE,6000W,346V,13 5/16"</t>
  </si>
  <si>
    <t>R02.04.605.00</t>
  </si>
  <si>
    <t>KIT,ELE,6000W,480V,13 5/16"</t>
  </si>
  <si>
    <t>R02.04.606.00</t>
  </si>
  <si>
    <t>KIT,ELE,6000W,277V,13 5/16"</t>
  </si>
  <si>
    <t>R02.04.610.00</t>
  </si>
  <si>
    <t>KIT,ELE,6000W,208V,15"</t>
  </si>
  <si>
    <t>R02.04.611.00</t>
  </si>
  <si>
    <t>KIT,ELE,6000W,240V,15"</t>
  </si>
  <si>
    <t>R02.04.612.00</t>
  </si>
  <si>
    <t>KIT,ELE,6000W,346V,15"</t>
  </si>
  <si>
    <t>R02.04.613.00</t>
  </si>
  <si>
    <t>KIT,ELE,6000W,480V,15"</t>
  </si>
  <si>
    <t>R02.04.632.00</t>
  </si>
  <si>
    <t>KIT,ELE,6333W,240V,13 5/16"</t>
  </si>
  <si>
    <t>R02.04.633.00</t>
  </si>
  <si>
    <t>KIT,ELE,6333W,346V,15"</t>
  </si>
  <si>
    <t>R02.04.634.00</t>
  </si>
  <si>
    <t>KIT,ELE,6333W,480V,13 5/16"</t>
  </si>
  <si>
    <t>R02.04.650.00</t>
  </si>
  <si>
    <t>KIT,ELE,6500W,208V,15"</t>
  </si>
  <si>
    <t>R02.04.651.00</t>
  </si>
  <si>
    <t>KIT,ELE,6500W,220V,15"</t>
  </si>
  <si>
    <t>R02.04.653.00</t>
  </si>
  <si>
    <t>KIT,ELE,6500W,240V,15"</t>
  </si>
  <si>
    <t>R02.04.654.00</t>
  </si>
  <si>
    <t>KIT,ELE,6500W,346V,15"</t>
  </si>
  <si>
    <t>R02.04.655.00</t>
  </si>
  <si>
    <t>KIT,ELE,6500W,480V,15"</t>
  </si>
  <si>
    <t>R02.04.656.00</t>
  </si>
  <si>
    <t>KIT,ELE,6500W,277V,15"</t>
  </si>
  <si>
    <t>R02.04.700.00</t>
  </si>
  <si>
    <t>KIT,ELE,7500W,208V,15 1/4"</t>
  </si>
  <si>
    <t>R02.04.701.00</t>
  </si>
  <si>
    <t>KIT,ELE,7500W,240V,15 1/4"</t>
  </si>
  <si>
    <t>R02.04.702.00</t>
  </si>
  <si>
    <t>KIT,ELE,7500W,277V</t>
  </si>
  <si>
    <t>R02.04.703.00</t>
  </si>
  <si>
    <t>KIT,ELE,7500W,480V,15 1/4"</t>
  </si>
  <si>
    <t>R02.04.704.00</t>
  </si>
  <si>
    <t>KIT,ELE,7500W,346V,15 1/4"</t>
  </si>
  <si>
    <t>R02.04.710.00</t>
  </si>
  <si>
    <t>KIT,ELE,9000W,208V,15 1/4"</t>
  </si>
  <si>
    <t>R02.04.711.00</t>
  </si>
  <si>
    <t>KIT,ELE,9000W,240V,15 1/4"</t>
  </si>
  <si>
    <t>R02.04.713.00</t>
  </si>
  <si>
    <t>KIT,ELE,9000W,480V,15 1/4"</t>
  </si>
  <si>
    <t>R02.04.714.00</t>
  </si>
  <si>
    <t>KIT,ELE,9000W,346V,15 1/4"</t>
  </si>
  <si>
    <t>R02.04.715.00</t>
  </si>
  <si>
    <t>KIT,ELE,9000W,220V,15 1/4"</t>
  </si>
  <si>
    <t>R02.04.731.00</t>
  </si>
  <si>
    <t>KIT,ELE,9500W,208V,15 1/4"</t>
  </si>
  <si>
    <t>R02.04.732.00</t>
  </si>
  <si>
    <t>KIT,ELE,9500W,220V,15 1/4"</t>
  </si>
  <si>
    <t>R02.04.733.00</t>
  </si>
  <si>
    <t>KIT,ELE,9500W,240V,15 1/4"</t>
  </si>
  <si>
    <t>R02.04.734.00</t>
  </si>
  <si>
    <t>KIT,ELE,9500W,346V,15 1/4"</t>
  </si>
  <si>
    <t>R02.04.735.00</t>
  </si>
  <si>
    <t>KIT,ELE,9500W,480V,15.1/4"</t>
  </si>
  <si>
    <t>R02.04.736.00</t>
  </si>
  <si>
    <t>KIT,ELE,5000W,208V MC</t>
  </si>
  <si>
    <t>R02.04.737.00</t>
  </si>
  <si>
    <t>KIT,ELEMENT 5750W 208V MC</t>
  </si>
  <si>
    <t>R02.05.002.00</t>
  </si>
  <si>
    <t>KIT,ELE,120V,600W,(WATER)</t>
  </si>
  <si>
    <t>R02.05.003.00</t>
  </si>
  <si>
    <t>KIT,ELE,600W,230V,(WATER)</t>
  </si>
  <si>
    <t>R02.05.006.00</t>
  </si>
  <si>
    <t>KIT,ELE,325W,120V,WATER</t>
  </si>
  <si>
    <t>R02.05.007.00</t>
  </si>
  <si>
    <t>KIT,ELE,1050W,120V,AIR</t>
  </si>
  <si>
    <t>R02.05.008E.00</t>
  </si>
  <si>
    <t>KIT,ELE,AIR,1050W,240V,(EXP)</t>
  </si>
  <si>
    <t>R02.05.010.00</t>
  </si>
  <si>
    <t>KIT,ELE,225W,120V,FLEX BLANKET</t>
  </si>
  <si>
    <t>R02.05.011.00</t>
  </si>
  <si>
    <t>KIT,1050W,120V,AIR ELE,FDW/FSD</t>
  </si>
  <si>
    <t>R02.05.012E.00</t>
  </si>
  <si>
    <t>KIT,ELE,1050W,240V,AIR</t>
  </si>
  <si>
    <t>R02.05.013E.00</t>
  </si>
  <si>
    <t>KIT,ELE,325W,240V,WATER</t>
  </si>
  <si>
    <t>R02.05.015E.00</t>
  </si>
  <si>
    <t>KIT,1050WATT,220V,AIR,ELE,FDW</t>
  </si>
  <si>
    <t>R02.05.016E.00</t>
  </si>
  <si>
    <t>KIT,325WATT 220V WATER ELEMENT</t>
  </si>
  <si>
    <t>R02.05.017E.00</t>
  </si>
  <si>
    <t>KIT,ELEMENT,1050W,220V,AIR</t>
  </si>
  <si>
    <t>R02.05.018.00</t>
  </si>
  <si>
    <t>KIT,ELEMENT,WATER,600W,220V</t>
  </si>
  <si>
    <t>R02.05.1140.00</t>
  </si>
  <si>
    <t>KIT,RCTHW2-3 ELEMNT 1500W 240V</t>
  </si>
  <si>
    <t>R02.05.1157.00</t>
  </si>
  <si>
    <t>ELEMENT,RCTHW2-6,3000W,240V</t>
  </si>
  <si>
    <t>R02.05.511E.00</t>
  </si>
  <si>
    <t>KIT,ELE,1050W,100V,AIR</t>
  </si>
  <si>
    <t>R02.05.623.00</t>
  </si>
  <si>
    <t>KIT,ELEMENT,200W,120V,MDW</t>
  </si>
  <si>
    <t>R02.05.626.00</t>
  </si>
  <si>
    <t>KIT,ELE,1000W,120V,AIR</t>
  </si>
  <si>
    <t>R02.05.736.00</t>
  </si>
  <si>
    <t>KIT,ELEMENT-RCTHW-1000 W 230V</t>
  </si>
  <si>
    <t>R02.05.736.01</t>
  </si>
  <si>
    <t>KIT,ELEMNT RCTHW-1000W 230V NO GREASE</t>
  </si>
  <si>
    <t>R02.05.743.00</t>
  </si>
  <si>
    <t>KIT,ELEM,1440W,120V,HW,CHW</t>
  </si>
  <si>
    <t>R02.05.870.00</t>
  </si>
  <si>
    <t>KIT,ELEMENT,1200W 120V,HW,CHW</t>
  </si>
  <si>
    <t>R02.05.871.00</t>
  </si>
  <si>
    <t>KIT,ELEMENT,1800W 120V,HW,CHW</t>
  </si>
  <si>
    <t>R02.06.003F.00</t>
  </si>
  <si>
    <t>KIT,4000/3000W 240/208 ELEMENT</t>
  </si>
  <si>
    <t>R02.06.004F.00</t>
  </si>
  <si>
    <t>KIT,4000 WATT 208V ELEMENT</t>
  </si>
  <si>
    <t>R02.06.005F.00</t>
  </si>
  <si>
    <t>KIT, FHX FLAIRED BOTTOM TUBE</t>
  </si>
  <si>
    <t>R02.06.228.00</t>
  </si>
  <si>
    <t>KIT,DUAL ELE,1625/750W,208V</t>
  </si>
  <si>
    <t>R02.06.229.00</t>
  </si>
  <si>
    <t>KIT,DUAL ELE,1625/750W,240V</t>
  </si>
  <si>
    <t>R02.06.300.00</t>
  </si>
  <si>
    <t>KIT,ELE,3000W,208V</t>
  </si>
  <si>
    <t>R02.06.301.00</t>
  </si>
  <si>
    <t>KIT,ELE,3000W,240V</t>
  </si>
  <si>
    <t>R02.06.302.00</t>
  </si>
  <si>
    <t>KIT,ELE,3000W,440V</t>
  </si>
  <si>
    <t>R02.06.303.00</t>
  </si>
  <si>
    <t>KIT,ELEMENT,3000 WATT,480 VOLT</t>
  </si>
  <si>
    <t>R02.06.304.00</t>
  </si>
  <si>
    <t>KIT,ELEMENT,1900 WATT 208 VOLT</t>
  </si>
  <si>
    <t>R02.06.450.00</t>
  </si>
  <si>
    <t>KIT,ELE,4500W,208V</t>
  </si>
  <si>
    <t>R02.06.451.00</t>
  </si>
  <si>
    <t>KIT,ELE,4500W,240V</t>
  </si>
  <si>
    <t>R02.06.452.00</t>
  </si>
  <si>
    <t>KIT,ELE,4500W,480V</t>
  </si>
  <si>
    <t>R02.06.500.00</t>
  </si>
  <si>
    <t>KIT,ELEMENT,1625W,208V-AWD</t>
  </si>
  <si>
    <t>R02.06.501.00</t>
  </si>
  <si>
    <t>KIT,ELEMENT,1625W,240V-AWD</t>
  </si>
  <si>
    <t>R02.06.603.00</t>
  </si>
  <si>
    <t>KIT,ELEMENT,2000W,277V</t>
  </si>
  <si>
    <t>R02.07.001.01</t>
  </si>
  <si>
    <t>KIT,750W 120V CERAMIC ELEMENT</t>
  </si>
  <si>
    <t>R02.07.002.01</t>
  </si>
  <si>
    <t>KIT,500W 120V CERAMIC ELEMENT</t>
  </si>
  <si>
    <t>R02.07.003.00</t>
  </si>
  <si>
    <t>KIT,750W 240V CERAMIC ELEMENT</t>
  </si>
  <si>
    <t>R02.07.004.00</t>
  </si>
  <si>
    <t>KIT,1000W 240V CERAMIC ELEMENT</t>
  </si>
  <si>
    <t>R02.07.005.00</t>
  </si>
  <si>
    <t>KIT,250W 120V 1/2 SIZE ELEMENT</t>
  </si>
  <si>
    <t>R02.07.006.00</t>
  </si>
  <si>
    <t>KIT,375W 120V 1/2 SIZE ELEMENT</t>
  </si>
  <si>
    <t>R02.07.007.00</t>
  </si>
  <si>
    <t>KIT,500W 120V 1/2 SIZE ELEMENT</t>
  </si>
  <si>
    <t>R02.07.008.00</t>
  </si>
  <si>
    <t>KIT,650W 120V CERAMIC ELEMENT</t>
  </si>
  <si>
    <t>R02.07.009.00</t>
  </si>
  <si>
    <t>KIT,500W 240V CERAMIC ELEMENT</t>
  </si>
  <si>
    <t>R02.07.010.00</t>
  </si>
  <si>
    <t>KIT,650W 240V CERAMIC ELEMENT</t>
  </si>
  <si>
    <t>R02.07.011.00</t>
  </si>
  <si>
    <t>OBSKIT,500W 120V 2/3 SIZE ELEMENT</t>
  </si>
  <si>
    <t>R02.07.013.00</t>
  </si>
  <si>
    <t>KIT,375W 240V 1/2 SIZE ELEMENT</t>
  </si>
  <si>
    <t>R02.07.014.00</t>
  </si>
  <si>
    <t>KIT,900W 120V CERAMIC ELEMENT</t>
  </si>
  <si>
    <t>R02.07.015.00</t>
  </si>
  <si>
    <t>KIT,900W 240V FULL CERAMIC ELE</t>
  </si>
  <si>
    <t>R02.07.016.00</t>
  </si>
  <si>
    <t>KIT,300W 240V 1/2 SIZE ELEMENT</t>
  </si>
  <si>
    <t>R02.07.017.00</t>
  </si>
  <si>
    <t>KIT,500W 240V 1/2 SIZE ELEMENT</t>
  </si>
  <si>
    <t>R02.07.018.00</t>
  </si>
  <si>
    <t>KIT,600W 240V 2/3 SIZE ELEMENT</t>
  </si>
  <si>
    <t>R02.07.020.00</t>
  </si>
  <si>
    <t>KIT,500W 440V 2/3 SIZE ELEMENT</t>
  </si>
  <si>
    <t>R02.07.022.00</t>
  </si>
  <si>
    <t>KIT,640W 120V CERAMIC ELEMENT</t>
  </si>
  <si>
    <t>R02.07.023.00</t>
  </si>
  <si>
    <t>KIT,375W 240V CERAMIC ELEMENT</t>
  </si>
  <si>
    <t>R02.07.028.00</t>
  </si>
  <si>
    <t>KIT,320W 120V ELEMENT</t>
  </si>
  <si>
    <t>R02.07.029.00</t>
  </si>
  <si>
    <t>KIT,CERAMIC INSULATOR</t>
  </si>
  <si>
    <t>R02.08.001D.00</t>
  </si>
  <si>
    <t>KIT,ELE,GR24,350W,120V (.260)</t>
  </si>
  <si>
    <t>R02.08.002D.00</t>
  </si>
  <si>
    <t>KIT,ELE,GR24,350W,208V(.260)</t>
  </si>
  <si>
    <t>R02.08.003E.00</t>
  </si>
  <si>
    <t>KIT,ELE,GR24,350W,240V(.260)</t>
  </si>
  <si>
    <t>R02.08.004D.00</t>
  </si>
  <si>
    <t>KIT,ELE,GR36,575W,120V,(.260)</t>
  </si>
  <si>
    <t>R02.08.005D.00</t>
  </si>
  <si>
    <t>KIT,ELE,GR36,575W,208V,(.260)</t>
  </si>
  <si>
    <t>R02.08.006D.00</t>
  </si>
  <si>
    <t>KIT,ELE,GR36,575W,240V,(.260)</t>
  </si>
  <si>
    <t>R02.08.006E.00</t>
  </si>
  <si>
    <t>KIT,ELE,GR36,575W,240V.26(EXP)</t>
  </si>
  <si>
    <t>R02.08.007D.00</t>
  </si>
  <si>
    <t>KIT,ELE,GR42,675W,120V,(.260)</t>
  </si>
  <si>
    <t>R02.08.008D.00</t>
  </si>
  <si>
    <t>KIT,ELE,GR42,675W,208V,(.260)</t>
  </si>
  <si>
    <t>R02.08.009D.00</t>
  </si>
  <si>
    <t>KIT,ELE,GR42,675W,240V,(.260)</t>
  </si>
  <si>
    <t>R02.08.009E.00</t>
  </si>
  <si>
    <t>KIT,ELE,GR42,675W,240V.26(EXP)</t>
  </si>
  <si>
    <t>R02.08.010A.00</t>
  </si>
  <si>
    <t>KIT,ELEMENT,COILED 800W 120V</t>
  </si>
  <si>
    <t>R02.08.010D.00</t>
  </si>
  <si>
    <t>KIT,ELE,GR48,800W,120V (.260)</t>
  </si>
  <si>
    <t>R02.08.011D.00</t>
  </si>
  <si>
    <t>KIT,ELE,GR48,800W,208V,(.260)</t>
  </si>
  <si>
    <t>R02.08.011F.00</t>
  </si>
  <si>
    <t>KIT,ELEMENT,800W,220V,COILED</t>
  </si>
  <si>
    <t>R02.08.012A.00</t>
  </si>
  <si>
    <t>KIT,ELEMENT,COILED,800W,220V</t>
  </si>
  <si>
    <t>R02.08.012D.00</t>
  </si>
  <si>
    <t>KIT,ELE,GR48,800W,240V,(.260)</t>
  </si>
  <si>
    <t>R02.08.012E.00</t>
  </si>
  <si>
    <t>KIT,ELE,GR48,800W,240V.26(EXP)</t>
  </si>
  <si>
    <t>R02.08.013D.00</t>
  </si>
  <si>
    <t>KIT,ELE,GR60,1050W,120V,(.260)</t>
  </si>
  <si>
    <t>R02.08.014D.00</t>
  </si>
  <si>
    <t>KIT,ELE,GR60,1050W,208V,(.260)</t>
  </si>
  <si>
    <t>R02.08.015D.00</t>
  </si>
  <si>
    <t>KIT,ELE,GR60,1050W,240V,(.260)</t>
  </si>
  <si>
    <t>R02.08.015E.00</t>
  </si>
  <si>
    <t>KIT,ELE,GR60,1050W,240V.26 EXP</t>
  </si>
  <si>
    <t>R02.08.016D.00</t>
  </si>
  <si>
    <t>KIT,ELE,GR72,1275W,120V(.260)</t>
  </si>
  <si>
    <t>R02.08.017D.00</t>
  </si>
  <si>
    <t>KIT,ELE,GR72,1275W,208V,(.260)</t>
  </si>
  <si>
    <t>R02.08.018D.00</t>
  </si>
  <si>
    <t>KIT,ELE,GR72,1275W,240V,(.260)</t>
  </si>
  <si>
    <t>R02.08.018E.00</t>
  </si>
  <si>
    <t>KIT,ELE,GR72,1275W,240V.26 EXP</t>
  </si>
  <si>
    <t>R02.08.019D.00</t>
  </si>
  <si>
    <t>KIT,ELE,GR84,1500W,120V,(.260)</t>
  </si>
  <si>
    <t>R02.08.020D.00</t>
  </si>
  <si>
    <t>KIT,ELE,GR84,1500W,208V,(.260)</t>
  </si>
  <si>
    <t>R02.08.021E.00</t>
  </si>
  <si>
    <t>KIT,ELE,GR84,1500W,240V.26 EXP</t>
  </si>
  <si>
    <t>R02.08.022D.00</t>
  </si>
  <si>
    <t>KIT,ELE,GR96,1725W,120V,(.260)</t>
  </si>
  <si>
    <t>R02.08.023D.00</t>
  </si>
  <si>
    <t>KIT,ELE,GR96,1725W,208V,(.260)</t>
  </si>
  <si>
    <t>R02.08.024D.00</t>
  </si>
  <si>
    <t>KIT,ELE,GR96,1725W,240V,(.260)</t>
  </si>
  <si>
    <t>R02.08.024E.00</t>
  </si>
  <si>
    <t>KIT,ELE,GR96,1725W,240V.26 EXP</t>
  </si>
  <si>
    <t>R02.08.025D.00</t>
  </si>
  <si>
    <t>KIT,ELE,GR54,925W,120V,(.260)</t>
  </si>
  <si>
    <t>R02.08.026D.00</t>
  </si>
  <si>
    <t>KIT,ELE,GR30,450W,120V,(.260)</t>
  </si>
  <si>
    <t>R02.08.027D.00</t>
  </si>
  <si>
    <t>KIT,ELE,GR30,450W,208V,(.260)</t>
  </si>
  <si>
    <t>R02.08.028D.00</t>
  </si>
  <si>
    <t>KIT,ELE,GR30,450W,240V,(.260)</t>
  </si>
  <si>
    <t>R02.08.028E.00</t>
  </si>
  <si>
    <t>KIT,ELE,GR30,450W,240V.26(EXP)</t>
  </si>
  <si>
    <t>R02.08.029D.00</t>
  </si>
  <si>
    <t>KIT,ELE,GR54,925W,208V,(.260)</t>
  </si>
  <si>
    <t>R02.08.030D.00</t>
  </si>
  <si>
    <t>KIT,ELE,GR54,925W,240V,(.260)</t>
  </si>
  <si>
    <t>R02.08.030E.00</t>
  </si>
  <si>
    <t>KIT,ELE,GR54,925W,240V.26(EXP)</t>
  </si>
  <si>
    <t>R02.08.031D.00</t>
  </si>
  <si>
    <t>KIT,ELE,GR18,250W,120V,(.260)</t>
  </si>
  <si>
    <t>R02.08.032D.00</t>
  </si>
  <si>
    <t>KIT,ELE,GR66,1160W,120V,(.260)</t>
  </si>
  <si>
    <t>R02.08.033D.00</t>
  </si>
  <si>
    <t>KIT,ELE,GR66,1160W,208V,(.260)</t>
  </si>
  <si>
    <t>R02.08.034D.00</t>
  </si>
  <si>
    <t>KIT,ELE,GR66,1160W,240V,(.260)</t>
  </si>
  <si>
    <t>R02.08.034E.00</t>
  </si>
  <si>
    <t>KIT,ELE,GR66,1160W,240V.26 EXP</t>
  </si>
  <si>
    <t>R02.08.035D.00</t>
  </si>
  <si>
    <t>KIT,ELE,GR18,250W,240V,(.260)</t>
  </si>
  <si>
    <t>R02.08.035E.00</t>
  </si>
  <si>
    <t>KIT,ELE,GR18,250W,240V,.26 EXP</t>
  </si>
  <si>
    <t>R02.08.036D.00</t>
  </si>
  <si>
    <t>KIT,ELE,GR24,400W,120V,(.260)</t>
  </si>
  <si>
    <t>R02.08.037E.00</t>
  </si>
  <si>
    <t>KIT,ELE,GR18,250W,220V.26(EXP)</t>
  </si>
  <si>
    <t>R02.08.038.00</t>
  </si>
  <si>
    <t>KIT,GR18,200W,220V</t>
  </si>
  <si>
    <t>R02.08.039E.00</t>
  </si>
  <si>
    <t>KIT,ELE,GR42,675W,220V.26(EXP)</t>
  </si>
  <si>
    <t>R02.08.040D.00</t>
  </si>
  <si>
    <t>KIT,ELE,GR18,250W,208V,(.260)</t>
  </si>
  <si>
    <t>R02.08.041E.00</t>
  </si>
  <si>
    <t>KIT,ELE,GR24,350W,220V,.26 EXP</t>
  </si>
  <si>
    <t>R02.08.042E.00</t>
  </si>
  <si>
    <t>KIT,ELE,GR30,450W,220V.26(EXP)</t>
  </si>
  <si>
    <t>R02.08.043E.00</t>
  </si>
  <si>
    <t>KIT,ELE,GR36,575W,220V.26(EXP)</t>
  </si>
  <si>
    <t>R02.08.045E.00</t>
  </si>
  <si>
    <t>KIT,ELE,GR48,800W,220V,(.260)</t>
  </si>
  <si>
    <t>R02.08.046E.00</t>
  </si>
  <si>
    <t>KIT,ELE,GR54,925W,220V,(.260)</t>
  </si>
  <si>
    <t>R02.08.047E.00</t>
  </si>
  <si>
    <t>KIT,ELE,GR60,1050W,220V,(.260)</t>
  </si>
  <si>
    <t>R02.08.048E.00</t>
  </si>
  <si>
    <t>KIT,ELE,GR66,1160W,220V,(.260)</t>
  </si>
  <si>
    <t>R02.08.049E.00</t>
  </si>
  <si>
    <t>KIT,ELE,GR72,1275W,220V(.260)</t>
  </si>
  <si>
    <t>R02.08.050E.00</t>
  </si>
  <si>
    <t>KIT,ELE,GR84,1500W,220V.26 EXP</t>
  </si>
  <si>
    <t>R02.08.051E.00</t>
  </si>
  <si>
    <t>KIT,ELE,GR96,1725W,220V.26 EXP</t>
  </si>
  <si>
    <t>R02.08.052D.00</t>
  </si>
  <si>
    <t>KIT,ELE,GR41,665W,120V,(.260)</t>
  </si>
  <si>
    <t>R02.08.053D.00</t>
  </si>
  <si>
    <t>KIT,ELE,GR52,885W,120V,(.260)</t>
  </si>
  <si>
    <t>R02.08.090.00</t>
  </si>
  <si>
    <t>KIT,ELEMENT,AIR,875W,120V</t>
  </si>
  <si>
    <t>R02.08.091.00</t>
  </si>
  <si>
    <t>KIT,ELEMENT,AIR,600W,120V</t>
  </si>
  <si>
    <t>R02.08.092E.00</t>
  </si>
  <si>
    <t>KIT,ELEMENT,AIR,600W,220V,EXP</t>
  </si>
  <si>
    <t>R02.08.093E.00</t>
  </si>
  <si>
    <t>KIT,ELEMENT,AIR,600W,240V</t>
  </si>
  <si>
    <t>R02.08.094E.00</t>
  </si>
  <si>
    <t>KIT,ELEMENT,AIR,875W,220V,EXP</t>
  </si>
  <si>
    <t>R02.08.095E.00</t>
  </si>
  <si>
    <t>KIT,ELEMENT,AIR,875W,240V</t>
  </si>
  <si>
    <t>R02.08.101D.00</t>
  </si>
  <si>
    <t>KIT,ELE,GR24,500W,120V,(.260)</t>
  </si>
  <si>
    <t>R02.08.102D.00</t>
  </si>
  <si>
    <t>KIT,ELE,GR24,500W,208V,(.260)</t>
  </si>
  <si>
    <t>R02.08.103D.00</t>
  </si>
  <si>
    <t>KIT,ELE,GR24,500W,240V,(.260)</t>
  </si>
  <si>
    <t>R02.08.103E.00</t>
  </si>
  <si>
    <t>R02.08.104D.00</t>
  </si>
  <si>
    <t>KIT,ELE,GR36,800W,120V,(.260)</t>
  </si>
  <si>
    <t>R02.08.105D.00</t>
  </si>
  <si>
    <t>KIT,ELE,GR36,800W,208V,(.260)</t>
  </si>
  <si>
    <t>R02.08.106D.00</t>
  </si>
  <si>
    <t>KIT,ELE,GR36,800W,240V,(.260)</t>
  </si>
  <si>
    <t>R02.08.106E.00</t>
  </si>
  <si>
    <t>KIT,ELE,GR36,800W,240V.26(EXP)</t>
  </si>
  <si>
    <t>R02.08.107D.00</t>
  </si>
  <si>
    <t>KIT,ELE,GR42,950W,120V,(.260)</t>
  </si>
  <si>
    <t>R02.08.108D.00</t>
  </si>
  <si>
    <t>KIT,ELE,GR42,950W,208V,(.260)</t>
  </si>
  <si>
    <t>R02.08.109D.00</t>
  </si>
  <si>
    <t>KIT,ELE,GR42,950W,240V,(.260)</t>
  </si>
  <si>
    <t>R02.08.109E.00</t>
  </si>
  <si>
    <t>KIT,ELE,GR42,950W,240V.26(EXP)</t>
  </si>
  <si>
    <t>R02.08.110D.00</t>
  </si>
  <si>
    <t>KIT,ELE,GR48,1100W,120V,(.260)</t>
  </si>
  <si>
    <t>R02.08.111D.00</t>
  </si>
  <si>
    <t>KIT,ELE,GR48,1100W,208V,(.260)</t>
  </si>
  <si>
    <t>R02.08.112D.00</t>
  </si>
  <si>
    <t>KIT,ELE,GR48,1100W,240V,(.260)</t>
  </si>
  <si>
    <t>R02.08.112E.00</t>
  </si>
  <si>
    <t>R02.08.113D.00</t>
  </si>
  <si>
    <t>KIT,ELE,GR60,1400W,120V,(.260)</t>
  </si>
  <si>
    <t>R02.08.114D.00</t>
  </si>
  <si>
    <t>KIT,ELE,GR60,1400W,208V,(.260)</t>
  </si>
  <si>
    <t>R02.08.115D.00</t>
  </si>
  <si>
    <t>KIT,ELE,GR60,1400W,240V,(.260)</t>
  </si>
  <si>
    <t>R02.08.115E.00</t>
  </si>
  <si>
    <t>R02.08.116D.00</t>
  </si>
  <si>
    <t>KIT,ELE,GR72,1725W,120V,(.260)</t>
  </si>
  <si>
    <t>R02.08.117D.00</t>
  </si>
  <si>
    <t>KIT,ELE,GR72,1725W,208V,(.260)</t>
  </si>
  <si>
    <t>R02.08.118D.00</t>
  </si>
  <si>
    <t>KIT,ELE,GR72,1725W,240V,(.260)</t>
  </si>
  <si>
    <t>R02.08.118E.00</t>
  </si>
  <si>
    <t>R02.08.120D.00</t>
  </si>
  <si>
    <t>KIT,ELE,GR84,2050W,208V,(.260)</t>
  </si>
  <si>
    <t>R02.08.121D.00</t>
  </si>
  <si>
    <t>KIT,ELE,GR84,2050W,240V,(.260)</t>
  </si>
  <si>
    <t>R02.08.121E.00</t>
  </si>
  <si>
    <t>KIT,ELE,GR84,2050W,240V.26 EXP</t>
  </si>
  <si>
    <t>R02.08.123D.00</t>
  </si>
  <si>
    <t>KIT,ELE,GR96,2400W,208V,(.260)</t>
  </si>
  <si>
    <t>R02.08.124D.00</t>
  </si>
  <si>
    <t>KIT,ELE,GR96,2400W,240V,(.260)</t>
  </si>
  <si>
    <t>R02.08.124E.00</t>
  </si>
  <si>
    <t>KIT,ELE,GR96,2400W,240V.26 EXP</t>
  </si>
  <si>
    <t>R02.08.125D.00</t>
  </si>
  <si>
    <t>KIT,ELE,GR54,1250W,120V,(.260)</t>
  </si>
  <si>
    <t>R02.08.126D.00</t>
  </si>
  <si>
    <t>KIT,ELE,GR18,350W,120V,(.260)</t>
  </si>
  <si>
    <t>R02.08.127D.00</t>
  </si>
  <si>
    <t>KIT,ELE,GR30,660W,120V,(.260)</t>
  </si>
  <si>
    <t>R02.08.128D.00</t>
  </si>
  <si>
    <t>KIT,ELE,GR30,660W,208V,(.260)</t>
  </si>
  <si>
    <t>R02.08.129D.00</t>
  </si>
  <si>
    <t>KIT,ELE,GR30,660W,240V,(.260)</t>
  </si>
  <si>
    <t>R02.08.129E.00</t>
  </si>
  <si>
    <t>KIT,ELE,GR30,660W,240V.26(EXP)</t>
  </si>
  <si>
    <t>R02.08.130D.00</t>
  </si>
  <si>
    <t>KIT,ELE,GR54,1250W,208V,(.260)</t>
  </si>
  <si>
    <t>R02.08.131D.00</t>
  </si>
  <si>
    <t>KIT,ELE,GR54,1250W,240V,(.260)</t>
  </si>
  <si>
    <t>R02.08.131E.00</t>
  </si>
  <si>
    <t>KIT,ELE,GR54,1250W,240V.26 EXP</t>
  </si>
  <si>
    <t>R02.08.132D.00</t>
  </si>
  <si>
    <t>KIT,ELE,GR66,1560W,120V,(.260)</t>
  </si>
  <si>
    <t>R02.08.133D.00</t>
  </si>
  <si>
    <t>KIT,ELE,GR66,1560W,208V,(.260)</t>
  </si>
  <si>
    <t>R02.08.134D.00</t>
  </si>
  <si>
    <t>KIT,ELE,GR66,1560W,240V,(.260)</t>
  </si>
  <si>
    <t>R02.08.134E.00</t>
  </si>
  <si>
    <t>KIT,ELE,GR66,1560W,240V.26 EXP</t>
  </si>
  <si>
    <t>R02.08.135D.00</t>
  </si>
  <si>
    <t>KIT,ELE,GR18,350W,240V,(.260)</t>
  </si>
  <si>
    <t>R02.08.135E.00</t>
  </si>
  <si>
    <t>KIT,ELE,GR18,350W,240V.26 EXP</t>
  </si>
  <si>
    <t>R02.08.136E.00</t>
  </si>
  <si>
    <t>KIT,ELE,GR24,500W,220V,(.260)</t>
  </si>
  <si>
    <t>R02.08.137D.00</t>
  </si>
  <si>
    <t>KIT,ELE,GR18,350W,208V,(.260)</t>
  </si>
  <si>
    <t>R02.08.138E.00</t>
  </si>
  <si>
    <t>KIT,ELE,GR18,350W,220V,.26 EXP</t>
  </si>
  <si>
    <t>R02.08.139E.00</t>
  </si>
  <si>
    <t>KIT,ELE,GR30,660W,220V,(.260)</t>
  </si>
  <si>
    <t>R02.08.140E.00</t>
  </si>
  <si>
    <t>KIT,ELE,GR36,800W,220V,(.260)</t>
  </si>
  <si>
    <t>R02.08.141E.00</t>
  </si>
  <si>
    <t>KIT,ELE,GR42,950W,220V.26(EXP)</t>
  </si>
  <si>
    <t>R02.08.142E.00</t>
  </si>
  <si>
    <t>KIT,ELE,GR48,1100W,220V,(.260)</t>
  </si>
  <si>
    <t>R02.08.143E.00</t>
  </si>
  <si>
    <t>KIT,ELE,GR54,1250W,220V,(.260)</t>
  </si>
  <si>
    <t>R02.08.144E.00</t>
  </si>
  <si>
    <t>KIT,ELE,GR60,1400W,220V.26 EXP</t>
  </si>
  <si>
    <t>R02.08.145E.00</t>
  </si>
  <si>
    <t>KIT,ELE,GR66,1560W,220V.26 EXP</t>
  </si>
  <si>
    <t>R02.08.148E.00</t>
  </si>
  <si>
    <t>KIT,ELE,GR72,1725W,220V,(.260)</t>
  </si>
  <si>
    <t>R02.08.149E.00</t>
  </si>
  <si>
    <t>KIT,ELE,GR84,2050W,220V.26 EXP</t>
  </si>
  <si>
    <t>R02.08.150E.00</t>
  </si>
  <si>
    <t>KIT,ELE,GR96,2400W,220V.26 EXP</t>
  </si>
  <si>
    <t>R02.08.202D.00</t>
  </si>
  <si>
    <t>KIT,ELE,GR30,350W,120V,(.260)</t>
  </si>
  <si>
    <t>R02.08.204D.00</t>
  </si>
  <si>
    <t>KIT,ELE,GR42,550W,120V,(.260)</t>
  </si>
  <si>
    <t>R02.08.205D.00</t>
  </si>
  <si>
    <t>KIT,ELE,GR48,650W,120V,(.260)</t>
  </si>
  <si>
    <t>R02.08.206D.00</t>
  </si>
  <si>
    <t>KIT,ELE,GR54,750W,120V,(.260)</t>
  </si>
  <si>
    <t>R02.08.207D.00</t>
  </si>
  <si>
    <t>KIT,ELE,GR60,850W,120V,(.260)</t>
  </si>
  <si>
    <t>R02.08.208D.00</t>
  </si>
  <si>
    <t>KIT,ELE,GR66,950W,120V,(.260)</t>
  </si>
  <si>
    <t>R02.08.209D.00</t>
  </si>
  <si>
    <t>KIT,ELE,GR72,1025W,120V,(.260)</t>
  </si>
  <si>
    <t>R02.08.211D.00</t>
  </si>
  <si>
    <t>KIT,ELE,GR96,1400W,120V,(.260)</t>
  </si>
  <si>
    <t>R02.08.212D.00</t>
  </si>
  <si>
    <t>KIT,ELE,GR51,360W,120V,(.260)</t>
  </si>
  <si>
    <t>R02.08.214D.00</t>
  </si>
  <si>
    <t>KIT,ELE,GR39,225W,120V,(.260)</t>
  </si>
  <si>
    <t>R02.08.216D.00</t>
  </si>
  <si>
    <t>KIT,ELE,GR42,450W,120V,(.260)</t>
  </si>
  <si>
    <t>R02.08.217D.00</t>
  </si>
  <si>
    <t>KIT,ELEMENT,GR-45,325W,120V</t>
  </si>
  <si>
    <t>R02.08.220.00</t>
  </si>
  <si>
    <t>KIT, SWD ELE,GRSDW41,350W,115V</t>
  </si>
  <si>
    <t>R02.08.222D.00</t>
  </si>
  <si>
    <t>KIT,ELE,GRSD30,200W,120V,.260</t>
  </si>
  <si>
    <t>R02.08.223D.00</t>
  </si>
  <si>
    <t>KIT,ELE,GRSD36,250W,120V,.260</t>
  </si>
  <si>
    <t>R02.08.224D.00</t>
  </si>
  <si>
    <t>KIT,ELE,GRSD41,280W,120V,.260</t>
  </si>
  <si>
    <t>R02.08.225D.00</t>
  </si>
  <si>
    <t>KIT,ELE,GRSD24,180W,120V,.260</t>
  </si>
  <si>
    <t>R02.08.226D.00</t>
  </si>
  <si>
    <t>KIT,ELE,GRSD30,240W,120V,.260</t>
  </si>
  <si>
    <t>R02.08.228E.00</t>
  </si>
  <si>
    <t>KIT,ELE,GRSD36,280W,240V,.260</t>
  </si>
  <si>
    <t>R02.08.229E.00</t>
  </si>
  <si>
    <t>KIT,ELE,GR41,315W,240V,(.260)</t>
  </si>
  <si>
    <t>R02.08.230E.00</t>
  </si>
  <si>
    <t>KIT,ELE,GRSD52,400W,240V,.260</t>
  </si>
  <si>
    <t>R02.08.231D.00</t>
  </si>
  <si>
    <t>KIT,ELE,GR33,170W,120V,.260</t>
  </si>
  <si>
    <t>R02.08.232E.00</t>
  </si>
  <si>
    <t>KIT,ELE,GRSD30,225W,240V(.260)</t>
  </si>
  <si>
    <t>R02.08.240D.00</t>
  </si>
  <si>
    <t>KIT,ELE,GR48,365W,120V,(.260)</t>
  </si>
  <si>
    <t>R02.08.242E.00</t>
  </si>
  <si>
    <t>KIT,ULWD,ELEMENT,350W,220V</t>
  </si>
  <si>
    <t>R02.08.250E.00</t>
  </si>
  <si>
    <t>KIT,ELE,GR30,350W,220V,.26 EXP</t>
  </si>
  <si>
    <t>R02.08.251.00</t>
  </si>
  <si>
    <t>KIT, HEATING ELEMENT 350W 240V</t>
  </si>
  <si>
    <t>R02.08.254D.00</t>
  </si>
  <si>
    <t>KIT,ELE,GR42,450W,240V,(.260)</t>
  </si>
  <si>
    <t>R02.08.254E.00</t>
  </si>
  <si>
    <t>KIT, ELE, GR42, 450W, 120V</t>
  </si>
  <si>
    <t>R02.08.256E.00</t>
  </si>
  <si>
    <t>KIT,ELE,GR54,750W,220V.26(EXP)</t>
  </si>
  <si>
    <t>R02.08.257E.00</t>
  </si>
  <si>
    <t>KIT,ELE,GR54,750W,240V.26(EXP)</t>
  </si>
  <si>
    <t>R02.08.258D.00</t>
  </si>
  <si>
    <t>KIT,ELE,GR18,165W,120V,(.260)</t>
  </si>
  <si>
    <t>R02.08.261E.00</t>
  </si>
  <si>
    <t>KIT,ELE,GR18,180W,240V,LWD.260</t>
  </si>
  <si>
    <t>R02.08.262D.00</t>
  </si>
  <si>
    <t>KIT,ELE,GRSD60,450W,120V,.260</t>
  </si>
  <si>
    <t>R02.08.263E.00</t>
  </si>
  <si>
    <t>KIT,ELE,GRSD60,450W,220V,(.26)</t>
  </si>
  <si>
    <t>R02.08.264E.00</t>
  </si>
  <si>
    <t>KIT,ELE,GRSD60,450W,240V,(.26)</t>
  </si>
  <si>
    <t>R02.08.265E.00</t>
  </si>
  <si>
    <t>KIT,ELE,GR45,325W,240V.26(EXP)</t>
  </si>
  <si>
    <t>R02.08.267D.00</t>
  </si>
  <si>
    <t>KIT,ELEM,GR-41BK,290W,120V</t>
  </si>
  <si>
    <t>R02.08.269D.00</t>
  </si>
  <si>
    <t>KIT,ELE,GR2SD-30,225W,120V,.26</t>
  </si>
  <si>
    <t>R02.08.270D.00</t>
  </si>
  <si>
    <t>KIT,ELE,GR2SD-36,275W,120V,.26</t>
  </si>
  <si>
    <t>R02.08.271D.00</t>
  </si>
  <si>
    <t>KIT,ELE,GR2SD-41,325W,120V,.26</t>
  </si>
  <si>
    <t>R02.08.272D.00</t>
  </si>
  <si>
    <t>KIT,ELE.GR2SD-48,375W,120V,.26</t>
  </si>
  <si>
    <t>R02.08.273D.00</t>
  </si>
  <si>
    <t>KIT,ELE,2SD54,425W,120V,(.260)</t>
  </si>
  <si>
    <t>R02.08.274D.00</t>
  </si>
  <si>
    <t>KIT,ELE,GR2SD-60,475W,120V,.26</t>
  </si>
  <si>
    <t>R02.08.275D.00</t>
  </si>
  <si>
    <t>KIT,ELE,2SD-24,175W,120V,(.26)</t>
  </si>
  <si>
    <t>R02.08.300D.00</t>
  </si>
  <si>
    <t>KIT,ELEMENT 390W 120V,(.260)</t>
  </si>
  <si>
    <t>R02.08.301D.00</t>
  </si>
  <si>
    <t>KIT,ELEMENT 550 WATT, 120 VOLT</t>
  </si>
  <si>
    <t>R02.08.302D.00</t>
  </si>
  <si>
    <t>KIT,ELE.GRHW,500W,120V,.260</t>
  </si>
  <si>
    <t>R02.08.303E.00</t>
  </si>
  <si>
    <t>KIT,ELE,GRHW UHWD,500W,240V</t>
  </si>
  <si>
    <t>R02.08.306D.00</t>
  </si>
  <si>
    <t>KIT,ELE,GRHW,350W,120V,(.260)</t>
  </si>
  <si>
    <t>R02.08.400.00</t>
  </si>
  <si>
    <t>KIT DUAL WATT ELE,130/195W,115</t>
  </si>
  <si>
    <t>R02.08.401.00</t>
  </si>
  <si>
    <t>KIT, DUAL WATT ELE130/195W,240</t>
  </si>
  <si>
    <t>R02.08.530E.00</t>
  </si>
  <si>
    <t>KIT,ELE,GRSD24,175W,220V,.260</t>
  </si>
  <si>
    <t>R02.08.531E.00</t>
  </si>
  <si>
    <t>KIT,ELE,GRSDS/DH-225W,220V ELE</t>
  </si>
  <si>
    <t>R02.08.532E.00</t>
  </si>
  <si>
    <t>KIT,ELE,275W,220V,.260(EXP)</t>
  </si>
  <si>
    <t>R02.08.533E.00</t>
  </si>
  <si>
    <t>KIT,ELE,325W,220V,.26(EXP)</t>
  </si>
  <si>
    <t>R02.08.534E.00</t>
  </si>
  <si>
    <t>KIT,ELE 2SDS-48 375W 220V,.260</t>
  </si>
  <si>
    <t>R02.08.535E.00</t>
  </si>
  <si>
    <t>KIT,ELE 2SDS-54 425W 220V,.260</t>
  </si>
  <si>
    <t>R02.08.536E.00</t>
  </si>
  <si>
    <t>KIT,ELE,2SDS60,475W,220V,.260</t>
  </si>
  <si>
    <t>R02.08.537E.00</t>
  </si>
  <si>
    <t>KIT,ELE,2SDS24,175W,240V,.260</t>
  </si>
  <si>
    <t>R02.08.538E.00</t>
  </si>
  <si>
    <t>KIT,ELE,GRSDS30,225W,240V.26</t>
  </si>
  <si>
    <t>R02.08.539E.00</t>
  </si>
  <si>
    <t>KIT,ELE,GR2SD-36,275W,240V,.26</t>
  </si>
  <si>
    <t>R02.08.540E.00</t>
  </si>
  <si>
    <t>KIT,GRSD-42,325W,240V,.26(EXP)</t>
  </si>
  <si>
    <t>R02.08.541E.00</t>
  </si>
  <si>
    <t>KIT,ELE,GR2SD-48,375W,240V,.26</t>
  </si>
  <si>
    <t>R02.08.542E.00</t>
  </si>
  <si>
    <t>KIT,ELE,2SDS54,425W,240V,.260</t>
  </si>
  <si>
    <t>R02.08.543E.00</t>
  </si>
  <si>
    <t>KIT,ELE,GR2SD-60,475W,240V,.26</t>
  </si>
  <si>
    <t>R02.08.555D.00</t>
  </si>
  <si>
    <t>KIT,ELE,GRJW-2,300W,120V,(.26)</t>
  </si>
  <si>
    <t>R02.08.560.00</t>
  </si>
  <si>
    <t>OBSKIT,ELEMENT GR30 350WATT 100V</t>
  </si>
  <si>
    <t>R02.08.561E.00</t>
  </si>
  <si>
    <t>KIT,ELE,GR24,500W,100V.26(EXP)</t>
  </si>
  <si>
    <t>R02.08.562E.00</t>
  </si>
  <si>
    <t>KIT,ELEMENT GR30 660WATT 100V</t>
  </si>
  <si>
    <t>R02.08.563E.00</t>
  </si>
  <si>
    <t>KIT,ELE,GR36,800W,100V.26(EXP)</t>
  </si>
  <si>
    <t>R02.08.564E.00</t>
  </si>
  <si>
    <t>KIT,ELEMENT GR42 950 WATT 100V</t>
  </si>
  <si>
    <t>R02.08.566E.00</t>
  </si>
  <si>
    <t>KIT,ELEMENT GR48 1100W 100V</t>
  </si>
  <si>
    <t>R02.08.567E.00</t>
  </si>
  <si>
    <t>KIT,GR42,450W,100V</t>
  </si>
  <si>
    <t>R02.08.568E.00</t>
  </si>
  <si>
    <t>KIT,ELE,GR18,350W,100V,(.260)</t>
  </si>
  <si>
    <t>R02.08.569.01</t>
  </si>
  <si>
    <t>KIT,AIR ELEMENT,600W,120V</t>
  </si>
  <si>
    <t>R02.08.569.07</t>
  </si>
  <si>
    <t>KIT,AIR ELEMENT,800W,120V</t>
  </si>
  <si>
    <t>R02.08.569.10</t>
  </si>
  <si>
    <t>KIT,525W 120V ELEMENT,AIR</t>
  </si>
  <si>
    <t>R02.08.569E.02</t>
  </si>
  <si>
    <t>KIT,600W 220V 6 PASS AIR ELE</t>
  </si>
  <si>
    <t>R02.08.569E.03</t>
  </si>
  <si>
    <t>KIT,600W 240V 6 PASS AIR ELE</t>
  </si>
  <si>
    <t>R02.08.569E.08</t>
  </si>
  <si>
    <t>KIT,AIR ELEMENT, 800W 220 VOLT</t>
  </si>
  <si>
    <t>R02.08.569E.09</t>
  </si>
  <si>
    <t>KIT,AIR ELEMENT,800W,240 VOLT</t>
  </si>
  <si>
    <t>R02.08.570E.02</t>
  </si>
  <si>
    <t>KIT,1050 WATT 220V AIR ELEMENT</t>
  </si>
  <si>
    <t>R02.08.570E.03</t>
  </si>
  <si>
    <t>KIT,1050 WATT 240V AIR ELEMENT</t>
  </si>
  <si>
    <t>R02.08.574E.00</t>
  </si>
  <si>
    <t>KIT,ELEMENT,AIR,800W,240V</t>
  </si>
  <si>
    <t>R02.08.581.01</t>
  </si>
  <si>
    <t>KIT,ELEMENT,HWB-RECT,750W,120V</t>
  </si>
  <si>
    <t>R02.08.581.02</t>
  </si>
  <si>
    <t>KIT,ELEMENT,HWB,REC,1200W,120V</t>
  </si>
  <si>
    <t>R02.08.581.03</t>
  </si>
  <si>
    <t>KIT,ELEMENT,HWB,REC,1200W,208V</t>
  </si>
  <si>
    <t>R02.08.581.04</t>
  </si>
  <si>
    <t>KIT,ELEMENT,HWB,REC,1200W,240V</t>
  </si>
  <si>
    <t>R02.08.581.05</t>
  </si>
  <si>
    <t>KIT,ELEMENT,HWB,REC,1650W,120V</t>
  </si>
  <si>
    <t>R02.08.581.06</t>
  </si>
  <si>
    <t>KIT,ELEMENT,HWB,REC,1650W,208V</t>
  </si>
  <si>
    <t>R02.08.581.07</t>
  </si>
  <si>
    <t>KIT,ELEMENT,HWB,REC,1650W,240V</t>
  </si>
  <si>
    <t>R02.08.581.08</t>
  </si>
  <si>
    <t>KIT,ELEMENT,HWB-REC,1200W,220V</t>
  </si>
  <si>
    <t>R02.08.581.09</t>
  </si>
  <si>
    <t>KIT,ELEMENT,HWB,REC,1650W,220V</t>
  </si>
  <si>
    <t>R02.08.586.01</t>
  </si>
  <si>
    <t>KIT,HWB 500W 120V ROUND ELEM</t>
  </si>
  <si>
    <t>R02.08.586.02</t>
  </si>
  <si>
    <t>KIT,HWB 800W 120V ROUND ELEM</t>
  </si>
  <si>
    <t>R02.08.586.03</t>
  </si>
  <si>
    <t>KIT,HWB 600W 220V RND ELE</t>
  </si>
  <si>
    <t>R02.08.586.04</t>
  </si>
  <si>
    <t>KIT,HWB 600W 240V RND ELEM</t>
  </si>
  <si>
    <t>R02.08.586.05</t>
  </si>
  <si>
    <t>KIT,HWB 800W 220V RND ELEM</t>
  </si>
  <si>
    <t>R02.08.586.06</t>
  </si>
  <si>
    <t>KIT,HWB 800W 240V RND ELEM</t>
  </si>
  <si>
    <t>R02.08.589.00</t>
  </si>
  <si>
    <t>KIT,ELE,GRM-18,450W,120V,.260</t>
  </si>
  <si>
    <t>R02.08.590.00</t>
  </si>
  <si>
    <t>KIT,ELE,GRM-18,450W,208V,.260</t>
  </si>
  <si>
    <t>R02.08.591.00</t>
  </si>
  <si>
    <t>KIT,ELE,GRM-18,450W,240V,.260</t>
  </si>
  <si>
    <t>R02.08.592.00</t>
  </si>
  <si>
    <t>KIT,ELE,GRM-24,650W,120V,.260</t>
  </si>
  <si>
    <t>R02.08.593.00</t>
  </si>
  <si>
    <t>KIT,ELE,GRM-24,650W,208V,.260</t>
  </si>
  <si>
    <t>R02.08.594.00</t>
  </si>
  <si>
    <t>KIT,ELE,GRM-24,650W,240V,.260</t>
  </si>
  <si>
    <t>R02.08.595.00</t>
  </si>
  <si>
    <t>KIT,ELE,GRM-30,825W,120V,.260</t>
  </si>
  <si>
    <t>R02.08.596.00</t>
  </si>
  <si>
    <t>KIT,ELE,GRM-30,825W,208V,.260</t>
  </si>
  <si>
    <t>R02.08.597.00</t>
  </si>
  <si>
    <t>KIT,ELE,GRM-30,825W,240V,.260</t>
  </si>
  <si>
    <t>R02.08.598.00</t>
  </si>
  <si>
    <t>KIT,ELE,GRM-36,1000W,120V,.260</t>
  </si>
  <si>
    <t>R02.08.599.00</t>
  </si>
  <si>
    <t>KIT,ELE,GRM-36,1000W,208V,.260</t>
  </si>
  <si>
    <t>R02.08.600.00</t>
  </si>
  <si>
    <t>KIT,ELE,GRM-36,1000W,240V,.260</t>
  </si>
  <si>
    <t>R02.08.601.00</t>
  </si>
  <si>
    <t>KIT,ELE,GRM-42,1175W,120V,.260</t>
  </si>
  <si>
    <t>R02.08.602.00</t>
  </si>
  <si>
    <t>KIT,ELE,GRM-42,1175W,208V,.260</t>
  </si>
  <si>
    <t>R02.08.603.00</t>
  </si>
  <si>
    <t>KIT,ELE,GRM-42,1175W,240V,.260</t>
  </si>
  <si>
    <t>R02.08.604.00</t>
  </si>
  <si>
    <t>KIT,ELE,GRM-48,1300W,120V,.260</t>
  </si>
  <si>
    <t>R02.08.605.00</t>
  </si>
  <si>
    <t>KIT,ELE,GRM-48,1300W,208V,.260</t>
  </si>
  <si>
    <t>R02.08.606.00</t>
  </si>
  <si>
    <t>KIT,ELE,GRM-48,1300W,240V,.260</t>
  </si>
  <si>
    <t>R02.08.607.00</t>
  </si>
  <si>
    <t>KIT,ELE,GRM-54,1500W,120V,.260</t>
  </si>
  <si>
    <t>R02.08.608.00</t>
  </si>
  <si>
    <t>KIT,ELE,GRM-54,1500W,208V,.260</t>
  </si>
  <si>
    <t>R02.08.609.00</t>
  </si>
  <si>
    <t>KIT,ELE,GRM-54,1500W,240V,.260</t>
  </si>
  <si>
    <t>R02.08.610.00</t>
  </si>
  <si>
    <t>KIT,ELE,GRM-60,1700W,120V,.260</t>
  </si>
  <si>
    <t>R02.08.611.00</t>
  </si>
  <si>
    <t>KIT,ELE,GRM-60,1700W,208V,.260</t>
  </si>
  <si>
    <t>R02.08.612.00</t>
  </si>
  <si>
    <t>KIT,ELE,GRM-60,1700W,240V,.260</t>
  </si>
  <si>
    <t>R02.08.613.00</t>
  </si>
  <si>
    <t>KIT,ELE,GRM-66,1875W,208V,.260</t>
  </si>
  <si>
    <t>R02.08.614.00</t>
  </si>
  <si>
    <t>KIT,ELE,GRM-66,1875W,240V,.260</t>
  </si>
  <si>
    <t>R02.08.615.00</t>
  </si>
  <si>
    <t>KIT,ELE,GRM-72,2075W,208V,.260</t>
  </si>
  <si>
    <t>R02.08.616.00</t>
  </si>
  <si>
    <t>KIT,ELE,GRM-72,2075W,240V,.260</t>
  </si>
  <si>
    <t>R02.08.617.00</t>
  </si>
  <si>
    <t>KIT,ELE,GRM-84,2400W,208V,.260</t>
  </si>
  <si>
    <t>R02.08.618.00</t>
  </si>
  <si>
    <t>KIT,ELE,GRM-84,2400W,240V,.260</t>
  </si>
  <si>
    <t>R02.08.619.00</t>
  </si>
  <si>
    <t>KIT,ELE,GRM-96,2675W,208V,.260</t>
  </si>
  <si>
    <t>R02.08.620.00</t>
  </si>
  <si>
    <t>KIT,ELE,GRM-96,2675W,240V,.260</t>
  </si>
  <si>
    <t>R02.08.623.00</t>
  </si>
  <si>
    <t>KIT,ELE,AIR,1500W,120V,FSHC-17</t>
  </si>
  <si>
    <t>R02.08.625.01</t>
  </si>
  <si>
    <t>KIT,AIR ELEMENT 425W 120V HC-8</t>
  </si>
  <si>
    <t>R02.08.627.00</t>
  </si>
  <si>
    <t>KIT,ELE,GRM-66,1875W,120V,.260</t>
  </si>
  <si>
    <t>R02.08.633E.00</t>
  </si>
  <si>
    <t>KIT,ELE,GRCMW,350W,240V,(.260)</t>
  </si>
  <si>
    <t>R02.08.634.00</t>
  </si>
  <si>
    <t>KIT,ELE,GRM-72,2075W,120V,.260</t>
  </si>
  <si>
    <t>R02.08.644.00</t>
  </si>
  <si>
    <t>KIT,ELE,GMFFL,500W,230 VOLT</t>
  </si>
  <si>
    <t>R02.08.645.00</t>
  </si>
  <si>
    <t>KIT,ELE,GMFFL,500W,120 VOLT</t>
  </si>
  <si>
    <t>R02.08.658.00</t>
  </si>
  <si>
    <t>KIT,ELE,GRCMW,400W,120V</t>
  </si>
  <si>
    <t>R02.08.659.00</t>
  </si>
  <si>
    <t>KIT,ELE,GRCMWD,200W,120V</t>
  </si>
  <si>
    <t>R02.08.662D.00</t>
  </si>
  <si>
    <t>KIT,ELE,HXM-24,175W,120V</t>
  </si>
  <si>
    <t>R02.08.663D.00</t>
  </si>
  <si>
    <t>KIT,ELE,HXM-30,225W,120V</t>
  </si>
  <si>
    <t>R02.08.664D.00</t>
  </si>
  <si>
    <t>KIT,ELE,HXM-36,275W,120V</t>
  </si>
  <si>
    <t>R02.08.665D.00</t>
  </si>
  <si>
    <t>KIT,ELE,HXM-42,325W,120V</t>
  </si>
  <si>
    <t>R02.08.666D.00</t>
  </si>
  <si>
    <t>KIT,ELE,HXM-48,375W,120V</t>
  </si>
  <si>
    <t>R02.08.667D.00</t>
  </si>
  <si>
    <t>KIT,ELE,HXM-54,425W,120V</t>
  </si>
  <si>
    <t>R02.08.668D.00</t>
  </si>
  <si>
    <t>KIT,ELE,HXM-60,475W,120V</t>
  </si>
  <si>
    <t>R02.08.679D.00</t>
  </si>
  <si>
    <t>KIT,ELE,GR35,575W,208V,(.260)</t>
  </si>
  <si>
    <t>R02.08.680D.00</t>
  </si>
  <si>
    <t>KIT,ELE,GR41,675W,208V,(.260)</t>
  </si>
  <si>
    <t>R02.08.715.02</t>
  </si>
  <si>
    <t>Kit,ElEMENT 1200W, 120V,4/3HWB</t>
  </si>
  <si>
    <t>R02.08.715.03</t>
  </si>
  <si>
    <t>Kit,Element 1200W,208V,4/3HWB</t>
  </si>
  <si>
    <t>R02.08.715.04</t>
  </si>
  <si>
    <t>KIT,ELEMENT 1200W,240V,4/3HWB</t>
  </si>
  <si>
    <t>R02.08.749.00</t>
  </si>
  <si>
    <t>KIT,FINS,3250W,120V,FS3HAC-30</t>
  </si>
  <si>
    <t>R02.08.752.00</t>
  </si>
  <si>
    <t>KIT,FINS,3250W,120V,FS3HAC-42</t>
  </si>
  <si>
    <t>R02.09.001.00</t>
  </si>
  <si>
    <t>KIT,ELEMENT 200W 120V,2SLICE</t>
  </si>
  <si>
    <t>R02.09.002.00</t>
  </si>
  <si>
    <t>KIT,ELEMENT 200W 104V,2 SLICE</t>
  </si>
  <si>
    <t>R02.09.004.00</t>
  </si>
  <si>
    <t>KIT,ELEMENT 250W 120V,2 SLICE</t>
  </si>
  <si>
    <t>R02.09.005.00</t>
  </si>
  <si>
    <t>KIT,ELEMENT 250W 104V,2 SLICE</t>
  </si>
  <si>
    <t>R02.09.007.00</t>
  </si>
  <si>
    <t>KIT,ELEMENT 200W 60V,2 SLICE</t>
  </si>
  <si>
    <t>R02.09.015.00</t>
  </si>
  <si>
    <t>KIT,ELEMENT 330W 104V,2 SLICE</t>
  </si>
  <si>
    <t>R02.09.016.00</t>
  </si>
  <si>
    <t>KIT,ELEMENT 330W 120V,3 SLICE</t>
  </si>
  <si>
    <t>R02.09.017.00</t>
  </si>
  <si>
    <t>KIT,ELEMENT 250W 104V,3 SLICE</t>
  </si>
  <si>
    <t>R02.09.018.00</t>
  </si>
  <si>
    <t>KIT,ELEMENT 250W 120V,3 SLICE</t>
  </si>
  <si>
    <t>R02.09.019.00</t>
  </si>
  <si>
    <t>KIT,ELEMENT 125W 120V,3 SLICE</t>
  </si>
  <si>
    <t>R02.09.020.00</t>
  </si>
  <si>
    <t>KIT,ELEMENT 125W 104V,3 SLICE</t>
  </si>
  <si>
    <t>R02.09.024.00</t>
  </si>
  <si>
    <t>KIT,ELEMENT 250W 60V,2 SLICE</t>
  </si>
  <si>
    <t>R02.09.030.00</t>
  </si>
  <si>
    <t>KIT,ELEMENT 200W 120V,TQ</t>
  </si>
  <si>
    <t>R02.09.031.00</t>
  </si>
  <si>
    <t>KIT,ELEMENT 325W 120V,TQ</t>
  </si>
  <si>
    <t>R02.09.037.00</t>
  </si>
  <si>
    <t>KIT,ELEMENT 200W 208V,TQ</t>
  </si>
  <si>
    <t>R02.09.038.00</t>
  </si>
  <si>
    <t>KIT,ELEMENT 200W 220V,TQ</t>
  </si>
  <si>
    <t>R02.09.039.00</t>
  </si>
  <si>
    <t>KIT,ELEMENT 200W 240V,TQ</t>
  </si>
  <si>
    <t>R02.09.040.00</t>
  </si>
  <si>
    <t>KIT,ELEMENT 325W 208V,TQ</t>
  </si>
  <si>
    <t>R02.09.041.00</t>
  </si>
  <si>
    <t>KIT,ELEMENT 325W 220V,TQ</t>
  </si>
  <si>
    <t>R02.09.042.00</t>
  </si>
  <si>
    <t>KIT,ELEMENT 325W 240V,TQ</t>
  </si>
  <si>
    <t>R02.09.045.00</t>
  </si>
  <si>
    <t>KIT,ELEMENT 125W 110V,3 SLICE</t>
  </si>
  <si>
    <t>R02.09.045E.00</t>
  </si>
  <si>
    <t>R02.09.047.00</t>
  </si>
  <si>
    <t>KIT,ELEMENT 250W 120V,TQ</t>
  </si>
  <si>
    <t>R02.09.048.00</t>
  </si>
  <si>
    <t>KIT,ELEMENT 250W 208V,TQ</t>
  </si>
  <si>
    <t>R02.09.050.00</t>
  </si>
  <si>
    <t>OBSKIT,ELEMENT 250W 240V,TQ</t>
  </si>
  <si>
    <t>R02.09.051.00</t>
  </si>
  <si>
    <t>KIT,ELEMENT 275W,120V,TQ</t>
  </si>
  <si>
    <t>R02.09.052.00</t>
  </si>
  <si>
    <t>KIT,ELEMENT 275W 208V,TQ</t>
  </si>
  <si>
    <t>R02.09.054.00</t>
  </si>
  <si>
    <t>KIT,ELEMENT 275W 240V,TQ</t>
  </si>
  <si>
    <t>R02.09.062.00</t>
  </si>
  <si>
    <t>KIT,ELEMENT 375W 240V,TQ</t>
  </si>
  <si>
    <t>R02.09.063.00</t>
  </si>
  <si>
    <t>KIT,ELEMENT 375W 208V,TQ</t>
  </si>
  <si>
    <t>R02.09.064.00</t>
  </si>
  <si>
    <t>KIT,ELEMENT 375W 220V,TQ</t>
  </si>
  <si>
    <t>R02.09.065.00</t>
  </si>
  <si>
    <t>KIT,ELEMENT 470W 120V,3 SLICE</t>
  </si>
  <si>
    <t>R02.09.200E.00</t>
  </si>
  <si>
    <t>KIT,ELEM.200W 110V 2 SLICE"CE"</t>
  </si>
  <si>
    <t>R02.09.201E.00</t>
  </si>
  <si>
    <t>KIT,ELEM.250W 110V 2 SLICE"CE"</t>
  </si>
  <si>
    <t>R02.09.202E.00</t>
  </si>
  <si>
    <t>KIT,ELEM.250W 110V 3 SLICE"CE"</t>
  </si>
  <si>
    <t>R02.09.203E.00</t>
  </si>
  <si>
    <t>KIT,ELEMENT 200W 220V,TQ,"CE"</t>
  </si>
  <si>
    <t>R02.09.204E.00</t>
  </si>
  <si>
    <t>KIT,ELEMENT 250W 220V,TQ,"CE"</t>
  </si>
  <si>
    <t>R02.09.205E.00</t>
  </si>
  <si>
    <t>KIT,ELEMENT 275W 220V,TQ,"CE"</t>
  </si>
  <si>
    <t>R02.09.206E.00</t>
  </si>
  <si>
    <t>KIT,ELEMENT 325W 220V,TQ,"CE"</t>
  </si>
  <si>
    <t>R02.09.208E.00</t>
  </si>
  <si>
    <t>KIT,ELEMENT 250W,120V,2/S,"CE"</t>
  </si>
  <si>
    <t>R02.09.209E.00</t>
  </si>
  <si>
    <t>KIT,ELEM.325W,120V,2 SLICE"CE"</t>
  </si>
  <si>
    <t>R02.09.211E.00</t>
  </si>
  <si>
    <t>KIT,ELEM.330W 120V,3 SLICE"CE"</t>
  </si>
  <si>
    <t>R02.09.212E.00</t>
  </si>
  <si>
    <t>KIT,ELEM.470W 120V 3 SLICE"CE"</t>
  </si>
  <si>
    <t>R02.09.215E.00</t>
  </si>
  <si>
    <t>KIT,ELEMENT,250W,240V,TQ,"CE"</t>
  </si>
  <si>
    <t>R02.09.216E.00</t>
  </si>
  <si>
    <t>KIT,ELEMENT 275W 240V,TQ,"CE"</t>
  </si>
  <si>
    <t>R02.09.217E.00</t>
  </si>
  <si>
    <t>KIT,ELEMENT 325W 240V,TQ,"CE"</t>
  </si>
  <si>
    <t>R02.09.218E.00</t>
  </si>
  <si>
    <t>KIT,ELEMENT 350W 240V,TQ,"CE"</t>
  </si>
  <si>
    <t>R02.09.221E.00</t>
  </si>
  <si>
    <t>KIT,ELEM.330W 110V,3 SLICE"CE"</t>
  </si>
  <si>
    <t>R02.09.222E.00</t>
  </si>
  <si>
    <t>KIT,ELEM.470W 110V,3 SLICE"CE"</t>
  </si>
  <si>
    <t>R02.09.225E.00</t>
  </si>
  <si>
    <t>KIT,ELEMENT 200W,120V,TQ,"CE"</t>
  </si>
  <si>
    <t>R02.09.227E.00</t>
  </si>
  <si>
    <t>KIT,ELEMENT 275W 139V,TQ,"CE"</t>
  </si>
  <si>
    <t>R02.09.228E.00</t>
  </si>
  <si>
    <t>KIT,ELEMENT,350W,120V,TQ,"CE"</t>
  </si>
  <si>
    <t>R02.09.229.00</t>
  </si>
  <si>
    <t>KIT,ELEMENT 325W 80V,TQ,"CE"</t>
  </si>
  <si>
    <t>R02.09.230.00</t>
  </si>
  <si>
    <t>KIT,ELEMENT 325W 149V,TQ,"CE"</t>
  </si>
  <si>
    <t>R02.09.232.00</t>
  </si>
  <si>
    <t>KIT,ELEMENT 275W 120V,TQ,"CE"</t>
  </si>
  <si>
    <t>R02.09.278.00</t>
  </si>
  <si>
    <t>KIT,HEAT ELEM,OUTER,340W,TPU</t>
  </si>
  <si>
    <t>R02.11.013.00</t>
  </si>
  <si>
    <t>KIT,BLANK BOOSTER FLANGE</t>
  </si>
  <si>
    <t>R02.12.001.00</t>
  </si>
  <si>
    <t>KIT,MOTOR,BLOWER&amp;CORD 120V60z</t>
  </si>
  <si>
    <t>R02.12.003.00</t>
  </si>
  <si>
    <t>KIT,BLOWER MOTOR-FS&amp;FSHC-120V</t>
  </si>
  <si>
    <t>R02.12.006.00</t>
  </si>
  <si>
    <t>KIT,MOTOR,BLOWR,230V,50/60Hz</t>
  </si>
  <si>
    <t>R02.12.012.00</t>
  </si>
  <si>
    <t>KIT,BLOWER MOTOR FS-230V 50-60</t>
  </si>
  <si>
    <t>R02.12.020.00</t>
  </si>
  <si>
    <t>KIT,60HZ GEARMOTOR 6 RPM,208V</t>
  </si>
  <si>
    <t>R02.12.021.00</t>
  </si>
  <si>
    <t>KIT,60HZ GEARMOTOR 6 RPM,230V</t>
  </si>
  <si>
    <t>R02.12.024.00</t>
  </si>
  <si>
    <t>KIT,60HZ GEARMOTOR 6 RPM,115V</t>
  </si>
  <si>
    <t>R02.12.025.00</t>
  </si>
  <si>
    <t>KIT,50HZ GEARMTR PF 6RPM,240V</t>
  </si>
  <si>
    <t>R02.12.052.00</t>
  </si>
  <si>
    <t>KIT,EXHAUST BLOWER PMG 100&amp;200</t>
  </si>
  <si>
    <t>R02.12.066.00</t>
  </si>
  <si>
    <t>KIT,BLOWER MOTOR 120V FSHC-CB</t>
  </si>
  <si>
    <t>R02.12.066.01</t>
  </si>
  <si>
    <t>KIT,BLOWER MOTOR 230V 50/60 HZ</t>
  </si>
  <si>
    <t>R02.12.086.00</t>
  </si>
  <si>
    <t>KIT,BLOWER FAN-TWIN,120V,60Hz</t>
  </si>
  <si>
    <t>R02.12.086.01</t>
  </si>
  <si>
    <t>KIT,BLOWER FAN-TWIN,230V,50/60</t>
  </si>
  <si>
    <t>R02.12.086C.00</t>
  </si>
  <si>
    <t>KIT,BLOWR FAN,120V60Hz CHEDDAR</t>
  </si>
  <si>
    <t>R02.12.098.00</t>
  </si>
  <si>
    <t>KIT,BLOWER &amp; BLADES,120 VOLT</t>
  </si>
  <si>
    <t>R02.12.105.00</t>
  </si>
  <si>
    <t>KIT,MOTOR,BLOWR,115V 50/60HZ</t>
  </si>
  <si>
    <t>R02.12.106.00</t>
  </si>
  <si>
    <t>KIT,BLOWER W/BLADES, 220/240V</t>
  </si>
  <si>
    <t>R02.12.117.00</t>
  </si>
  <si>
    <t>KIT,BLOWER MOTOR ASSY-FSHC-5</t>
  </si>
  <si>
    <t>R02.12.138.00</t>
  </si>
  <si>
    <t>KIT,FILTER -ITQ/TQ3/TC3</t>
  </si>
  <si>
    <t>R02.12.154.00</t>
  </si>
  <si>
    <t>KIT,MOTOR,HWBI,120V 50/60HZ</t>
  </si>
  <si>
    <t>R02.12.159.00</t>
  </si>
  <si>
    <t>KIT,DHWBI FAN BLADE</t>
  </si>
  <si>
    <t>R02.13.100.00</t>
  </si>
  <si>
    <t>KIT,100 OHM RHEOSTAT,25W</t>
  </si>
  <si>
    <t>R02.13.101.00</t>
  </si>
  <si>
    <t>KIT, 75 OHM RHEOSTAT, 120 VOLT</t>
  </si>
  <si>
    <t>R02.13.111.00</t>
  </si>
  <si>
    <t>KIT, 200 OHM RHEOSTAT, 25 WATT</t>
  </si>
  <si>
    <t>R02.13.125.00</t>
  </si>
  <si>
    <t>KIT,250 OHM WIREWOUND RHEO,25W</t>
  </si>
  <si>
    <t>R02.13.346.00</t>
  </si>
  <si>
    <t>KIT,PROX SWITCHES-FSD &amp; FDWD</t>
  </si>
  <si>
    <t>R02.13.349.00</t>
  </si>
  <si>
    <t>KIT,RHEOSTAT,DIODE,9"LDS,200 O</t>
  </si>
  <si>
    <t>R02.13.366.00</t>
  </si>
  <si>
    <t>KIT,PROX SWITCHES FDWD-12</t>
  </si>
  <si>
    <t>R02.15.029.00</t>
  </si>
  <si>
    <t>KIT,TERMINAL BLOCK 3P CE</t>
  </si>
  <si>
    <t>R02.15.030.00</t>
  </si>
  <si>
    <t>KIT,TERMINAL BLOCK 3 POLE "CE"</t>
  </si>
  <si>
    <t>R02.15.035.00</t>
  </si>
  <si>
    <t>KIT,TERMINAL BLOCK-3 POLE-"CE"</t>
  </si>
  <si>
    <t>R02.15.045.00</t>
  </si>
  <si>
    <t>KIT,TERMINAL BLOCK-2 POLE</t>
  </si>
  <si>
    <t>R02.15.046.00</t>
  </si>
  <si>
    <t>KIT,TERMINAL BLOCK 3-POLE</t>
  </si>
  <si>
    <t>R02.15.047.00</t>
  </si>
  <si>
    <t>KIT,TERMINAL BLOCK-4 POLE</t>
  </si>
  <si>
    <t>R02.15.048.00</t>
  </si>
  <si>
    <t>KIT, TERMINAL BLOCK-5 POLE</t>
  </si>
  <si>
    <t>R02.15.049.00</t>
  </si>
  <si>
    <t>KIT,TERMINAL BLOCK,4 POLE</t>
  </si>
  <si>
    <t>R02.16.029.00</t>
  </si>
  <si>
    <t>KIT,THERMOSTAT W/EXPOSED DISC</t>
  </si>
  <si>
    <t>R02.16.036.00</t>
  </si>
  <si>
    <t>KIT,HIGH LIMIT DISC</t>
  </si>
  <si>
    <t>R02.16.039.00</t>
  </si>
  <si>
    <t>KIT,T-STAT CONTROL,DRY,82-200F</t>
  </si>
  <si>
    <t>R02.16.046.00</t>
  </si>
  <si>
    <t>KIT,THERMOSTAT &amp; KNOB, HDW</t>
  </si>
  <si>
    <t>R02.16.057.00</t>
  </si>
  <si>
    <t>KIT,TID SS LED FAR</t>
  </si>
  <si>
    <t>R02.16.058.00</t>
  </si>
  <si>
    <t>KIT,TID SS LED CEL</t>
  </si>
  <si>
    <t>R02.16.060.00</t>
  </si>
  <si>
    <t>KIT,T-STAT MECH,DRY,133-450</t>
  </si>
  <si>
    <t>R02.16.060A.00</t>
  </si>
  <si>
    <t>KIT,THERMOSTAT CONTROL, QW-6</t>
  </si>
  <si>
    <t>R02.16.065.00</t>
  </si>
  <si>
    <t>KIT,T-STAT MECH DRY 175F.</t>
  </si>
  <si>
    <t>R02.16.066.00</t>
  </si>
  <si>
    <t>KIT,T-STAT CONTROL-DRY, 253F</t>
  </si>
  <si>
    <t>R02.16.068.00</t>
  </si>
  <si>
    <t>KIT,T-STAT CONTROL &amp; PROBE-PMG</t>
  </si>
  <si>
    <t>R02.16.069.00</t>
  </si>
  <si>
    <t>KIT,TEMP.CONTROL PROBE,PMG'S</t>
  </si>
  <si>
    <t>R02.16.073.00</t>
  </si>
  <si>
    <t>KIT,THERMO DISC 168 DEG.F.</t>
  </si>
  <si>
    <t>R02.16.107.00</t>
  </si>
  <si>
    <t>KIT,HIGH LIMIT,SURFACE,95F N/O</t>
  </si>
  <si>
    <t>R02.16.117.00</t>
  </si>
  <si>
    <t>KIT,HIGH LIMIT DISK 300 F.</t>
  </si>
  <si>
    <t>R02.16.118.00</t>
  </si>
  <si>
    <t>KIT,SURFACE HIGH LIMIT 250 F.</t>
  </si>
  <si>
    <t>R02.16.135.00</t>
  </si>
  <si>
    <t>KIT,AIR T-STAT WITH GASKET</t>
  </si>
  <si>
    <t>R02.16.154.00</t>
  </si>
  <si>
    <t>KIT,THERMAL DISK</t>
  </si>
  <si>
    <t>R02.16.171.00</t>
  </si>
  <si>
    <t>R02.16.199.00</t>
  </si>
  <si>
    <t>KIT,TM3 THERMAL DISC MAN RESET</t>
  </si>
  <si>
    <t>R02.16.227.00</t>
  </si>
  <si>
    <t>KIT,HIGH LIMIT</t>
  </si>
  <si>
    <t>R02.16.233.00</t>
  </si>
  <si>
    <t>KIT,T-STAT CONT,MECH DRY 82-259F</t>
  </si>
  <si>
    <t>R02.17.002.00</t>
  </si>
  <si>
    <t>KIT, TRANSFORMER 480/600-240V</t>
  </si>
  <si>
    <t>R02.17.003.00</t>
  </si>
  <si>
    <t>KIT, TRANSFORMER 380/575-230V</t>
  </si>
  <si>
    <t>R02.17.035.00</t>
  </si>
  <si>
    <t>KIT,TRANS 24V,230CE RETROFIT</t>
  </si>
  <si>
    <t>R02.17.054.00</t>
  </si>
  <si>
    <t>KIT,TRANS 120V:208/240 PRI 25V</t>
  </si>
  <si>
    <t>R02.17.055.00</t>
  </si>
  <si>
    <t>KIT,TRANS 120V:480 PRI 25VA</t>
  </si>
  <si>
    <t>R02.17.056.00</t>
  </si>
  <si>
    <t>KIT,TRANS 120V:600 PRI 25VA</t>
  </si>
  <si>
    <t>R02.17.058.00</t>
  </si>
  <si>
    <t>KIT,TRANS 115V:415/440 PRI 40V</t>
  </si>
  <si>
    <t>R02.18.024.00</t>
  </si>
  <si>
    <t>KIT, HPN CORD W/HDW</t>
  </si>
  <si>
    <t>R02.18.030.00</t>
  </si>
  <si>
    <t>KIT, HSJO CORD W/HDW</t>
  </si>
  <si>
    <t>R02.18.039.00</t>
  </si>
  <si>
    <t>KIT,CORD 30A 125V HSJO 12/3</t>
  </si>
  <si>
    <t>R02.18.133.049</t>
  </si>
  <si>
    <t>KIT,8 WIRE CABLE W/MALE PLUG</t>
  </si>
  <si>
    <t>R02.18.133.165</t>
  </si>
  <si>
    <t>R02.18.1400.00</t>
  </si>
  <si>
    <t>KIT,SOCKET C14, UL</t>
  </si>
  <si>
    <t>R02.18.154.00</t>
  </si>
  <si>
    <t>KIT,CORD &amp; PLUG 15A 125V 14/3</t>
  </si>
  <si>
    <t>R02.18.286.00</t>
  </si>
  <si>
    <t>KIT,HIGH LIMIT SENSOR&amp;HARNESS</t>
  </si>
  <si>
    <t>R02.18.818.00</t>
  </si>
  <si>
    <t>KIT,SOCKET C14, CE</t>
  </si>
  <si>
    <t>R02.18.887.00</t>
  </si>
  <si>
    <t>KIT,IWRM MICA PLATE NO AIRSHIP</t>
  </si>
  <si>
    <t>R02.18.887.01</t>
  </si>
  <si>
    <t>KIT,IWRM MICA PLATE W/O GREASE</t>
  </si>
  <si>
    <t>R02.19.004.00</t>
  </si>
  <si>
    <t>KIT,20A 125/250V,DOOR SW.SPDT</t>
  </si>
  <si>
    <t>R02.19.006.00</t>
  </si>
  <si>
    <t>KIT,TOG SWITCH,20A, 2P-2POLE</t>
  </si>
  <si>
    <t>R02.19.008A.00</t>
  </si>
  <si>
    <t>KIT,15A, DPST TOG SW.125/250V</t>
  </si>
  <si>
    <t>R02.19.016.00</t>
  </si>
  <si>
    <t>KIT,TOGGLE SW.15AMP-SPST-125V</t>
  </si>
  <si>
    <t>R02.19.017.00</t>
  </si>
  <si>
    <t>KIT,208V INFINITE SWITCH</t>
  </si>
  <si>
    <t>R02.19.018.00</t>
  </si>
  <si>
    <t>KIT,120V INFINITE SWITCH</t>
  </si>
  <si>
    <t>R02.19.019.00</t>
  </si>
  <si>
    <t>KIT,240V INFINITE SWITCH</t>
  </si>
  <si>
    <t>R02.19.019.01</t>
  </si>
  <si>
    <t>KIT,240V INFINITE SWITCH CE</t>
  </si>
  <si>
    <t>R02.19.028.00</t>
  </si>
  <si>
    <t>KIT,TOASTER FUSE HOLDER &amp; FUSE</t>
  </si>
  <si>
    <t>R02.19.077.00</t>
  </si>
  <si>
    <t>KIT,INF SWITCH 120V W/O LEADS</t>
  </si>
  <si>
    <t>R02.19.079.00</t>
  </si>
  <si>
    <t>KIT,INF SWITCH 240V W/O LEADS</t>
  </si>
  <si>
    <t>R02.19.082.00</t>
  </si>
  <si>
    <t>KIT,SELECTOR SWITCH-TRH-TK</t>
  </si>
  <si>
    <t>R02.19.084A.00</t>
  </si>
  <si>
    <t>KIT,PROXIMITY MAGNET ASSEMBLY</t>
  </si>
  <si>
    <t>R02.19.160.00</t>
  </si>
  <si>
    <t>KIT,100V INFINITE SWITCH&amp;LEADS</t>
  </si>
  <si>
    <t>R02.19.162.00</t>
  </si>
  <si>
    <t>KIT,DRAIN SWITCH-FR2 &amp; 3CS2</t>
  </si>
  <si>
    <t>R02.19.214.00</t>
  </si>
  <si>
    <t>KIT,SELECTOR SWITCH TQ-20BA</t>
  </si>
  <si>
    <t>R02.19.215.00</t>
  </si>
  <si>
    <t>OBSKIT,SWITCH ROC DPST 15A 125V-G</t>
  </si>
  <si>
    <t>R02.19.230.00</t>
  </si>
  <si>
    <t>KIT,TIMER-15 MINUTE-FR2 SERIES</t>
  </si>
  <si>
    <t>R02.20.061.00</t>
  </si>
  <si>
    <t>KIT, 60 MINUTE MANUAL TIMER</t>
  </si>
  <si>
    <t>R02.20.259.00</t>
  </si>
  <si>
    <t>KIT,CORD GRIP LIQ TITE W/NUT</t>
  </si>
  <si>
    <t>R02.20.440.00</t>
  </si>
  <si>
    <t>KIT,CORD GRIP-STRAIGHT</t>
  </si>
  <si>
    <t>R02.20.510.00</t>
  </si>
  <si>
    <t>KIT, CABLE CLAMP W/SET SCREW</t>
  </si>
  <si>
    <t>R02.21.022.00</t>
  </si>
  <si>
    <t>KIT,PMG IGNITION MODULE</t>
  </si>
  <si>
    <t>R02.21.039.00</t>
  </si>
  <si>
    <t>KIT,SPARK CABLE CONV-100/200</t>
  </si>
  <si>
    <t>R02.21.040.00</t>
  </si>
  <si>
    <t>KIT,SPARK CABLE CONV-PMG-60</t>
  </si>
  <si>
    <t>R02.22.001.00</t>
  </si>
  <si>
    <t>KIT,HALIENT-ELE.2500W 240V 9"</t>
  </si>
  <si>
    <t>R02.22.003.00</t>
  </si>
  <si>
    <t>KIT,HALIENT-ELE.1200W 240V 6"</t>
  </si>
  <si>
    <t>R02.22.004.00</t>
  </si>
  <si>
    <t>KIT,HALIENT-ELE. 1200W 208V 6"</t>
  </si>
  <si>
    <t>R02.22.007.00</t>
  </si>
  <si>
    <t>KIT,HALIENT-ELE. 2500W 400V 9"</t>
  </si>
  <si>
    <t>R02.22.008.00</t>
  </si>
  <si>
    <t>KIT,HALIENT-ELE. 1200W 400V 6"</t>
  </si>
  <si>
    <t>R02.22.009.00</t>
  </si>
  <si>
    <t>KIT,HALIENT-ELE. 2400W 208V 9", 60" LEADS</t>
  </si>
  <si>
    <t>R02.30.039.00</t>
  </si>
  <si>
    <t>LAMP HOLD,SINGLE,27" LDS,200C</t>
  </si>
  <si>
    <t>R02.30.040.00</t>
  </si>
  <si>
    <t>LAMP HOLD,SINGLE,12" LDS,200C</t>
  </si>
  <si>
    <t>R02.30.041.00</t>
  </si>
  <si>
    <t>LAMP HOLDER,END,30" 250C</t>
  </si>
  <si>
    <t>R02.30.044.00</t>
  </si>
  <si>
    <t>R02.30.044S.00</t>
  </si>
  <si>
    <t>KIT,LAMP HOLDER,SINGLE,24" LDS,200C</t>
  </si>
  <si>
    <t>R02.30.045.00</t>
  </si>
  <si>
    <t>LAMP HOLD,TWIN,28" LEADS,200C</t>
  </si>
  <si>
    <t>R02.30.047.00</t>
  </si>
  <si>
    <t>LAMP HOLD,TWIN,28" LEAD,250C</t>
  </si>
  <si>
    <t>R02.30.050.00</t>
  </si>
  <si>
    <t>LAMP HOLD,SINGLE,9" LEADS,250C</t>
  </si>
  <si>
    <t>R02.30.051.00</t>
  </si>
  <si>
    <t>LAMP HOLD,SINGLE,24" LDS,250C</t>
  </si>
  <si>
    <t>R02.30.053.00</t>
  </si>
  <si>
    <t>OBSLAMP HOLD,SINGLE,65" LDS,200C</t>
  </si>
  <si>
    <t>R02.30.055.00</t>
  </si>
  <si>
    <t>LAMP HOLD,SINGLE,48"HI TEMP FW</t>
  </si>
  <si>
    <t>R02.30.060.00</t>
  </si>
  <si>
    <t>LAMP HOLD,SINGLE,65" LDS,200C</t>
  </si>
  <si>
    <t>R02.30.061.00</t>
  </si>
  <si>
    <t>LAMP HOLD,TWIN,65" LEADS,200C</t>
  </si>
  <si>
    <t>R02.30.066.00</t>
  </si>
  <si>
    <t>LAMP HOLD,SINGLE,30"HI TEMP,HL</t>
  </si>
  <si>
    <t>R02.30.067.00</t>
  </si>
  <si>
    <t>KIT,LIGHT SOCKET, LW SERIES</t>
  </si>
  <si>
    <t>R02.30.074.00</t>
  </si>
  <si>
    <t>KIT,LAMP-15W,120V,FLR,FSD/FDWD</t>
  </si>
  <si>
    <t>R02.30.087.00</t>
  </si>
  <si>
    <t>LAMP HOLD,TWIN,30" LEADS,450C</t>
  </si>
  <si>
    <t>R02.30.091.00</t>
  </si>
  <si>
    <t>LAMP HOLDER,END,6" LEADS.200C</t>
  </si>
  <si>
    <t>R02.30.096.00</t>
  </si>
  <si>
    <t>LAMP HOLD,SINGLE,9" LEADS,200C</t>
  </si>
  <si>
    <t>R02.30.132.00</t>
  </si>
  <si>
    <t>KIT,BALLAST,120-277V,50/60HZ</t>
  </si>
  <si>
    <t>R02.30.134.00</t>
  </si>
  <si>
    <t>KIT,LAMP-25W,120V,36",FLR,CTD</t>
  </si>
  <si>
    <t>R02.30.141.00</t>
  </si>
  <si>
    <t>KIT,LAMP-21W,120V,30",FLR,CTD</t>
  </si>
  <si>
    <t>R02.30.142.00</t>
  </si>
  <si>
    <t>KIT,LAMP-17W,120V,24",FLR,CTD</t>
  </si>
  <si>
    <t>R02.30.144.00</t>
  </si>
  <si>
    <t>KIT,LAMP-15W,120V,18",FLR,CTD</t>
  </si>
  <si>
    <t>R02.30.149.00</t>
  </si>
  <si>
    <t>KIT,LAMP-40W,120V,60",FLR,CTD</t>
  </si>
  <si>
    <t>R02.30.159.01</t>
  </si>
  <si>
    <t>KIT,LED LIGHTS HZM-24 BLK</t>
  </si>
  <si>
    <t>R02.30.159.02</t>
  </si>
  <si>
    <t>KIT,LED LIGHTS HZM-24 GREY</t>
  </si>
  <si>
    <t>R02.30.159.03</t>
  </si>
  <si>
    <t>KIT,LED LIGHTS HZM-24 RED</t>
  </si>
  <si>
    <t>R02.30.159.04</t>
  </si>
  <si>
    <t>KIT,LED LIGHTS HZM-24 WHT GRNT</t>
  </si>
  <si>
    <t>R02.30.159.05</t>
  </si>
  <si>
    <t>KIT,LED LIGHTS HZM-24 HNTR BLU</t>
  </si>
  <si>
    <t>R02.30.159.07</t>
  </si>
  <si>
    <t>KIT,LED LIGHTS HZM-24 GREEN</t>
  </si>
  <si>
    <t>R02.30.159.09</t>
  </si>
  <si>
    <t>KIT,LED LIGHTS HZM-24 BOLD BLK</t>
  </si>
  <si>
    <t>R02.30.159.12</t>
  </si>
  <si>
    <t>KIT,LED LIGHTS HZM-24 GLM GOLD</t>
  </si>
  <si>
    <t>R02.30.159.21</t>
  </si>
  <si>
    <t>KIT,LED LIGHTS HZM-24 ANT COP</t>
  </si>
  <si>
    <t>R02.30.160.01</t>
  </si>
  <si>
    <t>KIT,LED LIGHTS HZM-30 BLACK</t>
  </si>
  <si>
    <t>R02.30.160.02</t>
  </si>
  <si>
    <t>KIT,LED LIGHTS HZM-30 GREY</t>
  </si>
  <si>
    <t>R02.30.160.03</t>
  </si>
  <si>
    <t>KIT,LED LIGHTS HZM-30 RED</t>
  </si>
  <si>
    <t>R02.30.160.04</t>
  </si>
  <si>
    <t>KIT,LED LIGHTS HZM-30 WHT GRNT</t>
  </si>
  <si>
    <t>R02.30.160.05</t>
  </si>
  <si>
    <t>KIT,LED LIGHTS HZM-30 HNTR BLU</t>
  </si>
  <si>
    <t>R02.30.160.07</t>
  </si>
  <si>
    <t>KIT,LED LIGHTS HZM-30 GREEN</t>
  </si>
  <si>
    <t>R02.30.160.09</t>
  </si>
  <si>
    <t>KIT,LED LIGHTS HZM-30 BOLD BLK</t>
  </si>
  <si>
    <t>R02.30.160.12</t>
  </si>
  <si>
    <t>KIT,LED LIGHTS HZM-30 GRY GRNT</t>
  </si>
  <si>
    <t>R02.30.160.21</t>
  </si>
  <si>
    <t>KIT,LED LIGHTS HZM-30 ANT COPR</t>
  </si>
  <si>
    <t>R02.30.163.09</t>
  </si>
  <si>
    <t>KIT,LED ASSY-HZM-48-BLK</t>
  </si>
  <si>
    <t>R02.30.170.00</t>
  </si>
  <si>
    <t>KIT,LAMP-200W,120V,HALOGEN</t>
  </si>
  <si>
    <t>R02.30.171.00</t>
  </si>
  <si>
    <t>KIT,LAMP,50W,120V,XENON-HT-FRS</t>
  </si>
  <si>
    <t>R02.30.174.00</t>
  </si>
  <si>
    <t>KIT,LED FLEX STRIP, SW2</t>
  </si>
  <si>
    <t>R02.30.195.01</t>
  </si>
  <si>
    <t>KIT,CLED BULB,120V,3000K,1 PC.</t>
  </si>
  <si>
    <t>R02.30.196.01</t>
  </si>
  <si>
    <t>KIT,CLED BULB,120V,4000K,1 PC.</t>
  </si>
  <si>
    <t>R02.30.197.01</t>
  </si>
  <si>
    <t>KIT,CLED BULB,230V,2700K.1 PC.</t>
  </si>
  <si>
    <t>R02.30.198.01</t>
  </si>
  <si>
    <t>KIT,CLED BULB,230V,3000K,1 PC.</t>
  </si>
  <si>
    <t>R02.30.199.01</t>
  </si>
  <si>
    <t>KIT,CLED BULB,230V,4000K,1 PC.</t>
  </si>
  <si>
    <t>R02.30.210.00</t>
  </si>
  <si>
    <t>KIT,LED CHANNEL,46.375 3050K</t>
  </si>
  <si>
    <t>R02.30.215.39</t>
  </si>
  <si>
    <t>KIT,SIDE LGHT ASY,BLK,IHDCH-45</t>
  </si>
  <si>
    <t>R02.30.216.39</t>
  </si>
  <si>
    <t>KIT,TOP LIGHT ASY,BLK,IHDCH-45</t>
  </si>
  <si>
    <t>R02.30.265.01</t>
  </si>
  <si>
    <t>KIT,LIGHT BULB 40W 120V-SINGLE</t>
  </si>
  <si>
    <t>R02.30.265.12</t>
  </si>
  <si>
    <t>KIT,LIGHT BULB 40W 130V-12PACK</t>
  </si>
  <si>
    <t>R02.30.266.12</t>
  </si>
  <si>
    <t>KIT,LIGHT BULB 40W 250V-12PACK</t>
  </si>
  <si>
    <t>R02.30.317.00</t>
  </si>
  <si>
    <t>KIT,LED ASSY LEFT LOCKER F2G</t>
  </si>
  <si>
    <t>R02.30.321.00</t>
  </si>
  <si>
    <t>KIT,LED ASSY RIGHT LOCKER F2G</t>
  </si>
  <si>
    <t>R02.30.323.00</t>
  </si>
  <si>
    <t>KIT,LAMPHOLDER,TWIN,65"LEADS</t>
  </si>
  <si>
    <t>R02.40.047.00</t>
  </si>
  <si>
    <t>KIT,DIODE ASSEMBLY</t>
  </si>
  <si>
    <t>R03.02.040.00</t>
  </si>
  <si>
    <t>KIT,SOLENOID VALVE,24V,AWD</t>
  </si>
  <si>
    <t>R03.02.081.00</t>
  </si>
  <si>
    <t>KIT,SOLENOID VALVE-COLD WELL</t>
  </si>
  <si>
    <t>R03.04.004.00</t>
  </si>
  <si>
    <t>KIT,3/4"MANIFOLD ASSY.PMG-60</t>
  </si>
  <si>
    <t>R03.05.026.00</t>
  </si>
  <si>
    <t>KIT,PUMP FLANGE(2)HDW&amp;GASKETS</t>
  </si>
  <si>
    <t>R03.05.049.00</t>
  </si>
  <si>
    <t>KIT,FLEX WATER LINE &amp; GASKET</t>
  </si>
  <si>
    <t>R03.05.052.00</t>
  </si>
  <si>
    <t>KIT,PUMP W/GASKETS-PMG SERIES</t>
  </si>
  <si>
    <t>R03.05.079.00</t>
  </si>
  <si>
    <t>KIT,IHDCH WATER FILTER</t>
  </si>
  <si>
    <t>R03.05.106.00</t>
  </si>
  <si>
    <t>KIT,SEALS FOR PMG PUMP ASSY</t>
  </si>
  <si>
    <t>R03.12.008.00</t>
  </si>
  <si>
    <t>KIT,HEAT EXCHANGER-PMG-60</t>
  </si>
  <si>
    <t>R03.12.010.00</t>
  </si>
  <si>
    <t>KIT,GAS PILOT ASSY-NAT &amp; LP</t>
  </si>
  <si>
    <t>R03.12.013B.00</t>
  </si>
  <si>
    <t>KIT,HEAT EXCHANGER-PMG-100</t>
  </si>
  <si>
    <t>R03.12.017B.00</t>
  </si>
  <si>
    <t>KIT-HEAT EXCHANGER-PMG-200</t>
  </si>
  <si>
    <t>R03.12.023.00</t>
  </si>
  <si>
    <t>KIT,PMG100/200 ALTITUDE ORIFIC</t>
  </si>
  <si>
    <t>R03.12.048.00</t>
  </si>
  <si>
    <t>KIT,HEAT TRAP FLEX "S" IMP.</t>
  </si>
  <si>
    <t>R03.12.049.00</t>
  </si>
  <si>
    <t>KIT,HEAT TRAP FLEX PMG-100/200</t>
  </si>
  <si>
    <t>R03.17.001.01</t>
  </si>
  <si>
    <t>KIT,FRONT SS HEAD &amp; GASKET-1EL</t>
  </si>
  <si>
    <t>R03.17.002.01</t>
  </si>
  <si>
    <t>KIT,REAR SS HEAD &amp; GASKET 1 EL</t>
  </si>
  <si>
    <t>R03.17.003.01</t>
  </si>
  <si>
    <t>KIT,FRONT SS HEAD &amp; GASKET-2/3</t>
  </si>
  <si>
    <t>R03.17.004.01</t>
  </si>
  <si>
    <t>KIT,REAR SS HEAD &amp; GASKET-2/3</t>
  </si>
  <si>
    <t>R03.30.067.00</t>
  </si>
  <si>
    <t>KIT,CAP SUCTION TUBE CWBP-5&amp;6/CWBP-S4</t>
  </si>
  <si>
    <t>R03.40.012.00</t>
  </si>
  <si>
    <t>KIT, 3/8" SS PIPE CAP W/WASHER</t>
  </si>
  <si>
    <t>R03.40.014.00</t>
  </si>
  <si>
    <t>KIT,3/8 GALV SEAMLESS PIPE CAP</t>
  </si>
  <si>
    <t>R03.40.035.00</t>
  </si>
  <si>
    <t>KIT,VALVE,SOL.2-WAY,1/8NPT 120</t>
  </si>
  <si>
    <t>R03.40.052.00</t>
  </si>
  <si>
    <t>KIT,PLUMBING 90 DEGREE-FSD</t>
  </si>
  <si>
    <t>R03.40.054.00</t>
  </si>
  <si>
    <t>KIT,PLASTIC DRAIN TUBE FS/FDW</t>
  </si>
  <si>
    <t>R03.40.055.00</t>
  </si>
  <si>
    <t>KIT,CEILING DRAIN FS/FDW</t>
  </si>
  <si>
    <t>R03.40.058.00</t>
  </si>
  <si>
    <t>KIT,PLUMBING,STRAIGHT-FSD</t>
  </si>
  <si>
    <t>R03.40.063.00</t>
  </si>
  <si>
    <t>KIT, DRAIN CAP &amp; GASKET</t>
  </si>
  <si>
    <t>R03.40.090.00</t>
  </si>
  <si>
    <t>KIT,HYDRO HEATER AUTOFILL TUBE</t>
  </si>
  <si>
    <t>R03.40.103.00</t>
  </si>
  <si>
    <t>KIT,PLUMBING-HWB SERIES</t>
  </si>
  <si>
    <t>R03.40.105.00</t>
  </si>
  <si>
    <t>KIT,DRAIN VALVE,BRASS,3/8"</t>
  </si>
  <si>
    <t>R03.40.130.00</t>
  </si>
  <si>
    <t>KIT,INLET FITTING-RCTHW-1</t>
  </si>
  <si>
    <t>R03.40.145.00</t>
  </si>
  <si>
    <t>KIT,INLET FITTING-RCTHW-6</t>
  </si>
  <si>
    <t>R03.40.155.00</t>
  </si>
  <si>
    <t>KIT,TANK OUTLET FITTING,FM-5</t>
  </si>
  <si>
    <t>R03.40.283.00</t>
  </si>
  <si>
    <t>FDWDB TANK CONNECT TUBING</t>
  </si>
  <si>
    <t>R04.01.032.00</t>
  </si>
  <si>
    <t>KIT,SM.COMPACT PAINTED JACKET</t>
  </si>
  <si>
    <t>R04.01.033.00</t>
  </si>
  <si>
    <t>KIT,PAINTED SM CM BASE FRONT</t>
  </si>
  <si>
    <t>R04.01.034.00</t>
  </si>
  <si>
    <t>KIT,SM.COMPACT S.S. JACKET</t>
  </si>
  <si>
    <t>R04.01.035.00</t>
  </si>
  <si>
    <t>KIT,S.S. SM CM BASE FRONT</t>
  </si>
  <si>
    <t>R04.01.036.00</t>
  </si>
  <si>
    <t>KIT,SM.COMPACT FRONT COVER</t>
  </si>
  <si>
    <t>R04.01.100P.00</t>
  </si>
  <si>
    <t>KIT,MCH BOOSTER JACKET-PAINTED</t>
  </si>
  <si>
    <t>R04.01.105.00</t>
  </si>
  <si>
    <t>KIT, MC BOOSTER FRONT</t>
  </si>
  <si>
    <t>R04.01.110P.00</t>
  </si>
  <si>
    <t>KIT, MC BOOSTER BASE-PAINTED</t>
  </si>
  <si>
    <t>R04.01.220.00</t>
  </si>
  <si>
    <t>KIT, LG.COMPACT PTD JACKET</t>
  </si>
  <si>
    <t>R04.01.221.00</t>
  </si>
  <si>
    <t>KIT,LG.COMPACT S.S.FRONT COVER</t>
  </si>
  <si>
    <t>R04.01.223.00</t>
  </si>
  <si>
    <t>KIT,PAINTED LG.CM BASE FRONT</t>
  </si>
  <si>
    <t>R04.01.254.00</t>
  </si>
  <si>
    <t>KIT,LG.COMPACT S.S. JACKET</t>
  </si>
  <si>
    <t>R04.01.255.00</t>
  </si>
  <si>
    <t>KIT,S.S. LG.CM BASE FRONT</t>
  </si>
  <si>
    <t>R04.01.285.00</t>
  </si>
  <si>
    <t>KIT,S.S.BASE FRONT,SC-EZ</t>
  </si>
  <si>
    <t>R04.01.286.00</t>
  </si>
  <si>
    <t>KIT,PAINTED SM C BASE FRONT-EZ</t>
  </si>
  <si>
    <t>R04.01.287.00</t>
  </si>
  <si>
    <t>KIT,S.S.LC BASE FRONT-EZ</t>
  </si>
  <si>
    <t>R04.01.288.00</t>
  </si>
  <si>
    <t>KIT,PAINTED LC BASE FRONT-EZ</t>
  </si>
  <si>
    <t>R04.01.290.00</t>
  </si>
  <si>
    <t>KIT,BASE ASSY SS SM COMPACT EZ</t>
  </si>
  <si>
    <t>R04.01.291.00</t>
  </si>
  <si>
    <t>KIT,BASE ASSY BLK.SM COM. EZ</t>
  </si>
  <si>
    <t>R04.01.292.00</t>
  </si>
  <si>
    <t>KIT,BASE ASSY.S.S.LC EZ.</t>
  </si>
  <si>
    <t>R04.01.293.00</t>
  </si>
  <si>
    <t>KIT,PAINT,LG CM BASE ASSY-EZ</t>
  </si>
  <si>
    <t>R04.03.002P.00</t>
  </si>
  <si>
    <t>KIT, PAINT IMP BASE</t>
  </si>
  <si>
    <t>R04.03.004.00</t>
  </si>
  <si>
    <t>KIT, IMP S.S.BASE</t>
  </si>
  <si>
    <t>R04.03.024.00</t>
  </si>
  <si>
    <t>KIT,PAINTED IMP "S" JACKET</t>
  </si>
  <si>
    <t>R04.03.025.00</t>
  </si>
  <si>
    <t>KIT,IMPERIAL "S" FRONT COVER</t>
  </si>
  <si>
    <t>R04.03.027.00</t>
  </si>
  <si>
    <t>KIT,IMP INNER PANEL W/COVER</t>
  </si>
  <si>
    <t>R04.03.030.00</t>
  </si>
  <si>
    <t>KIT,PAINTED IMP"S"BASE FRONT</t>
  </si>
  <si>
    <t>R04.03.031.00</t>
  </si>
  <si>
    <t>KIT,S.S. IMP "S" JACKET</t>
  </si>
  <si>
    <t>R04.03.032.00</t>
  </si>
  <si>
    <t>KIT,S.S. IMP"S" BASE FRONT</t>
  </si>
  <si>
    <t>R04.03.046.00</t>
  </si>
  <si>
    <t>KIT,FRONT COVER,IMP ELEC</t>
  </si>
  <si>
    <t>R04.05.002.00</t>
  </si>
  <si>
    <t>KIT,RH SIDE PANEL VERT TOASTER</t>
  </si>
  <si>
    <t>R04.05.003.00</t>
  </si>
  <si>
    <t>KIT,LH SIDE PANEL VERT TOASTER</t>
  </si>
  <si>
    <t>R04.05.004.00</t>
  </si>
  <si>
    <t>KIT,TK 2/S TOASTER FRAME TOP</t>
  </si>
  <si>
    <t>R04.05.005.00</t>
  </si>
  <si>
    <t>KIT,TK 3/S TOASTER FRAME TOP</t>
  </si>
  <si>
    <t>R04.05.008.00</t>
  </si>
  <si>
    <t>KIT,LG 3/S TK FRAME BACK PANEL</t>
  </si>
  <si>
    <t>R04.05.1045.00</t>
  </si>
  <si>
    <t>KIT,TM3 10/10H SS CRUMB TRAY</t>
  </si>
  <si>
    <t>R04.05.1045.001</t>
  </si>
  <si>
    <t>KIT,TM3 10/10H BLK CRUMB TRAY</t>
  </si>
  <si>
    <t>R04.05.1045.002</t>
  </si>
  <si>
    <t>KIT,TM3 10/10H BLUE CRUMB TRAY</t>
  </si>
  <si>
    <t>R04.05.1045.003</t>
  </si>
  <si>
    <t>KIT,TM3 10/10H RED CRUMB TRAY</t>
  </si>
  <si>
    <t>R04.05.1045.004</t>
  </si>
  <si>
    <t>KIT,TM3 10/10H WHT CRUMB TRAY</t>
  </si>
  <si>
    <t>R04.05.1045.01</t>
  </si>
  <si>
    <t>KIT,CRUMB TRAY,TQ3C,BLACK</t>
  </si>
  <si>
    <t>R04.05.1067.00</t>
  </si>
  <si>
    <t>KIT,TM3-5/5H S.S. CRUMB TRAY</t>
  </si>
  <si>
    <t>R04.05.1067.001</t>
  </si>
  <si>
    <t>KIT,TM3-5/5H BLACK CRUMB TRAY</t>
  </si>
  <si>
    <t>R04.05.1067.002</t>
  </si>
  <si>
    <t>KIT,TM3-5/5H BLUE CRUMB TRAY</t>
  </si>
  <si>
    <t>R04.05.1067.003</t>
  </si>
  <si>
    <t>KIT,TM3-5/5H RED CRUMB TRAY</t>
  </si>
  <si>
    <t>R04.05.1067.004</t>
  </si>
  <si>
    <t>KIT,TM3-5/5H WHITE CRUMB TRAY</t>
  </si>
  <si>
    <t>R04.05.301.00</t>
  </si>
  <si>
    <t>KIT,TOP COVER TQ-800 SERIES</t>
  </si>
  <si>
    <t>R04.05.356.00</t>
  </si>
  <si>
    <t>KIT,CRUMB TRAY-LONG</t>
  </si>
  <si>
    <t>R04.05.361.00</t>
  </si>
  <si>
    <t>KIT,CRUMB TRAY-SHORT</t>
  </si>
  <si>
    <t>R04.05.388.00</t>
  </si>
  <si>
    <t>KIT,TQ2-SECURITY</t>
  </si>
  <si>
    <t>R04.05.458.00</t>
  </si>
  <si>
    <t>KIT,TOP COVER,,BLACK,TQ-20BA</t>
  </si>
  <si>
    <t>R04.05.461.00</t>
  </si>
  <si>
    <t>KIT,SIDE PANEL,RIGHT,TQ-20BA</t>
  </si>
  <si>
    <t>R04.05.462.00</t>
  </si>
  <si>
    <t>KIT,SIDE PANEL,LEFT,TQ-20BA</t>
  </si>
  <si>
    <t>R04.05.481.00</t>
  </si>
  <si>
    <t>KIT,CRUMB TRAY, TQ-1800 SERIES</t>
  </si>
  <si>
    <t>R04.05.503.00</t>
  </si>
  <si>
    <t>KIT,TRH TOASTER FRAME TOP</t>
  </si>
  <si>
    <t>R04.05.540.01</t>
  </si>
  <si>
    <t>KIT,TQ2-SECURITY W/HOLES-BLACK</t>
  </si>
  <si>
    <t>R04.05.562.00</t>
  </si>
  <si>
    <t>KIT,TOP COVER ASSEMBLY,TM-5H</t>
  </si>
  <si>
    <t>R04.05.580.00</t>
  </si>
  <si>
    <t>KIT,CRUMB TRAY ASSY,TM-5H</t>
  </si>
  <si>
    <t>R04.05.619.00</t>
  </si>
  <si>
    <t>KIT,TOP COVER ASSEMBLY,TM-10H</t>
  </si>
  <si>
    <t>R04.05.625.00</t>
  </si>
  <si>
    <t>KIT,CRUMB TRAY ASSY,TM-10H</t>
  </si>
  <si>
    <t>R04.05.768.00</t>
  </si>
  <si>
    <t>KIT,REAR PANEL,LOUVERED,TQ-800</t>
  </si>
  <si>
    <t>R04.08.043.00</t>
  </si>
  <si>
    <t>KIT, GR C-LEG STAND 10"</t>
  </si>
  <si>
    <t>R04.08.071.00</t>
  </si>
  <si>
    <t>KIT, GR C-LEG STND 13 1/2"</t>
  </si>
  <si>
    <t>R04.08.073.00</t>
  </si>
  <si>
    <t>KIT, GR 18" T-LEG</t>
  </si>
  <si>
    <t>R04.08.074.00</t>
  </si>
  <si>
    <t>KIT,GR,16"T-LEG</t>
  </si>
  <si>
    <t>R04.08.075.00</t>
  </si>
  <si>
    <t>KIT,GR,13 1/2"T-LEG</t>
  </si>
  <si>
    <t>R04.08.076.00</t>
  </si>
  <si>
    <t>KIT,GR,10" T-LEG</t>
  </si>
  <si>
    <t>R04.08.551.00</t>
  </si>
  <si>
    <t>KIT,GR S.S.ADJ TUBE STAND</t>
  </si>
  <si>
    <t>R04.08.636.00</t>
  </si>
  <si>
    <t>KIT,L LEG,GMFFCL WITH PLUG</t>
  </si>
  <si>
    <t>R04.08.664.00</t>
  </si>
  <si>
    <t>KIT,WIRE GUARD SCREW-IN,18"IB</t>
  </si>
  <si>
    <t>R04.08.666.00</t>
  </si>
  <si>
    <t>KIT,WIRE GUARD SCREW-IN,42"IB</t>
  </si>
  <si>
    <t>R04.09.056.00</t>
  </si>
  <si>
    <t>KIT,BACK-UP &amp; ELE SUPPORT PLTE</t>
  </si>
  <si>
    <t>R04.09.400.00</t>
  </si>
  <si>
    <t>KIT,120V MOLDED,HTD BASE GRFFB</t>
  </si>
  <si>
    <t>R04.09.401.00</t>
  </si>
  <si>
    <t>KIT,230V MOLDED,HTD BASE GRFFB</t>
  </si>
  <si>
    <t>R04.09.872.00</t>
  </si>
  <si>
    <t>KIT, HEAT SINK W/THERMAL PAD</t>
  </si>
  <si>
    <t>R04.11.236.01</t>
  </si>
  <si>
    <t>KIT,DL STEM-BLACK</t>
  </si>
  <si>
    <t>R04.11.236.02</t>
  </si>
  <si>
    <t>KIT,DL STEM-GRAY GRANITE</t>
  </si>
  <si>
    <t>R04.11.236.03</t>
  </si>
  <si>
    <t>KIT,DL STEM-WARM RED</t>
  </si>
  <si>
    <t>R04.11.236.04</t>
  </si>
  <si>
    <t>KIT,DL STEM-WHITE GRANITE</t>
  </si>
  <si>
    <t>R04.11.236.05</t>
  </si>
  <si>
    <t>KIT,DL STEM-NAVY BLUE</t>
  </si>
  <si>
    <t>R04.11.236.07</t>
  </si>
  <si>
    <t>KIT,DL STEM-HUNTER GREEN</t>
  </si>
  <si>
    <t>R04.11.236.09</t>
  </si>
  <si>
    <t>KIT,DL STEM-BOLD BLACK</t>
  </si>
  <si>
    <t>R04.11.236.10</t>
  </si>
  <si>
    <t>KIT,DL STEM-RADIANT RED</t>
  </si>
  <si>
    <t>R04.11.236.11</t>
  </si>
  <si>
    <t>KIT,DL STEM-GLEAMING GOLD</t>
  </si>
  <si>
    <t>R04.11.236.12</t>
  </si>
  <si>
    <t>KIT,DL STEM-GLOSSY GRAY</t>
  </si>
  <si>
    <t>R04.11.236.13</t>
  </si>
  <si>
    <t>KIT,DL STEM-BRILLIANT BLUE</t>
  </si>
  <si>
    <t>R04.11.236.18</t>
  </si>
  <si>
    <t>KIT,DL STEM-CLEAR</t>
  </si>
  <si>
    <t>R04.11.236.19</t>
  </si>
  <si>
    <t>KIT,DL STEM-SMOOTH WHITE</t>
  </si>
  <si>
    <t>R04.11.236.21</t>
  </si>
  <si>
    <t>KIT,DL STEM-ANTIQUE COPPER</t>
  </si>
  <si>
    <t>R04.11.236.26</t>
  </si>
  <si>
    <t>KIT,DL STEM-LEGENDS BLUE</t>
  </si>
  <si>
    <t>R04.11.289.00</t>
  </si>
  <si>
    <t>KIT,DLH-500-TS INSTALL KIT</t>
  </si>
  <si>
    <t>R04.11.332.00</t>
  </si>
  <si>
    <t>KIT,SOCKET CAP W/STEP, 3" DLC</t>
  </si>
  <si>
    <t>R04.11.333.00</t>
  </si>
  <si>
    <t>KIT,SOCKET CAP W/STEP,12",DLC</t>
  </si>
  <si>
    <t>R04.11.355.00</t>
  </si>
  <si>
    <t>KIT,DL SWITCH LOCK</t>
  </si>
  <si>
    <t>R04.12.040.00</t>
  </si>
  <si>
    <t>KIT,BREATH PROTECTOR GR-24</t>
  </si>
  <si>
    <t>R04.12.041.00</t>
  </si>
  <si>
    <t>KIT,BREATH PROTECTOR GR-30</t>
  </si>
  <si>
    <t>R04.12.042.00</t>
  </si>
  <si>
    <t>KIT,BREATH PROTECTOR GR-36</t>
  </si>
  <si>
    <t>R04.12.043.00</t>
  </si>
  <si>
    <t>KIT,BREATH PROTECTOR GR-42</t>
  </si>
  <si>
    <t>R04.12.044.00</t>
  </si>
  <si>
    <t>KIT,BREATH PROTECTOR GR-48</t>
  </si>
  <si>
    <t>R04.12.045.00</t>
  </si>
  <si>
    <t>KIT,BREATH PROTECTOR GR 54</t>
  </si>
  <si>
    <t>R04.12.046.00</t>
  </si>
  <si>
    <t>KIT,BREATH PROTECTOR GR-60</t>
  </si>
  <si>
    <t>R04.12.047.00</t>
  </si>
  <si>
    <t>KIT,BREATH PROTECTOR GR-66</t>
  </si>
  <si>
    <t>R04.12.048.00</t>
  </si>
  <si>
    <t>KIT,BREATH PROTECTOR GR-72</t>
  </si>
  <si>
    <t>R04.12.050.00</t>
  </si>
  <si>
    <t>KIT,BREATH PROTECTOR GRBW-24</t>
  </si>
  <si>
    <t>R04.12.051.00</t>
  </si>
  <si>
    <t>KIT,BREATH PROTECTOR GRBW-30</t>
  </si>
  <si>
    <t>R04.12.052.00</t>
  </si>
  <si>
    <t>KIT,BREATH PROTECTOR GRBW-36</t>
  </si>
  <si>
    <t>R04.12.053.00</t>
  </si>
  <si>
    <t>KIT,BREATH PROTECTOR GRBW-42</t>
  </si>
  <si>
    <t>R04.12.054.00</t>
  </si>
  <si>
    <t>KIT,BREATH PROTECTOR GRBW-48</t>
  </si>
  <si>
    <t>R04.12.055.00</t>
  </si>
  <si>
    <t>KIT,BREATH PROTECTOR GRBW-54</t>
  </si>
  <si>
    <t>R04.12.056.00</t>
  </si>
  <si>
    <t>KIT,BREATH PROTECTOR GRBW-60</t>
  </si>
  <si>
    <t>R04.12.057.00</t>
  </si>
  <si>
    <t>KIT,BREATH PROTECTOR GRBW-66</t>
  </si>
  <si>
    <t>R04.12.058.00</t>
  </si>
  <si>
    <t>KIT,BREATH PROTECTOR GRBW-72</t>
  </si>
  <si>
    <t>R04.12.059.00</t>
  </si>
  <si>
    <t>KIT,BREATH PROTECTOR GRHW-1P</t>
  </si>
  <si>
    <t>R04.12.060.00</t>
  </si>
  <si>
    <t>KIT,BREATH PROTECTOR,GRHW-2P</t>
  </si>
  <si>
    <t>R04.12.061.00</t>
  </si>
  <si>
    <t>KIT, BREATH PROTECTOR GR-84</t>
  </si>
  <si>
    <t>R04.12.062.00</t>
  </si>
  <si>
    <t>KIT, BREATH PROTECTOR GR-96</t>
  </si>
  <si>
    <t>R04.12.064.00</t>
  </si>
  <si>
    <t>KIT, BREATH PROTECTOR GR-18</t>
  </si>
  <si>
    <t>R04.12.080.00</t>
  </si>
  <si>
    <t>KIT,BREATH PROTECTOR BW-36 14"</t>
  </si>
  <si>
    <t>R04.12.092.00</t>
  </si>
  <si>
    <t>KIT,SNEEZE GUARD,GRBW-30,14"</t>
  </si>
  <si>
    <t>R04.12.093.00</t>
  </si>
  <si>
    <t>KIT,BREATH PROTECOTR GR2BW-24</t>
  </si>
  <si>
    <t>R04.12.094.00</t>
  </si>
  <si>
    <t>KIT,BREATH PROTECTOR GR2BW-30</t>
  </si>
  <si>
    <t>R04.12.095.00</t>
  </si>
  <si>
    <t>KIT,BREATH PROTECTOR GR2BW-36</t>
  </si>
  <si>
    <t>R04.12.096.00</t>
  </si>
  <si>
    <t>KIT,BREATH PROTECTOR GR2BW-42</t>
  </si>
  <si>
    <t>R04.12.097.00</t>
  </si>
  <si>
    <t>KIT,BREATH PROTECTOR GR2BW-48</t>
  </si>
  <si>
    <t>R04.12.098.00</t>
  </si>
  <si>
    <t>KIT,BREATH PROTECTOR GR2BW-54</t>
  </si>
  <si>
    <t>R04.12.099.00</t>
  </si>
  <si>
    <t>KIT,BREATH PROTECTOR GR2BW-60</t>
  </si>
  <si>
    <t>R04.12.100.00</t>
  </si>
  <si>
    <t>KIT,BREATH PROTECTOR GR2BW-66</t>
  </si>
  <si>
    <t>R04.12.101.00</t>
  </si>
  <si>
    <t>KIT, BREATH PROTECTOR GR2BW-72</t>
  </si>
  <si>
    <t>R04.12.150.00</t>
  </si>
  <si>
    <t>KIT,BREATH PROTEC-GR2BW-42-14"</t>
  </si>
  <si>
    <t>R04.12.162.00</t>
  </si>
  <si>
    <t>KIT,BREATH PROTECTOR GR2SD-24</t>
  </si>
  <si>
    <t>R04.12.163.00</t>
  </si>
  <si>
    <t>KIT,BREATH PROTECTOR,GR2SD-30</t>
  </si>
  <si>
    <t>R04.12.164.00</t>
  </si>
  <si>
    <t>KIT,BREATH PROTECTOR,GR2SD-36</t>
  </si>
  <si>
    <t>R04.12.165.00</t>
  </si>
  <si>
    <t>KIT,BREATH PROTECTOR,GR2SD-42</t>
  </si>
  <si>
    <t>R04.12.166.00</t>
  </si>
  <si>
    <t>KIT,BREATH PROTECTOR,GR2SD-48</t>
  </si>
  <si>
    <t>R04.12.167.00</t>
  </si>
  <si>
    <t>KIT,BREATH PROTECTOR,GR2SD-54</t>
  </si>
  <si>
    <t>R04.12.168.00</t>
  </si>
  <si>
    <t>KIT,BREATH PROTECTOR,GR2SD-60</t>
  </si>
  <si>
    <t>R04.12.169.00</t>
  </si>
  <si>
    <t>KIT,DOOR W/HDW,NO-CONTROL SIDE</t>
  </si>
  <si>
    <t>R04.12.170.00</t>
  </si>
  <si>
    <t>KIT,DOOR W/HDW-CONTROL SIDE</t>
  </si>
  <si>
    <t>R04.12.181.00</t>
  </si>
  <si>
    <t>KIT,BREATH PROTEC-GR2BW-54-14"</t>
  </si>
  <si>
    <t>R04.12.182.00</t>
  </si>
  <si>
    <t>KIT,BREATH PROTEC-GR2BW-60-14"</t>
  </si>
  <si>
    <t>R04.12.184.00</t>
  </si>
  <si>
    <t>KIT,BREATH PROTEC-GR2BW-72-14"</t>
  </si>
  <si>
    <t>R04.12.197.00</t>
  </si>
  <si>
    <t>KIT,GRBW-54 BREATH PROTECTOR</t>
  </si>
  <si>
    <t>R04.12.203.00</t>
  </si>
  <si>
    <t>KIT,GRJW-3 DOOR ASSEMBLY</t>
  </si>
  <si>
    <t>R04.12.210.00</t>
  </si>
  <si>
    <t>KIT,SNEEZE GUARD,GRBW-48, 14"</t>
  </si>
  <si>
    <t>R04.12.211.00</t>
  </si>
  <si>
    <t>KIT,SNEEZE GUARD,GRBW-54,14"</t>
  </si>
  <si>
    <t>R04.12.212.00</t>
  </si>
  <si>
    <t>KIT,SNEEZE GUARD,GRBW-60,14"</t>
  </si>
  <si>
    <t>R04.12.222.00</t>
  </si>
  <si>
    <t>KIT,GRJW-2 DOOR ASSY-PULLOUT</t>
  </si>
  <si>
    <t>R04.12.226.00</t>
  </si>
  <si>
    <t>KIT,SNEEZE GUARD,GR-2-84" 7.5"</t>
  </si>
  <si>
    <t>R04.12.241.00</t>
  </si>
  <si>
    <t>KIT,SNEEZE GUARD,GRBW-72,14"</t>
  </si>
  <si>
    <t>R04.12.249.00</t>
  </si>
  <si>
    <t>KIT,BREATH PROTEC-GR2BW-84-14"</t>
  </si>
  <si>
    <t>R04.12.256.01</t>
  </si>
  <si>
    <t>KIT,SNEEZE GAURD,GR3-39,BLACK</t>
  </si>
  <si>
    <t>R04.12.257.00</t>
  </si>
  <si>
    <t>KIT,BREATH PROTECTOR,GR3-33</t>
  </si>
  <si>
    <t>R04.12.258.01</t>
  </si>
  <si>
    <t>KIT,SNEEZE GUARD,GR3-27,BLACK</t>
  </si>
  <si>
    <t>R04.12.258.02</t>
  </si>
  <si>
    <t>KIT,SNEEZE GUARD,GR3-27,GRAYGR</t>
  </si>
  <si>
    <t>R04.12.270.00</t>
  </si>
  <si>
    <t>KIT,DOOR-GRHW-1SGD/GRHW-1SGDS</t>
  </si>
  <si>
    <t>R04.12.280.01</t>
  </si>
  <si>
    <t>KIT,DOOR,GRHW-1SGDS,BOTTOM,BLK</t>
  </si>
  <si>
    <t>R04.12.281.01</t>
  </si>
  <si>
    <t>KIT,DOOR,GRHW-1SGDS,TOP,BLACK</t>
  </si>
  <si>
    <t>R04.12.303.17</t>
  </si>
  <si>
    <t>KIT,GR3HWH-1PD DOOR ASSY-ORG</t>
  </si>
  <si>
    <t>R04.12.325.00</t>
  </si>
  <si>
    <t>KIT,GRCMW-1 SNEEZE GUARD ASSY</t>
  </si>
  <si>
    <t>R04.12.326.00</t>
  </si>
  <si>
    <t>KIT,BREATH PROTECTOR,GRCMW-1DH</t>
  </si>
  <si>
    <t>R04.12.327.00</t>
  </si>
  <si>
    <t>KIT,DOOR GRCMW</t>
  </si>
  <si>
    <t>R04.12.327.21</t>
  </si>
  <si>
    <t>KIT, DOOR GRCMW-ANTQ. COPPER</t>
  </si>
  <si>
    <t>R04.12.329.00</t>
  </si>
  <si>
    <t>KIT,GRHW-1SGD FRONT PANEL ASSY</t>
  </si>
  <si>
    <t>R04.12.345.00</t>
  </si>
  <si>
    <t>KIT,SNEEZE GUARD, GRSDH-52</t>
  </si>
  <si>
    <t>R04.12.349.00</t>
  </si>
  <si>
    <t>KIT,FS2HAC FLIP DOOR ASSY</t>
  </si>
  <si>
    <t>R04.12.351.00</t>
  </si>
  <si>
    <t>KIT,REAR FLIP DOOR,CMW 1D/H BK</t>
  </si>
  <si>
    <t>R04.12.384.LH</t>
  </si>
  <si>
    <t>KIT,FLIP-UP DOOR-L.H.FS2HAC-66</t>
  </si>
  <si>
    <t>R04.12.384.RH</t>
  </si>
  <si>
    <t>KIT,FLIP-UP DOOR-R.H.FS2HAC-66</t>
  </si>
  <si>
    <t>R04.12.403.00</t>
  </si>
  <si>
    <t>KIT,FDWD FLIP-UP DOOR</t>
  </si>
  <si>
    <t>R04.12.449.02</t>
  </si>
  <si>
    <t>KIT,DOOR SS-GR3-39T- QT</t>
  </si>
  <si>
    <t>R04.12.472.00</t>
  </si>
  <si>
    <t>KIT, FLIP-UP DOOR, FS3HAC</t>
  </si>
  <si>
    <t>R04.15.345.00</t>
  </si>
  <si>
    <t>KIT,GRCW STACKING BRACKET-2PCS</t>
  </si>
  <si>
    <t>R04.16.1008.00</t>
  </si>
  <si>
    <t>KIT,HDM DRAWER HANDLE</t>
  </si>
  <si>
    <t>R04.16.122.00</t>
  </si>
  <si>
    <t>KIT,Z-BRACKET ASSEMBLY-GRSB</t>
  </si>
  <si>
    <t>R04.16.500.00</t>
  </si>
  <si>
    <t>KIT,NYLON ROLLER,STATIONARY</t>
  </si>
  <si>
    <t>R04.16.515.00</t>
  </si>
  <si>
    <t>KIT,HDW DRAWER FRONT ONLY</t>
  </si>
  <si>
    <t>R04.16.519.00</t>
  </si>
  <si>
    <t>KIT,HDW HEAT BAFFLE</t>
  </si>
  <si>
    <t>R04.16.533.00</t>
  </si>
  <si>
    <t>KIT, DRAWER HANDLE</t>
  </si>
  <si>
    <t>R04.16.723.00</t>
  </si>
  <si>
    <t>KIT,NARROW HDW DRAWER FRONT</t>
  </si>
  <si>
    <t>R04.16.964.00</t>
  </si>
  <si>
    <t>KIT,HDM DRAWER FRONT ASSEMBLY</t>
  </si>
  <si>
    <t>R04.17.012.00</t>
  </si>
  <si>
    <t>KIT,7 SHELF RACK,FS TALL</t>
  </si>
  <si>
    <t>R04.17.012.01</t>
  </si>
  <si>
    <t>KIT,SPECIAL 5 SHELF RACK-FS</t>
  </si>
  <si>
    <t>R04.17.013.00</t>
  </si>
  <si>
    <t>KIT,3 SHELF SANDWICH RACK,FST</t>
  </si>
  <si>
    <t>R04.17.015.00</t>
  </si>
  <si>
    <t>KIT,WEAR PLATE, FS SERIES</t>
  </si>
  <si>
    <t>R04.17.016.00</t>
  </si>
  <si>
    <t>KIT,4 SHELF HORIZONTAL RACK</t>
  </si>
  <si>
    <t>R04.17.018.00</t>
  </si>
  <si>
    <t>OBSKIT,4 SHELF SLANT RACK</t>
  </si>
  <si>
    <t>R04.17.019.00</t>
  </si>
  <si>
    <t>KIT,SPCL 5 SHELF SLANT RACK</t>
  </si>
  <si>
    <t>R04.17.067.00</t>
  </si>
  <si>
    <t>KIT,LEG BRACKET FS/FST/FSTMN</t>
  </si>
  <si>
    <t>R04.17.076.00</t>
  </si>
  <si>
    <t>KIT, PRETZEL RACK COUPLING</t>
  </si>
  <si>
    <t>R04.17.078.00</t>
  </si>
  <si>
    <t>KIT, SS RACK COUPLING</t>
  </si>
  <si>
    <t>R04.17.1162.00</t>
  </si>
  <si>
    <t>KIT, LFST RACK ASSEMBLY</t>
  </si>
  <si>
    <t>R04.17.180.00</t>
  </si>
  <si>
    <t>KIT, 2" DIAMETER CASTER</t>
  </si>
  <si>
    <t>R04.17.181.00</t>
  </si>
  <si>
    <t>KIT, MTG BRKTS FOR 2" CASTERS</t>
  </si>
  <si>
    <t>R04.17.217.00</t>
  </si>
  <si>
    <t>KIT,FSHC 5" CASTER BASE</t>
  </si>
  <si>
    <t>R04.17.221.00</t>
  </si>
  <si>
    <t>KIT,FSHC CORNER BRACKET</t>
  </si>
  <si>
    <t>R04.17.325.00</t>
  </si>
  <si>
    <t>KIT,FST-1MN FRONT FACE ASSY</t>
  </si>
  <si>
    <t>R04.17.328.00</t>
  </si>
  <si>
    <t>KIT, S.S. UPPER DOOR</t>
  </si>
  <si>
    <t>R04.17.329.00</t>
  </si>
  <si>
    <t>KIT, S.S. LOWER DOOR</t>
  </si>
  <si>
    <t>R04.17.344.00</t>
  </si>
  <si>
    <t>KIT,8 SHELF RACK-FST</t>
  </si>
  <si>
    <t>R04.17.376.00</t>
  </si>
  <si>
    <t>KIT,FSHC STACKING HARDWARE</t>
  </si>
  <si>
    <t>R04.17.434.00</t>
  </si>
  <si>
    <t>KIT,CENTER DOOR GASKET</t>
  </si>
  <si>
    <t>R04.17.438.00</t>
  </si>
  <si>
    <t>KIT,WFST PAINTED BLACK HOOD</t>
  </si>
  <si>
    <t>R04.17.440.00</t>
  </si>
  <si>
    <t>KIT,4 SHELF RACK-WFST X</t>
  </si>
  <si>
    <t>R04.17.464.00</t>
  </si>
  <si>
    <t>KIT,AFST PULLEY BRKT ASSY-N/S</t>
  </si>
  <si>
    <t>R04.17.472.00</t>
  </si>
  <si>
    <t>KIT,CABLE CONNECTOR ASSEMBLY</t>
  </si>
  <si>
    <t>R04.17.473.00</t>
  </si>
  <si>
    <t>KIT,COUNTER BALANCE ASSEMBLY</t>
  </si>
  <si>
    <t>R04.17.511.00</t>
  </si>
  <si>
    <t>KIT,RH SELF CLOSING HINGE ASSY</t>
  </si>
  <si>
    <t>R04.17.512.00</t>
  </si>
  <si>
    <t>KIT,LH SELF CLOSING HING ASSY</t>
  </si>
  <si>
    <t>R04.17.615.00</t>
  </si>
  <si>
    <t>KIT,FSD RACK COLLAR WITH PINS</t>
  </si>
  <si>
    <t>R04.17.641.00</t>
  </si>
  <si>
    <t>KIT,FSDT 4 TIER CIRCL RACK</t>
  </si>
  <si>
    <t>R04.17.660S.00</t>
  </si>
  <si>
    <t>KIT,SVC, 02.12.064, MOTOR BRKT</t>
  </si>
  <si>
    <t>R04.17.667.00</t>
  </si>
  <si>
    <t>KIT,RACK-8 SHELF-PFST SERIES</t>
  </si>
  <si>
    <t>R04.17.675.00</t>
  </si>
  <si>
    <t>KIT,STRIKER PLATES W/HDW-FSD</t>
  </si>
  <si>
    <t>R04.17.689.00</t>
  </si>
  <si>
    <t>FSDT 3TIER PRTZL TREE W/SPACER</t>
  </si>
  <si>
    <t>R04.17.864.06</t>
  </si>
  <si>
    <t>KIT,FSHC-7/7 STACKING SLVR GRA</t>
  </si>
  <si>
    <t>R04.17.899.01</t>
  </si>
  <si>
    <t>KIT,FSD BLACK PAINTED HOOD</t>
  </si>
  <si>
    <t>R04.17.986.00</t>
  </si>
  <si>
    <t>KIT,BUMPER ASSY-FSHC-6/7</t>
  </si>
  <si>
    <t>R04.19.1001.00</t>
  </si>
  <si>
    <t>KIT,PAN &amp; LID ASSEMBLY,RHW</t>
  </si>
  <si>
    <t>R04.19.1433.00</t>
  </si>
  <si>
    <t>KIT,PAN W/HANDLES &amp; LID,ASSY,RHW</t>
  </si>
  <si>
    <t>R04.19.150.00</t>
  </si>
  <si>
    <t>KIT,3 PAN RAIL WITH FEET</t>
  </si>
  <si>
    <t>R04.19.468.00</t>
  </si>
  <si>
    <t>KIT,REMOTE CONTROL BOX-GRSB/F</t>
  </si>
  <si>
    <t>R04.19.500.00</t>
  </si>
  <si>
    <t>KIT,GRBW-24D HOOD ASSM</t>
  </si>
  <si>
    <t>R04.19.502.00</t>
  </si>
  <si>
    <t>KIT,GRBW-30D, HOOD ASSM</t>
  </si>
  <si>
    <t>R04.19.648.00</t>
  </si>
  <si>
    <t>KIT,"Z" BRACKET ASSY-GRSBF</t>
  </si>
  <si>
    <t>R04.19.812.00</t>
  </si>
  <si>
    <t>KIT,CONTROL COVER</t>
  </si>
  <si>
    <t>R04.19.812.01</t>
  </si>
  <si>
    <t>KIT,CONTROL COVER GRHWS BLACK</t>
  </si>
  <si>
    <t>R04.19.812.02</t>
  </si>
  <si>
    <t>KIT,CONTROL COVER,GRHWS GRAY</t>
  </si>
  <si>
    <t>R04.19.812.03</t>
  </si>
  <si>
    <t>KIT,CONTROL COVER,GRHWS RED</t>
  </si>
  <si>
    <t>R04.19.812.04</t>
  </si>
  <si>
    <t>KIT,CONTROL COVER,GRHWS WHITE</t>
  </si>
  <si>
    <t>R04.19.812.05</t>
  </si>
  <si>
    <t>KIT,CONTROL COVER,GRHWS BLUE</t>
  </si>
  <si>
    <t>R04.19.812.07</t>
  </si>
  <si>
    <t>KIT,CONTROL COVER,GRHWS GREEN</t>
  </si>
  <si>
    <t>R04.19.812.21</t>
  </si>
  <si>
    <t>KIT,CONTROL COVER,GRHWS COPPER</t>
  </si>
  <si>
    <t>R04.20.030.00</t>
  </si>
  <si>
    <t>KIT,SLIDE ANGLE BRACKET</t>
  </si>
  <si>
    <t>R04.20.137.00</t>
  </si>
  <si>
    <t>KIT, FSHC6&amp;7,TID PROBE BRACKET</t>
  </si>
  <si>
    <t>R04.22.030.00</t>
  </si>
  <si>
    <t>KIT,2 PAN RAIL WITH FEET</t>
  </si>
  <si>
    <t>R04.22.031.00</t>
  </si>
  <si>
    <t>R04.22.364.00</t>
  </si>
  <si>
    <t>KIT,1 PAN RAIL WITH FEET</t>
  </si>
  <si>
    <t>R04.22.406.00</t>
  </si>
  <si>
    <t>KIT,2 PAN ENCLOSURE &amp; DIVIDER</t>
  </si>
  <si>
    <t>R04.22.822.12</t>
  </si>
  <si>
    <t>KIT,DOOR GUARD,GRHD-2 SERIES</t>
  </si>
  <si>
    <t>R04.22.823.12</t>
  </si>
  <si>
    <t>KIT,DOOR GUARD,GRHD-3 SERIES</t>
  </si>
  <si>
    <t>R04.22.824.12</t>
  </si>
  <si>
    <t>KIT,DOOR GUARD,GRHD-4 SERIES</t>
  </si>
  <si>
    <t>R04.22.826.12</t>
  </si>
  <si>
    <t>KIT,DOOR GUARD,GRCD-2 SERIES</t>
  </si>
  <si>
    <t>R04.22.827.12</t>
  </si>
  <si>
    <t>KIT,DOOR GUARD,GRCD-3 SERIES</t>
  </si>
  <si>
    <t>R04.24.021.00</t>
  </si>
  <si>
    <t>KIT,ONE FRENCH DOOR W/STRIKER</t>
  </si>
  <si>
    <t>R04.24.022.00</t>
  </si>
  <si>
    <t>KIT, FDW DOOR ASSEMBLY</t>
  </si>
  <si>
    <t>R04.24.025.00</t>
  </si>
  <si>
    <t>KIT,FDWDB CIRCLE RACK W/SPRING</t>
  </si>
  <si>
    <t>R04.24.066.00</t>
  </si>
  <si>
    <t>KIT,GLASS DOOR ASSEMBLY-FDW-MN</t>
  </si>
  <si>
    <t>R04.24.087.00</t>
  </si>
  <si>
    <t>KIT,MOTORLESS RACK COUP &amp; PIN</t>
  </si>
  <si>
    <t>R04.24.303.00</t>
  </si>
  <si>
    <t>KIT,MOUNTING BRK,RH-FDWD-1-MN</t>
  </si>
  <si>
    <t>R04.24.357.00</t>
  </si>
  <si>
    <t>KIT,RACK COUPLING WITH SPRING</t>
  </si>
  <si>
    <t>R04.24.455.00</t>
  </si>
  <si>
    <t>KIT,AIR CHAMBER ASSEMBLY</t>
  </si>
  <si>
    <t>R04.24.457.00</t>
  </si>
  <si>
    <t>KIT,AIR CHAMBER COVER W/GASKET</t>
  </si>
  <si>
    <t>R04.24.482.00</t>
  </si>
  <si>
    <t>KIT,FDWD-1MN FRONT FACE ASSY</t>
  </si>
  <si>
    <t>R04.24.536.01</t>
  </si>
  <si>
    <t>KIT,SELF CLOSING DOORLH FSD/DT</t>
  </si>
  <si>
    <t>R04.25.208.00</t>
  </si>
  <si>
    <t>KIT,FULL SIZE ELE REF-CERAMIC</t>
  </si>
  <si>
    <t>R04.25.223.00</t>
  </si>
  <si>
    <t>KIT,HEAT REFLECTOR ASSEMBLY</t>
  </si>
  <si>
    <t>R04.25.260.00</t>
  </si>
  <si>
    <t>KIT,BREATH PRO.R.H. GRCSCL-24</t>
  </si>
  <si>
    <t>R04.25.263.00</t>
  </si>
  <si>
    <t>KIT,BREATH PRO.L.H. GRCSCL-24</t>
  </si>
  <si>
    <t>R04.25.447.00</t>
  </si>
  <si>
    <t>KIT,BRACKET,FRY SCOOP HOLDER</t>
  </si>
  <si>
    <t>R04.26.002.00</t>
  </si>
  <si>
    <t>KIT,F2GP OPERATOR DOOR HINGE</t>
  </si>
  <si>
    <t>R04.28.052.00</t>
  </si>
  <si>
    <t>KIT,PMG-100,200 STRT4"DUCT ASY</t>
  </si>
  <si>
    <t>R04.28.053.00</t>
  </si>
  <si>
    <t>KIT,PMG-100,200-90DEG 4" DUCT</t>
  </si>
  <si>
    <t>R04.28.054.00</t>
  </si>
  <si>
    <t>KIT,COMBUSTION DOOR-PMG-200</t>
  </si>
  <si>
    <t>R04.28.077.00</t>
  </si>
  <si>
    <t>KIT,EXHAUST OUTLET PMG 100&amp;200</t>
  </si>
  <si>
    <t>R04.28.085.00</t>
  </si>
  <si>
    <t>KIT,COMBUSTION DOOR-PMG-100</t>
  </si>
  <si>
    <t>R04.31.472.00</t>
  </si>
  <si>
    <t>KIT,DESIGNER NON-ADJ LEG 10"</t>
  </si>
  <si>
    <t>R04.31.474.00</t>
  </si>
  <si>
    <t>KIT,DESIGNER NON-ADJ LEG 12"</t>
  </si>
  <si>
    <t>R04.31.477.00</t>
  </si>
  <si>
    <t>KIT,DESIGNER NON ADJ. LEG 14"</t>
  </si>
  <si>
    <t>R04.31.478.00</t>
  </si>
  <si>
    <t>KIT,DESIGNER NON ADJ.LEG 16"</t>
  </si>
  <si>
    <t>R04.32.173.00</t>
  </si>
  <si>
    <t>KIT,4" DESIGNER LEG</t>
  </si>
  <si>
    <t>R04.32.427.00</t>
  </si>
  <si>
    <t>KIT,GR2SD-24 SIGN HOLDER ASSY BLK</t>
  </si>
  <si>
    <t>R04.32.428.00</t>
  </si>
  <si>
    <t>KIT,GR2SD-30 SIGN HOLDER ASSY</t>
  </si>
  <si>
    <t>R04.32.429.00</t>
  </si>
  <si>
    <t>KIT,GR2SD-36 SIGN HOLDER ASSY</t>
  </si>
  <si>
    <t>R04.34.001.00</t>
  </si>
  <si>
    <t>KIT,TF WIRE RACK W/PADDLE STOP</t>
  </si>
  <si>
    <t>R04.34.176.00</t>
  </si>
  <si>
    <t>KIT,BROILER PAN,TF</t>
  </si>
  <si>
    <t>R04.34.269.00</t>
  </si>
  <si>
    <t>KIT,BROLIER PAN FOR TF SERIES</t>
  </si>
  <si>
    <t>R04.34.295.00</t>
  </si>
  <si>
    <t>KIT,BROILER PAN,TF-2005, S.S.</t>
  </si>
  <si>
    <t>R04.34.304.00</t>
  </si>
  <si>
    <t>KIT,BROILER PAN,TF-2005,VER.#2</t>
  </si>
  <si>
    <t>R04.34.384.00</t>
  </si>
  <si>
    <t>KIT,BROILER PAN,PERF,TF-1900</t>
  </si>
  <si>
    <t>R04.35.095.00</t>
  </si>
  <si>
    <t>KIT,DRAWER ASSEMBLY,GRMW-.5</t>
  </si>
  <si>
    <t>R04.35.112.00</t>
  </si>
  <si>
    <t>KIT,CONNECTING ROD,GRJW SERIES</t>
  </si>
  <si>
    <t>R04.36.005.00</t>
  </si>
  <si>
    <t>KIT,TANK ASSY-AWD-12 SERIES</t>
  </si>
  <si>
    <t>R04.36.072.00</t>
  </si>
  <si>
    <t>KIT,FONT ASSY,FM-5</t>
  </si>
  <si>
    <t>R04.36.096.00</t>
  </si>
  <si>
    <t>KIT,AWD WALL SHELF-BOJANGLES</t>
  </si>
  <si>
    <t>R04.37.199.00</t>
  </si>
  <si>
    <t>KIT, SECURITY COVER GRAH-114T</t>
  </si>
  <si>
    <t>R04.38.180.00</t>
  </si>
  <si>
    <t>KIT,GR3SD DOOR HOOK ASSEMBLY</t>
  </si>
  <si>
    <t>R04.38.232.00</t>
  </si>
  <si>
    <t>KIT,GR3-39 HEATED GLASS"SHELF"</t>
  </si>
  <si>
    <t>R04.38.297.01</t>
  </si>
  <si>
    <t>KIT,GR3-41 HEATED GLASS"SHELF"</t>
  </si>
  <si>
    <t>R04.38.490.01</t>
  </si>
  <si>
    <t>KIT,HZM RIGHT FOOT,BLACK</t>
  </si>
  <si>
    <t>R04.38.490.02</t>
  </si>
  <si>
    <t>KIT,HZM RIGHT FOOT,GRAY GRANIT</t>
  </si>
  <si>
    <t>R04.38.490.03</t>
  </si>
  <si>
    <t>KIT,HZM RIGHT FOOT,WARM RED</t>
  </si>
  <si>
    <t>R04.38.490.04</t>
  </si>
  <si>
    <t>KIT,HZM RIGHT FOOT,WHT GRANITE</t>
  </si>
  <si>
    <t>R04.38.490.05</t>
  </si>
  <si>
    <t>KIT,HZM RIGHT FOOT,NAVY BLUE</t>
  </si>
  <si>
    <t>R04.38.490.07</t>
  </si>
  <si>
    <t>KIT,HZM RIGHT FOOT,HUNTER GRN</t>
  </si>
  <si>
    <t>R04.38.490.12</t>
  </si>
  <si>
    <t>KIT,HZM RIGHT FOOT,GLOSSY GRAY</t>
  </si>
  <si>
    <t>R04.38.490.21</t>
  </si>
  <si>
    <t>KIT,HZM RIGHT FOOT,ANT COPPER</t>
  </si>
  <si>
    <t>R04.38.491.01</t>
  </si>
  <si>
    <t>KIT,HZM LEFT FOOT,BLACK</t>
  </si>
  <si>
    <t>R04.38.491.02</t>
  </si>
  <si>
    <t>KIT,HZM LEFT FOOT,GRAY GRANITE</t>
  </si>
  <si>
    <t>R04.38.491.03</t>
  </si>
  <si>
    <t>KIT,HZM LEFT FOOT,WARM RED</t>
  </si>
  <si>
    <t>R04.38.491.04</t>
  </si>
  <si>
    <t>KIT,HZM LEFT FOOT,WHT GRANITE</t>
  </si>
  <si>
    <t>R04.38.491.05</t>
  </si>
  <si>
    <t>KIT,HZM LEFT FOOT,NAVY BLUE</t>
  </si>
  <si>
    <t>R04.38.491.07</t>
  </si>
  <si>
    <t>KIT,HZM LEFT FOOT,HUNTER GREEN</t>
  </si>
  <si>
    <t>R04.38.491.12</t>
  </si>
  <si>
    <t>KIT,HZM LEFT FOOT,GLOSSY GRAY</t>
  </si>
  <si>
    <t>R04.38.491.21</t>
  </si>
  <si>
    <t>KIT,HZM LEFT FOOT,ANT COPPER</t>
  </si>
  <si>
    <t>R04.38.617.00</t>
  </si>
  <si>
    <t>KIT, DOOR CATCH HXM,HZM</t>
  </si>
  <si>
    <t>R04.38.655.00</t>
  </si>
  <si>
    <t>KIT,HZM,RIGHT FOOT,SS</t>
  </si>
  <si>
    <t>R04.38.656.00</t>
  </si>
  <si>
    <t>KIT,HZM LEFT FOOT,SS</t>
  </si>
  <si>
    <t>R04.38.848.02</t>
  </si>
  <si>
    <t>KIT,DOOR SS-GR3-27D-QT-GGRAN</t>
  </si>
  <si>
    <t>R04.38.979.00</t>
  </si>
  <si>
    <t>GRSDS HLDAY SIGN36</t>
  </si>
  <si>
    <t>R04.38.981.00</t>
  </si>
  <si>
    <t>GRSDS HLDAY SIGN24</t>
  </si>
  <si>
    <t>R04.39.037.02</t>
  </si>
  <si>
    <t>KIT,GRSS-3618 NIGHT/ELEM-120V</t>
  </si>
  <si>
    <t>R04.39.037.06</t>
  </si>
  <si>
    <t>KIT,GRSS-4818 NIGHT/ELEM-120V</t>
  </si>
  <si>
    <t>R04.39.039.00</t>
  </si>
  <si>
    <t>KIT,GRSS-2418 BERM S/ELEM-120V</t>
  </si>
  <si>
    <t>R04.40.095.00</t>
  </si>
  <si>
    <t>KIT,GRCD-2PD CURVE GLASS FRONT</t>
  </si>
  <si>
    <t>R04.40.096.00</t>
  </si>
  <si>
    <t>KIT,GRCD-3PD CURVE GLASS FRONT</t>
  </si>
  <si>
    <t>R04.40.106.00</t>
  </si>
  <si>
    <t>KIT,GRCD-2P CURVED GLASS FRONT</t>
  </si>
  <si>
    <t>R04.40.107.00</t>
  </si>
  <si>
    <t>KIT,GRCD-3P CURVED GLASS FRONT</t>
  </si>
  <si>
    <t>R04.40.113.00</t>
  </si>
  <si>
    <t>KIT,FSD GLASS DOOR ASSY-STD</t>
  </si>
  <si>
    <t>R04.40.113.01</t>
  </si>
  <si>
    <t>KIT,FSD GLASS DOOR ASSY-BLACK</t>
  </si>
  <si>
    <t>R04.40.113.03</t>
  </si>
  <si>
    <t>KIT,FSD GLASS DOOR ASSY-RED</t>
  </si>
  <si>
    <t>R04.40.115.00</t>
  </si>
  <si>
    <t>KIT,FSDT GLASS DOOR ASSY-STD</t>
  </si>
  <si>
    <t>R04.40.115.01</t>
  </si>
  <si>
    <t>KIT,FSDT GLASS DOOR ASSY-BLACK</t>
  </si>
  <si>
    <t>R04.40.115.02</t>
  </si>
  <si>
    <t>KIT,FSDT GLASS DOOR ASSY-GRAY</t>
  </si>
  <si>
    <t>R04.40.115.03</t>
  </si>
  <si>
    <t>KIT,FSDT GLASS DOOR ASSY-RED</t>
  </si>
  <si>
    <t>R04.40.115.05</t>
  </si>
  <si>
    <t>KIT,FSDT GLASS DOOR PTD NAVY</t>
  </si>
  <si>
    <t>R04.40.115BZ.00</t>
  </si>
  <si>
    <t>KIT,FSDT GLASS DOOR-BRONZE</t>
  </si>
  <si>
    <t>R04.40.127.00</t>
  </si>
  <si>
    <t>KIT,GRCD-1P CURVED GLASS FRONT</t>
  </si>
  <si>
    <t>R04.40.128.00</t>
  </si>
  <si>
    <t>KIT,GRCD-1PD CURVE GLASS FRONT</t>
  </si>
  <si>
    <t>R04.40.129.00</t>
  </si>
  <si>
    <t>KIT,GRCD-1P DOOR ASSEMBLY</t>
  </si>
  <si>
    <t>R04.40.130.00</t>
  </si>
  <si>
    <t>KIT,GRCD-1PD DOOR ASSEMBLY</t>
  </si>
  <si>
    <t>R04.40.139.00</t>
  </si>
  <si>
    <t>KIT,GRCD-1PD MIRROR DOOR ASSY</t>
  </si>
  <si>
    <t>R04.40.153QS.01</t>
  </si>
  <si>
    <t>KIT,FRONT GLASS GR2SDH-48</t>
  </si>
  <si>
    <t>R04.40.155.01</t>
  </si>
  <si>
    <t>KIT,HEATED GLASS ASSY BLACK</t>
  </si>
  <si>
    <t>R04.40.159QS.01</t>
  </si>
  <si>
    <t>KIT,GLASS SIDE PANEL-GR2SDH</t>
  </si>
  <si>
    <t>R04.40.163.00</t>
  </si>
  <si>
    <t>KIT,CD-3P HEATED GLASS 120V</t>
  </si>
  <si>
    <t>R04.40.181MB.00</t>
  </si>
  <si>
    <t>KIT,GR3-27D HEATED GLASS-MID</t>
  </si>
  <si>
    <t>R04.40.181TB.00</t>
  </si>
  <si>
    <t>KIT,GR3-27 HEATED GLASS</t>
  </si>
  <si>
    <t>R04.40.182MB.00</t>
  </si>
  <si>
    <t>KIT,GR3-33D HEATED GLASS-MID</t>
  </si>
  <si>
    <t>R04.40.182TB.00</t>
  </si>
  <si>
    <t>KIT,GR3-33 HEATED GLASS</t>
  </si>
  <si>
    <t>R04.40.183MB.00</t>
  </si>
  <si>
    <t>KIT,GR3-39D HEATED GLASS-MID</t>
  </si>
  <si>
    <t>R04.40.183TB.00</t>
  </si>
  <si>
    <t>KIT,GR3-39 HEATED GLASS</t>
  </si>
  <si>
    <t>R04.40.194.00</t>
  </si>
  <si>
    <t>KIT,GR3-27 NON-HEATED GLASS</t>
  </si>
  <si>
    <t>R04.40.195.00</t>
  </si>
  <si>
    <t>KIT,GR3-33 NON-HEATED GLASS</t>
  </si>
  <si>
    <t>R04.40.196.00</t>
  </si>
  <si>
    <t>KIT,GR3-39 NON-HEATED GLASS</t>
  </si>
  <si>
    <t>R04.40.263.00</t>
  </si>
  <si>
    <t>KIT,HEATED GLASS-GRHW-1SGD</t>
  </si>
  <si>
    <t>R04.40.284.00</t>
  </si>
  <si>
    <t>KIT,FDWD GLASS DOOR,STD ASSY</t>
  </si>
  <si>
    <t>R04.40.284.01</t>
  </si>
  <si>
    <t>KIT,FDWD GLASS DOOR,BLACK,ASSY</t>
  </si>
  <si>
    <t>R04.40.284.02</t>
  </si>
  <si>
    <t>KIT,FDWD GLASS DOOR,GRY-GRANIT</t>
  </si>
  <si>
    <t>R04.40.284.03</t>
  </si>
  <si>
    <t>KIT,FDWD GLASS DOOR,RED,ASSY</t>
  </si>
  <si>
    <t>R04.40.284.04</t>
  </si>
  <si>
    <t>KIT,FDWD GLASS DOOR,WHT GRANIT</t>
  </si>
  <si>
    <t>R04.40.284.05</t>
  </si>
  <si>
    <t>KIT,FDWD GLASS DOOR,BLUE,ASSY</t>
  </si>
  <si>
    <t>R04.40.284.07</t>
  </si>
  <si>
    <t>KIT,FDWD GLASS DOOR,HUNTER GRN</t>
  </si>
  <si>
    <t>R04.40.284.21</t>
  </si>
  <si>
    <t>KIT,FDWD GLASS DOOR,ANT COPPER</t>
  </si>
  <si>
    <t>R04.40.284SC.00</t>
  </si>
  <si>
    <t>KIT,FDWD SELF CLOSE DOOR LH</t>
  </si>
  <si>
    <t>R04.40.289.00</t>
  </si>
  <si>
    <t>KIT,SIDE GLASS &amp; BRKTS-GRCMW-1</t>
  </si>
  <si>
    <t>R04.40.323.00</t>
  </si>
  <si>
    <t>KIT,FSCDH-2PD CURVE GLASS FRT</t>
  </si>
  <si>
    <t>R04.40.326.00</t>
  </si>
  <si>
    <t>KIT,FDWD-12 GLASS DOOR ASSY.</t>
  </si>
  <si>
    <t>R04.40.326.01</t>
  </si>
  <si>
    <t>KIT,FDWD-12 GLASS DOOR-BLACK</t>
  </si>
  <si>
    <t>R04.40.341.00</t>
  </si>
  <si>
    <t>KIT,GLASS DOOR ASSY-FDWD-MN</t>
  </si>
  <si>
    <t>R04.40.344.00</t>
  </si>
  <si>
    <t>KIT,GLASS,DCSBXXX-3624</t>
  </si>
  <si>
    <t>R04.40.371.00</t>
  </si>
  <si>
    <t>KIT,FDWD-12 MIRROR GLASS DOOR</t>
  </si>
  <si>
    <t>R04.40.379.01</t>
  </si>
  <si>
    <t>KIT,FRENCH DOOR BLK-FSCDH-2PD</t>
  </si>
  <si>
    <t>R04.40.379.03</t>
  </si>
  <si>
    <t>KIT,FRENCH DOOR,RED-FSCDH-2PD</t>
  </si>
  <si>
    <t>R04.40.388.00</t>
  </si>
  <si>
    <t>KIT,GLASS DOOR,HZMS/H, SS DUAL</t>
  </si>
  <si>
    <t>R04.40.388.01</t>
  </si>
  <si>
    <t>KIT,GLASS DOOR,HXM,BLACK DUAL</t>
  </si>
  <si>
    <t>R04.40.388.02</t>
  </si>
  <si>
    <t>KIT,GLASS DOOR,HXM,GRAY DUAL</t>
  </si>
  <si>
    <t>R04.40.388.03</t>
  </si>
  <si>
    <t>KIT,GLASS DOOR,HXM,RED DUAL</t>
  </si>
  <si>
    <t>R04.40.388.04</t>
  </si>
  <si>
    <t>KIT,GLASS DOOR,HXM,WHITE DUAL</t>
  </si>
  <si>
    <t>R04.40.388.05</t>
  </si>
  <si>
    <t>KIT,GLASS DOOR,HXM,BLUE DUAL</t>
  </si>
  <si>
    <t>R04.40.388.07</t>
  </si>
  <si>
    <t>KIT,GLASS DOOR,HXM,GREEN DUAL</t>
  </si>
  <si>
    <t>R04.40.388.09</t>
  </si>
  <si>
    <t>KIT,GLASS DOOR,HXM,BB DUAL</t>
  </si>
  <si>
    <t>R04.40.388.12</t>
  </si>
  <si>
    <t>KIT,GLASS DOOR,HXM,GG DUAL</t>
  </si>
  <si>
    <t>R04.40.388.21</t>
  </si>
  <si>
    <t>KIT,GLASS DOOR,HXM,AC DUAL</t>
  </si>
  <si>
    <t>R04.40.405.01</t>
  </si>
  <si>
    <t>KIT,GLASS DOOR,HZMH/S,BLK</t>
  </si>
  <si>
    <t>R04.40.405.02</t>
  </si>
  <si>
    <t>KIT,GLASS DOOR,HZMH/S GREY</t>
  </si>
  <si>
    <t>R04.40.405.03</t>
  </si>
  <si>
    <t>KIT,GLASS DOOR,HZMH/S,RED</t>
  </si>
  <si>
    <t>R04.40.405.04</t>
  </si>
  <si>
    <t>KIT,GLASS DOOR,HZMH/S,WHITE</t>
  </si>
  <si>
    <t>R04.40.405.05</t>
  </si>
  <si>
    <t>KIT,GLASS DOOR,HZMH/S,BLUE</t>
  </si>
  <si>
    <t>R04.40.405.07</t>
  </si>
  <si>
    <t>KIT,GLASS DOOR,HZMH/S,GREEN</t>
  </si>
  <si>
    <t>R04.40.405.09</t>
  </si>
  <si>
    <t>KIT,GLASS DOOR,HZMH/S,BOLD BLK</t>
  </si>
  <si>
    <t>R04.40.405.12</t>
  </si>
  <si>
    <t>KIT,GLASS DOOR,HZMH/S,GLOSSY G</t>
  </si>
  <si>
    <t>R04.40.405.21</t>
  </si>
  <si>
    <t>KIT,GLASS DOOR,HZMH/S,AC</t>
  </si>
  <si>
    <t>R04.40.457.00</t>
  </si>
  <si>
    <t>KIT,DOOR MDW-12, BLACK</t>
  </si>
  <si>
    <t>R04.40.583.00</t>
  </si>
  <si>
    <t>KIT,DOOR,IHDCH-45</t>
  </si>
  <si>
    <t>R04.40.596.00</t>
  </si>
  <si>
    <t>KIT,TOP ASSY,BLK,IWRM-B1-1313</t>
  </si>
  <si>
    <t>R04.40.616.00</t>
  </si>
  <si>
    <t>KIT,TOP ASSY,WHT,IWRM-B1-1313</t>
  </si>
  <si>
    <t>R04.40.628.00</t>
  </si>
  <si>
    <t>KIT,SLIDING DOOR,FS3HAC-3626</t>
  </si>
  <si>
    <t>R04.40.631.00</t>
  </si>
  <si>
    <t>KIT,DOOR ASSY PDH-55T</t>
  </si>
  <si>
    <t>R04.40.642.00</t>
  </si>
  <si>
    <t>KIT,F2G COMPLETE REAR DOOR BLK</t>
  </si>
  <si>
    <t>R04.40.643.00</t>
  </si>
  <si>
    <t>KIT,F2G COMPLETE FRNT DOOR BLK</t>
  </si>
  <si>
    <t>R04.40.667.00</t>
  </si>
  <si>
    <t>KIT,F2GP CUSTOMER DOOR</t>
  </si>
  <si>
    <t>R04.40.674.00</t>
  </si>
  <si>
    <t>KIT,FSDT MIRROR DOOR</t>
  </si>
  <si>
    <t>R04.40.678.00</t>
  </si>
  <si>
    <t>KIT,F2GP REAR DOOR</t>
  </si>
  <si>
    <t>R04.42.132.00</t>
  </si>
  <si>
    <t>KIT,4-PAN BEZEL ASSY</t>
  </si>
  <si>
    <t>R04.42.153.00</t>
  </si>
  <si>
    <t>KIT,BRACKET-GANGED HWB SUP-ELE</t>
  </si>
  <si>
    <t>R04.42.194.00</t>
  </si>
  <si>
    <t>KIT,PAN INSTALL BRACKET-HWB</t>
  </si>
  <si>
    <t>R04.42.199.00</t>
  </si>
  <si>
    <t>KIT,HW,PAN 4QT,ASSY W/O DRAIN</t>
  </si>
  <si>
    <t>R04.42.219.00</t>
  </si>
  <si>
    <t>KIT,HW,PAN 4QT,ASSY W/DRAIN</t>
  </si>
  <si>
    <t>R04.42.283.00</t>
  </si>
  <si>
    <t>KIT,HW,FULL PAN,W/DRAIN-HWBHIB</t>
  </si>
  <si>
    <t>R04.42.334.04</t>
  </si>
  <si>
    <t>KIT,MOUNTING BRACKETS-RHW-4PCS</t>
  </si>
  <si>
    <t>R04.42.348.00</t>
  </si>
  <si>
    <t>KIT,MU,FULL PAN,W/O DRAIN</t>
  </si>
  <si>
    <t>R04.42.349.00</t>
  </si>
  <si>
    <t>KIT,MU,FULL PAN W/DRAIN</t>
  </si>
  <si>
    <t>R04.42.350.00</t>
  </si>
  <si>
    <t>KIT,FULL PAN,W/DRAIN,AUTOFILL</t>
  </si>
  <si>
    <t>R04.42.351.00</t>
  </si>
  <si>
    <t>KIT,MU,FULL PAN W/MANIFOLD AF</t>
  </si>
  <si>
    <t>R04.42.352.00</t>
  </si>
  <si>
    <t>KIT,MU,FULL PAN,W/MANIFOLD</t>
  </si>
  <si>
    <t>R04.42.353.00</t>
  </si>
  <si>
    <t>KIT,MU.FULL PAN,W/BOT MAN,RH</t>
  </si>
  <si>
    <t>R04.42.354.00</t>
  </si>
  <si>
    <t>KIT,MU,FULL PAN,W/BOT,LH,MAN</t>
  </si>
  <si>
    <t>R04.42.355.00</t>
  </si>
  <si>
    <t>KIT,MU,FULL PAN,W/BOT MAN,LH-A</t>
  </si>
  <si>
    <t>R04.42.429.00</t>
  </si>
  <si>
    <t>KIT,FULL PAN END MANIF,LH,AUTO</t>
  </si>
  <si>
    <t>R04.42.431.00</t>
  </si>
  <si>
    <t>KIT,FULL PAN BOTTOM MANIF,LH</t>
  </si>
  <si>
    <t>R04.42.435.00</t>
  </si>
  <si>
    <t>KIT,BOTTOM W/DRAIN,HWBI-S</t>
  </si>
  <si>
    <t>R04.42.436.00</t>
  </si>
  <si>
    <t>KIT,ELEMENT BRACKET,HWBI-S</t>
  </si>
  <si>
    <t>R04.42.556.00</t>
  </si>
  <si>
    <t>KIT,HW,PAN 11QT W/BRKT W/O DRN</t>
  </si>
  <si>
    <t>R04.42.557.00</t>
  </si>
  <si>
    <t>KIT,HW,PAN 11QT W/DRAIN,BRKT</t>
  </si>
  <si>
    <t>R04.42.619.00</t>
  </si>
  <si>
    <t>KIT,ELEMENT COVER/BRKT,7-11QT</t>
  </si>
  <si>
    <t>R04.42.698.00</t>
  </si>
  <si>
    <t>KIT,SW-7QT PAN ASSY</t>
  </si>
  <si>
    <t>R04.42.703.00</t>
  </si>
  <si>
    <t>KIT,HW,PAN 7QT,ASSY W/DRAIN</t>
  </si>
  <si>
    <t>R04.42.705.00</t>
  </si>
  <si>
    <t>R04.42.706.00</t>
  </si>
  <si>
    <t>KIT,HW,PAN 4QT W/DRAIN,BRKT</t>
  </si>
  <si>
    <t>R04.42.707.00</t>
  </si>
  <si>
    <t>KIT,HW,PAN 7QT, ASSY W/O DRAIN</t>
  </si>
  <si>
    <t>R04.42.929.00</t>
  </si>
  <si>
    <t>KIT,HWBI-7QTDA PAN ASSY</t>
  </si>
  <si>
    <t>R04.44.008.00</t>
  </si>
  <si>
    <t>KIT,BRACKET ASSY FOR TIMER-HQT</t>
  </si>
  <si>
    <t>R04.44.143.00</t>
  </si>
  <si>
    <t>KIT,IWRM-B1-1313 CNTRL BOX</t>
  </si>
  <si>
    <t>R04.44.144.00</t>
  </si>
  <si>
    <t>KIT,IWRM-B1-1313-05 CNTRL 230V</t>
  </si>
  <si>
    <t>R04.44.163.00</t>
  </si>
  <si>
    <t>KIT,COVER,RWM,RCTWM</t>
  </si>
  <si>
    <t>R04.44.227.00</t>
  </si>
  <si>
    <t>OBSKIT,TOP ASSY, IRNG-PC2F</t>
  </si>
  <si>
    <t>R04.44.279.00</t>
  </si>
  <si>
    <t>KIT, IWRM-UT-06 CNTRL BOX</t>
  </si>
  <si>
    <t>R04.44.380.00</t>
  </si>
  <si>
    <t>KIT,IWRM-B1-1313-06 CNTRL 120V</t>
  </si>
  <si>
    <t>R04.45.013.00</t>
  </si>
  <si>
    <t>KIT,WIRE SHELF ASSEMBLY-MDW</t>
  </si>
  <si>
    <t>R04.45.038.00</t>
  </si>
  <si>
    <t>KIT,MVW DOOR-BLACK</t>
  </si>
  <si>
    <t>R04.45.038.01</t>
  </si>
  <si>
    <t>KIT, MVW DOOR - BLACK</t>
  </si>
  <si>
    <t>R04.45.109.01</t>
  </si>
  <si>
    <t>KIT, MVW WALL MOUNT BRACKET</t>
  </si>
  <si>
    <t>R04.45.115.01</t>
  </si>
  <si>
    <t>KIT,MVW GAP ADJUSTER,BLACK</t>
  </si>
  <si>
    <t>R04.47.682.00</t>
  </si>
  <si>
    <t>KIT,SLANT,CWB-2</t>
  </si>
  <si>
    <t>R04.47.683.00</t>
  </si>
  <si>
    <t>KIT,CWB-3 SLANT ASSEMBLY</t>
  </si>
  <si>
    <t>R04.47.684.00</t>
  </si>
  <si>
    <t>KIT,SLANT,CWB-4</t>
  </si>
  <si>
    <t>R04.47.995.00</t>
  </si>
  <si>
    <t>KIT,CONDENSING UNIT COLLAR ASSY 8"</t>
  </si>
  <si>
    <t>R04.48.024.00</t>
  </si>
  <si>
    <t>KIT,BRACKET FOR TSTAT BULB-HC8</t>
  </si>
  <si>
    <t>R04.48.058.00</t>
  </si>
  <si>
    <t>KIT,LFST DOOR TROLLEY ASSEM-LH</t>
  </si>
  <si>
    <t>R04.48.059.00</t>
  </si>
  <si>
    <t>KIT,LFST DOOR TROLLEY ASSEM-RH</t>
  </si>
  <si>
    <t>R04.48.073.01</t>
  </si>
  <si>
    <t>SIGN HOLD ASSY FSD</t>
  </si>
  <si>
    <t>R04.48.431.00</t>
  </si>
  <si>
    <t>KIT,CRUMB TRAY &amp; HDW-FS2HAC-66</t>
  </si>
  <si>
    <t>R04.48.466.00</t>
  </si>
  <si>
    <t>KIT,FS2HAC-XPT PAN SUPPORT</t>
  </si>
  <si>
    <t>R04.48.924.01</t>
  </si>
  <si>
    <t>KIT,SIGN HOLDER,SIDE,PFST,BLK</t>
  </si>
  <si>
    <t>R04.48.932.01</t>
  </si>
  <si>
    <t>KIT,SIGN HOLDER,FRONT,PFST,BLK</t>
  </si>
  <si>
    <t>R04.48.932.12</t>
  </si>
  <si>
    <t>KIT,SIGN HOLDER,FRONT,PFST,GRY</t>
  </si>
  <si>
    <t>R04.48.974.00</t>
  </si>
  <si>
    <t>KIT,SPLASH GUARD,FSHC-5W,-7W</t>
  </si>
  <si>
    <t>R04.49.365.01</t>
  </si>
  <si>
    <t>KIT,CONTROL COVER,BLACK,GRCMWD</t>
  </si>
  <si>
    <t>R04.49.580.00</t>
  </si>
  <si>
    <t>KIT,GRBWI-15D HOOD ASSEMBLY</t>
  </si>
  <si>
    <t>R04.51.157.12</t>
  </si>
  <si>
    <t>KIT,SDS-24 SIGN HOLDER-GRAY</t>
  </si>
  <si>
    <t>R04.51.158.01</t>
  </si>
  <si>
    <t>KIT,SDS-30 SIGN HOLDER-BLACK</t>
  </si>
  <si>
    <t>R04.51.159.01</t>
  </si>
  <si>
    <t>KIT,SDS-36 SIGN HOLDER-BLACK</t>
  </si>
  <si>
    <t>R04.51.159.12</t>
  </si>
  <si>
    <t>KIT,SDS-36 SIGN HOLDER-GRAY</t>
  </si>
  <si>
    <t>R04.51.160.12</t>
  </si>
  <si>
    <t>KIT,SDS-41 SIGN HOLDER-GRAY</t>
  </si>
  <si>
    <t>R04.51.161.01</t>
  </si>
  <si>
    <t>KIT,SDS-52 SIGN HOLDER-BLACK</t>
  </si>
  <si>
    <t>R04.51.161.12</t>
  </si>
  <si>
    <t>KIT,SDS-52 SIGN HOLDER -GRAY</t>
  </si>
  <si>
    <t>R04.51.162.12</t>
  </si>
  <si>
    <t>KIT,SDS-60 SIGN HOLDER GRAY</t>
  </si>
  <si>
    <t>R04.51.166.12</t>
  </si>
  <si>
    <t>KIT,SDS-24 SIGN HOLDER-GRAY6.5</t>
  </si>
  <si>
    <t>R04.54.272.00</t>
  </si>
  <si>
    <t>KIT,HDWTC DRAWER FRONT ONLY</t>
  </si>
  <si>
    <t>R04.54.278.00</t>
  </si>
  <si>
    <t>KIT,MID SHELF TOP,W/ELE 120V</t>
  </si>
  <si>
    <t>R04.54.278.01</t>
  </si>
  <si>
    <t>KIT,MID SHELF TOP,W/ELE 240V</t>
  </si>
  <si>
    <t>R04.54.287.00</t>
  </si>
  <si>
    <t>KIT,HDWTTC EXT DRAWER FRONT</t>
  </si>
  <si>
    <t>R04.54.298.00</t>
  </si>
  <si>
    <t>Kit,BASE SHELF TOP W/ELE 120V</t>
  </si>
  <si>
    <t>R04.54.298.01</t>
  </si>
  <si>
    <t>Kit,BASE SHELF TOP W/ELE 240V</t>
  </si>
  <si>
    <t>R04.54.352.00</t>
  </si>
  <si>
    <t>KIT,DRAWER FRONT HDM-XN</t>
  </si>
  <si>
    <t>R04.56.006.00</t>
  </si>
  <si>
    <t>KIT,CRUMB TRAY ITQ-1C</t>
  </si>
  <si>
    <t>R04.56.099.00</t>
  </si>
  <si>
    <t>KIT,CRUMB TRAY,LH,ITQ-2C</t>
  </si>
  <si>
    <t>R04.56.100.00</t>
  </si>
  <si>
    <t>KIT,CRUMB TRAY,RH,ITQ-2C</t>
  </si>
  <si>
    <t>R04.56.145.00</t>
  </si>
  <si>
    <t>KIT,FILTER &amp; FRAME ASSY-ITQ</t>
  </si>
  <si>
    <t>R04.56.182.00</t>
  </si>
  <si>
    <t>KIT,PADDLE-ITQ-2C-STANDARD</t>
  </si>
  <si>
    <t>R04.56.183.00</t>
  </si>
  <si>
    <t>KIT,PADDLE-ITQ-2C-PERFORATED</t>
  </si>
  <si>
    <t>R04.56.218.00</t>
  </si>
  <si>
    <t>KIT,SENSOR REF ITQ-2C-1/2"TALL</t>
  </si>
  <si>
    <t>R04.56.285.00</t>
  </si>
  <si>
    <t>KIT, CRUMB TRAY ITQ-875-1C</t>
  </si>
  <si>
    <t>R04.56.414.00</t>
  </si>
  <si>
    <t>KIT,SENSOR REFLECTOR, ITQ-I/O</t>
  </si>
  <si>
    <t>R04.56.477.00</t>
  </si>
  <si>
    <t>KIT,ITQ-2C, WIDE FOOD PADDLE</t>
  </si>
  <si>
    <t>R04.56.531.00</t>
  </si>
  <si>
    <t>KIT, CRUMB TRAY TQ3</t>
  </si>
  <si>
    <t>R04.56.685.00</t>
  </si>
  <si>
    <t>TQ3-400/500/55H/900/900H</t>
  </si>
  <si>
    <t>R04.56.708.00</t>
  </si>
  <si>
    <t>KIT,ITQ-2C FOOD PADDLE</t>
  </si>
  <si>
    <t>R04.56.721.00</t>
  </si>
  <si>
    <t>KIT,SENS REF ITQ-2C-11/16"TALL</t>
  </si>
  <si>
    <t>R04.56.739.00</t>
  </si>
  <si>
    <t>TQ3-2000/2000HH FILTER</t>
  </si>
  <si>
    <t>R04.57.193.00</t>
  </si>
  <si>
    <t>KIT,GR5 SNEEZE GUARD MOUNTING</t>
  </si>
  <si>
    <t>R04.58.226.39</t>
  </si>
  <si>
    <t>IHDCH-45 ADJ. PIZZA ARM</t>
  </si>
  <si>
    <t>R04.58.272.01</t>
  </si>
  <si>
    <t>KIT,FS3HAC-4226 BOTTOM SHELF</t>
  </si>
  <si>
    <t>R04.58.426.01</t>
  </si>
  <si>
    <t>KIT,FS3HAC-4226 CENTER SHELF</t>
  </si>
  <si>
    <t>R04.58.427.01</t>
  </si>
  <si>
    <t>KIT,FS3HAC-4226 TOP SHELF</t>
  </si>
  <si>
    <t>R04.58.578.01</t>
  </si>
  <si>
    <t>KIT,FS3HAC-4226 SHELF BLACK</t>
  </si>
  <si>
    <t>R04.58.619.00</t>
  </si>
  <si>
    <t>KIT,FRONT VENT,IHDCH-45,SS</t>
  </si>
  <si>
    <t>R04.58.652.01</t>
  </si>
  <si>
    <t>KIT,FS3HAC-3626 SHELF BLACK</t>
  </si>
  <si>
    <t>R04.58.857.01</t>
  </si>
  <si>
    <t>KIT,FS3HAC-3636 BOTTOM SHELF</t>
  </si>
  <si>
    <t>R04.58.858.01</t>
  </si>
  <si>
    <t>KIT,FS3HAC-3626 CENTER SHELF</t>
  </si>
  <si>
    <t>R04.58.859.01</t>
  </si>
  <si>
    <t>KIT,FS3HAC-3626 TOP SHELF</t>
  </si>
  <si>
    <t>R04.58.930.01</t>
  </si>
  <si>
    <t>KIT,FS3HAC-2426 SHELF BLACK</t>
  </si>
  <si>
    <t>R04.58.933.01</t>
  </si>
  <si>
    <t>KIT,FS3HAC-2426 BOTTOM SHELF</t>
  </si>
  <si>
    <t>R04.58.934.01</t>
  </si>
  <si>
    <t>KIT,FS3HAC-2426 CENTER SHELF</t>
  </si>
  <si>
    <t>R04.58.935.01</t>
  </si>
  <si>
    <t>KIT,FS3HAC-2426 TOP SHELF</t>
  </si>
  <si>
    <t>R04.58.965.01</t>
  </si>
  <si>
    <t>KIT,FS3HAC-3026 SHELF BLACK</t>
  </si>
  <si>
    <t>R04.58.978.01</t>
  </si>
  <si>
    <t>KIT,FS3HAC-3026 BOTTOM SHELF</t>
  </si>
  <si>
    <t>R04.58.979.01</t>
  </si>
  <si>
    <t>KIT,FS3HAC-3026 CENTER SHELF</t>
  </si>
  <si>
    <t>R04.58.980.01</t>
  </si>
  <si>
    <t>KIT,FS3HAC-3026 TOP SHELF</t>
  </si>
  <si>
    <t>R04.59.010.00</t>
  </si>
  <si>
    <t>KIT,FULL PAN,CLMP&amp;DRN,WASSERST</t>
  </si>
  <si>
    <t>R04.60.002.00</t>
  </si>
  <si>
    <t>KIT,GLASS DOOR CPHC-35</t>
  </si>
  <si>
    <t>R04.63.016.00</t>
  </si>
  <si>
    <t>KIT,IHDCH-28 DOOR LOCK</t>
  </si>
  <si>
    <t>R04.65.175.00</t>
  </si>
  <si>
    <t>KIT,GRS2GC TOP COVER ASSY</t>
  </si>
  <si>
    <t>R04.69.022.00</t>
  </si>
  <si>
    <t>KIT,MINNOW DOOR ASSY</t>
  </si>
  <si>
    <t>R05.01.071.00</t>
  </si>
  <si>
    <t>KIT,THERMAL MASTIC</t>
  </si>
  <si>
    <t>R05.02.011.02</t>
  </si>
  <si>
    <t>KIT,TOASTER BEARING ASSY-2 PAK</t>
  </si>
  <si>
    <t>R05.03.001.00</t>
  </si>
  <si>
    <t>KIT, CONVEYOR CHAIN TRH</t>
  </si>
  <si>
    <t>R05.03.007A.00</t>
  </si>
  <si>
    <t>KIT,99PITCH CHAIN W/SLIP PLATE</t>
  </si>
  <si>
    <t>R05.03.021.06</t>
  </si>
  <si>
    <t>KIT,#12 STEEL CHAIN- SIX FEET</t>
  </si>
  <si>
    <t>R05.03.053.00</t>
  </si>
  <si>
    <t>KIT, S-HOOK &amp; CHAIN</t>
  </si>
  <si>
    <t>R05.04.150.00</t>
  </si>
  <si>
    <t>KIT, PAN STOP PIN</t>
  </si>
  <si>
    <t>R05.04.750.00</t>
  </si>
  <si>
    <t>KIT,PROBE SENSOR ASSY RCTHW</t>
  </si>
  <si>
    <t>R05.06.010.00</t>
  </si>
  <si>
    <t>KIT,STOPPER &amp; FLUSH HOSE 3 FT.</t>
  </si>
  <si>
    <t>R05.06.092BE.00</t>
  </si>
  <si>
    <t>KIT,DOOR GASKET-BE- W/HDW</t>
  </si>
  <si>
    <t>R05.06.100.00</t>
  </si>
  <si>
    <t>KIT,DOOR GASKET,FSHC-8-1</t>
  </si>
  <si>
    <t>R05.06.139.00</t>
  </si>
  <si>
    <t>KIT,DRAIN STOPPER AND CHAIN</t>
  </si>
  <si>
    <t>R05.07.052.00</t>
  </si>
  <si>
    <t>KIT,HANDLE SHAFT,RWM,RCTWM</t>
  </si>
  <si>
    <t>R05.09.021.00</t>
  </si>
  <si>
    <t>KIT,14 TOOTH SPROCKET W/CLUTCH</t>
  </si>
  <si>
    <t>R05.09.022.00</t>
  </si>
  <si>
    <t>KIT,DRIVEN SPROCKET W/CLUTCH</t>
  </si>
  <si>
    <t>R05.12.019.00</t>
  </si>
  <si>
    <t>KIT,HINGE ASSY F2G</t>
  </si>
  <si>
    <t>R05.13.064.00</t>
  </si>
  <si>
    <t>KIT,ELECTROMECHANICAL LOCK 12V</t>
  </si>
  <si>
    <t>R05.13.078.00</t>
  </si>
  <si>
    <t>KIT,KWM STANDOFF ROD</t>
  </si>
  <si>
    <t>R05.30.005.00</t>
  </si>
  <si>
    <t>KIT, DOOR MAGNET W/BACKER</t>
  </si>
  <si>
    <t>R05.30.009.00</t>
  </si>
  <si>
    <t>KIT,STRAINER ASSY,3CS/FR</t>
  </si>
  <si>
    <t>R05.30.011.00</t>
  </si>
  <si>
    <t>KIT, BLACK PLASTIC FEET</t>
  </si>
  <si>
    <t>R05.30.012.00</t>
  </si>
  <si>
    <t>KIT, 8" HANDLE</t>
  </si>
  <si>
    <t>R05.30.029.00</t>
  </si>
  <si>
    <t>KIT,RUBBER FOOT/BUMPER</t>
  </si>
  <si>
    <t>R05.30.050.00</t>
  </si>
  <si>
    <t>KIT, FILL CUP ASSEMBLY</t>
  </si>
  <si>
    <t>R05.30.064.00</t>
  </si>
  <si>
    <t>KIT,DESIGNER RUBBER FOOT &amp; HDW</t>
  </si>
  <si>
    <t>R05.30.065.00</t>
  </si>
  <si>
    <t>KIT,PLASTIC LEG WITH PAD-4"</t>
  </si>
  <si>
    <t>R05.30.065.01</t>
  </si>
  <si>
    <t>KIT,TFWM LEG ASSY</t>
  </si>
  <si>
    <t>R05.30.068.00</t>
  </si>
  <si>
    <t>KIT,RUBBER FOOT</t>
  </si>
  <si>
    <t>R05.30.076.00</t>
  </si>
  <si>
    <t>KIT,DOOR MAGNETS WITH ADHESIVE</t>
  </si>
  <si>
    <t>R05.30.081.00</t>
  </si>
  <si>
    <t>KIT,LEG 1"X1/4 + 3/8" CONVERT</t>
  </si>
  <si>
    <t>R05.30.083.00</t>
  </si>
  <si>
    <t>KIT,2 1/2"(6cm) LEG WITH PAD</t>
  </si>
  <si>
    <t>R05.30.086.00</t>
  </si>
  <si>
    <t>KIT,RUBBER FOOT WITH SCREW</t>
  </si>
  <si>
    <t>R05.30.108.00</t>
  </si>
  <si>
    <t>KIT,OVAL HANDLE WITH SPACERS</t>
  </si>
  <si>
    <t>R05.30.110.00</t>
  </si>
  <si>
    <t>KIT,MAGNET FOR MDW RACK</t>
  </si>
  <si>
    <t>R05.30.115.00</t>
  </si>
  <si>
    <t>KIT,CONTROL KNOB, TPT</t>
  </si>
  <si>
    <t>R05.30.124.00</t>
  </si>
  <si>
    <t>KIT,LEG ASSY-SRBW SERIES</t>
  </si>
  <si>
    <t>R05.30.129.00</t>
  </si>
  <si>
    <t>KIT,KNOB W/HDW,RHW</t>
  </si>
  <si>
    <t>R05.30.133.00</t>
  </si>
  <si>
    <t>KIT,KNOB-CARRIAGE HANDLE ASSY</t>
  </si>
  <si>
    <t>R05.30.146.00</t>
  </si>
  <si>
    <t>KIT,MAGNET ASSY</t>
  </si>
  <si>
    <t>R05.30.148.04</t>
  </si>
  <si>
    <t>KIT,FOOT ASSEMBLIES-(4 PCS.)</t>
  </si>
  <si>
    <t>R05.30.156.00</t>
  </si>
  <si>
    <t>KIT,STRIKER PLATE,FS2HAC-66</t>
  </si>
  <si>
    <t>R05.30.203.00</t>
  </si>
  <si>
    <t>KIT,STRAINER ASSY-HCWBI SERIES</t>
  </si>
  <si>
    <t>R05.30.223.00</t>
  </si>
  <si>
    <t>KIT, PFST DOOR HANDLE-METAL</t>
  </si>
  <si>
    <t>R05.30.256.00</t>
  </si>
  <si>
    <t>KIT,2" LEG, ITQ</t>
  </si>
  <si>
    <t>R05.30.303.00</t>
  </si>
  <si>
    <t>KIT,HANDLE,IHDCH</t>
  </si>
  <si>
    <t>R05.30.312.00</t>
  </si>
  <si>
    <t>KIT,DRAWER HANDLE GUSDW</t>
  </si>
  <si>
    <t>R05.30.333.00</t>
  </si>
  <si>
    <t>KIT,MAGNETIC LATCH ASSY F2G</t>
  </si>
  <si>
    <t>R05.30.337.00</t>
  </si>
  <si>
    <t>KIT,LEG THREAD CONVERSION</t>
  </si>
  <si>
    <t>RD770607.00</t>
  </si>
  <si>
    <t>THERMISTOR ASSEMBLY, IRNG-PHC</t>
  </si>
  <si>
    <t>RMB-3X</t>
  </si>
  <si>
    <t>5 1/2" NON STANDARD REMOTE BOX</t>
  </si>
  <si>
    <t>X02.01.238.00</t>
  </si>
  <si>
    <t>CTRL BD RHW-01,2 220V W/BEEP</t>
  </si>
  <si>
    <t>X02.01.245.00</t>
  </si>
  <si>
    <t>WATER PROBE,P-EL-170-018-1</t>
  </si>
  <si>
    <t>X02.01.246.00</t>
  </si>
  <si>
    <t>MAIN BD,FLOM-18,P-EC-400-W10-0</t>
  </si>
  <si>
    <t>X02.01.249.00</t>
  </si>
  <si>
    <t>FLOAT SWITCH,P-EL-160-S02-0</t>
  </si>
  <si>
    <t>X02.01.250.00</t>
  </si>
  <si>
    <t>CONTROL RELAY,P-EL-010-J16-0</t>
  </si>
  <si>
    <t>X02.01.255.00</t>
  </si>
  <si>
    <t>CONTROL BOARD,QTS-1</t>
  </si>
  <si>
    <t>X02.01.256.00</t>
  </si>
  <si>
    <t>BOARD,TRIAC,QTS-1</t>
  </si>
  <si>
    <t>X02.01.258.00</t>
  </si>
  <si>
    <t>PCB ASSY,TPT-208</t>
  </si>
  <si>
    <t>X02.01.272.00</t>
  </si>
  <si>
    <t>FLOAT MAGNET,MAN FILL,STM-4G</t>
  </si>
  <si>
    <t>X02.01.276.00</t>
  </si>
  <si>
    <t>CONTRL BOARD,P-EC-401-WMO</t>
  </si>
  <si>
    <t>X02.01.280.00</t>
  </si>
  <si>
    <t>CORD GRIP,TPU</t>
  </si>
  <si>
    <t>X02.01.281.00</t>
  </si>
  <si>
    <t>TIMER SWITCH,TPU</t>
  </si>
  <si>
    <t>X02.01.303.00</t>
  </si>
  <si>
    <t>PCB,FM2SS,DISPLAY BOARD</t>
  </si>
  <si>
    <t>X02.01.304.00</t>
  </si>
  <si>
    <t>PCB,FM2SS,POWER</t>
  </si>
  <si>
    <t>X02.01.305.00</t>
  </si>
  <si>
    <t>PROBE,FM2SS,TEMP CONTROL</t>
  </si>
  <si>
    <t>X02.01.329.00</t>
  </si>
  <si>
    <t>PROBE,WATERLEVEL,FM2SS</t>
  </si>
  <si>
    <t>X02.01.330.00</t>
  </si>
  <si>
    <t>PCB,FM2SS POWER</t>
  </si>
  <si>
    <t>X02.01.373.00</t>
  </si>
  <si>
    <t>PCB,FM2SS,DISPLAY BOARD,V2</t>
  </si>
  <si>
    <t>X02.01.374.00</t>
  </si>
  <si>
    <t>PCB,FM2SS,POWER,V2</t>
  </si>
  <si>
    <t>X02.01.398.00</t>
  </si>
  <si>
    <t>THERMOSTAT W/SWITCH,MCG</t>
  </si>
  <si>
    <t>X02.01.477.00</t>
  </si>
  <si>
    <t>PROBE,TEMP,10K NTC,FSHCT</t>
  </si>
  <si>
    <t>X02.01.545.00</t>
  </si>
  <si>
    <t>THERMOSTAT,CREPE MAKER,KCME</t>
  </si>
  <si>
    <t>X02.01.546.00</t>
  </si>
  <si>
    <t>RELAY,240V,CREPE MAKER,KCME</t>
  </si>
  <si>
    <t>X02.01.554.00</t>
  </si>
  <si>
    <t>THERMOSTAT,SAUCE WARMER,KSW</t>
  </si>
  <si>
    <t>X02.05.595.00</t>
  </si>
  <si>
    <t>OBS HEAT ELEMENT RHW-01,2 220V</t>
  </si>
  <si>
    <t>X02.05.608.00</t>
  </si>
  <si>
    <t>2000W 240V BLKT,P-HA-CW2-200-0</t>
  </si>
  <si>
    <t>X02.05.619.00</t>
  </si>
  <si>
    <t>350W 220V WATER,P-HW-035-220</t>
  </si>
  <si>
    <t>X02.05.620.00</t>
  </si>
  <si>
    <t>1000W 220V AIR,P-HA-F02-100</t>
  </si>
  <si>
    <t>X02.05.627.00</t>
  </si>
  <si>
    <t>350W 120V WATER,P-</t>
  </si>
  <si>
    <t>X02.05.629.00</t>
  </si>
  <si>
    <t>110W 115V WATER ELE, FSHC-17W</t>
  </si>
  <si>
    <t>X02.05.671.00</t>
  </si>
  <si>
    <t>110W 220V WATER ELE, FSHC-17W</t>
  </si>
  <si>
    <t>X02.06.503.00</t>
  </si>
  <si>
    <t>HEAT ELEM,2.85K,P-HW-285-224-0</t>
  </si>
  <si>
    <t>X02.06.504.00</t>
  </si>
  <si>
    <t>ELEM,1KW 220V,P-HW-150-220-0</t>
  </si>
  <si>
    <t>X02.06.505.00</t>
  </si>
  <si>
    <t>ELEM,2000W,230V,FM2SS,RING</t>
  </si>
  <si>
    <t>X02.06.506.00</t>
  </si>
  <si>
    <t>ELEM,600W,230V,FM2SS,CENTER</t>
  </si>
  <si>
    <t>X02.06.507.00</t>
  </si>
  <si>
    <t>ELEM,6000W,380V,FLOM</t>
  </si>
  <si>
    <t>X02.08.622.00</t>
  </si>
  <si>
    <t>1500W 220V AIR EL FSHC-17W</t>
  </si>
  <si>
    <t>X02.08.628.00</t>
  </si>
  <si>
    <t>500W,230V,ELEMENT,GMFFL</t>
  </si>
  <si>
    <t>X02.08.669.00</t>
  </si>
  <si>
    <t>840W 120V TOP ELEM,MCG10G</t>
  </si>
  <si>
    <t>X02.08.670.00</t>
  </si>
  <si>
    <t>960W 120V BOTTOM ELEM,MCG10G</t>
  </si>
  <si>
    <t>X02.08.671.00</t>
  </si>
  <si>
    <t>840W 120V TOP ELEM,MCG14G</t>
  </si>
  <si>
    <t>X02.08.672.00</t>
  </si>
  <si>
    <t>960W 120V BOTTOM ELEM,MCG14G</t>
  </si>
  <si>
    <t>X02.08.673.00</t>
  </si>
  <si>
    <t>1200W 240V TOP ELEM,MCG14G</t>
  </si>
  <si>
    <t>X02.08.674.00</t>
  </si>
  <si>
    <t>1400W 240V BOTTOM ELEM,MCG14G</t>
  </si>
  <si>
    <t>X02.08.675.00</t>
  </si>
  <si>
    <t>880W 240V TOP ELEM,MCG20G</t>
  </si>
  <si>
    <t>X02.08.676.00</t>
  </si>
  <si>
    <t>1000W 240V BOTTOM ELEM,MCG10G</t>
  </si>
  <si>
    <t>X02.08.696.00</t>
  </si>
  <si>
    <t>350W 120V WATER EL FSHCT</t>
  </si>
  <si>
    <t>X02.08.697.00</t>
  </si>
  <si>
    <t>1250W 120V AIR EL FSHCT</t>
  </si>
  <si>
    <t>X02.08.698.00</t>
  </si>
  <si>
    <t>445W 208-240V WATER EL FSHCT</t>
  </si>
  <si>
    <t>X02.08.699.00</t>
  </si>
  <si>
    <t>1113W 208-240V AIR EL FSHCT</t>
  </si>
  <si>
    <t>X02.08.734.00</t>
  </si>
  <si>
    <t>1600W,115V,ELEM,KCME</t>
  </si>
  <si>
    <t>X02.08.735.00</t>
  </si>
  <si>
    <t>1250W,240V,ELEM,KCME</t>
  </si>
  <si>
    <t>X02.08.736.00</t>
  </si>
  <si>
    <t>725W,115V,ELEM,KCME</t>
  </si>
  <si>
    <t>X02.08.737.00</t>
  </si>
  <si>
    <t>900W,230V,ELEM,KCME</t>
  </si>
  <si>
    <t>X02.08.751.00</t>
  </si>
  <si>
    <t>SHLD HEATR,1750W,240V,UL,KGRDE</t>
  </si>
  <si>
    <t>X02.08.753.00</t>
  </si>
  <si>
    <t>FLEXI REHEATER,170W,110V,KGRDE</t>
  </si>
  <si>
    <t>X02.08.755.00</t>
  </si>
  <si>
    <t>ELEMENT,KWMSL,1300W,240V</t>
  </si>
  <si>
    <t>X02.09.274.00</t>
  </si>
  <si>
    <t>HEAT ELEM,TPT-240,120V,337W</t>
  </si>
  <si>
    <t>X02.09.275.00</t>
  </si>
  <si>
    <t>HEATING ELEM ASSY,TPT-230-4</t>
  </si>
  <si>
    <t>X02.12.084.00</t>
  </si>
  <si>
    <t>FAN,GUARD TM</t>
  </si>
  <si>
    <t>X02.12.092.00</t>
  </si>
  <si>
    <t>CIRC MOTOR,220V,P-BL-200-120-0</t>
  </si>
  <si>
    <t>X02.12.093.00</t>
  </si>
  <si>
    <t>COOLING FAN</t>
  </si>
  <si>
    <t>X02.12.099.00</t>
  </si>
  <si>
    <t>FAN BLADE,BLOW MTR,FSHC-12/17</t>
  </si>
  <si>
    <t>X02.12.170.00</t>
  </si>
  <si>
    <t>BLOWER WHEEL,FSHCT</t>
  </si>
  <si>
    <t>X02.13.331.00</t>
  </si>
  <si>
    <t>RHEOSTAT 80 OHM 120V TM-LEADS</t>
  </si>
  <si>
    <t>X02.13.332.00</t>
  </si>
  <si>
    <t>INTERFERENCE FILTER,QTS-1</t>
  </si>
  <si>
    <t>X02.15.052.00</t>
  </si>
  <si>
    <t>T-BLOCK 3P 15 AMP TM</t>
  </si>
  <si>
    <t>X02.15.053.00</t>
  </si>
  <si>
    <t>T-BLOCK,3P,FSHC-12/17</t>
  </si>
  <si>
    <t>X02.15.054.00</t>
  </si>
  <si>
    <t>T-BLOCK,QTS</t>
  </si>
  <si>
    <t>X02.15.076.00</t>
  </si>
  <si>
    <t>T-BLOCK,FSHCT</t>
  </si>
  <si>
    <t>X02.15.078.00</t>
  </si>
  <si>
    <t>T-BLOCK,4-POLE,FSHCT</t>
  </si>
  <si>
    <t>X02.16.129.00</t>
  </si>
  <si>
    <t>HI LIMIT/SENSOR RHW-01,2 220V</t>
  </si>
  <si>
    <t>X02.16.133.00</t>
  </si>
  <si>
    <t>HI LIM,RCTHW-1E,P-EC-405-012-0</t>
  </si>
  <si>
    <t>X02.16.134.00</t>
  </si>
  <si>
    <t>HI LIM CONTROL,P-EL-060-140-0</t>
  </si>
  <si>
    <t>X02.16.136.00</t>
  </si>
  <si>
    <t>TSTAT AIR &amp; HUM,P-EL-050-085-0</t>
  </si>
  <si>
    <t>X02.16.137.00</t>
  </si>
  <si>
    <t>TEMP IND 220V,P-EL-100-001-0</t>
  </si>
  <si>
    <t>X02.16.142.00</t>
  </si>
  <si>
    <t>T-STAT W/BULB,90-190F,FSHC-17W</t>
  </si>
  <si>
    <t>X02.16.145.00</t>
  </si>
  <si>
    <t>THERMOSTAT,HI-LIMIT,QTS-1</t>
  </si>
  <si>
    <t>X02.16.155.00</t>
  </si>
  <si>
    <t>TSTAT,LIMIT,MECH SURF,135C,MAN</t>
  </si>
  <si>
    <t>X02.16.156.00</t>
  </si>
  <si>
    <t>TSTAT,LIMIT,MECH SURF,192C</t>
  </si>
  <si>
    <t>X02.17.070.00</t>
  </si>
  <si>
    <t>TRANS,220-9.5V,P-LT-330-W22-0</t>
  </si>
  <si>
    <t>X02.17.071.00</t>
  </si>
  <si>
    <t>TRANSFORMER,QTS-1</t>
  </si>
  <si>
    <t>X02.18.1112.00</t>
  </si>
  <si>
    <t>FLEXI WIRE CONECT,11.81",KWM</t>
  </si>
  <si>
    <t>X02.18.1131.00</t>
  </si>
  <si>
    <t>CORD,PWR,5-15P,SAUCE MAKER,KSW</t>
  </si>
  <si>
    <t>X02.18.1178.00</t>
  </si>
  <si>
    <t>CORD,PWR,6-20P,WAF MAKER,KWMSL</t>
  </si>
  <si>
    <t>X02.18.156.00</t>
  </si>
  <si>
    <t>CORD,CONTROL,RHW</t>
  </si>
  <si>
    <t>X02.18.170.00</t>
  </si>
  <si>
    <t>CORD,CONTROL,RCTHW</t>
  </si>
  <si>
    <t>X02.18.187.00</t>
  </si>
  <si>
    <t>CORD,UK-BS,POWER,RHW-01,2</t>
  </si>
  <si>
    <t>X02.18.188.00</t>
  </si>
  <si>
    <t>SOCKET,UK-BS,POWER,RHW-01,2</t>
  </si>
  <si>
    <t>X02.18.208.00</t>
  </si>
  <si>
    <t>SERVICE,POWER CORD,FMSS-7</t>
  </si>
  <si>
    <t>X02.18.217.00</t>
  </si>
  <si>
    <t>CORD,RCTHW,P-EL-300-BS1-3</t>
  </si>
  <si>
    <t>X02.18.222.00</t>
  </si>
  <si>
    <t>CORD,20A 125V,SJTOW,14/3,HC-17</t>
  </si>
  <si>
    <t>X02.18.254.00</t>
  </si>
  <si>
    <t>CORD,15A 125V,SJTOW,14/3,HC-17</t>
  </si>
  <si>
    <t>X02.18.256.00</t>
  </si>
  <si>
    <t>CORD,15A 250V,SJTOW,14/3,HC-17</t>
  </si>
  <si>
    <t>X02.18.364.00</t>
  </si>
  <si>
    <t>POWER CORD,IRX SERIES,BS1363</t>
  </si>
  <si>
    <t>X02.18.365.00</t>
  </si>
  <si>
    <t>POWER CORD,IRBR2-6200,NO PLUG</t>
  </si>
  <si>
    <t>X02.18.395.00</t>
  </si>
  <si>
    <t>POWER CORD,IRG15-3000,BS1363</t>
  </si>
  <si>
    <t>X02.18.608.00</t>
  </si>
  <si>
    <t>FLEX WIRE CONNECTOR,9.84" MCG</t>
  </si>
  <si>
    <t>X02.18.901.00</t>
  </si>
  <si>
    <t>MULTI CONTACT GRILL CORD,5-15P</t>
  </si>
  <si>
    <t>X02.18.902.00</t>
  </si>
  <si>
    <t>MULTI CONTACT GRILL CORD,5-20P</t>
  </si>
  <si>
    <t>X02.18.904.00</t>
  </si>
  <si>
    <t>MULTI CONTACT GRILL CORD,6-20P</t>
  </si>
  <si>
    <t>X02.19.176.00</t>
  </si>
  <si>
    <t>INDICATOR LIGHT RED 220V TM</t>
  </si>
  <si>
    <t>X02.19.179.00</t>
  </si>
  <si>
    <t>ON/OFF SWITCH,P-EL-080-15A-3</t>
  </si>
  <si>
    <t>X02.19.180.00</t>
  </si>
  <si>
    <t>ON/OFF SWITCH,P-EL-080-15A-1</t>
  </si>
  <si>
    <t>X02.19.182.00</t>
  </si>
  <si>
    <t>IN LAMP 220 GRN,P-LT-100-R00-0</t>
  </si>
  <si>
    <t>X02.19.185.00</t>
  </si>
  <si>
    <t>IN LAMP 120 GRN,P-</t>
  </si>
  <si>
    <t>X02.19.186.00</t>
  </si>
  <si>
    <t>DOOR SWITCH,P-</t>
  </si>
  <si>
    <t>X02.19.187.00</t>
  </si>
  <si>
    <t>SWITCH INF HUMID,120V,FSHC-17W</t>
  </si>
  <si>
    <t>X02.19.188.00</t>
  </si>
  <si>
    <t>SWITCH ROC SPST 20A 125-277ILL</t>
  </si>
  <si>
    <t>X02.19.189.00</t>
  </si>
  <si>
    <t>ENCODER SWITCH,TIME/TEMP,QTS1</t>
  </si>
  <si>
    <t>X02.19.190.00</t>
  </si>
  <si>
    <t>SWITCH,ON/OFF,QTS-1 KIT</t>
  </si>
  <si>
    <t>X02.19.191.00</t>
  </si>
  <si>
    <t>MICRO SWITCH,QTS-1</t>
  </si>
  <si>
    <t>X02.19.193.00</t>
  </si>
  <si>
    <t>SWITCH,DPDT,MICRO</t>
  </si>
  <si>
    <t>X02.19.195.00</t>
  </si>
  <si>
    <t>SWITCH,ROCKER,GMFFL</t>
  </si>
  <si>
    <t>X02.19.203.00</t>
  </si>
  <si>
    <t>INDICATOR LAMP,TPU</t>
  </si>
  <si>
    <t>X02.19.204.00</t>
  </si>
  <si>
    <t>SWITCH,TPU-230-4,2 POSITION</t>
  </si>
  <si>
    <t>X02.19.205.00</t>
  </si>
  <si>
    <t>SWITCH,TPU-230-6,2 POSITION</t>
  </si>
  <si>
    <t>X02.19.207.00</t>
  </si>
  <si>
    <t>SW,INF HUMID,220-240V,FSHC-17W</t>
  </si>
  <si>
    <t>X02.19.217.00</t>
  </si>
  <si>
    <t>ENCODER,IRBR-6200</t>
  </si>
  <si>
    <t>X02.19.253.00</t>
  </si>
  <si>
    <t>SWITCH,FSHCT</t>
  </si>
  <si>
    <t>X02.19.283.00</t>
  </si>
  <si>
    <t>T-BLOCK,PWR DIST,KCME</t>
  </si>
  <si>
    <t>X02.19.284.00</t>
  </si>
  <si>
    <t>SWITCH,ON/OFF,CREPE MAKER,KCME</t>
  </si>
  <si>
    <t>X02.19.286.00</t>
  </si>
  <si>
    <t>T-BLOCK,240V,CREPE MAKER,KCME</t>
  </si>
  <si>
    <t>X02.19.287.00</t>
  </si>
  <si>
    <t>T-STAT,SP,THERMAL CB,KCME</t>
  </si>
  <si>
    <t>X02.19.289.00</t>
  </si>
  <si>
    <t>T-BLOK,PWR DIST,240V,KWM18-2LG</t>
  </si>
  <si>
    <t>X02.19.290.00</t>
  </si>
  <si>
    <t>CONNECTION BOX,2P&amp;E,16A</t>
  </si>
  <si>
    <t>X02.19.291.00</t>
  </si>
  <si>
    <t>CIRCUIT BREAKER,SP,THERMAL,KSW</t>
  </si>
  <si>
    <t>X02.20.338.00</t>
  </si>
  <si>
    <t>CORD STRAIN RELIEF BUSHING,RHW</t>
  </si>
  <si>
    <t>X02.20.339.00</t>
  </si>
  <si>
    <t>BUSHING DISP,P-PZ-001-001-0</t>
  </si>
  <si>
    <t>X02.20.344.00</t>
  </si>
  <si>
    <t>PLUNGER,SOLENOID,TPT-208/240</t>
  </si>
  <si>
    <t>X02.20.345.00</t>
  </si>
  <si>
    <t>CORD STRAIN RELIEF,GMFFL</t>
  </si>
  <si>
    <t>X02.20.390.00</t>
  </si>
  <si>
    <t>CORD GRIP,STRT,.309-.430,FM2SS</t>
  </si>
  <si>
    <t>X02.20.456.00</t>
  </si>
  <si>
    <t>TSTAT LIMIT MECH SURF 320F MCG</t>
  </si>
  <si>
    <t>X02.21.041.00</t>
  </si>
  <si>
    <t>SAFETY THERMOCOUPLE,KCMG/KGRDG</t>
  </si>
  <si>
    <t>X02.21.042.00</t>
  </si>
  <si>
    <t>VALVE FLANGE,KCMG/KGRDG</t>
  </si>
  <si>
    <t>X02.21.043.00</t>
  </si>
  <si>
    <t>LIGHTER W/TRIG ELECTRODE,KGRDG</t>
  </si>
  <si>
    <t>X02.21.044.00</t>
  </si>
  <si>
    <t>LIGHTER,PHOTOELEC,125DEG,KGRDG</t>
  </si>
  <si>
    <t>X02.21.045.00</t>
  </si>
  <si>
    <t>SPARK PLUG,CERAMIC,KCMG</t>
  </si>
  <si>
    <t>X02.21.046.00</t>
  </si>
  <si>
    <t>BRASS INJECTOR,160/100,6P,KCMG</t>
  </si>
  <si>
    <t>X02.21.047.00</t>
  </si>
  <si>
    <t>PRESSURE REG,3/8NPT,KCMG/KGRDG</t>
  </si>
  <si>
    <t>X02.21.048.00</t>
  </si>
  <si>
    <t>BRASS INJECTOR,85/100,6P,10MB</t>
  </si>
  <si>
    <t>X02.21.049.00</t>
  </si>
  <si>
    <t>AIR RING,KCMG</t>
  </si>
  <si>
    <t>X02.21.050.00</t>
  </si>
  <si>
    <t>KNOB,GAS,GRADUATER 1/10,KCMG</t>
  </si>
  <si>
    <t>X02.21.052.00</t>
  </si>
  <si>
    <t>SUPPLY RAIL FRM,8ARM,KCMG-1RND</t>
  </si>
  <si>
    <t>X02.21.054.00</t>
  </si>
  <si>
    <t>PIN,SUPPORT FRAME,KCMG-1RND</t>
  </si>
  <si>
    <t>X02.21.055.00</t>
  </si>
  <si>
    <t>PROTECTOR,SENSOR,KCMG</t>
  </si>
  <si>
    <t>X02.21.056.00</t>
  </si>
  <si>
    <t>THERMOSTAT,GAS,KCMG</t>
  </si>
  <si>
    <t>X02.21.057.00</t>
  </si>
  <si>
    <t>PIPE FRAME,KCME-1RND</t>
  </si>
  <si>
    <t>X02.21.058.00</t>
  </si>
  <si>
    <t>KNOB,GAS,GRADUATED 1-10,KCMG</t>
  </si>
  <si>
    <t>X02.21.060.00</t>
  </si>
  <si>
    <t>PIPE FRAME,KCMG-1RCT</t>
  </si>
  <si>
    <t>X02.21.061.00</t>
  </si>
  <si>
    <t>SUP RAIL CHASSI,8ARM,KCMG-2RCT</t>
  </si>
  <si>
    <t>X02.21.062.00</t>
  </si>
  <si>
    <t>BRASS INJECTOR,120/100,6P,10MB</t>
  </si>
  <si>
    <t>X02.21.063.00</t>
  </si>
  <si>
    <t>SPARK PLUG,KGRDG</t>
  </si>
  <si>
    <t>X02.21.065.00</t>
  </si>
  <si>
    <t>INJECTOR HOLDER,KGRDG</t>
  </si>
  <si>
    <t>X02.21.067.00</t>
  </si>
  <si>
    <t>PIPE,GAS,KGRDG</t>
  </si>
  <si>
    <t>X02.21.070.00</t>
  </si>
  <si>
    <t>KNOB,GAS,KGRDG</t>
  </si>
  <si>
    <t>X02.21.071.00</t>
  </si>
  <si>
    <t>RING,THERMOSTAT,KGRDG</t>
  </si>
  <si>
    <t>X02.21.072.00</t>
  </si>
  <si>
    <t>DRIP TRAY,KGRDG-2513</t>
  </si>
  <si>
    <t>X02.21.073.00</t>
  </si>
  <si>
    <t>THERMOSTAT,GAS,KGRDG</t>
  </si>
  <si>
    <t>X02.22.014.00</t>
  </si>
  <si>
    <t>HEATING ELEM,1500W,230V,QTS-1</t>
  </si>
  <si>
    <t>X02.30.102.00</t>
  </si>
  <si>
    <t>LIGHT SOCKET,P-LT-600-138-0</t>
  </si>
  <si>
    <t>X02.30.103.00</t>
  </si>
  <si>
    <t>LIGHT BULB,220V,P-LT-220-060-2</t>
  </si>
  <si>
    <t>X02.30.114.00</t>
  </si>
  <si>
    <t>OBSBULB,60W,230V,GMFFL,SERVICE</t>
  </si>
  <si>
    <t>X02.30.173.00</t>
  </si>
  <si>
    <t>INDICATOR LAMP SET,MCG</t>
  </si>
  <si>
    <t>X02.40.046.00</t>
  </si>
  <si>
    <t>DIODE,TM</t>
  </si>
  <si>
    <t>X03.02.043.00</t>
  </si>
  <si>
    <t>OBSVALVE,DRN,RCTHW,P-PL-E12-090-0</t>
  </si>
  <si>
    <t>X03.02.044.00</t>
  </si>
  <si>
    <t>ELB,DRAIN,RCTHW,P-PU-025-019-0</t>
  </si>
  <si>
    <t>X03.02.045.00</t>
  </si>
  <si>
    <t>DELIME FILL CAP,P-PZ-016-010-0</t>
  </si>
  <si>
    <t>X03.02.046.00</t>
  </si>
  <si>
    <t>SOLENOID VALVE,P-EL-200-C34-0</t>
  </si>
  <si>
    <t>X03.02.047.00</t>
  </si>
  <si>
    <t>DISPENSE VALVE,P-EL-210-C34-0</t>
  </si>
  <si>
    <t>X03.02.050.00</t>
  </si>
  <si>
    <t>WATER TANK OUT,H-HA-FLO-002-0</t>
  </si>
  <si>
    <t>X03.02.051.00</t>
  </si>
  <si>
    <t>FILL SOLENOID,P-EL-210-C12-0</t>
  </si>
  <si>
    <t>X03.02.059.00</t>
  </si>
  <si>
    <t>DISPENSE VALVE,HDCM05-01</t>
  </si>
  <si>
    <t>X03.02.066.00</t>
  </si>
  <si>
    <t>DISPENSE VALVE,FLOM-18,40,80</t>
  </si>
  <si>
    <t>X03.02.079.00</t>
  </si>
  <si>
    <t>FAUCET,FM2SS,DISPENSE</t>
  </si>
  <si>
    <t>X03.40.101.00</t>
  </si>
  <si>
    <t>WATER REL FITNG,P-PZ-016-009-0</t>
  </si>
  <si>
    <t>X03.40.102.00</t>
  </si>
  <si>
    <t>PIPE NIP,DISPEN,P-EL-390-001-0</t>
  </si>
  <si>
    <t>X04.05.434.00</t>
  </si>
  <si>
    <t>TOP COVER W/INSUL TM-10H</t>
  </si>
  <si>
    <t>X04.05.435.00</t>
  </si>
  <si>
    <t>TOP COVER W/INSUL TM-5H</t>
  </si>
  <si>
    <t>X04.05.436.00</t>
  </si>
  <si>
    <t>SIDE PANEL,LH,TM</t>
  </si>
  <si>
    <t>X04.05.437.00</t>
  </si>
  <si>
    <t>SIDE PANEL,RH,TM</t>
  </si>
  <si>
    <t>X04.05.438.00</t>
  </si>
  <si>
    <t>REAR DISCHARGE TRAY TM-10H</t>
  </si>
  <si>
    <t>X04.05.439.00</t>
  </si>
  <si>
    <t>REAR DISCHARGE TRAY TM-5H</t>
  </si>
  <si>
    <t>X04.05.440.00</t>
  </si>
  <si>
    <t>DISCHARGE VANE TM-5H</t>
  </si>
  <si>
    <t>X04.05.441.00</t>
  </si>
  <si>
    <t>DISCHARGE VANE TM-10H</t>
  </si>
  <si>
    <t>X04.05.446.00</t>
  </si>
  <si>
    <t>COOLING FAN COVER TM-10H</t>
  </si>
  <si>
    <t>X04.05.449.00</t>
  </si>
  <si>
    <t>BRACKET,HEATING ELEMENT,TM</t>
  </si>
  <si>
    <t>X04.05.526.00</t>
  </si>
  <si>
    <t>OBSLOW REFL,TM-5,H-TQ-010-031-1</t>
  </si>
  <si>
    <t>X04.05.528.00</t>
  </si>
  <si>
    <t>LOW REFL,TM-10,H-TQ-010-031-0</t>
  </si>
  <si>
    <t>X04.05.546.00</t>
  </si>
  <si>
    <t>CARRIAGE HANDLE ASSY,TPT-A</t>
  </si>
  <si>
    <t>X04.05.554.00</t>
  </si>
  <si>
    <t>PANEL,SIDE,TPU</t>
  </si>
  <si>
    <t>X04.05.556.00</t>
  </si>
  <si>
    <t>COVER,BOTTOM,TPU-230-4</t>
  </si>
  <si>
    <t>X04.05.557.00</t>
  </si>
  <si>
    <t>CRUMB TRAY,TPU-230-4</t>
  </si>
  <si>
    <t>X04.05.558.00</t>
  </si>
  <si>
    <t>JACKET,TPU-230-4</t>
  </si>
  <si>
    <t>X04.05.559.00</t>
  </si>
  <si>
    <t>COVER,BOTTOM,TPU-230-6</t>
  </si>
  <si>
    <t>X04.05.560.00</t>
  </si>
  <si>
    <t>CRUMB TRAY,TPU-230-6</t>
  </si>
  <si>
    <t>X04.08.536.00</t>
  </si>
  <si>
    <t>FRONT END PLATE,GMFFL</t>
  </si>
  <si>
    <t>X04.08.537.00</t>
  </si>
  <si>
    <t>FRONT HEAT BARRIER,GMFFL</t>
  </si>
  <si>
    <t>X04.08.538.00</t>
  </si>
  <si>
    <t>SIGN HOLDER INSERT,GMFFL</t>
  </si>
  <si>
    <t>X04.08.540.00</t>
  </si>
  <si>
    <t>REAR HEAT BARRIER,GMFFL</t>
  </si>
  <si>
    <t>X04.08.541.00</t>
  </si>
  <si>
    <t>REAR CONTROL PANEL,GMFFL</t>
  </si>
  <si>
    <t>X04.08.542.00</t>
  </si>
  <si>
    <t>SUPPORT TUBE,GMFFL,BLACK</t>
  </si>
  <si>
    <t>X04.09.733.00</t>
  </si>
  <si>
    <t>GRILL PLATE,QTS-1</t>
  </si>
  <si>
    <t>X04.09.734.00</t>
  </si>
  <si>
    <t>X04.09.934.00</t>
  </si>
  <si>
    <t>X04.09.935.00</t>
  </si>
  <si>
    <t>X04.17.1050.00</t>
  </si>
  <si>
    <t>FRONT CTRL PNL,H-LE-010-005-0</t>
  </si>
  <si>
    <t>X04.17.1051.00</t>
  </si>
  <si>
    <t>TOP COVER,H-LE-010-007-0</t>
  </si>
  <si>
    <t>X04.17.1052.00</t>
  </si>
  <si>
    <t>DOOR HANDLE,P-MA-040-C09-0</t>
  </si>
  <si>
    <t>X04.17.1053.00</t>
  </si>
  <si>
    <t>WATER TANK,H-LE-010-010-0</t>
  </si>
  <si>
    <t>X04.17.1054.00</t>
  </si>
  <si>
    <t>4-TIER CICLE PAN RACK</t>
  </si>
  <si>
    <t>X04.17.1055.00</t>
  </si>
  <si>
    <t>RACK COUPLING</t>
  </si>
  <si>
    <t>X04.17.1056.00</t>
  </si>
  <si>
    <t>4-SHELF MULTI PURPOSE RACK</t>
  </si>
  <si>
    <t>X04.17.1057.00</t>
  </si>
  <si>
    <t>CHAMBER COVER</t>
  </si>
  <si>
    <t>X04.17.1138.00</t>
  </si>
  <si>
    <t>FLVM GLASS DOOR H-LE-010-011-0</t>
  </si>
  <si>
    <t>X04.17.1164.00</t>
  </si>
  <si>
    <t>METAL TRIM CHANNEL,SIDE GLASS</t>
  </si>
  <si>
    <t>X04.17.1186.00</t>
  </si>
  <si>
    <t>PAN SLIDE,FSHC-12/17</t>
  </si>
  <si>
    <t>X04.17.1277.00</t>
  </si>
  <si>
    <t>HEAT TUNNEL COVER,FSHC-12/17</t>
  </si>
  <si>
    <t>X04.17.1382.00</t>
  </si>
  <si>
    <t>CASTER,5" RIGID,FSHC-12,-17</t>
  </si>
  <si>
    <t>X04.17.1383.00</t>
  </si>
  <si>
    <t>CASTER,5" SWIVEL,W/BRK,HC-12</t>
  </si>
  <si>
    <t>X04.19.1005.00</t>
  </si>
  <si>
    <t>BOTTOM COVER,RHW-01</t>
  </si>
  <si>
    <t>X04.19.1007.00</t>
  </si>
  <si>
    <t>BOTTOM COVER,RHW-02</t>
  </si>
  <si>
    <t>X04.19.1064.00</t>
  </si>
  <si>
    <t>BOX COVER,RHW-XB</t>
  </si>
  <si>
    <t>X04.19.1088.00</t>
  </si>
  <si>
    <t>MOUNTING BRACKET,RHW-XB</t>
  </si>
  <si>
    <t>X04.19.1092.00</t>
  </si>
  <si>
    <t>BOTTOM COVER,RCTHW-1B</t>
  </si>
  <si>
    <t>X04.19.1098.00</t>
  </si>
  <si>
    <t>POT,11QT W/HANDLES</t>
  </si>
  <si>
    <t>X04.19.1121.00</t>
  </si>
  <si>
    <t>WATER PAN,RCTHW,P-MA-380-001-0</t>
  </si>
  <si>
    <t>X04.19.1122.00</t>
  </si>
  <si>
    <t>BRKT,SENSOR,RCT,H-BM-010-022-0</t>
  </si>
  <si>
    <t>X04.19.1124.00</t>
  </si>
  <si>
    <t>ENCLOSURE,RCTHW,H-BM-010-024-0</t>
  </si>
  <si>
    <t>X04.19.1125.00</t>
  </si>
  <si>
    <t>BOTT CVR,RCTHW,H-BM-010-025-0</t>
  </si>
  <si>
    <t>X04.20.085.00</t>
  </si>
  <si>
    <t>PLATE DETECTION BAR,QTS-1</t>
  </si>
  <si>
    <t>X04.20.086.00</t>
  </si>
  <si>
    <t>BRACKET,MOVING PANEL,QTS-1</t>
  </si>
  <si>
    <t>X04.26.390.00</t>
  </si>
  <si>
    <t>HINGE EDGEMOUNT,FSHC-12/17</t>
  </si>
  <si>
    <t>X04.26.391.00</t>
  </si>
  <si>
    <t>LATCH,MAGNETIC,FSHC-12/17</t>
  </si>
  <si>
    <t>X04.34.393.00</t>
  </si>
  <si>
    <t>HOOD ASSY,QTS-1</t>
  </si>
  <si>
    <t>X04.34.423.00</t>
  </si>
  <si>
    <t>Wall Mounting Bracket,QTS</t>
  </si>
  <si>
    <t>X04.36.003.00</t>
  </si>
  <si>
    <t>TOP COVER,H-IM-020-001-H</t>
  </si>
  <si>
    <t>X04.36.004.00</t>
  </si>
  <si>
    <t>TANK COVER,H-IM-020-002-H</t>
  </si>
  <si>
    <t>X04.36.020.00</t>
  </si>
  <si>
    <t>JACKET ASSY,H-IM-020-003-H</t>
  </si>
  <si>
    <t>X04.36.021.00</t>
  </si>
  <si>
    <t>SOLENOID BRKT,H-IM-020-004-H</t>
  </si>
  <si>
    <t>X04.36.022.00</t>
  </si>
  <si>
    <t>FRONT COVER,H-IM-020-005-H</t>
  </si>
  <si>
    <t>X04.36.023.00</t>
  </si>
  <si>
    <t>SHELF,H-IM-020-006-H</t>
  </si>
  <si>
    <t>X04.36.024.00</t>
  </si>
  <si>
    <t>FRONT CTRL PNL,H-IM-020-007-H</t>
  </si>
  <si>
    <t>X04.36.025.00</t>
  </si>
  <si>
    <t>DRIP TRAY,H-IM-020-008-H</t>
  </si>
  <si>
    <t>X04.36.026.00</t>
  </si>
  <si>
    <t>WATER TANK,H-IM-020-009-H</t>
  </si>
  <si>
    <t>X04.36.027.00</t>
  </si>
  <si>
    <t>FRONT COVER,P-PZ-016-007-0</t>
  </si>
  <si>
    <t>X04.36.028.00</t>
  </si>
  <si>
    <t>JACKET,SS,H-HA-FLO-001-0</t>
  </si>
  <si>
    <t>X04.36.029.00</t>
  </si>
  <si>
    <t>BRKT,TANK,H-HA-FLO-003-0</t>
  </si>
  <si>
    <t>X04.36.030.00</t>
  </si>
  <si>
    <t>WATER TANK,FRT,P-MA-860-R01-0</t>
  </si>
  <si>
    <t>X04.36.031.00</t>
  </si>
  <si>
    <t>WATER TANK,REAR,P-MA-860-L01-0</t>
  </si>
  <si>
    <t>X04.36.032.00</t>
  </si>
  <si>
    <t>BRKT,CONTROLS,H-HA-FLO-004-0</t>
  </si>
  <si>
    <t>X04.36.033.00</t>
  </si>
  <si>
    <t>BACK PANEL,H-HA-FLO-005-0</t>
  </si>
  <si>
    <t>X04.36.034.00</t>
  </si>
  <si>
    <t>MNT BRKT,H-HA-FLO-009-0</t>
  </si>
  <si>
    <t>X04.36.035.00</t>
  </si>
  <si>
    <t>CTRL PNL BOTTOM,H-HA-FLO-008-0</t>
  </si>
  <si>
    <t>X04.36.036.00</t>
  </si>
  <si>
    <t>DRIP TRAY ASSY,P-PZ-016-006-0</t>
  </si>
  <si>
    <t>X04.36.040.00</t>
  </si>
  <si>
    <t>COVER ASSY,FM2SS</t>
  </si>
  <si>
    <t>X04.36.041.00</t>
  </si>
  <si>
    <t>FILTER,BASKET,COVER,FM2SS,62MM</t>
  </si>
  <si>
    <t>X04.36.042.00</t>
  </si>
  <si>
    <t>PUMP ASSY,FMSS,BREW RISER TUBE</t>
  </si>
  <si>
    <t>X04.36.043.00</t>
  </si>
  <si>
    <t>SERVICE,BODY ASSY,FMSS-7</t>
  </si>
  <si>
    <t>X04.36.044.00</t>
  </si>
  <si>
    <t>SERVICE,HANDLE ASSY,FMSS-7</t>
  </si>
  <si>
    <t>X04.36.045.00</t>
  </si>
  <si>
    <t>SERVICE,DECO ASSY,FMSS-7</t>
  </si>
  <si>
    <t>X04.36.046.00</t>
  </si>
  <si>
    <t>SERVICE,GLASS TUBE ASSY,FMSS-7</t>
  </si>
  <si>
    <t>X04.36.047.00</t>
  </si>
  <si>
    <t>SERVICE,FAUCET ASSY,FMSS-7</t>
  </si>
  <si>
    <t>X04.36.048.00</t>
  </si>
  <si>
    <t>SERVICE,HEATER ASSY,FMSS-7</t>
  </si>
  <si>
    <t>X04.36.049.00</t>
  </si>
  <si>
    <t>SERVICE,BI-METAL ASSY,FMSS-7</t>
  </si>
  <si>
    <t>X04.36.050.00</t>
  </si>
  <si>
    <t>SERVICE,BASE ASSY,FMSS-7</t>
  </si>
  <si>
    <t>X04.36.051.00</t>
  </si>
  <si>
    <t>SERVICE,FOOT ASSY,FMSS-7</t>
  </si>
  <si>
    <t>X04.36.052.00</t>
  </si>
  <si>
    <t>SERVICE,PCB ASSY,FMSS-7</t>
  </si>
  <si>
    <t>X04.36.053.00</t>
  </si>
  <si>
    <t>SERVICE,CONTROL PNL,FMSS-7</t>
  </si>
  <si>
    <t>X04.36.054.00</t>
  </si>
  <si>
    <t>SIGHT GLASS TUBE KIT,FM2SS</t>
  </si>
  <si>
    <t>X04.36.055.00</t>
  </si>
  <si>
    <t>BASE,FM2SS</t>
  </si>
  <si>
    <t>X04.36.056.00</t>
  </si>
  <si>
    <t>CONTROL PANEL,FM2SS</t>
  </si>
  <si>
    <t>X04.36.058.00</t>
  </si>
  <si>
    <t>VENT CAP,SIGHT GLASS,FM2SS</t>
  </si>
  <si>
    <t>X04.36.059.00</t>
  </si>
  <si>
    <t>PANEL,SIGHT GLASS DECO,FM2SS</t>
  </si>
  <si>
    <t>X04.36.087.00</t>
  </si>
  <si>
    <t>PUMPING TUBE,FMSS</t>
  </si>
  <si>
    <t>X04.36.089.00</t>
  </si>
  <si>
    <t>WIRE HANDLE,FMSS</t>
  </si>
  <si>
    <t>X04.36.090.00</t>
  </si>
  <si>
    <t>FILTER,BASKET,CVR,FM2SS,110mm</t>
  </si>
  <si>
    <t>X04.36.091.00</t>
  </si>
  <si>
    <t>PUMPING TUBE,FM2SS,110mm</t>
  </si>
  <si>
    <t>X04.40.255.00</t>
  </si>
  <si>
    <t>GLASS SIDE PNL,P-GL-HC0-503-0</t>
  </si>
  <si>
    <t>X04.40.256.00</t>
  </si>
  <si>
    <t>GLASS DOOR PNL,P-GL-HC0-515-0</t>
  </si>
  <si>
    <t>X04.40.288.00</t>
  </si>
  <si>
    <t>CERAMIC GLASS,21.25x12,QTS-1</t>
  </si>
  <si>
    <t>X04.48.029.00</t>
  </si>
  <si>
    <t>FSHC-12/17 WATER PAN,LONG</t>
  </si>
  <si>
    <t>X04.48.031.00</t>
  </si>
  <si>
    <t>FSHC-12/17 DRAIN STOPPER</t>
  </si>
  <si>
    <t>X04.48.053.00</t>
  </si>
  <si>
    <t>FSHC-12/17 WATER PAN,SHORT</t>
  </si>
  <si>
    <t>X04.56.691.00</t>
  </si>
  <si>
    <t>SCRAPER,MCG</t>
  </si>
  <si>
    <t>X04.58.360.00</t>
  </si>
  <si>
    <t>WATER PAN BAFFLE,FSHCT</t>
  </si>
  <si>
    <t>X04.58.380.00</t>
  </si>
  <si>
    <t>HEAT TUNNEL,FSHCT</t>
  </si>
  <si>
    <t>X04.58.434.00</t>
  </si>
  <si>
    <t>DOOR,LEXAN,CONTROL,FSHC-17D</t>
  </si>
  <si>
    <t>X04.58.435.00</t>
  </si>
  <si>
    <t>DOOR,LEXAN,CONTROL,FSHC-12W</t>
  </si>
  <si>
    <t>X04.58.436.00</t>
  </si>
  <si>
    <t>DOOR,LEXAN,CONTROL,FSHC-17W</t>
  </si>
  <si>
    <t>X04.58.437.00</t>
  </si>
  <si>
    <t>DOOR,SS,UP,NON-CTRL,FSHC17W2D</t>
  </si>
  <si>
    <t>X04.58.438.00</t>
  </si>
  <si>
    <t>DOOR,SS,LOW,NON-CTRL,FSHC17W2D</t>
  </si>
  <si>
    <t>X04.58.439.00</t>
  </si>
  <si>
    <t>DOOR,LEX,NON-CONTROL,FSHC-12W2</t>
  </si>
  <si>
    <t>X04.58.440.00</t>
  </si>
  <si>
    <t>DOOR,LEX,LO,NON-CTRL,FSHC17W2D</t>
  </si>
  <si>
    <t>X04.58.441.00</t>
  </si>
  <si>
    <t>DOOR,SS,CONTROL,FSHC-17W2D</t>
  </si>
  <si>
    <t>X04.58.442.00</t>
  </si>
  <si>
    <t>DOOR,LEX,UP,NON-CTRL,FSHC17W2D</t>
  </si>
  <si>
    <t>X04.58.443.00</t>
  </si>
  <si>
    <t>DOOR,LEX,NON-CONTROL,FSHC-17W2</t>
  </si>
  <si>
    <t>X04.58.444.00</t>
  </si>
  <si>
    <t>DOOR,SS,CONTROL,FSHC-17W</t>
  </si>
  <si>
    <t>X04.58.445.00</t>
  </si>
  <si>
    <t>DOOR,SS,NON-CONTROL,FSHC-12W2</t>
  </si>
  <si>
    <t>X04.58.446.00</t>
  </si>
  <si>
    <t>DOOR,SS,CONTROL,FSHC-12W</t>
  </si>
  <si>
    <t>X04.58.447.00</t>
  </si>
  <si>
    <t>DOOR,SS,NON-CONTROL,FSHC-17W2</t>
  </si>
  <si>
    <t>X04.63.019.00</t>
  </si>
  <si>
    <t>TOP COVER,FSHC-12/17</t>
  </si>
  <si>
    <t>X05.02.025.00</t>
  </si>
  <si>
    <t>BUSHING,PLASTIC,COUNTRWT,QTS-1</t>
  </si>
  <si>
    <t>X05.02.026.00</t>
  </si>
  <si>
    <t>BUSHING,PLASTIC,MOV PNL,QTS-1</t>
  </si>
  <si>
    <t>X05.02.027.00</t>
  </si>
  <si>
    <t>RET RING,STEEL,GUIDE ROD,QTS-1</t>
  </si>
  <si>
    <t>X05.02.028.00</t>
  </si>
  <si>
    <t>SHAFT BUSHING,TEFLON</t>
  </si>
  <si>
    <t>X05.03.052.00</t>
  </si>
  <si>
    <t>COUNTER WEIGHT STRAP</t>
  </si>
  <si>
    <t>X05.04.493.00</t>
  </si>
  <si>
    <t>LEG FASTENER,RHW-01,2</t>
  </si>
  <si>
    <t>X05.04.518.00</t>
  </si>
  <si>
    <t>MOUNT BRKT SCREW,RHW-XB</t>
  </si>
  <si>
    <t>X05.04.522.00</t>
  </si>
  <si>
    <t>SC,HEAT EL,RCTHW,P-SE-S05-0100</t>
  </si>
  <si>
    <t>X05.04.523.00</t>
  </si>
  <si>
    <t>SC,BOTT EL,RCTHW,P-SG-S05-0120</t>
  </si>
  <si>
    <t>X05.04.524.00</t>
  </si>
  <si>
    <t>SC,BOTT CV,RCTHW,P-SG-S04-0100</t>
  </si>
  <si>
    <t>X05.04.525.00</t>
  </si>
  <si>
    <t>MNTG SCREW,SS,P-SG-S04-008-S</t>
  </si>
  <si>
    <t>X05.04.526.00</t>
  </si>
  <si>
    <t>SCREW,#8 X 1/2",P-SG-C08-012-0</t>
  </si>
  <si>
    <t>X05.04.527.00</t>
  </si>
  <si>
    <t>SCREW,BACK PNL,P-SG-C06-038-0</t>
  </si>
  <si>
    <t>X05.04.528.00</t>
  </si>
  <si>
    <t>SCREW,TRANSFRMR,P-SG-S04-006-0</t>
  </si>
  <si>
    <t>X05.04.529.00</t>
  </si>
  <si>
    <t>TANK STAND OFF,H-HA-FLO-006-0</t>
  </si>
  <si>
    <t>X05.04.530.00</t>
  </si>
  <si>
    <t>TANK SUPPORT,H-HA-FLO-007-0</t>
  </si>
  <si>
    <t>X05.04.834.00</t>
  </si>
  <si>
    <t>CLAMP KNOB,THMB SC,5MM X10,MCG</t>
  </si>
  <si>
    <t>X05.04.948.00</t>
  </si>
  <si>
    <t>SC,SS,8MM,FH,HEX DRIVE,MCG</t>
  </si>
  <si>
    <t>X05.04.951.00</t>
  </si>
  <si>
    <t>SC,8MM,SET,HEX DRIVE,MCG</t>
  </si>
  <si>
    <t>X05.06.095.00</t>
  </si>
  <si>
    <t>DOOR GASKET,FSHC-12,17</t>
  </si>
  <si>
    <t>X05.06.180.00</t>
  </si>
  <si>
    <t>DOOR,CONTROL SIDE GASK,FSHC-17</t>
  </si>
  <si>
    <t>X05.06.184.00</t>
  </si>
  <si>
    <t>DOOR,REAR GASK,FSHC-17</t>
  </si>
  <si>
    <t>X05.06.185.00</t>
  </si>
  <si>
    <t>DOOR,CONTROL SIDE GASK,FSHC-12</t>
  </si>
  <si>
    <t>X05.07.027.00</t>
  </si>
  <si>
    <t>COUNTER WEIGHT SHAFT,QTS-1</t>
  </si>
  <si>
    <t>X05.07.028.00</t>
  </si>
  <si>
    <t>COUNTER WEIGHT GUIDE ROD,QTS-1</t>
  </si>
  <si>
    <t>X05.07.029.00</t>
  </si>
  <si>
    <t>MOVING PANEL GUIDE ROD,QTS-1</t>
  </si>
  <si>
    <t>X05.08.013.00</t>
  </si>
  <si>
    <t>UPPER INSULATION SUPPORT,QTS-1</t>
  </si>
  <si>
    <t>X05.08.017.00</t>
  </si>
  <si>
    <t>DAMPING SPRING,0.6 X 8 X 18.5</t>
  </si>
  <si>
    <t>X05.08.038.00</t>
  </si>
  <si>
    <t>SPRING,FILTER BASKET,FMSS</t>
  </si>
  <si>
    <t>X05.08.039.00</t>
  </si>
  <si>
    <t>LIFT SPRING SET,MCG10G,MCG20G</t>
  </si>
  <si>
    <t>X05.08.040.00</t>
  </si>
  <si>
    <t>LIFT SPRING SET,MCG14G</t>
  </si>
  <si>
    <t>X05.09.058.00</t>
  </si>
  <si>
    <t>ALUMINUM PULLEY,QTS-1</t>
  </si>
  <si>
    <t>X05.11.050.00</t>
  </si>
  <si>
    <t>WASH,ELEM,RCTHW,P-SB-011-005-Z</t>
  </si>
  <si>
    <t>X05.13.001.00</t>
  </si>
  <si>
    <t>SMOOTH BOTTOM PLT,SMALL,MCG</t>
  </si>
  <si>
    <t>X05.13.002.00</t>
  </si>
  <si>
    <t>SMOOTH TOP PLT,SMALL,LG,RH</t>
  </si>
  <si>
    <t>X05.13.003.00</t>
  </si>
  <si>
    <t>SMOOTH TOP PLT,LARGE,LH,MCG</t>
  </si>
  <si>
    <t>X05.13.004.00</t>
  </si>
  <si>
    <t>SMOOTH BOTTOM PLT,MEDIUM,MCG</t>
  </si>
  <si>
    <t>X05.13.005.00</t>
  </si>
  <si>
    <t>SMOOTH TOP PLT,MEDIUM,MCG</t>
  </si>
  <si>
    <t>X05.13.006.00</t>
  </si>
  <si>
    <t>SMOOTH BOTTOM PLT,LARGE,MCG</t>
  </si>
  <si>
    <t>X05.13.007.00</t>
  </si>
  <si>
    <t>RIBBED BOTTOM PLT,SMALL,MCG</t>
  </si>
  <si>
    <t>X05.13.008.00</t>
  </si>
  <si>
    <t>RIBBED TOP PLT,LARGE,RH,MCG</t>
  </si>
  <si>
    <t>X05.13.009.00</t>
  </si>
  <si>
    <t>RIBBED TOP PLT,LARGE,LH,MCG</t>
  </si>
  <si>
    <t>X05.13.010.00</t>
  </si>
  <si>
    <t>RIBBED BOTTOM PLT,MEDIUM,MCG</t>
  </si>
  <si>
    <t>X05.13.011.00</t>
  </si>
  <si>
    <t>RIBBED TOP PLT,MEDIUM,MCG</t>
  </si>
  <si>
    <t>X05.13.012.00</t>
  </si>
  <si>
    <t>RIBBED BOTTOM PLT,LARGE,MCG</t>
  </si>
  <si>
    <t>X05.13.050.00</t>
  </si>
  <si>
    <t>PLATE KIT,4X6 BRUSSELS,KWM</t>
  </si>
  <si>
    <t>X05.13.051.00</t>
  </si>
  <si>
    <t>PLATE KIT,4X7 LIEGE,KWM</t>
  </si>
  <si>
    <t>X05.13.053.00</t>
  </si>
  <si>
    <t>PLATE KIT,4X8 ROUND,WAFFLE,KWM</t>
  </si>
  <si>
    <t>X05.13.077.00</t>
  </si>
  <si>
    <t>KRAMPOUZ PROPANE ORIFICE</t>
  </si>
  <si>
    <t>X05.13.078.00</t>
  </si>
  <si>
    <t>STANDOFF ROD,AD0614</t>
  </si>
  <si>
    <t>X05.13.079.00</t>
  </si>
  <si>
    <t>SCREW,STANDOFF ROD,AV0007</t>
  </si>
  <si>
    <t>X05.13.080.00</t>
  </si>
  <si>
    <t>WASHER,STANDOFF ROD,AV0015</t>
  </si>
  <si>
    <t>X05.13.081.00</t>
  </si>
  <si>
    <t>PLATE KIT,MINI BRUSSEL,3X5,KWM</t>
  </si>
  <si>
    <t>X05.13.086.00</t>
  </si>
  <si>
    <t>TOP CVR,HEAT EL,KWMSL,1/FC0572</t>
  </si>
  <si>
    <t>X05.13.087.00</t>
  </si>
  <si>
    <t>INT. HOUSING ELEMENT (FD0464)</t>
  </si>
  <si>
    <t>X05.30.093.00</t>
  </si>
  <si>
    <t>X05.30.094.00</t>
  </si>
  <si>
    <t>LEGS,SUPPORT,RHW-01,2</t>
  </si>
  <si>
    <t>X05.30.097.00</t>
  </si>
  <si>
    <t>LEG,1.25",P-MA-240-114-0</t>
  </si>
  <si>
    <t>X05.30.098.00</t>
  </si>
  <si>
    <t>CONTROL KNOB,P-NA-401-065-0</t>
  </si>
  <si>
    <t>X05.30.099.00</t>
  </si>
  <si>
    <t>DOOR MAGNET ASSEMBLY</t>
  </si>
  <si>
    <t>X05.30.100.00</t>
  </si>
  <si>
    <t>DRAIN CAP</t>
  </si>
  <si>
    <t>X05.30.102.00</t>
  </si>
  <si>
    <t>KNOB,TOP COVER,HDCM01-03</t>
  </si>
  <si>
    <t>X05.30.107.00</t>
  </si>
  <si>
    <t>FOOT,FMSS-7,HDCM09-05</t>
  </si>
  <si>
    <t>X05.30.109.00</t>
  </si>
  <si>
    <t>KNOB,ON/OFF,QTS-1</t>
  </si>
  <si>
    <t>X05.30.120.00</t>
  </si>
  <si>
    <t>FOOT,QTS-1</t>
  </si>
  <si>
    <t>X05.30.121.00</t>
  </si>
  <si>
    <t>HANDLE,TPU BREAD LIFTER</t>
  </si>
  <si>
    <t>X05.30.122.00</t>
  </si>
  <si>
    <t>LEG,TPU</t>
  </si>
  <si>
    <t>X05.30.123.00</t>
  </si>
  <si>
    <t>KNOB,TPU,COLOR CONTROL</t>
  </si>
  <si>
    <t>X05.30.128.00</t>
  </si>
  <si>
    <t>KNOB,TPU,SLOT SELECTOR</t>
  </si>
  <si>
    <t>X05.30.142.00</t>
  </si>
  <si>
    <t>KNOB,TIMER/TEMP,QTS-1</t>
  </si>
  <si>
    <t>X05.30.159.00</t>
  </si>
  <si>
    <t>FOOT,RUBBER,FM2SS,(4)</t>
  </si>
  <si>
    <t>X05.30.160.00</t>
  </si>
  <si>
    <t>HANDLE W/COVER LATCH,FM2SS</t>
  </si>
  <si>
    <t>X05.30.161.00</t>
  </si>
  <si>
    <t>FOOT,RUBBER,IR SERIES</t>
  </si>
  <si>
    <t>X05.30.162.00</t>
  </si>
  <si>
    <t>FOOT,ADJUSTABLE,IRG15-3000</t>
  </si>
  <si>
    <t>X05.30.163.00</t>
  </si>
  <si>
    <t>KNOB,CONTROL,IRBR2-6200</t>
  </si>
  <si>
    <t>X05.30.215.00</t>
  </si>
  <si>
    <t>KNOB,THERMOSTAT,MCG</t>
  </si>
  <si>
    <t>X05.30.216.00</t>
  </si>
  <si>
    <t>SMOOTH HANDLE,MCG</t>
  </si>
  <si>
    <t>X05.30.217.00</t>
  </si>
  <si>
    <t>DRIP TRAY W/HANDLES,MCG10G</t>
  </si>
  <si>
    <t>X05.30.218.00</t>
  </si>
  <si>
    <t>DRIP TRAY W/HANDLES,MCG14G</t>
  </si>
  <si>
    <t>X05.30.219.00</t>
  </si>
  <si>
    <t>DRIP TRAY W/HANDLES,MCG20G</t>
  </si>
  <si>
    <t>X05.30.224.00</t>
  </si>
  <si>
    <t>LEG W/MOUNTING SCREW,MCG</t>
  </si>
  <si>
    <t>X05.30.235.00</t>
  </si>
  <si>
    <t>LOCK,HANDLE,FM2SS</t>
  </si>
  <si>
    <t>X05.30.238.00</t>
  </si>
  <si>
    <t>HANDLE MOUNT,FM2SS</t>
  </si>
  <si>
    <t>X05.30.270.00</t>
  </si>
  <si>
    <t>X05.30.273.00</t>
  </si>
  <si>
    <t>COVER,BOTTOM,MCG10G</t>
  </si>
  <si>
    <t>X05.30.274.00</t>
  </si>
  <si>
    <t>COVER,BOTTOM,MCG14G</t>
  </si>
  <si>
    <t>X05.30.275.00</t>
  </si>
  <si>
    <t>COVER,BOTTOM,MCG20G</t>
  </si>
  <si>
    <t>X05.30.276.00</t>
  </si>
  <si>
    <t>HANDLE,PLASTIC,MCG10G,MCG20G</t>
  </si>
  <si>
    <t>X05.30.277.00</t>
  </si>
  <si>
    <t>HANDLE,PLASTIC,MCG14G</t>
  </si>
  <si>
    <t>X05.30.278.00</t>
  </si>
  <si>
    <t>COVER,SCREW,MCG</t>
  </si>
  <si>
    <t>X05.30.279.00</t>
  </si>
  <si>
    <t>PIN,COTTER HAIRPIN,MCG</t>
  </si>
  <si>
    <t>X05.30.280.00</t>
  </si>
  <si>
    <t>COVER,REAR,MCG10G</t>
  </si>
  <si>
    <t>X05.30.281.00</t>
  </si>
  <si>
    <t>COVER,REAR,MCG14G</t>
  </si>
  <si>
    <t>X05.30.283.00</t>
  </si>
  <si>
    <t>T-BLOCK,MCG (CORD END)</t>
  </si>
  <si>
    <t>X05.30.284.00</t>
  </si>
  <si>
    <t>LEVER ARM,RH,MCG</t>
  </si>
  <si>
    <t>X05.30.285.00</t>
  </si>
  <si>
    <t>LEVER ARM,LH,MCG20G</t>
  </si>
  <si>
    <t>X05.30.286.00</t>
  </si>
  <si>
    <t>UPPER ELEMENT LIFT ARM,MCG</t>
  </si>
  <si>
    <t>X05.30.333.00</t>
  </si>
  <si>
    <t>KNOB,THERM,CREPE MAKER,KCME</t>
  </si>
  <si>
    <t>X05.30.334.00</t>
  </si>
  <si>
    <t>HANDLE,STRAIGHT,KWM</t>
  </si>
  <si>
    <t>X05.30.335.00</t>
  </si>
  <si>
    <t>KNOB,CLAMPING,PIVOT,KWM</t>
  </si>
  <si>
    <t>X05.30.339.00</t>
  </si>
  <si>
    <t>CAP,END PICE,ENVELOPE,KCME</t>
  </si>
  <si>
    <t>X05.30.340.00</t>
  </si>
  <si>
    <t>DRIP TRAY W/HANDLE,KWM</t>
  </si>
  <si>
    <t>X05.30.341.00</t>
  </si>
  <si>
    <t>PIVOT,TOP PLATE,KWM</t>
  </si>
  <si>
    <t>X05.30.344.00</t>
  </si>
  <si>
    <t>LEG,SS,ADJUSTABLE,90-130MM,M12</t>
  </si>
  <si>
    <t>X05.30.345.00</t>
  </si>
  <si>
    <t>HANDLE,HIGH SMOOTH,25DIAxM6</t>
  </si>
  <si>
    <t>X05.30.346.00</t>
  </si>
  <si>
    <t>PIN,HANDLE,GUTTER</t>
  </si>
  <si>
    <t>X05.30.367.00</t>
  </si>
  <si>
    <t>DRIP TRAY W/HANDLE,KWM18-1R07</t>
  </si>
  <si>
    <t>X05.30.370.00</t>
  </si>
  <si>
    <t>FOOT,END PLATE,KWMSL</t>
  </si>
  <si>
    <t>X05.30.372.00</t>
  </si>
  <si>
    <t>LEGS,ALUMINUM,M8,KCMG</t>
  </si>
  <si>
    <t>X05.30.373.00</t>
  </si>
  <si>
    <t>COOKING PLATE,GAS,KCMG</t>
  </si>
  <si>
    <t>X05.30.374.00</t>
  </si>
  <si>
    <t>LEGS,SS,ADJUSTABLE,KGRDG</t>
  </si>
  <si>
    <t>X05.30.375.00</t>
  </si>
  <si>
    <t>COOKING PLATE,KGRDG-2513</t>
  </si>
  <si>
    <t>X07.01.318.00</t>
  </si>
  <si>
    <t>CONTROL DECAL,TPU-230-4</t>
  </si>
  <si>
    <t>X07.01.319.00</t>
  </si>
  <si>
    <t>CONTROL DECAL,TPU-230-6</t>
  </si>
  <si>
    <t>X07.01.369.00</t>
  </si>
  <si>
    <t>CONTROL OVERLAY,FM2SS,V2</t>
  </si>
  <si>
    <t>X07.01.385.00</t>
  </si>
  <si>
    <t>CONTROL LABEL,MCG14</t>
  </si>
  <si>
    <t>X07.01.386.00</t>
  </si>
  <si>
    <t>CONTROL LABEL,MCG20G</t>
  </si>
  <si>
    <t>X07.01.497.00</t>
  </si>
  <si>
    <t>CONTROL PANEL,120V,KCME-1RND</t>
  </si>
  <si>
    <t>X07.01.498.00</t>
  </si>
  <si>
    <t>CTRL PANEL,208-240V,KCME-1RND</t>
  </si>
  <si>
    <t>X07.01.499.00</t>
  </si>
  <si>
    <t>CTRL PANEL,208-240V,KCME-1RCT</t>
  </si>
  <si>
    <t>X07.01.500.00</t>
  </si>
  <si>
    <t>CTRL PANEL,WAFFLE MAKER,KWM</t>
  </si>
  <si>
    <t>X07.01.501.00</t>
  </si>
  <si>
    <t>CTRL PANEL,208-240V,KGRDE-2513</t>
  </si>
  <si>
    <t>X07.01.502.00</t>
  </si>
  <si>
    <t>CONTROL PANEL,120V,KSW-1</t>
  </si>
  <si>
    <t>X07.01.503.00</t>
  </si>
  <si>
    <t>CONTROL PANEL,120V,KSW-2</t>
  </si>
  <si>
    <t>X07.01.504.00</t>
  </si>
  <si>
    <t>CONTROL PANEL,120V,KSW-3</t>
  </si>
  <si>
    <t>X07.01.516.00</t>
  </si>
  <si>
    <t>CONTROL PANEL,208-240V,KWMSL</t>
  </si>
  <si>
    <t>X07.01.518.00</t>
  </si>
  <si>
    <t>CTRL PNL,G CREPE MKR,KCMG-1RND</t>
  </si>
  <si>
    <t>X07.01.519.00</t>
  </si>
  <si>
    <t>CTRL PNL,G CREPE MKR,KCMG-1RCT</t>
  </si>
  <si>
    <t>X07.01.520.00</t>
  </si>
  <si>
    <t>CTRL PNL,GS GRIDDLE,KGRDG-2513</t>
  </si>
  <si>
    <t>X07.03.465.00</t>
  </si>
  <si>
    <t>DECAL,CONTROL PLATE,TM-5H</t>
  </si>
  <si>
    <t>X07.03.466.00</t>
  </si>
  <si>
    <t>DECAL,CONTROL PLATE,TM-10H</t>
  </si>
  <si>
    <t>X07.03.469.00</t>
  </si>
  <si>
    <t>DECAL,RHW-01,2</t>
  </si>
  <si>
    <t>X07.03.512.00</t>
  </si>
  <si>
    <t>DECAL,CTRL,RCTHW,P-NA-050-BM1</t>
  </si>
  <si>
    <t>X07.03.515.00</t>
  </si>
  <si>
    <t>CONTROL DECAL,P-NA-121-040-H</t>
  </si>
  <si>
    <t>X07.03.516.00</t>
  </si>
  <si>
    <t>CONTROL DECAL,P-NA-121-010-0</t>
  </si>
  <si>
    <t>X07.03.546.00</t>
  </si>
  <si>
    <t>PANEL DECAL,QTS-1 2001070</t>
  </si>
  <si>
    <t>X07.03.566.00</t>
  </si>
  <si>
    <t>SERVICE,OVERLAY,FMSS-7</t>
  </si>
  <si>
    <t>X07.03.939.00</t>
  </si>
  <si>
    <t>PANEL DECAL,QTS-1</t>
  </si>
  <si>
    <t>Triple electrode dome</t>
  </si>
  <si>
    <t>MOTOR R5A+/R6A 400 V</t>
  </si>
  <si>
    <t>MOTOR ASSEMBLY 4/8 POLES H105 400/50/3</t>
  </si>
  <si>
    <t>MOTOR STARTING RELAY MTRPH 46-39</t>
  </si>
  <si>
    <t>85364900</t>
  </si>
  <si>
    <t>CAPACITOR 60ΜF 250V</t>
  </si>
  <si>
    <t>85322990</t>
  </si>
  <si>
    <t>POWER CORD MP/CMP EUR</t>
  </si>
  <si>
    <t>84389090</t>
  </si>
  <si>
    <t xml:space="preserve">SET OF 2 SANTOS GRINDING DISCS HIGH
OUTPUT</t>
  </si>
  <si>
    <t>SET OF 2 SPICES GRINDING DISCS (PEPPER)</t>
  </si>
  <si>
    <t xml:space="preserve">SET OF 2 SANTOS GRINDING DISCS DIAM
120 mm Resharpened</t>
  </si>
  <si>
    <t xml:space="preserve">COMPLETE BLACK HOPPER WITH
OBTURATOR pour 01BAR</t>
  </si>
  <si>
    <t>BLACK HOPPER</t>
  </si>
  <si>
    <t>OBTURATOR with drilled hole for 01BAR</t>
  </si>
  <si>
    <t>SCREW CX 4 X 70 Zn</t>
  </si>
  <si>
    <t>COMPLETE GRIND HOUSING 60Hz</t>
  </si>
  <si>
    <t xml:space="preserve">COMPLETE GRIND HOUSING (PEPPER -
SPICES)</t>
  </si>
  <si>
    <t>COMPLETE GRIND HOUSING (POPPY)</t>
  </si>
  <si>
    <t xml:space="preserve">GRIND HOUSING WITH ADJUSTING BUTTON
Special Poppy (01PV)</t>
  </si>
  <si>
    <t>BLACK GRIND HOUSING</t>
  </si>
  <si>
    <t>GRIND HOUSING special for POPPY (01PV)</t>
  </si>
  <si>
    <t>SCREW 5 X 15</t>
  </si>
  <si>
    <t>COMPLETE FEEDING SCREW (Coffee) 60Hz</t>
  </si>
  <si>
    <t>COMPLETE FEEDING SCREW PEPPER</t>
  </si>
  <si>
    <t>COMPLETE FEEDING SCREW POPPY</t>
  </si>
  <si>
    <t xml:space="preserve">BAR COMPLETE FEEDING SCREW (Coffee)
60Hz</t>
  </si>
  <si>
    <t>COMPLETE GRIND CORE 60Hz</t>
  </si>
  <si>
    <t xml:space="preserve">COMPLETE GRIND CORE (Special PEPPER,
Old)</t>
  </si>
  <si>
    <t>COMPLETE GRIND CORE (POPPY)</t>
  </si>
  <si>
    <t>BARISTA COMPLETE GRIND HOUSING 60Hz</t>
  </si>
  <si>
    <t xml:space="preserve">COMPLETE MOTOR SINGLE PHASE 110V
60Hz (or 220V 60Hz)</t>
  </si>
  <si>
    <t xml:space="preserve">BLACK COMPLETE MOTOR SINGLE PHASE
220-240V 50Hz (Before 2019)</t>
  </si>
  <si>
    <t>BLACK FRONT FLANGE ONLY (Before 2019)</t>
  </si>
  <si>
    <t>BLACK COMPLETE REAR FLANGE</t>
  </si>
  <si>
    <t>BLACK REAR FLANGE ONLY BROWN</t>
  </si>
  <si>
    <t>STATOR ONLY 3 PHASE</t>
  </si>
  <si>
    <t xml:space="preserve">BLACK COMPLETE MOTOR SINGLE PHASE
220-240V 60Hz</t>
  </si>
  <si>
    <t xml:space="preserve">BLACK COMPLETE MOTOR SINGLE PHASE
220-240V 50Hz (Old&lt;11/2024)</t>
  </si>
  <si>
    <t>BAR BLACK COMPLETE FRONT FLANGE</t>
  </si>
  <si>
    <t>BLACK FRONT FLANGE ONLY</t>
  </si>
  <si>
    <t xml:space="preserve">COMPLETE STATOR(WINDING) 110V 60Hz (or
220V 60Hz)</t>
  </si>
  <si>
    <t xml:space="preserve">STATOR ONLY SINGLE PHASE 110V 60Hz (or
220V 60Hz)</t>
  </si>
  <si>
    <t xml:space="preserve">BLACK COMPLETE MOTOR SINGLE PHASE
220-240V 50Hz</t>
  </si>
  <si>
    <t>COMPLETE BASE - 1 PHASE 110-120V 60 HZ</t>
  </si>
  <si>
    <t xml:space="preserve">COMPLETE BOTTOM PLATE 115V
(Old&lt;01/2018)</t>
  </si>
  <si>
    <t xml:space="preserve">STARTING RELAY 100-120V 50/60Hz and
220V/60Hz (Old&lt;09/2020)</t>
  </si>
  <si>
    <t>TERMINAL BOARD 3 PHASE</t>
  </si>
  <si>
    <t xml:space="preserve">CAPACITOR 250 MF 110 / 220V 60HZ
(Old&lt;01/2018)</t>
  </si>
  <si>
    <t>POWER CORD WITH USA PLUG</t>
  </si>
  <si>
    <t>POWER CORD 3 PHASE</t>
  </si>
  <si>
    <t xml:space="preserve">SPECIAL ON-OFF MULTIFUNCTIONS SWITCH
230V 8A115V</t>
  </si>
  <si>
    <t>STARTING RELAY 100-120V 50/60Hz</t>
  </si>
  <si>
    <t>STARTING RELAY 220-240V 60Hz</t>
  </si>
  <si>
    <t>COMPLETE BOTTOM PLATE 115V</t>
  </si>
  <si>
    <t>BARISTA COMPLETE BASE  115V</t>
  </si>
  <si>
    <t>CIRCUIT BREAKER 8 A (100-120V 50/60 Hz)</t>
  </si>
  <si>
    <t>BARISTA BAG HOLDER SOLE (Black)</t>
  </si>
  <si>
    <t>GRATING DISC - 2MM HOLES</t>
  </si>
  <si>
    <t>GRATING DISC - 2MM HOLES Reversed (Left)</t>
  </si>
  <si>
    <t>GRATING DISC - 3MM HOLES</t>
  </si>
  <si>
    <t>GRATING DISC - 3MM HOLES Reversed (Left)</t>
  </si>
  <si>
    <t>GRATING DISC - 4MM HOLES</t>
  </si>
  <si>
    <t>GRATING DISC - 4MM HOLES Reversed (Left)</t>
  </si>
  <si>
    <t>GRATING DISC - 6MM HOLES</t>
  </si>
  <si>
    <t>GRATING DISC - 6MM HOLES Reversed (Left)</t>
  </si>
  <si>
    <t>GRATING DISC - 8MM HOLES</t>
  </si>
  <si>
    <t>GRATING DISC - 8MM HOLES Reversed (Left)</t>
  </si>
  <si>
    <t>GRATING DISC - PARMESAN</t>
  </si>
  <si>
    <t>GRATING DISC - FONDUE</t>
  </si>
  <si>
    <t xml:space="preserve">COMPLETE MOTOR SINGLE PHASE 110/220V
60HZ</t>
  </si>
  <si>
    <t xml:space="preserve">STARTING RELAY 100-120V 50/60HZ and 220-
240V 60Hz (Old&lt;09/2020)</t>
  </si>
  <si>
    <t xml:space="preserve">CAPACITOR 250 MF 100-120V 50/60 HZ
(Old&lt;01/2018)</t>
  </si>
  <si>
    <t xml:space="preserve">SPECIAL ON-OFF MULTIFUNCTION SWITCH
8A115V</t>
  </si>
  <si>
    <t>COMPLETE BOTTOM PLATE 110V</t>
  </si>
  <si>
    <t>COMPLETE BOTTOM PLATE 220V 60Hz</t>
  </si>
  <si>
    <t>COMPLETE BASE 120V 60Hz</t>
  </si>
  <si>
    <t xml:space="preserve">COMPLETE BLACK HOPPER WITH
OBTURATOR</t>
  </si>
  <si>
    <t>BLACK COMPLETE GRIND HOUSING 50Hz</t>
  </si>
  <si>
    <t>BLACK COMPLETE GRIND HOUSING 60Hz</t>
  </si>
  <si>
    <t xml:space="preserve">black GRIND HOUSING WITH ADJUSTING
BUTTON</t>
  </si>
  <si>
    <t>GRIND HOUSING BLACK</t>
  </si>
  <si>
    <t>COMPLETE FEEDING SCREW 60Hz</t>
  </si>
  <si>
    <t xml:space="preserve">BLACK COMPLETE MOTOR SINGLE PHASE
110-120V or 220-240V 60 Hz</t>
  </si>
  <si>
    <t xml:space="preserve">BLACK COMPLETE MOTOR SINGLE PHASE
220-240V 50 Hz (Old&lt;11/2024)</t>
  </si>
  <si>
    <t>COMPLETE FRONT FLANGE BLACK</t>
  </si>
  <si>
    <t>FRONT FLANGE ONLY BLACK</t>
  </si>
  <si>
    <t>REAR FLANGE ONLY BLACK</t>
  </si>
  <si>
    <t xml:space="preserve">BLACK COMPLETE MOTOR SINGLE PHASE
220-240V 50 Hz</t>
  </si>
  <si>
    <t>BLACK COMPLETE BASE 110V</t>
  </si>
  <si>
    <t>BLACK COMPLETE BASE 220V (Old&lt;11/2024)</t>
  </si>
  <si>
    <t>COMPLETE BASE 220V 60Hz BLACK</t>
  </si>
  <si>
    <t>BLACK PAINTED ALUMINIUM TOP</t>
  </si>
  <si>
    <t>BLACK PAINTED GRINDER BASE</t>
  </si>
  <si>
    <t>BLACK REAR STEEL PLATE MOTOR HOLDER</t>
  </si>
  <si>
    <t xml:space="preserve">BLACK FRONT STEEL PLATE MOTOR
HOLDER</t>
  </si>
  <si>
    <t>SWITCH</t>
  </si>
  <si>
    <t xml:space="preserve">CAPACITOR 250 MF 110/220V 60HZ
(Old&lt;01/2018)</t>
  </si>
  <si>
    <t xml:space="preserve">STARTING RELAY 100-120V 50/60 HZ
(Old&lt;09/2020)</t>
  </si>
  <si>
    <t>BLACK COMPLETE BASE 220V EU Plug</t>
  </si>
  <si>
    <t xml:space="preserve">COMPLETE CRUSHING DISC WITH SNOW
BLADE + LOCKING SCREW</t>
  </si>
  <si>
    <t>CRUSHING DISC, FOR SNOW ICE</t>
  </si>
  <si>
    <t xml:space="preserve">COMPLETE MOTOR SINGLE PHASE 110-120V
60HZ</t>
  </si>
  <si>
    <t xml:space="preserve">STATOR ONLY 1 PHASE 110V 60HZ (or 220V
60Hz)</t>
  </si>
  <si>
    <t xml:space="preserve">STARTING RELAY (100-120V 50/60HZ)
(Old&lt;09/2020)</t>
  </si>
  <si>
    <t>SPECIAL ON-OFF MULTI-FONCTION 8A115V</t>
  </si>
  <si>
    <t>SET OF 2 GRINDING DISCS (STANDARD)</t>
  </si>
  <si>
    <t>COMPLETE LEVER</t>
  </si>
  <si>
    <t>BLACK LEVER</t>
  </si>
  <si>
    <t>LEVER AXLE (PIN) D 8X34</t>
  </si>
  <si>
    <t>COMPLETE CUP WITH SCREW AND WASHER</t>
  </si>
  <si>
    <t>CUP LOCKING SCREW</t>
  </si>
  <si>
    <t>STAINLESS STEEL CUP ONLY</t>
  </si>
  <si>
    <t>STAINLESS STEEL WASHER</t>
  </si>
  <si>
    <t>STAINLESS STEEL COVER ONLY</t>
  </si>
  <si>
    <t>STAINLESS STEEL SPRING</t>
  </si>
  <si>
    <t>STAINLESS STEEL SPRING CAP</t>
  </si>
  <si>
    <t>LEVER WASHER</t>
  </si>
  <si>
    <t>PERFORATED STRAINER (S. STEEL)</t>
  </si>
  <si>
    <t xml:space="preserve">COMPLETE STAINLESS STEEL BOWL WITH
NUT</t>
  </si>
  <si>
    <t>STAINLESS STEEL BOWL</t>
  </si>
  <si>
    <t>NYLON NUT</t>
  </si>
  <si>
    <t>GASKET D 12 X 22 X 5</t>
  </si>
  <si>
    <t>POLYETHYLENE WASHER</t>
  </si>
  <si>
    <t xml:space="preserve">PAINTED ALUMINIUM TOP (BOWL) WITH 4
NUTS</t>
  </si>
  <si>
    <t xml:space="preserve">CHROMED ALUMINIUM TOP(BOWL)WITH 4
NUTS</t>
  </si>
  <si>
    <t>PAINTED ALUMINIUM TOP ONLY (BOWL)</t>
  </si>
  <si>
    <t>CHROMED ALUMINIUM TOP ONLY (BOWL)</t>
  </si>
  <si>
    <t>BOWL LOCKING NUT</t>
  </si>
  <si>
    <t>COMPLETE INTERMEDIATE FLANGE</t>
  </si>
  <si>
    <t>BRONZE BEARING</t>
  </si>
  <si>
    <t>GASKET 12X22X5</t>
  </si>
  <si>
    <t>FRICTION PLATE</t>
  </si>
  <si>
    <t>INTERMEDIATE FLANGE ONLY</t>
  </si>
  <si>
    <t>SCREW H 4 X 12</t>
  </si>
  <si>
    <t>COMPLETE FRICTION CLUTCH</t>
  </si>
  <si>
    <t>FRICTION CLUTCH &amp; DISC (WELDED)</t>
  </si>
  <si>
    <t>SCREW HC M 5 X 10 ST. STEEL</t>
  </si>
  <si>
    <t>STAINLESS STEEL DRIVING PIN</t>
  </si>
  <si>
    <t>FIBER PUSHING PIN</t>
  </si>
  <si>
    <t>STEEL BALL D 6</t>
  </si>
  <si>
    <t>BRAKE S. STEEL SPRING</t>
  </si>
  <si>
    <t>COMPLETE DRIVE PLATE</t>
  </si>
  <si>
    <t>SCREW HC M 6 X 8</t>
  </si>
  <si>
    <t>COMPLETE MOTOR 220-240V 50/60Hz</t>
  </si>
  <si>
    <t xml:space="preserve">COMPLETE MOTOR 110V60Hz
(Ancien&lt;03/2020)</t>
  </si>
  <si>
    <t>COMPLETE UPPER FLANGE</t>
  </si>
  <si>
    <t>UPPER FLANGE</t>
  </si>
  <si>
    <t>BEARING 6201</t>
  </si>
  <si>
    <t>BEARING WASHER</t>
  </si>
  <si>
    <t>SCREW H 4 X 8 Zn</t>
  </si>
  <si>
    <t>COMPLETE LOWER FLANGE (Old&lt; 2017)</t>
  </si>
  <si>
    <t>LOWER FLANGE</t>
  </si>
  <si>
    <t>SCREW H 4 X 10 Zn</t>
  </si>
  <si>
    <t>STATOR ONLY 230V 50HZ (Old&lt;=08/2017)</t>
  </si>
  <si>
    <t>STATOR ONLY 120V 60HZ (Old&lt;03/2020)</t>
  </si>
  <si>
    <t xml:space="preserve">COMPLETE ROTOR WITH SHAFT
(Old&lt;=08/2017)</t>
  </si>
  <si>
    <t>ASSEMBLING THREADED ROD M5</t>
  </si>
  <si>
    <t>NUT H M 5 Zn</t>
  </si>
  <si>
    <t>SPLIT WASHER D 5</t>
  </si>
  <si>
    <t>WASHER AZ 5</t>
  </si>
  <si>
    <t>WASHER 6 X 18</t>
  </si>
  <si>
    <t>CAPACITOR 4 MF (110V and 220V)</t>
  </si>
  <si>
    <t>COMPLETE MOTOR 110V 60Hz</t>
  </si>
  <si>
    <t>COMPLETE ROTOR WITH SHAFT</t>
  </si>
  <si>
    <t>STATOR ONLY 230V 50HZ</t>
  </si>
  <si>
    <t>STATOR ONLY 110V 60HZ</t>
  </si>
  <si>
    <t>ONDULATED WASHER</t>
  </si>
  <si>
    <t>STAINLESS STEEL HOUSING</t>
  </si>
  <si>
    <t>COMPLETE PAINTED BASE (Grey)</t>
  </si>
  <si>
    <t xml:space="preserve">COMPLETE PAINTED BASE NSF 110V (Old
&lt;03/2020)</t>
  </si>
  <si>
    <t>COMPLETE CHROMED BASE</t>
  </si>
  <si>
    <t xml:space="preserve">COMPLETE CHROMED BASE NSF 110V (Old
&lt;03/2020)</t>
  </si>
  <si>
    <t>PAINTED BASE ONLY (Grey)</t>
  </si>
  <si>
    <t>CHROMED BASE ONLY</t>
  </si>
  <si>
    <t>PAINTED BASE ONLY (black)</t>
  </si>
  <si>
    <t>PLASTIC DRIP TRAY</t>
  </si>
  <si>
    <t>BOTTOM PLATE</t>
  </si>
  <si>
    <t>ON-OFF PLATE</t>
  </si>
  <si>
    <t>ON-OFF PLATE (110V UL)</t>
  </si>
  <si>
    <t>RUBBER FOOT 22 X 10</t>
  </si>
  <si>
    <t>WASHER</t>
  </si>
  <si>
    <t>FOOT SCREW</t>
  </si>
  <si>
    <t>SCREW H 4X8</t>
  </si>
  <si>
    <t>POWER CORD WITH EUROPE PLUG</t>
  </si>
  <si>
    <t>SCREW 4,8 X 16 Zn</t>
  </si>
  <si>
    <t>SCREW H M4X16 In (110V old &lt;03/2020)</t>
  </si>
  <si>
    <t>SCREW 4 X 10</t>
  </si>
  <si>
    <t xml:space="preserve">SCREW H M4x16 S.STEEL  (110V old
&lt;03/2020)</t>
  </si>
  <si>
    <t>WASHER AZ4 S.STEEL  (110V old &lt;03/2020)</t>
  </si>
  <si>
    <t>SCREW H 4.8X12.7 Zn AUTO</t>
  </si>
  <si>
    <t>NUT H M 4 S STEEL  (110V old &lt;03/2020)</t>
  </si>
  <si>
    <t>GROUND SYMBOL</t>
  </si>
  <si>
    <t>WASHER AZ 8</t>
  </si>
  <si>
    <t>NUT H M 8 Zn</t>
  </si>
  <si>
    <t>FOOT (For NSF 110V)</t>
  </si>
  <si>
    <t>CAP (For 110V)</t>
  </si>
  <si>
    <t>COMPLETE PAINTED BASE NSF 110V</t>
  </si>
  <si>
    <t>COMPLETE CHOMED BASE NSF 110V</t>
  </si>
  <si>
    <t xml:space="preserve">SET OF 2 SPECIAL POPPY SEEDS DISCS
DIAM. 63.5</t>
  </si>
  <si>
    <t>COMPLETE HOPPER WITH OBTURATOR</t>
  </si>
  <si>
    <t>HOPPER COVER</t>
  </si>
  <si>
    <t>HOPPER Brown</t>
  </si>
  <si>
    <t>OBTURATOR</t>
  </si>
  <si>
    <t>OBTURATOR HANDLE</t>
  </si>
  <si>
    <t>SPLIT WASHER D 4 (Old)</t>
  </si>
  <si>
    <t>BELLEVILLE WASHER 5X12</t>
  </si>
  <si>
    <t>SAFETY BAR</t>
  </si>
  <si>
    <t xml:space="preserve">BLACK SQUEEZER CONE FOR ORANGE +
LEMON</t>
  </si>
  <si>
    <t>BLACK SQUEEZER CONE FOR GRAPEFRUIT</t>
  </si>
  <si>
    <t>150g HOPPER COVER</t>
  </si>
  <si>
    <t>150g HOPPER</t>
  </si>
  <si>
    <t>150g HOPPER ASSEMBLY</t>
  </si>
  <si>
    <t>BLACK SQUEEZER CONE FOR LIMES</t>
  </si>
  <si>
    <t>BOWL COVER</t>
  </si>
  <si>
    <t xml:space="preserve">COMPLETE PLASTIC BOWL WITH FILTER
GRID+RING</t>
  </si>
  <si>
    <t>COMPLETE PLASTIC BOWL BLACk (for 11C)</t>
  </si>
  <si>
    <t>PLASTIC FILTER GRID</t>
  </si>
  <si>
    <t>ORNAMENTAL RING-ANODIZED ALUMINIUM</t>
  </si>
  <si>
    <t>YELLOW BOWL</t>
  </si>
  <si>
    <t>BLACK BOWL (For 11C)</t>
  </si>
  <si>
    <t>COMPLETE MOTOR 220-240V 50/60HZ</t>
  </si>
  <si>
    <t>COMPLETE MOTOR 110V</t>
  </si>
  <si>
    <t>UPPER FLANGE (Old&lt;07/2017)</t>
  </si>
  <si>
    <t>SCREWH 4 X 8 Zn</t>
  </si>
  <si>
    <t>SQUARE DRIVING AXLE</t>
  </si>
  <si>
    <t>ALUMINIUM CAP</t>
  </si>
  <si>
    <t>V RING GASKET V16 S</t>
  </si>
  <si>
    <t>SPACER 15X1X26</t>
  </si>
  <si>
    <t xml:space="preserve">COMPLETE ROTOR WITH SHAFT
(Old&lt;=07/2017)</t>
  </si>
  <si>
    <t>CIRCLIP D 10</t>
  </si>
  <si>
    <t>WASHER (SPECIFIC)</t>
  </si>
  <si>
    <t>O-RING SEAL</t>
  </si>
  <si>
    <t xml:space="preserve">STATOR ONLY 100-120V 50/60Hz
(Old&lt;04/2024)</t>
  </si>
  <si>
    <t>LOWER FLANGE ONLY (Old &lt;07/2017)</t>
  </si>
  <si>
    <t>CRINKLE WASHER</t>
  </si>
  <si>
    <t>BEARING 608 ZZ</t>
  </si>
  <si>
    <t>FAN</t>
  </si>
  <si>
    <t>SCREW H M 5 X 10 (left side)</t>
  </si>
  <si>
    <t>SCREW H 4 X 16 Zn</t>
  </si>
  <si>
    <t>WASHER AZ 4</t>
  </si>
  <si>
    <t>WASHER AZ 4 Zn</t>
  </si>
  <si>
    <t xml:space="preserve">COMPLETE ROTOR WITH SHAFT AND
BEARING ASSEMBLED</t>
  </si>
  <si>
    <t>STATOR ONLY 220-240V 50/60HZ</t>
  </si>
  <si>
    <t>STATOR ONLY 100-120V 50/60Hz</t>
  </si>
  <si>
    <t>LOWER FLANGE ONLY</t>
  </si>
  <si>
    <t>PAINTED COMPLETE BASE Green 220V</t>
  </si>
  <si>
    <t>PAINTED COMPLETE BASE Green 110V</t>
  </si>
  <si>
    <t>COMPLETE BASE CHROMED 220V</t>
  </si>
  <si>
    <t>PAINTED COMPLETE BASE Green</t>
  </si>
  <si>
    <t>WATERPROOF SWITCH</t>
  </si>
  <si>
    <t>SCREW H 4 X 12 Zn</t>
  </si>
  <si>
    <t>WASHER 5 X 12 X 1</t>
  </si>
  <si>
    <t>SCREW 4.8X16</t>
  </si>
  <si>
    <t>CABLES DEFLECTOR</t>
  </si>
  <si>
    <t>SCREW H M 4 X 12,7 ZN</t>
  </si>
  <si>
    <t>COMPLETE GRIND HOUSING 50Hz</t>
  </si>
  <si>
    <t>GRIND HOUSING WITH ADJUSTING BUTTON</t>
  </si>
  <si>
    <t>ADJUSTING BUTTON</t>
  </si>
  <si>
    <t>INDEX</t>
  </si>
  <si>
    <t>GRADUATED ROUND PLATE</t>
  </si>
  <si>
    <t>BEARING 6202</t>
  </si>
  <si>
    <t>ADJUSTING BUTTON SPRING</t>
  </si>
  <si>
    <t>SCREW HC M 4X8</t>
  </si>
  <si>
    <t>COMPLETE MINCER BODY 12-8</t>
  </si>
  <si>
    <t>MINCER BODY WITH PIN 12-8</t>
  </si>
  <si>
    <t>MINCER BODY ONLY 12-8 (Old)</t>
  </si>
  <si>
    <t>GROOVED PIN D4X20</t>
  </si>
  <si>
    <t>LATERAL LOCKING SCREW</t>
  </si>
  <si>
    <t>COMPLETE FEED WORM SCREW</t>
  </si>
  <si>
    <t>NYLON GASKET</t>
  </si>
  <si>
    <t>SCREW 4 X 10 Zn</t>
  </si>
  <si>
    <t xml:space="preserve">STAINLESS STEEL MEAT MINCER KNIFE N8
(12-8)</t>
  </si>
  <si>
    <t>STAINLESS STEEL PLATE N 8 -HOLES D 3MM</t>
  </si>
  <si>
    <t xml:space="preserve">STAINLESS STEEL PLATE N 8-HOLES D
4,5MM</t>
  </si>
  <si>
    <t>STAINLESS STEEL PLATE N 8-HOLES D 10MM</t>
  </si>
  <si>
    <t>STAINLESS STEEL PLATE N 8-HOLES D 08MM</t>
  </si>
  <si>
    <t>ALUMINIUM THREADED NOSE</t>
  </si>
  <si>
    <t>PUSHER</t>
  </si>
  <si>
    <t>SCREW CB M 5 X 35 Zn</t>
  </si>
  <si>
    <t>GRIND ADJUSTMENT SCREW</t>
  </si>
  <si>
    <t>GRIND HOUSING</t>
  </si>
  <si>
    <t>SCREW H 5 X 10 Zn</t>
  </si>
  <si>
    <t>SCREW CB M 4 X 10 Zn</t>
  </si>
  <si>
    <t xml:space="preserve">COMPLETE REDUCING GEAR (WITH WORM
SCREW)</t>
  </si>
  <si>
    <t xml:space="preserve">COMPLETE REDUCING GEAR (WITHOUT
WORM SCREW)</t>
  </si>
  <si>
    <t>GEARBOX WITH SEAL</t>
  </si>
  <si>
    <t>GEARBOX</t>
  </si>
  <si>
    <t>BEARING 6002 ZZ</t>
  </si>
  <si>
    <t>GASKET</t>
  </si>
  <si>
    <t>COMPLETE REDUCING GEAR NIPPLE</t>
  </si>
  <si>
    <t>REDUCING GEAR NIPPLE ONLY</t>
  </si>
  <si>
    <t>NIPPLE CAPSULE</t>
  </si>
  <si>
    <t>GEAR AXLE</t>
  </si>
  <si>
    <t>O-RING SEAL 48X2</t>
  </si>
  <si>
    <t>GEARBOX BRONZE WHEEL 2 THREADS</t>
  </si>
  <si>
    <t>SCREW HC 8 X 10</t>
  </si>
  <si>
    <t>SCREW CHC  5 X 16 Zn</t>
  </si>
  <si>
    <t>WORM SCREW WITH SCREW</t>
  </si>
  <si>
    <t>WORM SCREW FOR MEAT MINCER</t>
  </si>
  <si>
    <t>SCREW HC M 8 X 10</t>
  </si>
  <si>
    <t>SCREW M 4 X 10</t>
  </si>
  <si>
    <t>COMPLETE FEEDING SCREW (Coffee) 50Hz</t>
  </si>
  <si>
    <t>FEEDING SCREW</t>
  </si>
  <si>
    <t>V RING GASKET V20</t>
  </si>
  <si>
    <t>WASHER 5X20</t>
  </si>
  <si>
    <t>SCREW CHC 5X15</t>
  </si>
  <si>
    <t xml:space="preserve">COMPLETE MOTOR 220-240V 50/60HZ
(Old&lt;11/2024)</t>
  </si>
  <si>
    <t>COMPLETE MOTOR 100-2120V 50/60HZ</t>
  </si>
  <si>
    <t>COMPLETE FRONT FLANGE</t>
  </si>
  <si>
    <t>FRONT FLANGE ONLY</t>
  </si>
  <si>
    <t>SCREW H M 4 X 8</t>
  </si>
  <si>
    <t>SCREW H M 6 X 20 Zn</t>
  </si>
  <si>
    <t>CAP NUT H M 6</t>
  </si>
  <si>
    <t>COMPLETE REAR FLANGE</t>
  </si>
  <si>
    <t>REAR FLANGE ONLY</t>
  </si>
  <si>
    <t>SCREW H 4 X 8</t>
  </si>
  <si>
    <t>WASHER DIAM 6</t>
  </si>
  <si>
    <t>FAN (Old&lt;08/2017)</t>
  </si>
  <si>
    <t>ASSEMBLING THREADED ROD</t>
  </si>
  <si>
    <t>CAP NUT H M 5</t>
  </si>
  <si>
    <t>HEXAGON FIX. NUT REAR FLANGE</t>
  </si>
  <si>
    <t>GROUND SIGN</t>
  </si>
  <si>
    <t>NUT H M 6 Zn</t>
  </si>
  <si>
    <t>WAHSER W 6 Zn</t>
  </si>
  <si>
    <t>BAR COMPLETE FEEDING SCREW (Coffee)</t>
  </si>
  <si>
    <t>BARISTA FEED SCREW'S WASHER</t>
  </si>
  <si>
    <t xml:space="preserve">COMPLETE ROTOR WITH SHAFT
(old&lt;09/2024)</t>
  </si>
  <si>
    <t xml:space="preserve">STATOR (WINDING) 220-240V 50/60 Hz
(old&lt;09/2024)</t>
  </si>
  <si>
    <t>STATOR 110V60Hz</t>
  </si>
  <si>
    <t>STATOR (WINDING) 220-240V 50/60 Hz</t>
  </si>
  <si>
    <t>GRIND CORE</t>
  </si>
  <si>
    <t>COMPLETE GRIND CORE 50Hz</t>
  </si>
  <si>
    <t>COMPLETE BASE 220V EU Plug (Old&lt;11/2024)</t>
  </si>
  <si>
    <t>COMPLETE BASE 110V USA Plug</t>
  </si>
  <si>
    <t>RUBBER FOOT 25 X 15</t>
  </si>
  <si>
    <t>WASHER 5 X 12</t>
  </si>
  <si>
    <t>STARTING RELAY (220-240V 50/60 HZ)</t>
  </si>
  <si>
    <t xml:space="preserve">STARTING RELAY 100-120V 50/60Hz
(Old&lt;09/2020)</t>
  </si>
  <si>
    <t>SCREW H M 4 X 12 Zn</t>
  </si>
  <si>
    <t xml:space="preserve">CAPACITOR 150 MF 220-240V 50/60 Hz
(Old&lt;08/2017)</t>
  </si>
  <si>
    <t>CAPACITOR RING (Old)</t>
  </si>
  <si>
    <t>NUT H M 4 Zn</t>
  </si>
  <si>
    <t>REVERSING ROTATIVE SWITCH</t>
  </si>
  <si>
    <t>ROTATIVE SWITCH PLATE</t>
  </si>
  <si>
    <t>CIRCUIT BREAKER 5 A (220-240V 50/60 Hz)</t>
  </si>
  <si>
    <t>ROTATIVE SWITCH BUTTON</t>
  </si>
  <si>
    <t>SCREW M4X6.5 Zn</t>
  </si>
  <si>
    <t>SCREW H M 4 X 16 Zn</t>
  </si>
  <si>
    <t>SCREW</t>
  </si>
  <si>
    <t>CAPACITOR RING D36</t>
  </si>
  <si>
    <t>SCREW H M 5 X 12 Zn</t>
  </si>
  <si>
    <t>WASHER AZ 6</t>
  </si>
  <si>
    <t>CAPACITOR 40 µF DIAM 36</t>
  </si>
  <si>
    <t>CAPACITOR 150 µF DIAM 46 (Old&lt;09/2020)</t>
  </si>
  <si>
    <t>CAPACITOR RING D46 (old&lt;09/2024)</t>
  </si>
  <si>
    <t>CAPACITOR 75 µF DIAM 46 (old&lt;09/2024)</t>
  </si>
  <si>
    <t>COMPLETE BASE 220V EU Plug</t>
  </si>
  <si>
    <t xml:space="preserve">BAR GRIND HOUSING WITH ADJUSTING
BUTTON</t>
  </si>
  <si>
    <t xml:space="preserve">COMPLETE STAINLESS STEEL FRAME WITH
TRAY For 12-8 (Old)</t>
  </si>
  <si>
    <t xml:space="preserve">COMPLETE STAINLESS STEEL FRAME WITH
TRAY For 12-12</t>
  </si>
  <si>
    <t>S. STEEL BODY</t>
  </si>
  <si>
    <t>RED BODY</t>
  </si>
  <si>
    <t>REAR SHEET</t>
  </si>
  <si>
    <t>TRAY HOLDER</t>
  </si>
  <si>
    <t>BARISTA INDEXING POINTER</t>
  </si>
  <si>
    <t>STAINLESS STEEL MEAT LOAD TRAY</t>
  </si>
  <si>
    <t>SCREW HC M5x20 Zn</t>
  </si>
  <si>
    <t>SEAL</t>
  </si>
  <si>
    <t>RUBBER BUFFER DIAM 12 H 7,5</t>
  </si>
  <si>
    <t>SCREW M 5 X 10 S/S POELIER</t>
  </si>
  <si>
    <t>BARISTA GRIND ADJUSTMENT SCREW</t>
  </si>
  <si>
    <t>RING D15</t>
  </si>
  <si>
    <t>BARISTA ADJUSTING BUTTON SPRING</t>
  </si>
  <si>
    <t>BARISTA INDEX LOCKING SCREW</t>
  </si>
  <si>
    <t>BARISTA GRADUATED RING</t>
  </si>
  <si>
    <t>ONDULATED WASHER 6202</t>
  </si>
  <si>
    <t>BARISTA SOFT BUTTON</t>
  </si>
  <si>
    <t>SCREW HC M8X10</t>
  </si>
  <si>
    <t>BARISTA ADJUSTING BUTTON</t>
  </si>
  <si>
    <t>ADJUSTING RING</t>
  </si>
  <si>
    <t>O RING 25X2.5</t>
  </si>
  <si>
    <t>BARISTA GRIND HOUSING</t>
  </si>
  <si>
    <t>BARISTA COMPLETE GRIND HOUSING 50Hz</t>
  </si>
  <si>
    <t xml:space="preserve">COMPLETE MINCER HOUSING WITHOUT
PUSHER 12-12</t>
  </si>
  <si>
    <t>MINCER BODY S. STEEL</t>
  </si>
  <si>
    <t>COMPLETE FEED WORM SCREW (12-12)</t>
  </si>
  <si>
    <t>STAINLESS STEEL KNIFE N12</t>
  </si>
  <si>
    <t xml:space="preserve">STAINLESS STEEL PLATE N 12 -HOLES D
3MM</t>
  </si>
  <si>
    <t xml:space="preserve">STAINLESS STEEL PLATE N 12-HOLES D
4,5MM</t>
  </si>
  <si>
    <t xml:space="preserve">STAINLESS STEEL PLATE N12-HOLES D
08MM</t>
  </si>
  <si>
    <t>THREADED S. STEEL NOZE</t>
  </si>
  <si>
    <t>SET OF 3 SAUSSAGE CONES 12-8</t>
  </si>
  <si>
    <t>GRID NB8 DIAMETER 20 STAINLESS STEEL</t>
  </si>
  <si>
    <t>GRID NB12 DIAMETER 20 STAINLESS STEEL</t>
  </si>
  <si>
    <t>SET OF 3 SAUSSAGE CONES 12-12</t>
  </si>
  <si>
    <t>GRINDSTONE</t>
  </si>
  <si>
    <t xml:space="preserve">COMPLETE MOTOR SINGLE PHASE 220-240V
50Hz (Old&lt;11/2024)</t>
  </si>
  <si>
    <t>COMPLETE FRONT FLANGE (Brown)</t>
  </si>
  <si>
    <t>FRONT FLANGE ONLY (BROWN)</t>
  </si>
  <si>
    <t>BEARING WASHER (THIN)</t>
  </si>
  <si>
    <t>SCREW M 4 X 16</t>
  </si>
  <si>
    <t>BEARING WASHER (Thick)</t>
  </si>
  <si>
    <t>REAR FLANGE ONLY BROWN</t>
  </si>
  <si>
    <t>CHROMED BEARING WASHER</t>
  </si>
  <si>
    <t>SCREW H 4 X 10</t>
  </si>
  <si>
    <t>SCREW 6X35</t>
  </si>
  <si>
    <t>WASHER 6 X 18 X 1</t>
  </si>
  <si>
    <t>PIN 3 X 5</t>
  </si>
  <si>
    <t>ASSEMBLING THREADED ROD M 5X134</t>
  </si>
  <si>
    <t>STAINLESS STEEL MOTOR PROTECTOR</t>
  </si>
  <si>
    <t>MOTOR PROTECTOR SPRING</t>
  </si>
  <si>
    <t>BARISTA BEARING WASHER</t>
  </si>
  <si>
    <t>SCREW CB M 4 X 20 Zn</t>
  </si>
  <si>
    <t>WASHER AZ 4 ZN</t>
  </si>
  <si>
    <t xml:space="preserve">COMPLETE ROTOR WITH SHAFT - SINGLE
PHASE and pin (old&lt;09/2024)</t>
  </si>
  <si>
    <t xml:space="preserve">COMPLETE STATOR (WINDING) (old
&lt;09/2024)</t>
  </si>
  <si>
    <t xml:space="preserve">STATOR ONLY SINGLE PHASE 200-240V 50Hz
(old &lt;09/2024)</t>
  </si>
  <si>
    <t>COMPLETE ROTOR WITH SHAFT and pin</t>
  </si>
  <si>
    <t>COMPLETE STATOR (WINDING)</t>
  </si>
  <si>
    <t>STATOR ONLY SINGLE PHASE 200-240V 50Hz</t>
  </si>
  <si>
    <t xml:space="preserve">COMPLETE MOTOR SINGLE PHASE 220-240V
50Hz</t>
  </si>
  <si>
    <t>COMPLETE BOTOM PLATE 220V (Old)</t>
  </si>
  <si>
    <t>BOTTOM PLATE (Old)</t>
  </si>
  <si>
    <t>RUBBER FOOT D 25</t>
  </si>
  <si>
    <t>SCREW TCL 5.5 X 16 Zn</t>
  </si>
  <si>
    <t xml:space="preserve">STARTING RELAY 110V 60HZ and 220-240V 50
HZ</t>
  </si>
  <si>
    <t xml:space="preserve">CAPACITOR 150 µF 220-240V 50/60 HZ
(Old&lt;08/2017)</t>
  </si>
  <si>
    <t>CAPACITOR RING D38</t>
  </si>
  <si>
    <t>CAPACITOR SCREW</t>
  </si>
  <si>
    <t>SWITCH (Old)</t>
  </si>
  <si>
    <t>ON-OFF PLATE (Old)</t>
  </si>
  <si>
    <t>SCREW H 4.2X12.7 ZN</t>
  </si>
  <si>
    <t xml:space="preserve">SPECIAL ON-OFF MULTIFUNCTIONS SWITCH
220V</t>
  </si>
  <si>
    <t>CAP D12.2X6.2 BLACK</t>
  </si>
  <si>
    <t>MEMBRANE + PLASTIC TALLY ASSEMBLY</t>
  </si>
  <si>
    <t>NUT H M 4 Zn (Old&lt;09/2020)</t>
  </si>
  <si>
    <t>WASHER AZ 4 ZN (Old&lt;09/2020)</t>
  </si>
  <si>
    <t>SCREW CB M 4 X 10 Zn (Old&lt;09/2020)</t>
  </si>
  <si>
    <t>SCREW H M5X12 Zn AUTOTAR</t>
  </si>
  <si>
    <t>CAPACITOR RING D46 (old 09/2024)</t>
  </si>
  <si>
    <t>PAINTED BASE</t>
  </si>
  <si>
    <t xml:space="preserve">COMPLETE BOTOM PLATE 220V
(Old&lt;11/2024)</t>
  </si>
  <si>
    <t>REVERSING ROTATIVE BARISTA SWITCH</t>
  </si>
  <si>
    <t>SCREW CXS M4X12 AUTO</t>
  </si>
  <si>
    <t>BARISTA PLATE</t>
  </si>
  <si>
    <t>GROOVED DRIVE STUD 3X8 S.STEEL</t>
  </si>
  <si>
    <t>BARISTA ON/OFF BUTTON</t>
  </si>
  <si>
    <t>WASHER PA 6.4x12x1.6</t>
  </si>
  <si>
    <t>BARISTA BLACK PAINTED BASE</t>
  </si>
  <si>
    <t>BARISTA BOTOM PLATE 220V (Old&lt;11/2024)</t>
  </si>
  <si>
    <t>COMPLETE BOTOM PLATE 220V EU Plug</t>
  </si>
  <si>
    <t>BARISTA BOTOM PLATE 220V</t>
  </si>
  <si>
    <t xml:space="preserve">COMPLETE DRAWER WITH
SUSTAINER+SCREWS</t>
  </si>
  <si>
    <t>DRAWER SUSTAINER ONLY</t>
  </si>
  <si>
    <t>COFFEE DRAWER</t>
  </si>
  <si>
    <t>SCREW FS M4X12 S.STEEL</t>
  </si>
  <si>
    <t>COMPLETE BAG HOLDER</t>
  </si>
  <si>
    <t>BAG HOLDER SOLE (&lt;02/2020)</t>
  </si>
  <si>
    <t>BAKELITE BALL</t>
  </si>
  <si>
    <t>BAG HOLDER SPRING</t>
  </si>
  <si>
    <t>COMPLETE BAG HOLDER AXLE</t>
  </si>
  <si>
    <t>RUBBER BUFFER D12 H 7,5</t>
  </si>
  <si>
    <t>BAG HOLDER TUBE (POLISHED)</t>
  </si>
  <si>
    <t>SCREW FZ M 3 X 6</t>
  </si>
  <si>
    <t>BARISTA COMPLETE BAG HOLDER</t>
  </si>
  <si>
    <t>BAG HOLDER SOLE</t>
  </si>
  <si>
    <t>BARISTA BUTON</t>
  </si>
  <si>
    <t>BARISTA BAG HOLDER AXLE</t>
  </si>
  <si>
    <t>BARISTA BUSHES SUPPORT</t>
  </si>
  <si>
    <t>COFFEE OUTPUT</t>
  </si>
  <si>
    <t>OUTLET CHUTE AXLE</t>
  </si>
  <si>
    <t>COMPLETE COFFEE OUTLET</t>
  </si>
  <si>
    <t>GROUND COFFEE OUTLET PIPE</t>
  </si>
  <si>
    <t>SCREW HM 4 X 16 Zn Auto</t>
  </si>
  <si>
    <t xml:space="preserve">TOOL ONLY(FORK-DOUGH HOOK) WITHOUT
SCREW (Old)</t>
  </si>
  <si>
    <t>SCREW HC M 8 X 10 (Old)</t>
  </si>
  <si>
    <t>NOSE WITH BUSH (Old)</t>
  </si>
  <si>
    <t>LATERAL LOCKING SCREW (Old)</t>
  </si>
  <si>
    <t>TOOL (FORK-DOUGH HOOK) AXLE (Old)</t>
  </si>
  <si>
    <t>CIRCLIPS DIAM 16 (Old)</t>
  </si>
  <si>
    <t>WASHER 16 X 24 (Old)</t>
  </si>
  <si>
    <t>CAP NUT H M 5 (Old)</t>
  </si>
  <si>
    <t>TOOL (FORK-DOUGH HOOK)</t>
  </si>
  <si>
    <t>COMPLETE GEARBOX</t>
  </si>
  <si>
    <t>GASKET 32X45 X7</t>
  </si>
  <si>
    <t xml:space="preserve">COMPLETE REDUCTION GEAR NOSE
Cylindrical (Old)</t>
  </si>
  <si>
    <t>REDUCTION GEAR NOSE Cylindrical (Old)</t>
  </si>
  <si>
    <t>NOSE CAPSULE (Old)</t>
  </si>
  <si>
    <t>GEARBOX OUTPUT AXLE (Old)</t>
  </si>
  <si>
    <t>GASKET 17X28X6 (Old)</t>
  </si>
  <si>
    <t>O-RING SEAL 48 X 2</t>
  </si>
  <si>
    <t>BEARING 6202 (Old)</t>
  </si>
  <si>
    <t>BEARING WASHER (Old)</t>
  </si>
  <si>
    <t>SCREW H 5 X 10 Zn (Old)</t>
  </si>
  <si>
    <t>GEARBOX BRONZE WHEEL 1 THREAD</t>
  </si>
  <si>
    <t>SCREW HC M 10 X 10</t>
  </si>
  <si>
    <t>SCREW CHC M5 X 16 Zn (Old)</t>
  </si>
  <si>
    <t>WORM SCREW + SCREW + O'RING</t>
  </si>
  <si>
    <t>WORM SCREW ONLY</t>
  </si>
  <si>
    <t>O-RING SEAL 1.5X15</t>
  </si>
  <si>
    <t>GEAR BOX COMPLETE LOCKING AXLE</t>
  </si>
  <si>
    <t>LOCKING AXLE</t>
  </si>
  <si>
    <t>BAKELITE BALL D20 M6</t>
  </si>
  <si>
    <t>CIRCLIPS D 7</t>
  </si>
  <si>
    <t>PIN SPRING</t>
  </si>
  <si>
    <t>GEAR ROTATING STOP ASSEMBLY (Old)</t>
  </si>
  <si>
    <t>SPACER D 6X12 Zn</t>
  </si>
  <si>
    <t>PLASTIC NUT</t>
  </si>
  <si>
    <t>CAP NUT H M 6 Zn</t>
  </si>
  <si>
    <t>WASHERS+RODS ASSEMBLY (Old)</t>
  </si>
  <si>
    <t>GEAR ROTATING STOP ASSEMBLY</t>
  </si>
  <si>
    <t>COMPLETE REDUCING GEAR NOSE</t>
  </si>
  <si>
    <t>GASKET 20X35X7</t>
  </si>
  <si>
    <t>CIRCLIPS D35</t>
  </si>
  <si>
    <t>PIN 6X18</t>
  </si>
  <si>
    <t>TOOL AXLE</t>
  </si>
  <si>
    <t>TOOL AXLE WITH PIN</t>
  </si>
  <si>
    <t>REDUCING GEAR NOSE</t>
  </si>
  <si>
    <t>BEARING 6202 ZZ</t>
  </si>
  <si>
    <t>GEAR SPACER</t>
  </si>
  <si>
    <t>SCREW CHC M5 X 15 Zn</t>
  </si>
  <si>
    <t>O-RING SEAL 14X2,5</t>
  </si>
  <si>
    <t xml:space="preserve">COMPLETE MOTOR 1 PHASE 220-240V
50/60Hz (Old&lt;11/2024)</t>
  </si>
  <si>
    <t xml:space="preserve">COMPLETE MOTOR 1 PHASE 100-120V
50/60Hz</t>
  </si>
  <si>
    <t>FRONT FLANGE ALU PAINTED</t>
  </si>
  <si>
    <t>SCREW M 4 X 8</t>
  </si>
  <si>
    <t>LOCKING FINGER STOPPER</t>
  </si>
  <si>
    <t>SCREW H 4X10 Zn</t>
  </si>
  <si>
    <t>MOTOR THREADED ROD HC6X40</t>
  </si>
  <si>
    <t>WASHER 6X18</t>
  </si>
  <si>
    <t>FASTENING PLATE</t>
  </si>
  <si>
    <t>CAP NUT H M 5 Zn</t>
  </si>
  <si>
    <t>WASHERS+RODS ASSEMBLY</t>
  </si>
  <si>
    <t>WASHER AZ 7</t>
  </si>
  <si>
    <t>ROTATION AXLE</t>
  </si>
  <si>
    <t xml:space="preserve">COMPLETE ROTOR WITH SHAFT Single
Phase (old&lt;09/2024)</t>
  </si>
  <si>
    <t xml:space="preserve">COMPLETE STATOR (WINDING) WITH
SCREW 220V (old&lt;09/2024)</t>
  </si>
  <si>
    <t xml:space="preserve">COMPLETE STATOR(WINDING) WITH SCREW
110V 60Hz</t>
  </si>
  <si>
    <t xml:space="preserve">STATOR ONLY 1 PHASE 200-240V 50/60HZ
(old&lt;09/2024)</t>
  </si>
  <si>
    <t>STATOR ONLY 1 PHASE 100-120V 50/60HZ</t>
  </si>
  <si>
    <t xml:space="preserve">COMPLETE STATOR (WINDING) WITH
SCREW 220V</t>
  </si>
  <si>
    <t>STATOR ONLY 1 PHASE 200-240V 50/60HZ</t>
  </si>
  <si>
    <t xml:space="preserve">COMPLETE MOTOR 1 PHASE 220-240V
50/60Hz</t>
  </si>
  <si>
    <t>WASHER 5X12</t>
  </si>
  <si>
    <t>SCREW H 5 X 16 Zn</t>
  </si>
  <si>
    <t>STARTING RELAY 220-240V 50/60 Hz</t>
  </si>
  <si>
    <t xml:space="preserve">STARTING RELAY 100-120V 50/60Hz and 220V
60Hz (Old&lt;09/2020)</t>
  </si>
  <si>
    <t>SCREW H M 5X10</t>
  </si>
  <si>
    <t xml:space="preserve">CAPACITOR 150 MF 220-240V 50/60 HZ
(Old&lt;08/2017)</t>
  </si>
  <si>
    <t xml:space="preserve">CIRCUIT BREAKER 5 A (220-240V 50/60 Hz)
(Old)</t>
  </si>
  <si>
    <t>SCREW CXS M 4 X 12 AUTOTAR</t>
  </si>
  <si>
    <t>SCREW H 4.2X12.7 ZN AUTO</t>
  </si>
  <si>
    <t xml:space="preserve">SPECIAL ON-OFF MULTI FONCTION SWITCH
4A 220V</t>
  </si>
  <si>
    <t>MULTI FONCTION SWITCH 110V</t>
  </si>
  <si>
    <t>CAPACITOR 40µF DIAM 36</t>
  </si>
  <si>
    <t>BOTTOM PLATE ONLY</t>
  </si>
  <si>
    <t>SCREW CBLZ 5.5X16</t>
  </si>
  <si>
    <t>ALUMINIUM PAINTED BASE</t>
  </si>
  <si>
    <t xml:space="preserve">COMPLETE BOTTOM PLATE 220V EU Plug
(Old&lt;11/2024)</t>
  </si>
  <si>
    <t>COMPLETE BOTTOM PLATE 220V EU Plug</t>
  </si>
  <si>
    <t>COMPLETE ST. STEEL BOWL</t>
  </si>
  <si>
    <t>BOWL LOCKING SCREW</t>
  </si>
  <si>
    <t>BOWL HUB (WITH BUSHES)</t>
  </si>
  <si>
    <t>BRONZE BUSH</t>
  </si>
  <si>
    <t>BOWL WASHER</t>
  </si>
  <si>
    <t>BOWL BRAKE (WITH BUSH)</t>
  </si>
  <si>
    <t>WASHER 15 X 21</t>
  </si>
  <si>
    <t>BOWL BRAKE HANDLE ASSEMBLY (Old)</t>
  </si>
  <si>
    <t>LATERAL BRAKING SCREW</t>
  </si>
  <si>
    <t>BRAKE FIBER PIN D 6X32,5 (old)</t>
  </si>
  <si>
    <t>BRAKING SPRING</t>
  </si>
  <si>
    <t>FIBER PIN D 6X36,5</t>
  </si>
  <si>
    <t>SCREW M 5 X 8 S/S</t>
  </si>
  <si>
    <t>PROTECTING PLASTIC COVER</t>
  </si>
  <si>
    <t>ASSEMBLING ROD M 5 X 141</t>
  </si>
  <si>
    <t>WASHER  9X16X1.5 S.STEEL</t>
  </si>
  <si>
    <t>WASHER 7 X 24</t>
  </si>
  <si>
    <t>SCREW H M 5 X 10 Zn</t>
  </si>
  <si>
    <t>NUT H 4 Zn</t>
  </si>
  <si>
    <t>SCREW M4X40 S.STEEL</t>
  </si>
  <si>
    <t>NUT H M 4 S.STEEL</t>
  </si>
  <si>
    <t>WASHER 4X14 S.STEEL</t>
  </si>
  <si>
    <t>LEFT COVER ARM</t>
  </si>
  <si>
    <t>RIGHT COVER ARM</t>
  </si>
  <si>
    <t>COMPLETE PROTECTING COVER</t>
  </si>
  <si>
    <t>COVER SAFETY SWITCH</t>
  </si>
  <si>
    <t>SCREW M 4 X 16 Zn</t>
  </si>
  <si>
    <t>SAFETY LEVER SPRING</t>
  </si>
  <si>
    <t>SCREW H M4X12 Zn</t>
  </si>
  <si>
    <t>WASHER 4 X 10</t>
  </si>
  <si>
    <t>MICRO SWITCH SUPPORT</t>
  </si>
  <si>
    <t>SAFETY DETECTION PLATE</t>
  </si>
  <si>
    <t>SCREW H M4X16 Zn AUTO</t>
  </si>
  <si>
    <t>COVER SAFETY DETECTION ASSEMBLY</t>
  </si>
  <si>
    <t>BARISTA S.STEEL CUP 01BAR</t>
  </si>
  <si>
    <t>PROTECTION CAP (before 2009)</t>
  </si>
  <si>
    <t>BAKELITE BALL (before 2009)</t>
  </si>
  <si>
    <t>LEVER RUBBER BAND</t>
  </si>
  <si>
    <t>GRATER HOUSING</t>
  </si>
  <si>
    <t>GROOVED PIN 5X22</t>
  </si>
  <si>
    <t>LOCKING KEY</t>
  </si>
  <si>
    <t>DRAWER SUSTAINER</t>
  </si>
  <si>
    <t>ALUMINIUM LEVER</t>
  </si>
  <si>
    <t>GROOVED PIN 8X45</t>
  </si>
  <si>
    <t>GROOVED PIN 8X55 (Old &lt; 05/2022)</t>
  </si>
  <si>
    <t>COMPLETE GRATER HOUSING</t>
  </si>
  <si>
    <t>DETECTION ASSY FOR DRAWER</t>
  </si>
  <si>
    <t>DRAWER CONTACT SWITCH HOLDER</t>
  </si>
  <si>
    <t>MICRO SWICH</t>
  </si>
  <si>
    <t>WASHER D3</t>
  </si>
  <si>
    <t>SAFETY LEVER</t>
  </si>
  <si>
    <t>WASHER 4 X 14 Zn</t>
  </si>
  <si>
    <t>SCREW 4X10 Zn Auto</t>
  </si>
  <si>
    <t xml:space="preserve">HOLDING ASSY FOR LEVER SAFETY
DETECTION</t>
  </si>
  <si>
    <t>MICROSWITCH HOLDING PLATE</t>
  </si>
  <si>
    <t>LEVER SAFETY DETECTION AXLE</t>
  </si>
  <si>
    <t>DETECTION PIN END</t>
  </si>
  <si>
    <t>LEVER DETECTION ASSY</t>
  </si>
  <si>
    <t>SAFETY SPRING PLATE</t>
  </si>
  <si>
    <t>SCREW 4X8 Zn Auto</t>
  </si>
  <si>
    <t xml:space="preserve">COMPLETE GRATING DISC 3MM WITH
SCREW</t>
  </si>
  <si>
    <t>LOCKING SCREW</t>
  </si>
  <si>
    <t>V RING GASKET V22</t>
  </si>
  <si>
    <t>ROD M6X35</t>
  </si>
  <si>
    <t>REAR FLANGE</t>
  </si>
  <si>
    <t>FRONT FLANGE</t>
  </si>
  <si>
    <t>ASSEMBLING THREADED ROD M5 X 147</t>
  </si>
  <si>
    <t>SCREW CB M 4 X 10 Zn (Old)</t>
  </si>
  <si>
    <t>SPACER D 16X20X35 (Before 2009)</t>
  </si>
  <si>
    <t>FLANGE</t>
  </si>
  <si>
    <t>SCREW FS M5X16 S.STEEL</t>
  </si>
  <si>
    <t>RUBBER FOOT D 12 x 7.5</t>
  </si>
  <si>
    <t>DISC WASHER</t>
  </si>
  <si>
    <t xml:space="preserve">COMPLETE MOTOR SINGLE PHASE 220-240V
50HZ (Old&lt;11/2024)</t>
  </si>
  <si>
    <t>FRONT FLANGE WITH BEARING</t>
  </si>
  <si>
    <t>COMPLETE ROTOR WITH FAN (old&lt;09/2024)</t>
  </si>
  <si>
    <t xml:space="preserve">COMPLETE STATOR (WINDING) 220V50Hz
(old&lt;09/2024)</t>
  </si>
  <si>
    <t xml:space="preserve">STATOR ONLY SINGLE PHASE 220-240V 50HZ
(old&lt;09/2024)</t>
  </si>
  <si>
    <t>COMPLETE ROTOR WITH FAN</t>
  </si>
  <si>
    <t>COMPLETE STATOR (WINDING) 220V50Hz</t>
  </si>
  <si>
    <t>STATOR ONLY SINGLE PHASE 220-240V 50HZ</t>
  </si>
  <si>
    <t xml:space="preserve">COMPLETE MOTOR SINGLE PHASE 220-240V
50HZ</t>
  </si>
  <si>
    <t xml:space="preserve">COMPLETE BOTTOM PLATE 220V50Hz
(Old&lt;08/2017)</t>
  </si>
  <si>
    <t>BOTTOM PLATE ONLY (Old)</t>
  </si>
  <si>
    <t>RUBBER FOOT D 22 X 10</t>
  </si>
  <si>
    <t>STARTING RELAY 220-240V 50Hz</t>
  </si>
  <si>
    <t>CAPACITOR RING</t>
  </si>
  <si>
    <t>SCREW CB M 4 X 16 Zn</t>
  </si>
  <si>
    <t>RUBBER FOOT D25 X 15</t>
  </si>
  <si>
    <t>PAINTED BASE ONLY</t>
  </si>
  <si>
    <t xml:space="preserve">SPECIAL ON-OFF MULTIFONCTION SWITCH
220V</t>
  </si>
  <si>
    <t xml:space="preserve">COMPLETE BOTTOM PLATE 220V
(Old&lt;11/2024)</t>
  </si>
  <si>
    <t>COMPLETE BOTTOM PLATE 220V</t>
  </si>
  <si>
    <t>GRATER DRAWER</t>
  </si>
  <si>
    <t>CUP</t>
  </si>
  <si>
    <t>FRONT PLATE</t>
  </si>
  <si>
    <t>STABILIZER</t>
  </si>
  <si>
    <t>WASHER 5 X 20</t>
  </si>
  <si>
    <t>SCREW H M5X16 Zn AUTO</t>
  </si>
  <si>
    <t>SCREW H M 5 X 20 Zn</t>
  </si>
  <si>
    <t>FILTER HOLDER FORK</t>
  </si>
  <si>
    <t>LID DISPENSER</t>
  </si>
  <si>
    <t>DISPENSER PLEXI STRIP</t>
  </si>
  <si>
    <t>STAINLESS STEEL DISPENSER TUBE</t>
  </si>
  <si>
    <t>COMPLETE TAMPER</t>
  </si>
  <si>
    <t>COMPLETE TAMPER 57mm</t>
  </si>
  <si>
    <t>COMPLETE TAMPER 55mm</t>
  </si>
  <si>
    <t>ALUMINIUM TAMPER HOLDER</t>
  </si>
  <si>
    <t>TAMPER END DIAM 53 MM</t>
  </si>
  <si>
    <t>TAMPER END DIAM 55 MM</t>
  </si>
  <si>
    <t>TAMPER END DIAM 57 mm</t>
  </si>
  <si>
    <t>PIN D 5 X 11 X 26</t>
  </si>
  <si>
    <t>COMPLETE DISPENSER BASE</t>
  </si>
  <si>
    <t>SPRING HOLDING PLATE</t>
  </si>
  <si>
    <t>HANDLE SPRING</t>
  </si>
  <si>
    <t>RATCHET SPRING</t>
  </si>
  <si>
    <t>RATCHET FINGER</t>
  </si>
  <si>
    <t>COMPLETE HANDLE</t>
  </si>
  <si>
    <t>ALUMINIUM HANDLE</t>
  </si>
  <si>
    <t>HANDLE ONLY</t>
  </si>
  <si>
    <t>5 DIGIT COUNTER</t>
  </si>
  <si>
    <t>COUNTER SPRING</t>
  </si>
  <si>
    <t>CONTACT WASHER 8 Zn</t>
  </si>
  <si>
    <t>COMPLETE SPIDER</t>
  </si>
  <si>
    <t>GRINDING ADJUSMENT SPRING</t>
  </si>
  <si>
    <t>CENTRAL THREADED ROD M 6 X 132</t>
  </si>
  <si>
    <t>RUBBER BUFFER DIAM 12 H 4</t>
  </si>
  <si>
    <t>DISPENSER MAIN AXLE</t>
  </si>
  <si>
    <t>RATCHET WHEEL</t>
  </si>
  <si>
    <t>DOSE ADJUSTMENT NUT</t>
  </si>
  <si>
    <t>PIN 2X2,6X7</t>
  </si>
  <si>
    <t>SHAFT CIRCLIP D 12</t>
  </si>
  <si>
    <t>DOSE ADJUSTMENT ROD WITH BOLT</t>
  </si>
  <si>
    <t>SCREW M6X16 S.STEEL</t>
  </si>
  <si>
    <t>RATCHET WHEEL SUPPORTING WASHER</t>
  </si>
  <si>
    <t>UPPER SPIDER</t>
  </si>
  <si>
    <t>SCRAPER</t>
  </si>
  <si>
    <t>MEDIUM SPIDER</t>
  </si>
  <si>
    <t>LOWER SPIDER</t>
  </si>
  <si>
    <t>DISPENSER BASE</t>
  </si>
  <si>
    <t>NUT</t>
  </si>
  <si>
    <t>COMPLETE PRECISION DOSING DISPENSER</t>
  </si>
  <si>
    <t>PRECISION DOSING DISPENSER ONLY</t>
  </si>
  <si>
    <t>3 TOOLS</t>
  </si>
  <si>
    <t>ALUMINIUM FLAT BEATER</t>
  </si>
  <si>
    <t>DOUGH HOOK</t>
  </si>
  <si>
    <t>WIRE WHIP</t>
  </si>
  <si>
    <t>BOWL SAFETY ASSEMBLY (Old)</t>
  </si>
  <si>
    <t>MICRO SWITCH SUPPORT ASSEMBLY (Old)</t>
  </si>
  <si>
    <t xml:space="preserve">BOWL SAFETY MICRO SWITCH SUPPORT
(Old)</t>
  </si>
  <si>
    <t>SAFETY SWITCH (Old)</t>
  </si>
  <si>
    <t>WASHER AZ 4 (Old)</t>
  </si>
  <si>
    <t>NUT H M 4 Zn (Old)</t>
  </si>
  <si>
    <t>CIRCLIPS D 12 (Old)</t>
  </si>
  <si>
    <t>WASHER AZ 10 (Old)</t>
  </si>
  <si>
    <t>SAFETY GRID WITH CAP</t>
  </si>
  <si>
    <t>NYLON GRID CAP</t>
  </si>
  <si>
    <t>SAFETY GRID</t>
  </si>
  <si>
    <t>COMPLETE SAFETY SWITCH</t>
  </si>
  <si>
    <t>NUT H M 3 Zn</t>
  </si>
  <si>
    <t>WASHER AZ 3</t>
  </si>
  <si>
    <t>SCREW CB M 3 X 20 Zn</t>
  </si>
  <si>
    <t>SAFETY SWITCH</t>
  </si>
  <si>
    <t>COVER SPACER</t>
  </si>
  <si>
    <t>CONTACTOR - 3 PHASE</t>
  </si>
  <si>
    <t>COMPLETE FRAME FOR UP &amp; DOWN</t>
  </si>
  <si>
    <t>FRAME FOR UP&amp; DOWN</t>
  </si>
  <si>
    <t xml:space="preserve">COMPLETE LOCKING SYSTEM (Old before
1994)</t>
  </si>
  <si>
    <t>NUT H M 6 LEFT ST. STEEL (Old)</t>
  </si>
  <si>
    <t>LOCKING ARM INSERT (Repairs)</t>
  </si>
  <si>
    <t>LOCKING ARM ST. STEEL SCREW (Old)</t>
  </si>
  <si>
    <t>LOCKING ARM (Old)</t>
  </si>
  <si>
    <t>PIN 6 X 32 (Old)</t>
  </si>
  <si>
    <t>LEFT HANDLE (Old)</t>
  </si>
  <si>
    <t>WASHER AZ 5 Zn</t>
  </si>
  <si>
    <t>SCREW H M5X12 Zn</t>
  </si>
  <si>
    <t>SCREW H 5X16 Zn</t>
  </si>
  <si>
    <t>LOCKING HARM (Old)</t>
  </si>
  <si>
    <t>WASHER BELLEVILLE 6,5X18X1 (Old)</t>
  </si>
  <si>
    <t>NUT H M 6 Zn (Old)</t>
  </si>
  <si>
    <t>CAP NUT H M 6 (Old)</t>
  </si>
  <si>
    <t>GRID SPRINGBLADE ASSEMBLY</t>
  </si>
  <si>
    <t>MICRO SWITCH HOLDER</t>
  </si>
  <si>
    <t>SCREW CHC M 5 X 15 Zn</t>
  </si>
  <si>
    <t>GRID DETECTION SPRINGBLADE</t>
  </si>
  <si>
    <t>GRID SPRINGBLADE HOLDER</t>
  </si>
  <si>
    <t>GRID SPRINGBLADE</t>
  </si>
  <si>
    <t>SCREW H M 4 X 10 Zn</t>
  </si>
  <si>
    <t xml:space="preserve">COMPLETE VRIATOR, GEAR BOX,
PLANETARY</t>
  </si>
  <si>
    <t>COMPLETE PLANETARY FLANGE</t>
  </si>
  <si>
    <t>SCREW M 5 X 12 Zn</t>
  </si>
  <si>
    <t>GEAR LOCK WASHER</t>
  </si>
  <si>
    <t>PLANETARY GEAR</t>
  </si>
  <si>
    <t>PIN D 6 X 18</t>
  </si>
  <si>
    <t>GASKET 20 X 32 X 7</t>
  </si>
  <si>
    <t>BEARING SPACER</t>
  </si>
  <si>
    <t>RING SPACER</t>
  </si>
  <si>
    <t>RING D 32</t>
  </si>
  <si>
    <t>PLANETARY FLANGE</t>
  </si>
  <si>
    <t>COMPLETE PLANETARY HOUSING</t>
  </si>
  <si>
    <t>BRONZE WHEEL</t>
  </si>
  <si>
    <t>WASHER 16X31X3</t>
  </si>
  <si>
    <t>PIN 4X16</t>
  </si>
  <si>
    <t>CAP NUT H M 8 S.STEEL</t>
  </si>
  <si>
    <t>GASKET 18X28X6</t>
  </si>
  <si>
    <t>O-RING SEAL D 48 X 2</t>
  </si>
  <si>
    <t>PLANETARY HOUSING</t>
  </si>
  <si>
    <t>SCREW CHC M 5 X 20 Zn</t>
  </si>
  <si>
    <t>SPLIT WASHER D 5 Zn</t>
  </si>
  <si>
    <t>GASKET 32 X 45 X 7</t>
  </si>
  <si>
    <t>SCREW H M 6 X 35 Zn</t>
  </si>
  <si>
    <t>COMPLETE WORM SCREW HUB</t>
  </si>
  <si>
    <t>WORM SCREW 2 THREADS</t>
  </si>
  <si>
    <t>SCREW STHC M 8 X 10</t>
  </si>
  <si>
    <t>O-RING SEAL 15 X 1,5</t>
  </si>
  <si>
    <t>WORM SCREW AXLE</t>
  </si>
  <si>
    <t>WORM SCREW HUB</t>
  </si>
  <si>
    <t>SCREW HC M 8 X 50</t>
  </si>
  <si>
    <t>SPRING WASHER</t>
  </si>
  <si>
    <t>MOBILE PULLEY SPRING</t>
  </si>
  <si>
    <t>MOBILE FLANGE WITH PINS</t>
  </si>
  <si>
    <t>FIXED FLANGE PULLEY</t>
  </si>
  <si>
    <t>SPEED VARIATION BELT</t>
  </si>
  <si>
    <t>STAINLESS STEEL COLUMN</t>
  </si>
  <si>
    <t>COMPLETE START BUTTON (Old)</t>
  </si>
  <si>
    <t>START BUTTON GREEN (Old + 3Ph)</t>
  </si>
  <si>
    <t>START BLOCK (Old + 3Ph)</t>
  </si>
  <si>
    <t>MULTIFUNCTION SWITCH 110V</t>
  </si>
  <si>
    <t>COMPLETE STOP BUTTON</t>
  </si>
  <si>
    <t>STOP BUTTON RED</t>
  </si>
  <si>
    <t>STOP BLOCK</t>
  </si>
  <si>
    <t>SPEED LEVER INDEX</t>
  </si>
  <si>
    <t>SPEED CHANGE PLATE</t>
  </si>
  <si>
    <t>STAINLESS STEEL COVER</t>
  </si>
  <si>
    <t>SCREW M 5 X 15 Zn</t>
  </si>
  <si>
    <t xml:space="preserve">SPECIAL S.STEEL COVER FOR THREE
PHASES MIXER</t>
  </si>
  <si>
    <t>COMPLETE LID 220V</t>
  </si>
  <si>
    <t>COMPLET LID 110V</t>
  </si>
  <si>
    <t>COMPLETE MOTOR 1 PHASE 220V</t>
  </si>
  <si>
    <t>COMPLETE MOTOR 1 PHASE 110V-60Hz</t>
  </si>
  <si>
    <t>COMPLETE FRONT FLANGE (Before 2018)</t>
  </si>
  <si>
    <t>FRONT FLANGE ONLY (Before 2018)</t>
  </si>
  <si>
    <t>REAR FLANGE ONLY (Before 2018)</t>
  </si>
  <si>
    <t>SCREW M4 X 10</t>
  </si>
  <si>
    <t>CRINKLE WASHER 23X33X0,1</t>
  </si>
  <si>
    <t>BOLT D 6 X 30</t>
  </si>
  <si>
    <t>COMPLETE REAR FLANGE (Before 2018)</t>
  </si>
  <si>
    <t>SCREW CB M 4 X 12 Zn</t>
  </si>
  <si>
    <t xml:space="preserve">COMPLETE ROTOR WITH SHAFT - 1 PHASE
(Old&lt;08/2017)</t>
  </si>
  <si>
    <t>COMPLETE ROTOR WITH SHAFT - 3 PHASE</t>
  </si>
  <si>
    <t>ROTOR ROTATING AXLE ROD</t>
  </si>
  <si>
    <t>MOTOR ROTATING AXLE</t>
  </si>
  <si>
    <t>MOTOR PULLEY SPACER 16X21X3</t>
  </si>
  <si>
    <t>MOTOR PULLEY</t>
  </si>
  <si>
    <t>WASHER AZ 16</t>
  </si>
  <si>
    <t>CAPACITOR RING D46</t>
  </si>
  <si>
    <t>CAPACITOR 75 µF DIAM 46</t>
  </si>
  <si>
    <t>STATOR ONLY 1 PHASE 110V 60Hz</t>
  </si>
  <si>
    <t>COMPLETE ROTOR WITH SHAFT - 1 PHASE</t>
  </si>
  <si>
    <t xml:space="preserve">COMPLETE STATOR (WINDING) WITH
SCREWS 110V 60Hz</t>
  </si>
  <si>
    <t>COMPLETE SPEED CHANGE</t>
  </si>
  <si>
    <t>SPEED CHANGE LEVER</t>
  </si>
  <si>
    <t>HANDLE</t>
  </si>
  <si>
    <t>ALUMINIUM LEVER BUTTON</t>
  </si>
  <si>
    <t>PIN 6X28</t>
  </si>
  <si>
    <t>SPRING PIN</t>
  </si>
  <si>
    <t>SPEED LEVER SPRING</t>
  </si>
  <si>
    <t>FRICTION WASHER</t>
  </si>
  <si>
    <t>COMPLETE LEVER ARM</t>
  </si>
  <si>
    <t>LEVER</t>
  </si>
  <si>
    <t>SPRING</t>
  </si>
  <si>
    <t>PIN 3X16 S. STEEL</t>
  </si>
  <si>
    <t>SPRING SPACER</t>
  </si>
  <si>
    <t>SCREW H M 6 X 12 Zn</t>
  </si>
  <si>
    <t>FIBER WASHER 6X16</t>
  </si>
  <si>
    <t>TRACTION ST. STEEL SHEET</t>
  </si>
  <si>
    <t>FRICTION FILM</t>
  </si>
  <si>
    <t>SCREW H 5X20 Zn AUTOTAR</t>
  </si>
  <si>
    <t>LEVER SPRING BRACE</t>
  </si>
  <si>
    <t>SCREW H 5X25 Zn</t>
  </si>
  <si>
    <t>SCREW H 5X12 Zn</t>
  </si>
  <si>
    <t>FRONT DISC</t>
  </si>
  <si>
    <t>LEVER BRALE</t>
  </si>
  <si>
    <t>REAR DISC</t>
  </si>
  <si>
    <t>LEVER AXLE</t>
  </si>
  <si>
    <t>PAINTED ALUMINIUM BASE</t>
  </si>
  <si>
    <t>COMPLETE BOTTOM PLATE</t>
  </si>
  <si>
    <t>RUBBER FOOT 30 X 12</t>
  </si>
  <si>
    <t>POWER CORD USA PLUG</t>
  </si>
  <si>
    <t>THEADED ROD 6 X 400</t>
  </si>
  <si>
    <t>MOTOR PIVOTING CRADLE</t>
  </si>
  <si>
    <t>RING</t>
  </si>
  <si>
    <t>SCREW H M 4 X 10 S/S</t>
  </si>
  <si>
    <t>NUT H M 4 S/S</t>
  </si>
  <si>
    <t>BOWL DETECTION BLADE</t>
  </si>
  <si>
    <t>BOWL DETECTION ROD</t>
  </si>
  <si>
    <t>BEARING 8 X 14 X 8</t>
  </si>
  <si>
    <t>HANDLE STOP</t>
  </si>
  <si>
    <t>SAFETY SWITCH ASSEMBLY</t>
  </si>
  <si>
    <t>MICROSWITCH ANGLE HOLDER</t>
  </si>
  <si>
    <t>SCREW H M 4 X 20 Zn</t>
  </si>
  <si>
    <t>BOWL TOP CENTERER</t>
  </si>
  <si>
    <t>BEARING</t>
  </si>
  <si>
    <t>REAR BEARING</t>
  </si>
  <si>
    <t>HANDLE BEARING</t>
  </si>
  <si>
    <t>GUIDING ROD</t>
  </si>
  <si>
    <t>BOWL COMPLETE HOLDING SYSTEM</t>
  </si>
  <si>
    <t>WASHER 6X14</t>
  </si>
  <si>
    <t>SCREW M6 X 25 S/S</t>
  </si>
  <si>
    <t>UP AND DOWN HANDLE</t>
  </si>
  <si>
    <t>HANDLE END</t>
  </si>
  <si>
    <t>UP AND DOWN CAM</t>
  </si>
  <si>
    <t>COUPLING ROD SCREW M4X25</t>
  </si>
  <si>
    <t>BOWL LOCKING SPRING ROD</t>
  </si>
  <si>
    <t>BENDING PIN</t>
  </si>
  <si>
    <t>TRACTION BLADE</t>
  </si>
  <si>
    <t>NUT AUTOLOCK HM6</t>
  </si>
  <si>
    <t>NUT H M 5 5n</t>
  </si>
  <si>
    <t>WASHER BELLEVILLE 6 Zn</t>
  </si>
  <si>
    <t>PUSHER-POLYETHYLENE</t>
  </si>
  <si>
    <t>ALUMINIUM TOP COVER</t>
  </si>
  <si>
    <t xml:space="preserve">COMPLETE BASKET STANDARD WITH
GRATING DISC</t>
  </si>
  <si>
    <t xml:space="preserve">COMPLETE BASKET-HOLES 0,8 MM - WITH
BLADE</t>
  </si>
  <si>
    <t xml:space="preserve">COMPLETE BLADE (GRATING DISC) WITH
LOCKING SCREW</t>
  </si>
  <si>
    <t>BLADE (DISC) ONLY 28</t>
  </si>
  <si>
    <t>LOCKING SCREW for Basket</t>
  </si>
  <si>
    <t>NUT H M 6 S/S</t>
  </si>
  <si>
    <t>SCREW FS M 5 X 20 S.STEEL</t>
  </si>
  <si>
    <t>WASHER GROWER W5</t>
  </si>
  <si>
    <t>CAP NUT H M 5 S.STEEL</t>
  </si>
  <si>
    <t>WASHER 5.5X12 S.STEEL</t>
  </si>
  <si>
    <t>BASKET (STRAINER) ONLY STANDARD</t>
  </si>
  <si>
    <t>BASKET (STRAINER) ONLY HOLES D 0,8MM</t>
  </si>
  <si>
    <t>BASKET PLATE ONLY</t>
  </si>
  <si>
    <t>EJECTION WING ONLY</t>
  </si>
  <si>
    <t>SPECIAL KEY (WRENCH)</t>
  </si>
  <si>
    <t xml:space="preserve">GRATING DISC + SCREWS REPLACEMENT
SET</t>
  </si>
  <si>
    <t>COMPLETE BOWL WITH CHUTE</t>
  </si>
  <si>
    <t>BOWL 28</t>
  </si>
  <si>
    <t>CAP NUT H M 6 S.STEEL</t>
  </si>
  <si>
    <t>REMOVABLE ALU CHUTE WITH 2 SCREWS</t>
  </si>
  <si>
    <t>REMOVABLE ALU CHUTE ONLY</t>
  </si>
  <si>
    <t>FOOT</t>
  </si>
  <si>
    <t>SPLIT WASHER W 5</t>
  </si>
  <si>
    <t>ELECTRIC COMPONENTS ASSEMBLY 220V</t>
  </si>
  <si>
    <t>ELECTRIC COMPONENTS ASSEMBLY 110V</t>
  </si>
  <si>
    <t>STARTING RELAY 220-240V 50/60Hz</t>
  </si>
  <si>
    <t>STARTING RELAY 110V</t>
  </si>
  <si>
    <t>CAPACITOR 80 MF 220-240V 50/60 Hz</t>
  </si>
  <si>
    <t>CAPACITOR 180 MF 100-120V 50/60 Hz</t>
  </si>
  <si>
    <t>CONTACTOR 220-240 V 50/60 Hz</t>
  </si>
  <si>
    <t>CONTACTOR 100-120 V 50/60 Hz</t>
  </si>
  <si>
    <t>CIRCUIT BREAKER 8 A (220-240V 50/60 Hz)</t>
  </si>
  <si>
    <t>COMPONENTS ASSEMBLY PLATE</t>
  </si>
  <si>
    <t>NUT HM M 5 Zn</t>
  </si>
  <si>
    <t>COMPLETE LOCKING ASSEMBLY</t>
  </si>
  <si>
    <t>LOCKING CAM</t>
  </si>
  <si>
    <t>CAM FIXING SCREW</t>
  </si>
  <si>
    <t>ALUMINIUM LOCKING LEVER</t>
  </si>
  <si>
    <t>CAM STOP</t>
  </si>
  <si>
    <t>GASKET-V-RING V25</t>
  </si>
  <si>
    <t xml:space="preserve">ENS  FRICTION WASHER FOR HANDLE (NSF-
USA)</t>
  </si>
  <si>
    <t>FRICTION WASHER FOR HANDLE (NSF-USA)</t>
  </si>
  <si>
    <t>HANDLE WASHER (NSF-USA)</t>
  </si>
  <si>
    <t>LOCKING ASSEMBLY</t>
  </si>
  <si>
    <t>COMPLETE STAINLESS STEEL BODY</t>
  </si>
  <si>
    <t>STAINLESS STEEL BODY</t>
  </si>
  <si>
    <t>COMPLETE START BUTTON</t>
  </si>
  <si>
    <t>START BLOCK</t>
  </si>
  <si>
    <t>START BUTTON</t>
  </si>
  <si>
    <t>STOP BUTTON</t>
  </si>
  <si>
    <t>COMPLETE LOCKING LEVER STOP</t>
  </si>
  <si>
    <t>STOP SPACER</t>
  </si>
  <si>
    <t>SCREW H 4.2X12.7 Zn AUTO</t>
  </si>
  <si>
    <t>COMPLETE SAFETY SWICH</t>
  </si>
  <si>
    <t>SWITCH CORNER PLATE</t>
  </si>
  <si>
    <t>LEVER END</t>
  </si>
  <si>
    <t>COMPLETE BRAKING DISC</t>
  </si>
  <si>
    <t>BRAKE SPRING</t>
  </si>
  <si>
    <t>BRAKING PLATE</t>
  </si>
  <si>
    <t>SPACER (GUIDE)</t>
  </si>
  <si>
    <t>BOWL BLOCKING ARM</t>
  </si>
  <si>
    <t>COMPLETE MOTOR 100-120V 50/60Hz</t>
  </si>
  <si>
    <t>SCREW M5X15 LEFT</t>
  </si>
  <si>
    <t>BRAKING DISC</t>
  </si>
  <si>
    <t>REAR BEARING SPACER</t>
  </si>
  <si>
    <t>GUIDE RING</t>
  </si>
  <si>
    <t>BRAKE THREADED ROD</t>
  </si>
  <si>
    <t>STATOR ONLY 220-240V 50/60Hz</t>
  </si>
  <si>
    <t>THERMAL PROTECTOR HOLDER</t>
  </si>
  <si>
    <t>THERMOSTAT DE SECURITE EQUIPE</t>
  </si>
  <si>
    <t>ROTOR + SHAFT + FAN</t>
  </si>
  <si>
    <t>PIN 5 X 25</t>
  </si>
  <si>
    <t>BEARING 6204</t>
  </si>
  <si>
    <t>UPPER BEARING SPACER</t>
  </si>
  <si>
    <t>SCREW H M6X40 S.STEEL</t>
  </si>
  <si>
    <t>MOTOR SHAFT INSERT</t>
  </si>
  <si>
    <t>BASKET DRIVING PIN</t>
  </si>
  <si>
    <t>SCREW HC M 6 X 20</t>
  </si>
  <si>
    <t>SCREW 4X10</t>
  </si>
  <si>
    <t>BASE ASSEMBLY ROD</t>
  </si>
  <si>
    <t>MOTOR ASSEMBLY ROD</t>
  </si>
  <si>
    <t>GASKET 16X26X7</t>
  </si>
  <si>
    <t>PULP CONTAINER</t>
  </si>
  <si>
    <t>PULP TUBE</t>
  </si>
  <si>
    <t xml:space="preserve">SPECIAL KEY FOR CHEESE GRATER (Before
2009)</t>
  </si>
  <si>
    <t>COMPLETE 2L STAINLESS STEEL BOWL</t>
  </si>
  <si>
    <t>COMPLETE 2L  BOWL</t>
  </si>
  <si>
    <t xml:space="preserve">SET OF 2 REVERSED GRINDING DISCS DIAM
63.5 FOR DOUBLE SHOP COFFEE GRINDERS
04D</t>
  </si>
  <si>
    <t xml:space="preserve">ASSEMBLY EVAPORATOR 34-3 (MIDDLE AND
RIGHT)</t>
  </si>
  <si>
    <t>ASSEMBLY EVAPORATOR 34-3 LEFT</t>
  </si>
  <si>
    <t>ORANGES CONTAINER</t>
  </si>
  <si>
    <t>SCREW M 5 X 30 S/S</t>
  </si>
  <si>
    <t>ORANGES DISPLAY RACK</t>
  </si>
  <si>
    <t>SCREW M 5 X 16 S/S</t>
  </si>
  <si>
    <t>RIGHT FLANGE</t>
  </si>
  <si>
    <t>LEFT FLANGE</t>
  </si>
  <si>
    <t>LOWER FRONT PLATE</t>
  </si>
  <si>
    <t>REAR PLATE MAGNET SUSTAINER</t>
  </si>
  <si>
    <t>REAR PLATE MAGNET</t>
  </si>
  <si>
    <t>REAR PLATE MAGNET REED</t>
  </si>
  <si>
    <t>REAR DOWN FLANGE</t>
  </si>
  <si>
    <t>REAR TOP FLANGE</t>
  </si>
  <si>
    <t>ADJUSTABLE FOOT</t>
  </si>
  <si>
    <t>SCREW H M 8 X 20 Zn</t>
  </si>
  <si>
    <t>CAP NUT H M 8 Zn</t>
  </si>
  <si>
    <t>LEFT ANGLE</t>
  </si>
  <si>
    <t>LEFT CAM</t>
  </si>
  <si>
    <t>RIGHT ANGLE</t>
  </si>
  <si>
    <t>RIGHT CAM</t>
  </si>
  <si>
    <t>SCREW S/STEEL</t>
  </si>
  <si>
    <t>NUT H M 5 S. STEEL</t>
  </si>
  <si>
    <t>LOWER PLATE</t>
  </si>
  <si>
    <t>SELECTOR</t>
  </si>
  <si>
    <t>SCREW F/90 M 5 X 30 S/S</t>
  </si>
  <si>
    <t>NUT H M 5 S.STEEL</t>
  </si>
  <si>
    <t>UPPER PROTECTOR</t>
  </si>
  <si>
    <t>SCREW M 5 X 10 S/S</t>
  </si>
  <si>
    <t>CHUTE</t>
  </si>
  <si>
    <t>ORANGES PUSHER (SELECTOR)</t>
  </si>
  <si>
    <t>PUSHER SPRING</t>
  </si>
  <si>
    <t>PUSHER ROD</t>
  </si>
  <si>
    <t>PUSHER AXLE</t>
  </si>
  <si>
    <t>CIRCLIPS 7</t>
  </si>
  <si>
    <t>SCREW RLS M4X8 S.STEEL</t>
  </si>
  <si>
    <t>CALIBRATION AXLE</t>
  </si>
  <si>
    <t>WASHER 5 X 10</t>
  </si>
  <si>
    <t>COMPLETE GLASS DOOR</t>
  </si>
  <si>
    <t>TEMPERED GLASS DOOR</t>
  </si>
  <si>
    <t>HINGE</t>
  </si>
  <si>
    <t>SCREW M 5 X 12 S/S</t>
  </si>
  <si>
    <t>SAFETY MAGNET</t>
  </si>
  <si>
    <t>SAFETY MAGNET COVER</t>
  </si>
  <si>
    <t>DOOR KNOB</t>
  </si>
  <si>
    <t>SCREW M 6 X 16 S/S</t>
  </si>
  <si>
    <t>LOCKING PLATE</t>
  </si>
  <si>
    <t>SCREW M 4 X 12 S/S</t>
  </si>
  <si>
    <t>WASHER 4X10</t>
  </si>
  <si>
    <t>WASHER 4 X 14</t>
  </si>
  <si>
    <t>COMPLETE SQUEEZER HOLDER</t>
  </si>
  <si>
    <t>SQUEEZER HOLDER</t>
  </si>
  <si>
    <t>SCREW H M 10 X 20 S/S</t>
  </si>
  <si>
    <t>WASHER 10X35</t>
  </si>
  <si>
    <t>SHAFT CIRCLIPS DIAM 26</t>
  </si>
  <si>
    <t>ADJUSTING SCREW Zn</t>
  </si>
  <si>
    <t>COMPLETE UPPER SQUEEZER</t>
  </si>
  <si>
    <t>UPPER SQUEEZER ONLY</t>
  </si>
  <si>
    <t>PEEL EJECTION FINGER</t>
  </si>
  <si>
    <t>EJECTION FINGER SPRING</t>
  </si>
  <si>
    <t>SCREW 3X8 In</t>
  </si>
  <si>
    <t>WASHER 3 X 8</t>
  </si>
  <si>
    <t>SQUEEZER SPACER</t>
  </si>
  <si>
    <t>SCREW F/90 M 6 X 20 S/S</t>
  </si>
  <si>
    <t>SQUEEZER WASHER</t>
  </si>
  <si>
    <t>ELASTOMER SHOCK ABSORBER</t>
  </si>
  <si>
    <t>WASHER 10 X 22</t>
  </si>
  <si>
    <t>DRIVING PIN</t>
  </si>
  <si>
    <t>SCREW H M 5 X 10 ST. STEEL</t>
  </si>
  <si>
    <t>CONTROL ROD</t>
  </si>
  <si>
    <t>PROTECTING CAP</t>
  </si>
  <si>
    <t>CONTROL ROD GUIDE</t>
  </si>
  <si>
    <t>ORANGE CUTTING ROD</t>
  </si>
  <si>
    <t>PIN 3 X 25</t>
  </si>
  <si>
    <t>RIGHT FIXED CUTTING ROD</t>
  </si>
  <si>
    <t>COMPLETE CUTTING ROD WITHOUT FIX.</t>
  </si>
  <si>
    <t>CUTTING ROD RIGHT SPRING</t>
  </si>
  <si>
    <t>CUTTING ROD LEFT SPRING</t>
  </si>
  <si>
    <t>PLASTIC ROTATION RING</t>
  </si>
  <si>
    <t>CUTTING ROD SPACER</t>
  </si>
  <si>
    <t>ELASTIC RING 8</t>
  </si>
  <si>
    <t>CUTTING ROD WHEEL</t>
  </si>
  <si>
    <t>ELASTIC RING 7</t>
  </si>
  <si>
    <t>COMPLETE RIGHT FRUIT PUSHER</t>
  </si>
  <si>
    <t>COMPLETE LEFT FRUIT PUSHER</t>
  </si>
  <si>
    <t>FRONT WHEEL</t>
  </si>
  <si>
    <t>FRUIT PUSHING ROD SPRING RING</t>
  </si>
  <si>
    <t>TENSIONING SPRING, PEEL PUSH</t>
  </si>
  <si>
    <t>FRUIT PUSHING ROD SPRING AXLE</t>
  </si>
  <si>
    <t>RIGHT FRUIT PUSHER</t>
  </si>
  <si>
    <t>LEFT FRUIT PUSHER</t>
  </si>
  <si>
    <t>PEEL PUSHER ANGLE BRACKET</t>
  </si>
  <si>
    <t>PEEL PUSHER SPRING AXLE</t>
  </si>
  <si>
    <t>PEEL PUSHER ROD SPRING HOLDER</t>
  </si>
  <si>
    <t>PEEL PUSH TRAY SPRING</t>
  </si>
  <si>
    <t>WASHER 4X14</t>
  </si>
  <si>
    <t>REAR WHEEL</t>
  </si>
  <si>
    <t>PEEL PUSHER WHEEL SPACER</t>
  </si>
  <si>
    <t>ELASTIC RING D 8</t>
  </si>
  <si>
    <t>POLYURETHANE WASHER</t>
  </si>
  <si>
    <t>RIGHT PEEL PUSHER</t>
  </si>
  <si>
    <t>LEFT PEEL PUSHER</t>
  </si>
  <si>
    <t>COMPLETE KNIFE WITH REMOVABLE BLADE</t>
  </si>
  <si>
    <t>KNIFE ONLY WITHOUT BLADE</t>
  </si>
  <si>
    <t>KNIFE SUSTAINING PLATE</t>
  </si>
  <si>
    <t>REMOVABLE BLADE WITH STOPPER</t>
  </si>
  <si>
    <t>RIGHT ORANGES POSITIONER</t>
  </si>
  <si>
    <t>LEFT ORANGES POSITIONER</t>
  </si>
  <si>
    <t>RIGHT POSITIONER SPRING</t>
  </si>
  <si>
    <t>LEFT POSITIONER SPRING</t>
  </si>
  <si>
    <t>ORANGES POSITIONER WHEEL</t>
  </si>
  <si>
    <t>POSITIONER STOP</t>
  </si>
  <si>
    <t>STOP FINGER</t>
  </si>
  <si>
    <t>KNIFE HOLDING PLATE</t>
  </si>
  <si>
    <t>CLAMPING ANGLE</t>
  </si>
  <si>
    <t>CLAMPING ROLLER</t>
  </si>
  <si>
    <t>CLAMPING ROLLER SPRING</t>
  </si>
  <si>
    <t>CONTACT BLOCK</t>
  </si>
  <si>
    <t>BOWL WITH RYLSAN COATING</t>
  </si>
  <si>
    <t>LINEAR BEARING</t>
  </si>
  <si>
    <t>KNIFE STOP</t>
  </si>
  <si>
    <t>KNIFE LOCKING SCREW</t>
  </si>
  <si>
    <t>STAINLESS STEEL BOWL FILTER GRID</t>
  </si>
  <si>
    <t>AUXILIARY ROD</t>
  </si>
  <si>
    <t>SCREW H M 10 X 30 Zn</t>
  </si>
  <si>
    <t>REED RELAY ATTACHING SPRING</t>
  </si>
  <si>
    <t>COMPLETE MAIN SHAFT</t>
  </si>
  <si>
    <t>GUIDING MAIN SHAFT ROD</t>
  </si>
  <si>
    <t>MAIN ROD YOKE</t>
  </si>
  <si>
    <t>BAU AXLE</t>
  </si>
  <si>
    <t>COMPLETE PROTECTIVE BELLOWS</t>
  </si>
  <si>
    <t>BELLOWS SUSTAINER</t>
  </si>
  <si>
    <t>PROTECTIVE BELLOWS</t>
  </si>
  <si>
    <t>BELLOWS RING</t>
  </si>
  <si>
    <t>COMPLETE SQUEEZER</t>
  </si>
  <si>
    <t>LOWER SQUEEZER</t>
  </si>
  <si>
    <t>CITRUS EJECTOR</t>
  </si>
  <si>
    <t>LOWER SQUEEZER SPRING</t>
  </si>
  <si>
    <t>SQUEEZING ALUMINIUM PLATE</t>
  </si>
  <si>
    <t>LOWER SQUEEZER AXLE</t>
  </si>
  <si>
    <t>NUT H M 10 Zn</t>
  </si>
  <si>
    <t>WASHER 10 X 27</t>
  </si>
  <si>
    <t>COMPLETE GREASER</t>
  </si>
  <si>
    <t>GREASER</t>
  </si>
  <si>
    <t>GREASER CONNECTION SCREW</t>
  </si>
  <si>
    <t>GREASER CONNECTION TUBE ASSEMBLY</t>
  </si>
  <si>
    <t>GEAR MOTOR SUSTAINER</t>
  </si>
  <si>
    <t>WHEEL AXLE SPACER</t>
  </si>
  <si>
    <t>CIRCLIPS 35</t>
  </si>
  <si>
    <t>COMPLETE WHEEL HUB</t>
  </si>
  <si>
    <t>DISC 46 TEETH (For 32 220V50Hz)</t>
  </si>
  <si>
    <t>DISC 55 TEETH (For 32V1 and 32V4 in 60hz)</t>
  </si>
  <si>
    <t>WASHER 6 X 24</t>
  </si>
  <si>
    <t>MAGNET SUSTAINER</t>
  </si>
  <si>
    <t>REED CONTACT RELAY</t>
  </si>
  <si>
    <t>COMPLETE ROD</t>
  </si>
  <si>
    <t>BALL ARTICULATION</t>
  </si>
  <si>
    <t>ROD ADJUSTING SCREW</t>
  </si>
  <si>
    <t>NUT H M 12 Zn</t>
  </si>
  <si>
    <t>COMPLETE CHAIN ADJUSTER 50 Hz</t>
  </si>
  <si>
    <t>COMPLETE CHAIN ADJUSTER 60HZ</t>
  </si>
  <si>
    <t>TENSIONING BRACE</t>
  </si>
  <si>
    <t>TENSIONING ROTATION AXLE</t>
  </si>
  <si>
    <t>13 TEETH ADJUSTER PINION (50 and 60Hz)</t>
  </si>
  <si>
    <t>BRONZE BEARING 12X16X16</t>
  </si>
  <si>
    <t>SPRING PLATE</t>
  </si>
  <si>
    <t>SCREW H M 8 X 70 S/S</t>
  </si>
  <si>
    <t>WASHER 8 Zn</t>
  </si>
  <si>
    <t>64 LINKS CHAIN 220V (For 32 220V 50Hz)</t>
  </si>
  <si>
    <t xml:space="preserve">70 LINKS CHAIN 110V 60 Hz (For 32V1 and
32V4 60 Hz)</t>
  </si>
  <si>
    <t>COMPLETE GEAR MOTOR 220V 50 HZ</t>
  </si>
  <si>
    <t>COMPLETE GEAR MOTOR 120V 60 Hz</t>
  </si>
  <si>
    <t>COMPLETE MOTOR 230V 50Hz</t>
  </si>
  <si>
    <t>COMPLETE MOTOR 120V 60Hz</t>
  </si>
  <si>
    <t>NUT H M 5</t>
  </si>
  <si>
    <t>MOTOR SUSTAINING SPACER</t>
  </si>
  <si>
    <t>BOLT DIAM 6 X 30</t>
  </si>
  <si>
    <t>PIN 5X30</t>
  </si>
  <si>
    <t>STATOR ONLY 200-240V 50/60Hz</t>
  </si>
  <si>
    <t>COMPLETE REDUCING GEAR</t>
  </si>
  <si>
    <t>GEARBOX NOSE</t>
  </si>
  <si>
    <t>WHEEL AXLE</t>
  </si>
  <si>
    <t>PIN 3X5</t>
  </si>
  <si>
    <t>GASKET 32X45X7</t>
  </si>
  <si>
    <t>GASKET  17X28X6</t>
  </si>
  <si>
    <t>MOTOR PINION SPACER</t>
  </si>
  <si>
    <t>ADJUSTER PINION 50 Hz MOTOR</t>
  </si>
  <si>
    <t xml:space="preserve">13 TEETH ADJUSTER PINION 60 Hz MOTOR
(For 32V1 and 32V4)</t>
  </si>
  <si>
    <t>PINION FITTING PIN</t>
  </si>
  <si>
    <t>RECTANGULAR BOX</t>
  </si>
  <si>
    <t xml:space="preserve">CAPACITOR 250 MF 110 / 220V
60HZ(Old&lt;01/2018)</t>
  </si>
  <si>
    <t>SCREW 5 X 16</t>
  </si>
  <si>
    <t>SWITCH NUT</t>
  </si>
  <si>
    <t>START BUTTON SPACER</t>
  </si>
  <si>
    <t>BUTTON COVER</t>
  </si>
  <si>
    <t>RED LIGHT 220V</t>
  </si>
  <si>
    <t>RED LIGHT 110V</t>
  </si>
  <si>
    <t>EMERGENCY STOP BUTTON</t>
  </si>
  <si>
    <t>POWER PACK</t>
  </si>
  <si>
    <t>ELECTRONIC MODULE 220-240 V 50/60 Hz</t>
  </si>
  <si>
    <t>ELECTRONIC MODULE 100-120 V 50/60 Hz</t>
  </si>
  <si>
    <t xml:space="preserve">COMPLETE JUICE CONTAINER WITH
FITTINGS</t>
  </si>
  <si>
    <t>COMPLETE JUICE CONTAINER WITH COVER</t>
  </si>
  <si>
    <t>JUICE CONTAINER ONLY WITHOUT COVER</t>
  </si>
  <si>
    <t>JUICE CONTAINER COVER (LID)</t>
  </si>
  <si>
    <t>JUICE AGITATOR</t>
  </si>
  <si>
    <t>CONTAINER S/S FILTER</t>
  </si>
  <si>
    <t>FAUCET (tap)</t>
  </si>
  <si>
    <t>S/S WIRE CONTAINER SUPPORT</t>
  </si>
  <si>
    <t>CONTAINER SUPPORT FITTING</t>
  </si>
  <si>
    <t>TAP HOLDING PLATE</t>
  </si>
  <si>
    <t>ROTARY WHEEL FOR TABLE</t>
  </si>
  <si>
    <t>MAGNETIC CATCH</t>
  </si>
  <si>
    <t>RECTANGULAR HINGE</t>
  </si>
  <si>
    <t>LEVER KNOB</t>
  </si>
  <si>
    <t>SCREW M 6 X 12 S/S</t>
  </si>
  <si>
    <t>STAINLESS STEEL DRIP TRAY ASSEMBLY</t>
  </si>
  <si>
    <t>DRIP TRAY ONLY</t>
  </si>
  <si>
    <t>DRIP TRAY LOWER HOLDER</t>
  </si>
  <si>
    <t>WATER SPRAYER</t>
  </si>
  <si>
    <t>PEELS WASTE CONTAINER</t>
  </si>
  <si>
    <t>COMPLETE BOWL WITH BLADES</t>
  </si>
  <si>
    <t>BOWL (PLASTIC CONTAINER)</t>
  </si>
  <si>
    <t xml:space="preserve">STAINLESS STEEL WIRE BOWL
PROTECTION</t>
  </si>
  <si>
    <t>BOWL COVER (LID)</t>
  </si>
  <si>
    <t>FILLER CAP ONLY</t>
  </si>
  <si>
    <t>BOWL BASE SCREW (RING)</t>
  </si>
  <si>
    <t>KNIVES HOLDER SEAL</t>
  </si>
  <si>
    <t>COMPLETE BLADES ASSEMBLY</t>
  </si>
  <si>
    <t>CAP NUT H M 5 S. STEEL</t>
  </si>
  <si>
    <t>WASHER 5 X 12 Zn</t>
  </si>
  <si>
    <t>DEFLECTOR</t>
  </si>
  <si>
    <t>DEFLECTOR WASHER</t>
  </si>
  <si>
    <t>GASKET-V-RING V8 A</t>
  </si>
  <si>
    <t>FIBRE WASHER</t>
  </si>
  <si>
    <t>WASHER 8,1 X 11,6</t>
  </si>
  <si>
    <t>BLADES AXLE</t>
  </si>
  <si>
    <t>O-RING SEAL 11.5 X 1</t>
  </si>
  <si>
    <t>BRONZE BEARING 8X12X8</t>
  </si>
  <si>
    <t>BEARING 8 X 12 X 12</t>
  </si>
  <si>
    <t>ALUMINIUM HUB ASSEMBLY</t>
  </si>
  <si>
    <t>HOLDING WASHER</t>
  </si>
  <si>
    <t>UPPER COUPLING (HARD)</t>
  </si>
  <si>
    <t>NUT H M6 LEFT, ST. STEEL</t>
  </si>
  <si>
    <t>COMPLETE KNIFES</t>
  </si>
  <si>
    <t xml:space="preserve">COMPLETE PAINTED BASE Green 220V
Europe Plug</t>
  </si>
  <si>
    <t xml:space="preserve">COMPLETE PAINTED BASE Green 110V USA
Plug</t>
  </si>
  <si>
    <t xml:space="preserve">COMPLETE CHROMED BASE 220V Europe
Plug</t>
  </si>
  <si>
    <t>COMPLETE CHROMED BASE 110V USA Plug</t>
  </si>
  <si>
    <t xml:space="preserve">COMPLETE CHROMED BASE 220V Europe
Plug Evolution</t>
  </si>
  <si>
    <t xml:space="preserve">COMPLETE CHROMED BASE 120V US Plug
Evolution</t>
  </si>
  <si>
    <t xml:space="preserve">COMPLETE PAINTED BASE Green 220V
Europe Plug Evolution</t>
  </si>
  <si>
    <t xml:space="preserve">COMPLETE PAINTED BASE Green 220V US
Plug Evolution</t>
  </si>
  <si>
    <t xml:space="preserve">COMPLETE PAINTED BASE Grey 220V Europe
Plug Evolution</t>
  </si>
  <si>
    <t xml:space="preserve">COMPLETE PAINTED BASE Grey 220V US
Plug Evolution</t>
  </si>
  <si>
    <t>PAINTED BASE ONLY, GREEN</t>
  </si>
  <si>
    <t>PLATE (Sticker)</t>
  </si>
  <si>
    <t>3 POSITIONS SWITCH</t>
  </si>
  <si>
    <t>DIODE 220V</t>
  </si>
  <si>
    <t>DIODE 100-120V</t>
  </si>
  <si>
    <t xml:space="preserve">UPPER FLANGE FOR BLENDER 33 WITHOUT
BOWL DETECTION</t>
  </si>
  <si>
    <t>UPPER FLANGE (SAFETY MODEL) Evolution</t>
  </si>
  <si>
    <t xml:space="preserve">UNIVERSAL MOTOR 220-240V 50/60 Hz
(&lt;2016)</t>
  </si>
  <si>
    <t>UNIVERSAL MOTOR 100-120V 50/60 Hz</t>
  </si>
  <si>
    <t>SET OF 2 CARBON BRUSHES (old&lt;2016)</t>
  </si>
  <si>
    <t>MOTOR HOLDING WASHER</t>
  </si>
  <si>
    <t>RUBBER FOOT 22 X 10 (before 2018)</t>
  </si>
  <si>
    <t>UNIVERSAL MOTOR 220-240V 50/60 Hz</t>
  </si>
  <si>
    <t>SET OF 2 CARBON BRUSHES for no33 blender</t>
  </si>
  <si>
    <t>SCREW H FOR CORD</t>
  </si>
  <si>
    <t>INTERFERENCE FILTER</t>
  </si>
  <si>
    <t>NUT H M 4</t>
  </si>
  <si>
    <t>SCREW H M 4 X 20</t>
  </si>
  <si>
    <t>COUPLING KIT + NUT</t>
  </si>
  <si>
    <t>LOWER COUPLING (SOFT)</t>
  </si>
  <si>
    <t>SAFETY AXLE</t>
  </si>
  <si>
    <t>SAFETY SEAL</t>
  </si>
  <si>
    <t>SWITCH HOLDING SHEET</t>
  </si>
  <si>
    <t>SCREW CSX 3X6 Zn</t>
  </si>
  <si>
    <t>SCREW TCB M2X10</t>
  </si>
  <si>
    <t>COMPLETE 12 LITERS BOWL</t>
  </si>
  <si>
    <t>12 LITERS BOWL ONLY</t>
  </si>
  <si>
    <t>BOWL RUBBER GASKET</t>
  </si>
  <si>
    <t>NOZZLE SUPPORT</t>
  </si>
  <si>
    <t>COMPLETE NOZZLE SUPPORT AND TUBE</t>
  </si>
  <si>
    <t>COMPLETE OBTURATOR</t>
  </si>
  <si>
    <t>OBTURATOR SPRING</t>
  </si>
  <si>
    <t>SCREW CX 3 X 8 Zn AUTO</t>
  </si>
  <si>
    <t>NOZZLE</t>
  </si>
  <si>
    <t>NOZZLE WITH TUBE</t>
  </si>
  <si>
    <t>TUBE</t>
  </si>
  <si>
    <t>LEVEL INDICATOR STICKER</t>
  </si>
  <si>
    <t>COMPLETE GEAR MOTOR 230V 50Hz/60Hz</t>
  </si>
  <si>
    <t>COMPLETE GEAR MOTOR 120V 60Hz</t>
  </si>
  <si>
    <t>GEAR MOTOR ONLY, 230V 50Hz</t>
  </si>
  <si>
    <t>GEAR MOTOR ONLY 110V 60Hz</t>
  </si>
  <si>
    <t>AGITATOR DRIVER</t>
  </si>
  <si>
    <t>PIN 2 X 8,7</t>
  </si>
  <si>
    <t>SILICONE TUBE D 6 X 10</t>
  </si>
  <si>
    <t>GEAR MOTOR PROTECTOR RING</t>
  </si>
  <si>
    <t>GEAR MOTOR PROTECTOR</t>
  </si>
  <si>
    <t>SCREW CB M 3 X 16 Zn</t>
  </si>
  <si>
    <t>GEAR MOTOR HOLDER</t>
  </si>
  <si>
    <t>COMPLETE AGITATOR</t>
  </si>
  <si>
    <t>AGITATOR</t>
  </si>
  <si>
    <t>AGITATOR ROD</t>
  </si>
  <si>
    <t>DRIP TRAY GRID</t>
  </si>
  <si>
    <t>DRIP TRAY</t>
  </si>
  <si>
    <t>FAN MOTOR HOLDER</t>
  </si>
  <si>
    <t>1 BOWL DISPENSER BODY</t>
  </si>
  <si>
    <t>2 BOWL DISPENSER BODY</t>
  </si>
  <si>
    <t>SIDE SHEET</t>
  </si>
  <si>
    <t>1 BOWL DISPENSER TOP TRAY</t>
  </si>
  <si>
    <t>2 BOWL DISPENSER TOP TRAY</t>
  </si>
  <si>
    <t>3 BOWL DISPENSER TOP TRAY</t>
  </si>
  <si>
    <t>SCREW M 4X8 S.STEEL</t>
  </si>
  <si>
    <t>4 COMPLETE ADJUSTABLE FEET</t>
  </si>
  <si>
    <t>SCREW H M5X10 S.STEEL</t>
  </si>
  <si>
    <t>CONDENSATION VALVE FITTING</t>
  </si>
  <si>
    <t>WASHER 8</t>
  </si>
  <si>
    <t>CONDENSATION OUTLET HOSE</t>
  </si>
  <si>
    <t>COMPRESSOR GROUP 115V 60 Hz 34-2V1</t>
  </si>
  <si>
    <t>COMPRESSOR GROUP 220V 50 Hz 34-2</t>
  </si>
  <si>
    <t>COMPRESSOR GROUP 220V 50 Hz 34-3</t>
  </si>
  <si>
    <t>REFRIGERATION GROUP 220V 60 Hz 34-2</t>
  </si>
  <si>
    <t>COMPRESSOR GROUP 220V 60 Hz 34-3</t>
  </si>
  <si>
    <t>SCREW M 5 X 10 S.STEEL</t>
  </si>
  <si>
    <t>THERMAL PROTECTOR</t>
  </si>
  <si>
    <t>THERMAL PROTECTOR 34-3 (Old)</t>
  </si>
  <si>
    <t>COMPRESSOR 220V 50Hz 34-1</t>
  </si>
  <si>
    <t>COMPRESSOR 110V 60Hz 34-1</t>
  </si>
  <si>
    <t>COMPRESSOR 34-3 120V 60 Hz</t>
  </si>
  <si>
    <t>MOTOR 5W 230V 50-60Hz</t>
  </si>
  <si>
    <t>MOTOR 5W 230V 50- 60Hz</t>
  </si>
  <si>
    <t>MOTOR 5W 115V 60Hz</t>
  </si>
  <si>
    <t>MOTOR NUT</t>
  </si>
  <si>
    <t>FAN For 34-1</t>
  </si>
  <si>
    <t>CONDENSER 34-1</t>
  </si>
  <si>
    <t>THERMOSTAT</t>
  </si>
  <si>
    <t>SCREW H M5X15 Zn</t>
  </si>
  <si>
    <t>SILENTBLOC</t>
  </si>
  <si>
    <t>SCREW H M 6X20 Zn</t>
  </si>
  <si>
    <t>NAIL + CLIP KIT</t>
  </si>
  <si>
    <t>EVAPORATOR ASSEMBLY 34-2</t>
  </si>
  <si>
    <t>EVAPORATOR ASSEMBLY 34-1</t>
  </si>
  <si>
    <t>COMPLETE EVAPORATOR 34-1</t>
  </si>
  <si>
    <t>COMPLETE EVAPORATOR 34-2</t>
  </si>
  <si>
    <t>COMPLETE EVAPORATOR 34-3</t>
  </si>
  <si>
    <t>EVAPORATOR GASKET</t>
  </si>
  <si>
    <t>EVAPORATOR TUBE</t>
  </si>
  <si>
    <t>DESHYDRATOR</t>
  </si>
  <si>
    <t>FILLER CAP (old 2011)</t>
  </si>
  <si>
    <t>STAINLESS STEEL 4L BOWL ONLY</t>
  </si>
  <si>
    <t>2L &amp; 4L  HANDLE</t>
  </si>
  <si>
    <t>4 LITERS COVER</t>
  </si>
  <si>
    <t>BOWL FILLING CAP</t>
  </si>
  <si>
    <t>4 LITER COVER SEAL</t>
  </si>
  <si>
    <t>4 L PLASTIC BOWL ONLY</t>
  </si>
  <si>
    <t xml:space="preserve">COMPLETE STAINLESS STEEL 2 LITERS
COVER (old 2011)</t>
  </si>
  <si>
    <t xml:space="preserve">STAINLESS STEEL 2 LITERS COVER (old
2011)</t>
  </si>
  <si>
    <t>STAINLESS STEEL 2 LITERS BOWL ONLY</t>
  </si>
  <si>
    <t>2 LITERS COVER</t>
  </si>
  <si>
    <t>2 LITER COVER SEAL</t>
  </si>
  <si>
    <t>2 L PLASTIC BOWL ONLY</t>
  </si>
  <si>
    <t>COMPLETE COUPLINGS KIT</t>
  </si>
  <si>
    <t>KNIVES REPLACEMENT KIT</t>
  </si>
  <si>
    <t>KNIVES NUT</t>
  </si>
  <si>
    <t>BLADES HOLDER</t>
  </si>
  <si>
    <t>V RING GASKET V16 A</t>
  </si>
  <si>
    <t xml:space="preserve">COMPLETE BLADES AND SUPPORT
ASSEMBLY</t>
  </si>
  <si>
    <t>LOWER SPACER</t>
  </si>
  <si>
    <t>BLADES GASKET</t>
  </si>
  <si>
    <t>BEARING SUPPORTING HUB</t>
  </si>
  <si>
    <t>WASHER AZ 4 S.STEEL</t>
  </si>
  <si>
    <t>UPPER BLADE</t>
  </si>
  <si>
    <t>WASHER 9X16X1.5 S.STEEL</t>
  </si>
  <si>
    <t>LOWER BLADE</t>
  </si>
  <si>
    <t>COMPLETE UPPER RIGID COUPLING</t>
  </si>
  <si>
    <t>UPPER RIGID COUPLING</t>
  </si>
  <si>
    <t>COUPLING WASHER</t>
  </si>
  <si>
    <t>SCREW 3 X 12</t>
  </si>
  <si>
    <t>COMPLETE COUPLINGS KIT (old 2011)</t>
  </si>
  <si>
    <t>SCREW 4 X 10 Zn (old 2011)</t>
  </si>
  <si>
    <t>SCREW 5 X 16 ZN (old 2011)</t>
  </si>
  <si>
    <t>WASHER 5 X 12 (old 2011)</t>
  </si>
  <si>
    <t>RUBBER FOOT 25 X 15 (old 2011)</t>
  </si>
  <si>
    <t>SCREW H M 4X12 Zn</t>
  </si>
  <si>
    <t>SET OF 2 CARBON BRUSHES for blender 37</t>
  </si>
  <si>
    <t>INTERFERENCE FILTER 220V (Before 2021)</t>
  </si>
  <si>
    <t>INTERFERENCE FILTER 110V</t>
  </si>
  <si>
    <t>INTERFERENCE FILTER HOLDER (Old)</t>
  </si>
  <si>
    <t>INTERFERENCE FILTER 220V</t>
  </si>
  <si>
    <t>SCREW H M 4 S.STEEL (old 2011)</t>
  </si>
  <si>
    <t>WASHER AZ 4 (old 2011)</t>
  </si>
  <si>
    <t xml:space="preserve">ELECTRONIC MODULE 220-240 V 50/60 Hz
(old 2011)</t>
  </si>
  <si>
    <t xml:space="preserve">ELECTRONIC MODULE 100-120 V 50/60 Hz
(old 2011)</t>
  </si>
  <si>
    <t>SCREW H M 4 X 12 LEFT (old 2011)</t>
  </si>
  <si>
    <t>SCREW FS M5 X 20 S.STEEL (old 2011)</t>
  </si>
  <si>
    <t>SCREW H 5 X 16 (old 2011)</t>
  </si>
  <si>
    <t>SET OF 2 CARBON BRUSHES (old 2008)</t>
  </si>
  <si>
    <t>SOFT LOWER COUPLING (old 2011)</t>
  </si>
  <si>
    <t>MALE COUPLING</t>
  </si>
  <si>
    <t>SCREW M5X12 S.STEEL</t>
  </si>
  <si>
    <t>CHROMED BASE (old 2011)</t>
  </si>
  <si>
    <t>PAINTED BASE Grey (old 2011)</t>
  </si>
  <si>
    <t>FRICTION WASHER (old 2011)</t>
  </si>
  <si>
    <t>ALIMINIUM HANDLE WITH BUSHES (old 2011)</t>
  </si>
  <si>
    <t>GASKET 12X18X5 (old 2011)</t>
  </si>
  <si>
    <t>AXLE CIRCLIP DIAM 18 (old 2011)</t>
  </si>
  <si>
    <t>SAFETY SWITCH HOLDING PLATE (old 2011)</t>
  </si>
  <si>
    <t>DETECTION SPRING (old 2011)</t>
  </si>
  <si>
    <t>BOWL DETECTION (old 2011)</t>
  </si>
  <si>
    <t>SCREW H4X16 Zn (old 2011)</t>
  </si>
  <si>
    <t>SWITCH (ancien 2011)</t>
  </si>
  <si>
    <t>SCREW H M 4 Zn (old 2011)</t>
  </si>
  <si>
    <t>MOBILE CAM (old 2011)</t>
  </si>
  <si>
    <t>SCREW H M 4X8 Zn (old 2011)</t>
  </si>
  <si>
    <t>PIN 3X3X30 (old 2011)</t>
  </si>
  <si>
    <t>FIXED CAM (old 2011)</t>
  </si>
  <si>
    <t>AXLE SPRING (old 2011)</t>
  </si>
  <si>
    <t>SCREW 4X12 (old 2011)</t>
  </si>
  <si>
    <t>INFERIOR RING SPACER (old 2011)</t>
  </si>
  <si>
    <t>LOWER BEARING (old 2011)</t>
  </si>
  <si>
    <t>REAR PLATE (old 2011)</t>
  </si>
  <si>
    <t>COMPLETE SAFETY ROD (old 2011)</t>
  </si>
  <si>
    <t>DECORATION PLATE (old 2011)</t>
  </si>
  <si>
    <t>POTENTIOMETER NUT (old 2011)</t>
  </si>
  <si>
    <t>BLACK BUTTON (old 2011)</t>
  </si>
  <si>
    <t>INSULATION RING</t>
  </si>
  <si>
    <t>UPPER BEARING</t>
  </si>
  <si>
    <t>UPPER BEARING RING</t>
  </si>
  <si>
    <t>PATTERNED PLATE</t>
  </si>
  <si>
    <t>SCREW RLS M6X16 S.STEEL</t>
  </si>
  <si>
    <t>PULSE BUTTON</t>
  </si>
  <si>
    <t>SCREW HC M4X6 (Old &lt;04/2023)</t>
  </si>
  <si>
    <t>POTENTIOMETER</t>
  </si>
  <si>
    <t>ELECTRONIC BOARD 220-240V (before 2019)</t>
  </si>
  <si>
    <t>BUTTON ASSEMBLY</t>
  </si>
  <si>
    <t>BUTTON</t>
  </si>
  <si>
    <t>SCREW HC M5X6</t>
  </si>
  <si>
    <t>SET OF 2 BRUSHES FOR no37</t>
  </si>
  <si>
    <t>COMPLETE SYSTEM (Before 2019)</t>
  </si>
  <si>
    <t>LOCKING ARM END</t>
  </si>
  <si>
    <t>PIN 5x8 S.STEEL</t>
  </si>
  <si>
    <t>SECURITY STALK</t>
  </si>
  <si>
    <t>STOP PIN</t>
  </si>
  <si>
    <t>SPRING TIE</t>
  </si>
  <si>
    <t>SWITCH HOLDER</t>
  </si>
  <si>
    <t>SCREW H 4X16</t>
  </si>
  <si>
    <t>MOTOR SUPPORT</t>
  </si>
  <si>
    <t>MOTOR SHEET</t>
  </si>
  <si>
    <t>PIN 3X12</t>
  </si>
  <si>
    <t>PENDULUM</t>
  </si>
  <si>
    <t>WASHER 5X12X1</t>
  </si>
  <si>
    <t>BUSH</t>
  </si>
  <si>
    <t>SCREW H M5X12</t>
  </si>
  <si>
    <t>STALK PIN</t>
  </si>
  <si>
    <t>CAP NUT HM5 S.STEEL</t>
  </si>
  <si>
    <t>LEVER PIN</t>
  </si>
  <si>
    <t>SPACER</t>
  </si>
  <si>
    <t>ROD SPRING</t>
  </si>
  <si>
    <t>LOCKING SPRING</t>
  </si>
  <si>
    <t>LEVER BASE</t>
  </si>
  <si>
    <t>HANDLE SUPPORT</t>
  </si>
  <si>
    <t>SCREW CXS 3X8</t>
  </si>
  <si>
    <t>CAM BASE</t>
  </si>
  <si>
    <t>SCREW H M4X8 Zn AUTO</t>
  </si>
  <si>
    <t>CAM</t>
  </si>
  <si>
    <t>CAM SPRING</t>
  </si>
  <si>
    <t>SCREW CX 3X8 Zn AUTO</t>
  </si>
  <si>
    <t>WASHER 3.2 x 14</t>
  </si>
  <si>
    <t>SCREW CBX M5X6</t>
  </si>
  <si>
    <t>BASE WITH PLATE</t>
  </si>
  <si>
    <t>BASE</t>
  </si>
  <si>
    <t>ELECTRONIC BOARD 220-240V</t>
  </si>
  <si>
    <t>PCB CLIP</t>
  </si>
  <si>
    <t>SCREW TCB-X M3.5X6 ZN</t>
  </si>
  <si>
    <t>COMPLETE SYSTEM</t>
  </si>
  <si>
    <t>ORANGE + LEMON CONE</t>
  </si>
  <si>
    <t>GRAPEFRUIT CONE</t>
  </si>
  <si>
    <t>LIMES CONE</t>
  </si>
  <si>
    <t>COMPLETE MOTOR 220V</t>
  </si>
  <si>
    <t>BEARING 6002 ZZ (Old &lt;2017)</t>
  </si>
  <si>
    <t>SCREW H M 4X10 S.STEEL</t>
  </si>
  <si>
    <t>PAINTED BASE, GREEN</t>
  </si>
  <si>
    <t>CHROMED BASE</t>
  </si>
  <si>
    <t>BLACK DRIP TRAY</t>
  </si>
  <si>
    <t>PROTECTION CAP</t>
  </si>
  <si>
    <t>V RING GASKET V13 (Old)</t>
  </si>
  <si>
    <t>SQUEEZER AXLE</t>
  </si>
  <si>
    <t>V RING GASKET V10</t>
  </si>
  <si>
    <t>SCREW H M4X10 S.STEEL</t>
  </si>
  <si>
    <t>CAPACITOR 4 MF</t>
  </si>
  <si>
    <t>CABLE DEFLECTOR</t>
  </si>
  <si>
    <t>SCREW CB M 4X12 Zn</t>
  </si>
  <si>
    <t>COMPLETE HOPPER</t>
  </si>
  <si>
    <t>HOPPER</t>
  </si>
  <si>
    <t>HOPPER (CRISTAL COLOUR)</t>
  </si>
  <si>
    <t>OBTURATOR GASKET</t>
  </si>
  <si>
    <t>ILLY BOX ADAPTOR</t>
  </si>
  <si>
    <t>BELLEVILLE WASHER</t>
  </si>
  <si>
    <t>NUT NYLSTOP H M4 Zn</t>
  </si>
  <si>
    <t xml:space="preserve">COFFEE BEANS HOPPER ASSEMBLY
WITHOUT COVER</t>
  </si>
  <si>
    <t xml:space="preserve">COFFEE BEANS HOPPER (CRISTAL COLOUR)
ASSEMBLY WITHOUT COVER</t>
  </si>
  <si>
    <t>COMPLETE GRIND ADJUSTING SCREW</t>
  </si>
  <si>
    <t>ADJUSTING SCREW WITH PLATE</t>
  </si>
  <si>
    <t>BURR HOLDING AND ADJUSTMENT SCREW</t>
  </si>
  <si>
    <t>DISC SCREW (M4 X 10)</t>
  </si>
  <si>
    <t>GRADED PLATE</t>
  </si>
  <si>
    <t>SCREW 2,5 X 6 (TORX)</t>
  </si>
  <si>
    <t xml:space="preserve">COMPLETE DISC SUSTAINER WITH
GRINDING DISC</t>
  </si>
  <si>
    <t>DISC SUSTAINER</t>
  </si>
  <si>
    <t>HEXAGON NUT</t>
  </si>
  <si>
    <t>WASHER 7 X 20</t>
  </si>
  <si>
    <t>STOP FINGER + SPRING</t>
  </si>
  <si>
    <t>STOP FINGER PUSHER CHROMED</t>
  </si>
  <si>
    <t>STOP FINGER SPRING</t>
  </si>
  <si>
    <t>COMPLETE MOTOR 220V 50 Hz</t>
  </si>
  <si>
    <t>COMPLETE MOTOR 110V 50 / 60 Hz</t>
  </si>
  <si>
    <t>SCREW CB M 4 X 8 Zn (Old)</t>
  </si>
  <si>
    <t>SCREW H M4X10 Zn</t>
  </si>
  <si>
    <t>COMPLETE ROTOR (Old&lt;=11/2017)</t>
  </si>
  <si>
    <t xml:space="preserve">STATOR ONLY 1 PHASE 220-240V 50 Hz
(Ancien&lt;=11/2017)</t>
  </si>
  <si>
    <t>STATOR ONLY 1 PHASE 220V 60Hz</t>
  </si>
  <si>
    <t>COMPLETE LOWER FLANGE</t>
  </si>
  <si>
    <t>SCREW HM5X10 AUTO</t>
  </si>
  <si>
    <t>WASHER 5X12 ZN</t>
  </si>
  <si>
    <t>ASSEMBLING THREADED ROD M5X190</t>
  </si>
  <si>
    <t>WASHER 5 X 20 (Old)</t>
  </si>
  <si>
    <t>MOTOR PLATE SPACER (Old)</t>
  </si>
  <si>
    <t>SILENTBLOC SPACER (Old)</t>
  </si>
  <si>
    <t>MOTOR PLATE</t>
  </si>
  <si>
    <t>MOTOR SPACER</t>
  </si>
  <si>
    <t>MOTOR HOLDER SPACER</t>
  </si>
  <si>
    <t>COLUMN ASSEMBLY</t>
  </si>
  <si>
    <t>COMPLETE ROTOR</t>
  </si>
  <si>
    <t>STATOR ONLY 1 PHASE 220-240V 50 Hz</t>
  </si>
  <si>
    <t>ELECTRICAL COMPONENTS PLATE</t>
  </si>
  <si>
    <t>GROUND CONNECTOR 240MM</t>
  </si>
  <si>
    <t>STARTING RELAY 110V and 220V</t>
  </si>
  <si>
    <t xml:space="preserve">CAPACITOR 100 MF 220V 110V et 220V 50/60
Hz</t>
  </si>
  <si>
    <t>GROUND CONNECTOR 350MM</t>
  </si>
  <si>
    <t>CIRCUIT BREAKER 3 A (220-240V 50/60 Hz)</t>
  </si>
  <si>
    <t>THEADED ROD BOTTOM PLATE</t>
  </si>
  <si>
    <t xml:space="preserve">COMPONENTS ASSEMBLY PLATE WITH
EUROPE PLUG</t>
  </si>
  <si>
    <t>COMPONENTS ASSEMBLY WITH USA PLUG</t>
  </si>
  <si>
    <t>BROWN PAINTED BASE</t>
  </si>
  <si>
    <t>Black PAINTED BASE</t>
  </si>
  <si>
    <t>SCREW TRCC M 5 X 25 Zn</t>
  </si>
  <si>
    <t>NUT H M5 NYLSTOP</t>
  </si>
  <si>
    <t>HOPPER HOLDER</t>
  </si>
  <si>
    <t>SCREW 5 X 40 AUTO</t>
  </si>
  <si>
    <t>GRINDING HEAD SEAL</t>
  </si>
  <si>
    <t>DISPENSER FITTING NUT</t>
  </si>
  <si>
    <t>GROUND COFFEE EXHAUST SEAL</t>
  </si>
  <si>
    <t>COFFEE GRINDING RECEPTACLE</t>
  </si>
  <si>
    <t>SCREW H M 5 X 25 Zn</t>
  </si>
  <si>
    <t xml:space="preserve">FILTER HOLDER FORK FOR MOBILE TAMPER
40APPM</t>
  </si>
  <si>
    <t xml:space="preserve">COMPLETE DISPENSER WITH COVER (no
Auto system)</t>
  </si>
  <si>
    <t>DISPENSER COVER</t>
  </si>
  <si>
    <t>UPPER SPIDER (Old)</t>
  </si>
  <si>
    <t>CRINKLE WASHER (Old)</t>
  </si>
  <si>
    <t>INTERMEDIATE SPIDER (Old)</t>
  </si>
  <si>
    <t>GRINDING ADJUTMENT SPRING</t>
  </si>
  <si>
    <t>LOWER SPIDER (WITH PINS) (Old)</t>
  </si>
  <si>
    <t>CENTRAL THREADED ROD M6 X 132 (Old)</t>
  </si>
  <si>
    <t>COMPLETE ROD (Old)</t>
  </si>
  <si>
    <t>AUTOMATIC CASING (Old)</t>
  </si>
  <si>
    <t>AUTOMATISM MICRO SWICH</t>
  </si>
  <si>
    <t>FLAT RUBBER SEAL</t>
  </si>
  <si>
    <t>FLAP HOLDING PLATE</t>
  </si>
  <si>
    <t>AUTOMATIC CASING COVER</t>
  </si>
  <si>
    <t>SCREW CX 3 X 12 Zn AUTO</t>
  </si>
  <si>
    <t>WASHER AZ 3 Zn</t>
  </si>
  <si>
    <t>SCREW CB M 3 X 8 Zn</t>
  </si>
  <si>
    <t>WASHER AZ 8 Zn</t>
  </si>
  <si>
    <t>SCREW H M8X10 S.STEEL</t>
  </si>
  <si>
    <t>BASE/DISPENSER SEAL</t>
  </si>
  <si>
    <t>BREAK MOUND</t>
  </si>
  <si>
    <t>GRINDING DETECTION FLAP</t>
  </si>
  <si>
    <t>AUTOMATIC CASING</t>
  </si>
  <si>
    <t>MOBILE TAMPER</t>
  </si>
  <si>
    <t>MOBILE TAMPER PLATE</t>
  </si>
  <si>
    <t>MOBILE TAMPER SPRING</t>
  </si>
  <si>
    <t>MOBILE TAMPER NOZE</t>
  </si>
  <si>
    <t>MOBILE TAMPER PUSHER</t>
  </si>
  <si>
    <t>COMPLETE AUTOMATIC CASING</t>
  </si>
  <si>
    <t>TOOL FOR GRINDER 40/55, for impact driver</t>
  </si>
  <si>
    <t>TOOL FOR GRINDER 40/55, manual</t>
  </si>
  <si>
    <t xml:space="preserve">COMPLETE HOPPER WITH OBTURATOR AND
COVER</t>
  </si>
  <si>
    <t>HOPPER ONLY Brown</t>
  </si>
  <si>
    <t>SPLIT WASHER DIAM 4 Zn</t>
  </si>
  <si>
    <t>SCREW HC M 4</t>
  </si>
  <si>
    <t>SCREW 4X10 Zn</t>
  </si>
  <si>
    <t>SCREW  H 5 X 10 Zn</t>
  </si>
  <si>
    <t>COMPLETE FEEDING SCREW 50Hz</t>
  </si>
  <si>
    <t xml:space="preserve">COMPLETE MOTOR SINGLE PHASE 220-240V
50 Hz (old)</t>
  </si>
  <si>
    <t>SCREW M4 X 16</t>
  </si>
  <si>
    <t>HOPPER COVER HINGE</t>
  </si>
  <si>
    <t>RIVET 3.2X8</t>
  </si>
  <si>
    <t>COFFEE BEANS RUBBER NOZZLE</t>
  </si>
  <si>
    <t>HOPPER DETECTION ASSEMBLY</t>
  </si>
  <si>
    <t>HOPPER MAINTAINING ROD</t>
  </si>
  <si>
    <t>BOWL</t>
  </si>
  <si>
    <t>HOPPER SAFETY</t>
  </si>
  <si>
    <t>COMPLETE GRIND HOUSING BROWN 50Hz</t>
  </si>
  <si>
    <t>COMPLETE GRIND HOUSING BROWN 60Hz</t>
  </si>
  <si>
    <t>BUTTON FINGER</t>
  </si>
  <si>
    <t>SCREW 4 X10 Zn</t>
  </si>
  <si>
    <t xml:space="preserve">COMPLETE MOTOR 220-240V 50Hz
(Old&lt;11/2024)</t>
  </si>
  <si>
    <t>MOTOR HOLDING ASSEMBLY</t>
  </si>
  <si>
    <t>ALUMINIUM MOTOR HOLDER ONLY</t>
  </si>
  <si>
    <t>SCREW H M 6X10 Zn</t>
  </si>
  <si>
    <t>SCREW H M6X12 Zn</t>
  </si>
  <si>
    <t xml:space="preserve">COMPLETE STATOR (WINDING) 220V
(old&lt;09/2024)</t>
  </si>
  <si>
    <t>COMPLETE STATOR (WINDING) 110V</t>
  </si>
  <si>
    <t xml:space="preserve">STATOR ONLY SINGLE PHASE 220-240V 50
Hz (old&lt;09/2024)</t>
  </si>
  <si>
    <t xml:space="preserve">STATOR ONLY SINGLE PHASE 110V 60Hz (ou
220V 60Hz)</t>
  </si>
  <si>
    <t>COMPLETE STATOR (WINDING) 220V</t>
  </si>
  <si>
    <t xml:space="preserve">STATOR ONLY SINGLE PHASE 220-240V 50
Hz</t>
  </si>
  <si>
    <t>COMPLETE MOTOR 220-240V 50Hz</t>
  </si>
  <si>
    <t>ASSEMBLING THREADED ROD DIAM 5 X 170</t>
  </si>
  <si>
    <t>WASHER AZ 5 S.STEEL</t>
  </si>
  <si>
    <t>RUBBER FOOT 25X15</t>
  </si>
  <si>
    <t>SCREW H 5X10 Zn</t>
  </si>
  <si>
    <t xml:space="preserve">ELECTRIC COMPONENTS PLATE ASSEMBLY
220V 50 Hz Europe Plug (Old&lt;11/2024)</t>
  </si>
  <si>
    <t xml:space="preserve">ELECTRIC COMPONENTS PLATE ASSEMBLY
100-120 Volts</t>
  </si>
  <si>
    <t xml:space="preserve">ELECTRIC COMPONENTS PLATE ASSEMBLY
220V 60 Hz Europe Plug</t>
  </si>
  <si>
    <t>COMPONENTS HOLDING PLATE</t>
  </si>
  <si>
    <t>CAPACITOR 150µF 220V (Old&lt;08/2017)</t>
  </si>
  <si>
    <t>SCREW M 4 X 20 Zn</t>
  </si>
  <si>
    <t>LEFT FLANGE ASSEMBLY</t>
  </si>
  <si>
    <t>LEFT FLANGE ASSEMBLY BLACK</t>
  </si>
  <si>
    <t>LEFT FLANGE BLACK</t>
  </si>
  <si>
    <t>SCREW H M 6 X 30 Zn</t>
  </si>
  <si>
    <t>RIGHT FLANGE ASSEMBLY</t>
  </si>
  <si>
    <t>RIGHT FLANGE ASSEMBLY BLACK</t>
  </si>
  <si>
    <t>RIGHT FLANGE BLACK</t>
  </si>
  <si>
    <t>MOTOR SUPPORTING PLATE ASSEMBLY</t>
  </si>
  <si>
    <t>GRINDING SYSTEM SUPPORTING SHEET</t>
  </si>
  <si>
    <t>CABLE BUSH</t>
  </si>
  <si>
    <t>ECROU</t>
  </si>
  <si>
    <t>REAR PLATE ASSEMBLY</t>
  </si>
  <si>
    <t>REAR PLATE ASSEMBLY BLACK</t>
  </si>
  <si>
    <t>REAR PLATE</t>
  </si>
  <si>
    <t>REAR PLATE BLACK</t>
  </si>
  <si>
    <t>SCREW 4X9.5</t>
  </si>
  <si>
    <t>FRONT TOP PLATE ASSEMBLY 230V</t>
  </si>
  <si>
    <t>FRONT UPPER SHEET</t>
  </si>
  <si>
    <t>SWICH PROTECTING TUBE</t>
  </si>
  <si>
    <t>GRADUATED PLATE D70</t>
  </si>
  <si>
    <t>FRONT MAGNET PLATE FR+GB+DE</t>
  </si>
  <si>
    <t>INDEX BUMPER</t>
  </si>
  <si>
    <t>INDEX BUMPER SCREW</t>
  </si>
  <si>
    <t>SCREW RLS M5X8 In S.STEEL</t>
  </si>
  <si>
    <t>LOWER FRONT SHEET ASSEMBLY</t>
  </si>
  <si>
    <t>LOWER FRONT SHEET ASSEMBLY BLACK</t>
  </si>
  <si>
    <t>LOWER FRONT SHEET</t>
  </si>
  <si>
    <t>LOWER FRONT SHEET BLACK</t>
  </si>
  <si>
    <t>SWITCH HOLDING ASSEMBLY</t>
  </si>
  <si>
    <t>SCREW FX 4X12 AUTO</t>
  </si>
  <si>
    <t>FRONT TOP PLATE ASSEMBLY 230V BLACK</t>
  </si>
  <si>
    <t>FRONT UPPER SHEET BLACK</t>
  </si>
  <si>
    <t>TIMER SWITCH 15min</t>
  </si>
  <si>
    <t>SCREW CBX 4X16 AUTO</t>
  </si>
  <si>
    <t xml:space="preserve">ELECTRIC COMPONENTS PLATE ASSEMBLY
220V 50 Hz Europe Plug</t>
  </si>
  <si>
    <t xml:space="preserve">COMPLETE ROTOR WITH SHAFT AND PIN
(old&lt;09/2024)</t>
  </si>
  <si>
    <t>BAG HOLDER SCREW</t>
  </si>
  <si>
    <t>COMPLETE STATOR (WINDING) (old&lt;09/2024)</t>
  </si>
  <si>
    <t xml:space="preserve">STATOR ONLY SINGLE PHASE 200-240V 50Hz
(old&lt;09/2024)</t>
  </si>
  <si>
    <t>COMPLETE ROTOR WITH SHAFT AND PIN</t>
  </si>
  <si>
    <t>THREADED ROD M8 X 480</t>
  </si>
  <si>
    <t>ROTATIVE SWITCH (Old)</t>
  </si>
  <si>
    <t>ROTATIVE SWITCH BUTTON (Old)</t>
  </si>
  <si>
    <t>ON-OFF ROUND PLATE (Old)</t>
  </si>
  <si>
    <t>ROTATIVE SWITCH FIXING SCREW (Old)</t>
  </si>
  <si>
    <t>WASHER AZ 4 (Old&lt;09/2020)</t>
  </si>
  <si>
    <t>SCREW CS 4 X 12 (Old&lt;09/2020)</t>
  </si>
  <si>
    <t>SCREW H 4.2 X 12.7 Zn</t>
  </si>
  <si>
    <t>HOLDING S. STEEL RAIL</t>
  </si>
  <si>
    <t>SCREW 4X10 S STEEL</t>
  </si>
  <si>
    <t>NUT H M 4 S. STEEL</t>
  </si>
  <si>
    <t>COMPLETE ALU HOPPER</t>
  </si>
  <si>
    <t>PLASTIC PUSHER</t>
  </si>
  <si>
    <t>BALL</t>
  </si>
  <si>
    <t>HOPPER AXLE</t>
  </si>
  <si>
    <t>COMPLETE AXLE</t>
  </si>
  <si>
    <t>HOPPER ONLY</t>
  </si>
  <si>
    <t>SPECIFIC ADDITIONNAL PARMESAN SEAL</t>
  </si>
  <si>
    <t>FRICTION CLIP</t>
  </si>
  <si>
    <t>SCREW M 5X16 S.STEEL</t>
  </si>
  <si>
    <t>E2 SHREDDING DISC</t>
  </si>
  <si>
    <t>E4 SHREDDING DISC</t>
  </si>
  <si>
    <t>E8 COMPLETE SHREDDING DISC (F.FRIES)</t>
  </si>
  <si>
    <t>R2 GRATING DISC</t>
  </si>
  <si>
    <t>R3 GRATING DISC</t>
  </si>
  <si>
    <t>R4 GRATING DISC</t>
  </si>
  <si>
    <t>PARMESAN GRATING DISC</t>
  </si>
  <si>
    <t>ROSTI GRATING DISC</t>
  </si>
  <si>
    <t>T1 SLICING DISC</t>
  </si>
  <si>
    <t>T2 SLICING DISC</t>
  </si>
  <si>
    <t>T3 SLICING DISC</t>
  </si>
  <si>
    <t>T4 SLICING DISC</t>
  </si>
  <si>
    <t>T5 SLICING DISC</t>
  </si>
  <si>
    <t>T6 SLICING DISC</t>
  </si>
  <si>
    <t>T4 TOMATOES SLICING DISC</t>
  </si>
  <si>
    <t>T6 TOMATOES SLICING DISC</t>
  </si>
  <si>
    <t>TO4 ONDULATED SLICING DISC</t>
  </si>
  <si>
    <t>KNIFE (CURVED BLADE)</t>
  </si>
  <si>
    <t>FRENCH FRIES SHREDDING BLADE 8X8MM</t>
  </si>
  <si>
    <t>ONDULATED KNIFE</t>
  </si>
  <si>
    <t>TOMATOS KNIFE</t>
  </si>
  <si>
    <t>KNIFE HOLDING SCREW</t>
  </si>
  <si>
    <t>GRATING DISC ONLY R2 2MM HOLES</t>
  </si>
  <si>
    <t>GRATING DISC ONLY R3 3MM HOLES</t>
  </si>
  <si>
    <t>GRATING DISC ONLY R4 4 MM HOLES</t>
  </si>
  <si>
    <t>GRATING DISC ONLY PARMESAN</t>
  </si>
  <si>
    <t>GRATING DISC ROSTI Only</t>
  </si>
  <si>
    <t>REMOVABLE RUBBER EJECTOR</t>
  </si>
  <si>
    <t>RUBBER TOP CLEANING SURFACE</t>
  </si>
  <si>
    <t>SCREW H M6X10 Zn</t>
  </si>
  <si>
    <t>WASHER AZ 6 Zn</t>
  </si>
  <si>
    <t>RUBBER TOP SUPPORTING SHEET</t>
  </si>
  <si>
    <t>SUPPORTING WASHER</t>
  </si>
  <si>
    <t>CHROMED WIRE DISCS HOLDING RACK</t>
  </si>
  <si>
    <t>COMPLETE BRAKING SYSTEM</t>
  </si>
  <si>
    <t>SCREW H M 5 Zn</t>
  </si>
  <si>
    <t>CAP</t>
  </si>
  <si>
    <t>BRAKE BRACER</t>
  </si>
  <si>
    <t xml:space="preserve">SECURING HANDLE AND BRAKE SHEET
ASSEMBLY</t>
  </si>
  <si>
    <t>SECURING HANDLE ONLY</t>
  </si>
  <si>
    <t>SIDE SEAL</t>
  </si>
  <si>
    <t>BRAKING SHEET ONLY</t>
  </si>
  <si>
    <t>COMPLETE MOTOR SUPPORTING SHEET</t>
  </si>
  <si>
    <t>SCREW H M 4X20</t>
  </si>
  <si>
    <t>MOTOR SUPPORTING SHEET ONLY</t>
  </si>
  <si>
    <t>COMPLETE DISC DRIVER</t>
  </si>
  <si>
    <t>AXLE NIPPLE WITH PINS</t>
  </si>
  <si>
    <t>DISC DRIVER ONLY</t>
  </si>
  <si>
    <t>GROOVED PIN 6 X 22</t>
  </si>
  <si>
    <t>BRAKING DISC ONLY</t>
  </si>
  <si>
    <t>BRAKING DISC SPACER</t>
  </si>
  <si>
    <t>CONNECTING SCREW</t>
  </si>
  <si>
    <t xml:space="preserve">SPACER FOR RUBBER TOP SUPPORTING
SHEET</t>
  </si>
  <si>
    <t xml:space="preserve">COMPLETE MOTOR 220-240V 50/60Hz (before
2018)</t>
  </si>
  <si>
    <t>COMPLETE MOTOR 100-120V 60 Hz</t>
  </si>
  <si>
    <t>SCREW M 4X16</t>
  </si>
  <si>
    <t>SCREW H M6X50 Zn</t>
  </si>
  <si>
    <t>CAP NUT H M5 Zn</t>
  </si>
  <si>
    <t>STATOR 220-240V 50Hz (Old &lt;05/2018)</t>
  </si>
  <si>
    <t>STATOR 100-120V 60Hz</t>
  </si>
  <si>
    <t xml:space="preserve">COMPLETE ROTOR WITH SHAFT AND FAN
(Old &lt;05/2018))</t>
  </si>
  <si>
    <t>ASSEMBLING ROD</t>
  </si>
  <si>
    <t>STATOR 220-240V 50Hz</t>
  </si>
  <si>
    <t>COMPLETE BODY</t>
  </si>
  <si>
    <t xml:space="preserve">SPECIAL ON-OFF MULTIFONCTION SWITCH
4A 220V</t>
  </si>
  <si>
    <t xml:space="preserve">SPECIAL ON-OFF MULTIFONCTION SWITCH
8A 110V</t>
  </si>
  <si>
    <t xml:space="preserve">COMPLETE BOTTOM PLATE 220V (before
2018)</t>
  </si>
  <si>
    <t>SCREW H M 5X10 Zn</t>
  </si>
  <si>
    <t>CAPACITOR 10MF 220-240V 50HZ</t>
  </si>
  <si>
    <t>CAPACITOR 20MF 110-120V 50/60HZ</t>
  </si>
  <si>
    <t>CAPACITOR 12MF 400V</t>
  </si>
  <si>
    <t>SCREW H 4,8X12,7 Zn</t>
  </si>
  <si>
    <t>COMPLETE BOTTOM PLATE 220V Europe Plug</t>
  </si>
  <si>
    <t>COMPLETE 4L STAINLESS STEEL BOWL</t>
  </si>
  <si>
    <t>COMPLETE 4 L  BOWL</t>
  </si>
  <si>
    <t>COVER AND PUSHER ASSEMBLY</t>
  </si>
  <si>
    <t>FRUIT PUSHER</t>
  </si>
  <si>
    <t xml:space="preserve">FRUIT PUSHER USA (NSF) White Reduced
diameter</t>
  </si>
  <si>
    <t>TOP COVER</t>
  </si>
  <si>
    <t>COMPLETE BASKET ASSEMBLY</t>
  </si>
  <si>
    <t>COMPLET BASKETSPECIAL, HOLES 0,8</t>
  </si>
  <si>
    <t>AUTOCLEAN COMPLETE BASKET ASSEMBLY</t>
  </si>
  <si>
    <t>WASHER 8X130</t>
  </si>
  <si>
    <t>FRUIT CENTER KNIFE SCREW</t>
  </si>
  <si>
    <t>GRATING DISC (BLADE)</t>
  </si>
  <si>
    <t>BASKET</t>
  </si>
  <si>
    <t>BASKET, SPECIAL, HOLES 0.8</t>
  </si>
  <si>
    <t>AUTOCLEAN BASKET</t>
  </si>
  <si>
    <t>BASKET BASE</t>
  </si>
  <si>
    <t>SCHIFTER + SCREW ASSEMBLY</t>
  </si>
  <si>
    <t>SCREW FS M6X20 S.STEEL</t>
  </si>
  <si>
    <t>CONICAL WASHER DEF6 S.STEEL</t>
  </si>
  <si>
    <t>SCHIFTER ASSEMBLY</t>
  </si>
  <si>
    <t>SCHIFTER RUBBER RING</t>
  </si>
  <si>
    <t>SCREW 3.5X10 S.STEEL AUTO</t>
  </si>
  <si>
    <t>SCHIFTER BASE</t>
  </si>
  <si>
    <t>SHIFTER FINGER</t>
  </si>
  <si>
    <t>O-RING SEAL 62 X 2.5</t>
  </si>
  <si>
    <t>SHIFTER STEERING PIN</t>
  </si>
  <si>
    <t>O-RING SEAL 3,6X2.4</t>
  </si>
  <si>
    <t>SHIFTER WASHER</t>
  </si>
  <si>
    <t>PROTECTION WASHER</t>
  </si>
  <si>
    <t>SHIFTER HEAD WITH PINS ASSEMBLY</t>
  </si>
  <si>
    <t xml:space="preserve">BOTTOM PLATE+COMPONENTS ASSEMBLY
220V+EU Plug</t>
  </si>
  <si>
    <t xml:space="preserve">BOTTOM PLATE+COMPONENTS ASSEMBLY
110V + USA Plug</t>
  </si>
  <si>
    <t>FRONT FOOT</t>
  </si>
  <si>
    <t>SCREW H M5X10 Zn AUTO</t>
  </si>
  <si>
    <t>BOTTOM PLATE ASSEMBLY EUROPE Plug</t>
  </si>
  <si>
    <t>PLASTIC FOOT WASHER</t>
  </si>
  <si>
    <t>COMPONENTS PLATE ASSEMBLY 220V</t>
  </si>
  <si>
    <t>COMPONENTS PLATE ASSEMBLY 110V</t>
  </si>
  <si>
    <t>SCREW CS M4X20 Zn</t>
  </si>
  <si>
    <t>CAPACITOR 50 MF (220V)</t>
  </si>
  <si>
    <t>CAPACITOR 250 MF (110V)</t>
  </si>
  <si>
    <t>SCREW H 5X10 ZN AUTO</t>
  </si>
  <si>
    <t>STARTING RELAY (110V)</t>
  </si>
  <si>
    <t>SCREW H M4X16 Zn</t>
  </si>
  <si>
    <t>LOCKING SYSTEM</t>
  </si>
  <si>
    <t>COMPLETE BRAKE</t>
  </si>
  <si>
    <t>BRAKE RING</t>
  </si>
  <si>
    <t>MAINTAIN ASSEMBLY</t>
  </si>
  <si>
    <t>LOCKING WASHER 8 Zn</t>
  </si>
  <si>
    <t>WASHER 8X16</t>
  </si>
  <si>
    <t>PIN 3 X18 S.STEEL</t>
  </si>
  <si>
    <t>MAINTAIN CAME</t>
  </si>
  <si>
    <t>ROD DEFLECTOR</t>
  </si>
  <si>
    <t>SPRING AND BRAKE PLATE ASSEMBLY</t>
  </si>
  <si>
    <t>LOCKING ROD</t>
  </si>
  <si>
    <t>LOCKING HANDLE</t>
  </si>
  <si>
    <t>PAINTED BASE ASSEMBLY 220V</t>
  </si>
  <si>
    <t>PAINTED BASE ASSEMBLY 110V</t>
  </si>
  <si>
    <t>CHROMED BASE ASSEMBLY 220V</t>
  </si>
  <si>
    <t>CHROMED BASE ASSEMBLY 110V</t>
  </si>
  <si>
    <t>SCREW H M5X10 ZN AUTO</t>
  </si>
  <si>
    <t>RATCHET ASSEMBLY</t>
  </si>
  <si>
    <t>RATCHET</t>
  </si>
  <si>
    <t>RATCHET SPRING BLADE</t>
  </si>
  <si>
    <t>BLACK PAINTED BASE</t>
  </si>
  <si>
    <t xml:space="preserve">SPECIAL ON-OFF MULTIFONCTION SWITCH
220-240V</t>
  </si>
  <si>
    <t xml:space="preserve">SPECIAL ON-OFF MULTIFONCTIONS 110-
120V</t>
  </si>
  <si>
    <t>SCREW 6X40</t>
  </si>
  <si>
    <t>MOTOR ASSEMBLY 220V (Before 2016)</t>
  </si>
  <si>
    <t>MOTOR ASSEMBLY 110-120V  50/60Hz</t>
  </si>
  <si>
    <t>BOWL SUSTAINER</t>
  </si>
  <si>
    <t>SCREW 5X81 TORX</t>
  </si>
  <si>
    <t>REAR FLANGE ASSEMBLY (Before 2016)</t>
  </si>
  <si>
    <t>REAR FLANGE (&lt;= 2016)</t>
  </si>
  <si>
    <t>STATOR 220-240V 50/60Hz (Before 2016)</t>
  </si>
  <si>
    <t>STATOR 110V 50/60Hz</t>
  </si>
  <si>
    <t>COMPLETE ROTOR ASSEMBLY (Before 2016)</t>
  </si>
  <si>
    <t>ROTOR AND FAN ASSEMBLY (before 2016)</t>
  </si>
  <si>
    <t>FRONT FLANGE ASSEMBLY (Before 2016)</t>
  </si>
  <si>
    <t xml:space="preserve">FRONT FLANGE ASSEMBLY UL (For 50V1
110V)</t>
  </si>
  <si>
    <t>SCREW H M4 Zn AUTO</t>
  </si>
  <si>
    <t>FRONT FLANGE (&lt;= 2016)</t>
  </si>
  <si>
    <t>MOTOR FLANGE PLATE (For UL 110V)</t>
  </si>
  <si>
    <t>S.STEEL PIN 3X8 (For UL 110V)</t>
  </si>
  <si>
    <t>BODY ASSEMBLY</t>
  </si>
  <si>
    <t>BODY GASKET</t>
  </si>
  <si>
    <t>MOTOR ASSEMBLY 220V</t>
  </si>
  <si>
    <t>FRONT FLANGE (&gt;=2016)</t>
  </si>
  <si>
    <t>FRONT FLANGE ASSEMBLY</t>
  </si>
  <si>
    <t>ROTOR AND FAN ASSEMBLY</t>
  </si>
  <si>
    <t>COMPLETE ROTOR ASSEMBLY</t>
  </si>
  <si>
    <t>STATOR 220-240V 50/60Hz</t>
  </si>
  <si>
    <t>REAR FLANGE ASSEMBLY</t>
  </si>
  <si>
    <t>REAR FLANGE (&gt;=2016)</t>
  </si>
  <si>
    <t>CONE FOR ORANGE + LEMON</t>
  </si>
  <si>
    <t>COMPLETE BOWL WITH GRID AND DOME</t>
  </si>
  <si>
    <t>STAINLESS STEEL PULP GRID</t>
  </si>
  <si>
    <t>ANTI SPLASH DOME</t>
  </si>
  <si>
    <t xml:space="preserve">COMPLETE ALUMINIUM BODY PAINTED
GREEN (Without motor)</t>
  </si>
  <si>
    <t>CHROMED BODY</t>
  </si>
  <si>
    <t>PAINTED BASE ONLY, Grey</t>
  </si>
  <si>
    <t>DRIVING SQUARE SHAFT</t>
  </si>
  <si>
    <t>O-RING SEAL 12X1.7</t>
  </si>
  <si>
    <t>ALUMINIUM DEFLECTOR</t>
  </si>
  <si>
    <t>CUP SPACER</t>
  </si>
  <si>
    <t>SCREW H 5X16 Zn AUTO</t>
  </si>
  <si>
    <t>SCREW H M4 X 8 Zn AUTO</t>
  </si>
  <si>
    <t xml:space="preserve">COMPLETE REAR FLANGE (Old &lt;2017 220V
&lt;03/2020 110V)</t>
  </si>
  <si>
    <t>BEARING 6201 LUZ</t>
  </si>
  <si>
    <t>SCREW H M 4 X 8 Zn AUTO</t>
  </si>
  <si>
    <t>STATOR 220-240V 50/60Hz (Old&lt;=10/2017)</t>
  </si>
  <si>
    <t>STATOR 100-120V 50/60Hz (Old &lt;03/2020)</t>
  </si>
  <si>
    <t xml:space="preserve">COMPLETE ROTOR WITH SHAFT AND FAN
(Old&lt;=10/2017)</t>
  </si>
  <si>
    <t>ROTOR WITH SHAFT (Old&lt;=10/2017)</t>
  </si>
  <si>
    <t>SCREW H M 4X8 Zn AUTO</t>
  </si>
  <si>
    <t>COMPLETE ROTOR WITH SHAFT AND FAN</t>
  </si>
  <si>
    <t>ROTOR WITH SHAFT</t>
  </si>
  <si>
    <t>STATOR 100-120V 50/60Hz</t>
  </si>
  <si>
    <t>LOWER FLANGE WITH BALL BEARING</t>
  </si>
  <si>
    <t>COMPLETE BOTTOM PLATE EUROPE PLUG</t>
  </si>
  <si>
    <t>CAPACITOR 12 µF (110V)</t>
  </si>
  <si>
    <t>ICE CUBES TANK AND COVER ASSEMBLY</t>
  </si>
  <si>
    <t>ICE CUBES TANK AND COVER ASSEMBLY UL</t>
  </si>
  <si>
    <t>TOP COVER WITH HANDLE</t>
  </si>
  <si>
    <t>COVER HANDLE</t>
  </si>
  <si>
    <t>HANDLE HOOK</t>
  </si>
  <si>
    <t>COVER AXLE</t>
  </si>
  <si>
    <t>ICE CUBE TANK</t>
  </si>
  <si>
    <t>ICE CUBE TANK UL</t>
  </si>
  <si>
    <t>HINGE STOP</t>
  </si>
  <si>
    <t>HINGE SCREW</t>
  </si>
  <si>
    <t>HINGE NUT</t>
  </si>
  <si>
    <t>GEAR MOTOR 230V</t>
  </si>
  <si>
    <t>GEAR MOTOR 110V</t>
  </si>
  <si>
    <t>MOTOR SUSTAINER SHEET</t>
  </si>
  <si>
    <t>SCREW H 5 X 16</t>
  </si>
  <si>
    <t>SCREW CBX 4X50 AUTO</t>
  </si>
  <si>
    <t>COMPLETE REDUCTION GEARBOX</t>
  </si>
  <si>
    <t>MOTOR ASSEMBLY 230V (&lt;04/2021)</t>
  </si>
  <si>
    <t>MOTOR ASSEMBLY 110V (&lt;04/2021)</t>
  </si>
  <si>
    <t xml:space="preserve">FRONT FLANGE ASSEMBLY (&lt;2017 in 220V
and &lt;04/2021 in 110V)</t>
  </si>
  <si>
    <t xml:space="preserve">GEAR MOTOR FRONT FLANGE (&lt;2017 en
220V et &lt;04/2021 en 110V)</t>
  </si>
  <si>
    <t>ROTOR (Old &lt;2017)</t>
  </si>
  <si>
    <t>STATOR 220-240V 50/60Hz (Old &lt;2017)</t>
  </si>
  <si>
    <t>REAR FLANGE (Old &lt;2017)</t>
  </si>
  <si>
    <t>SCREW CX 4X70</t>
  </si>
  <si>
    <t>BRAKING RING</t>
  </si>
  <si>
    <t>FRONT FLANGE ASSEMBLY (&lt;04/2021)</t>
  </si>
  <si>
    <t>GEAR MOTOR FRONT FLANGE (&lt;04/2021)</t>
  </si>
  <si>
    <t>ROTOR</t>
  </si>
  <si>
    <t>MOTOR ASSEMBLY 230V</t>
  </si>
  <si>
    <t>MOTOR ASSEMBLY 110V</t>
  </si>
  <si>
    <t>FRONT FLANGE ASSEMBLY 110V</t>
  </si>
  <si>
    <t>GEAR MOTOR FRONT FLANGE</t>
  </si>
  <si>
    <t>GEAR MOTOR FRONT FLANGE 110V</t>
  </si>
  <si>
    <t>COMPLETE ICE CRUSHING BODY</t>
  </si>
  <si>
    <t>COMPLETE ICE CRUSHING BODY UL</t>
  </si>
  <si>
    <t>ICE CRUSHING BODY HOLDING SHEET</t>
  </si>
  <si>
    <t>SCREW CB  M5X12 AUTO</t>
  </si>
  <si>
    <t>SCREW H M 5 X 10 S.STEEL</t>
  </si>
  <si>
    <t>BEARING 608 S.STEEL</t>
  </si>
  <si>
    <t>ROTATING KNIFE</t>
  </si>
  <si>
    <t>CRUSHING KNIVES ASSEMBLY</t>
  </si>
  <si>
    <t>FRONT SPACER</t>
  </si>
  <si>
    <t>KNIVES WASHER</t>
  </si>
  <si>
    <t>MOTOR SIDE SPACER</t>
  </si>
  <si>
    <t>KNIVES AXLE</t>
  </si>
  <si>
    <t>PIN 3X14 S.STEEL</t>
  </si>
  <si>
    <t>GEAR REDUCTOR SPACER</t>
  </si>
  <si>
    <t>BALL BEARING WASHER</t>
  </si>
  <si>
    <t>ICE CRUSHING CHAMBER</t>
  </si>
  <si>
    <t>BEARING 6002 S.STEEL</t>
  </si>
  <si>
    <t>HOPPER UL</t>
  </si>
  <si>
    <t>CENTRAL DEFLECTOR</t>
  </si>
  <si>
    <t>FIXED KNIFE</t>
  </si>
  <si>
    <t>SCREW H 5X16 AUTO</t>
  </si>
  <si>
    <t>SCREW 5 X 16 Zn</t>
  </si>
  <si>
    <t>COMPLETE LEFT FLANGE</t>
  </si>
  <si>
    <t>COMPLETE LEFT FLANGE UL</t>
  </si>
  <si>
    <t>SPECIAL NUT M5</t>
  </si>
  <si>
    <t>SCREW CBX M3X20 AUTO (Old)</t>
  </si>
  <si>
    <t>SAFETY MICRO SWITCH</t>
  </si>
  <si>
    <t>SWITCH ADJUSTING PLATE</t>
  </si>
  <si>
    <t>SCREW CBX M3x16 Zn AUTOTAR</t>
  </si>
  <si>
    <t>SCREW CBX 5X12 AUTO</t>
  </si>
  <si>
    <t>LEFT FLANGE SHEET</t>
  </si>
  <si>
    <t>SCREW CBX 4X12 AUTOTAR</t>
  </si>
  <si>
    <t>LEFT FLANGE UL</t>
  </si>
  <si>
    <t>FRONT PLATE WITH BUTTONS 220V Grey</t>
  </si>
  <si>
    <t>FRONT PLATE WITH BUTTONS 110V Grey</t>
  </si>
  <si>
    <t>ON BUTTON (-)</t>
  </si>
  <si>
    <t>PUSH BUMPER</t>
  </si>
  <si>
    <t>ON/OFF SWITCH SPRING</t>
  </si>
  <si>
    <t>FRONT PLATE Grey</t>
  </si>
  <si>
    <t>FRONT PLATE Grey UL</t>
  </si>
  <si>
    <t>ELECTRONIC MODULE 220-240V 50/60Hz</t>
  </si>
  <si>
    <t>ELECTRONIC MODULE 100-120V 50/60Hz</t>
  </si>
  <si>
    <t>SCREW CBX 4X25 AUTO</t>
  </si>
  <si>
    <t>ON BUTTON (+)</t>
  </si>
  <si>
    <t>INTERNAL SHEET</t>
  </si>
  <si>
    <t>SCREW M5X12 AUTO</t>
  </si>
  <si>
    <t>COMPLETE RIGHT FLANGE</t>
  </si>
  <si>
    <t>COMPLETE RIGHT FLANGE UL</t>
  </si>
  <si>
    <t>RIGHT FLANGE UL</t>
  </si>
  <si>
    <t>RIGHT FLANGE SHEET</t>
  </si>
  <si>
    <t>COMPLETE REAR PLATE EUROPE PLUG</t>
  </si>
  <si>
    <t>COMPLETE REAR PLATE 110V</t>
  </si>
  <si>
    <t>SCREW H M 4 X 10 S.STEEL</t>
  </si>
  <si>
    <t>FOAM SEAL</t>
  </si>
  <si>
    <t>CIRCUIT BREAKER 5 A (100-120V 50/60 Hz)</t>
  </si>
  <si>
    <t>COMPLETE DRIP TRAY</t>
  </si>
  <si>
    <t>RUBBER STOP</t>
  </si>
  <si>
    <t>STANDARD SANTOS ICE BUCKET</t>
  </si>
  <si>
    <t>SET OF 2 BOWLS</t>
  </si>
  <si>
    <t>TRANSPARENT BOWL</t>
  </si>
  <si>
    <t>SPHERICAL AGITATOR (TOOL)</t>
  </si>
  <si>
    <t>SOFT AGITATOR (TOOL)</t>
  </si>
  <si>
    <t>WINGED AGITATOR (TOOL)</t>
  </si>
  <si>
    <t>COMPLETE MOTOR 220-240 Vollts</t>
  </si>
  <si>
    <t>CHOMED LOWER BODY</t>
  </si>
  <si>
    <t>BODY SEAL</t>
  </si>
  <si>
    <t>INTERMEDIATE MOTOR SUSTAINER</t>
  </si>
  <si>
    <t>LOWER MOTOR SUSTAINER</t>
  </si>
  <si>
    <t>MOTOR + AXLE ASSEMBLY 220V</t>
  </si>
  <si>
    <t>MOTOR + AXLE ASSEMBLY 110V</t>
  </si>
  <si>
    <t>MOTOR AXLE</t>
  </si>
  <si>
    <t>MOTOR AXLE WASHER</t>
  </si>
  <si>
    <t>MOTOR 220-240V 50/60 Hz</t>
  </si>
  <si>
    <t>MOTOR 100-120V 50/60 Hz</t>
  </si>
  <si>
    <t xml:space="preserve">SET OF 2 CARBON BRUSHES drink mixer 54
(old &lt;2016)</t>
  </si>
  <si>
    <t>SET OF 2 CARBON BRUSHES drink mixer 54</t>
  </si>
  <si>
    <t>UPPER MOTOR SUSTAINER</t>
  </si>
  <si>
    <t>UPPER BODY ASSEMBLY</t>
  </si>
  <si>
    <t>SCREW TF 4X10 Zn</t>
  </si>
  <si>
    <t>VENTILATION GRID</t>
  </si>
  <si>
    <t>CHROMED UPPER BODY</t>
  </si>
  <si>
    <t>SCREW FX 4X20 AUTO</t>
  </si>
  <si>
    <t>BOARD + BUTTON ASSEMBLY 220V</t>
  </si>
  <si>
    <t>BOARD + BUTTON ASSEMBLY 110V</t>
  </si>
  <si>
    <t>ELECTRONIC BOARD 230V</t>
  </si>
  <si>
    <t>ELECTRONIC BOARD 110V</t>
  </si>
  <si>
    <t>SCREW CXS 3X6 Zn</t>
  </si>
  <si>
    <t>SCREW FX 4X8 AUTO</t>
  </si>
  <si>
    <t>BUTTON WASHER</t>
  </si>
  <si>
    <t>POTENTIOMETER SUSTAINER</t>
  </si>
  <si>
    <t>SPEED BUTTON</t>
  </si>
  <si>
    <t>BOWL SUSTAINER ASSEMBLY</t>
  </si>
  <si>
    <t>BOWL SUSTAINER ASSEMBLY UL</t>
  </si>
  <si>
    <t>SCREW CBX 4X12 AUTO</t>
  </si>
  <si>
    <t xml:space="preserve">SAFETY SWITCH ASSEMBLY (UL-USA, for
54V1)</t>
  </si>
  <si>
    <t>SCREW CBX 3X12 Zn AUTO</t>
  </si>
  <si>
    <t>SAFETY SWITCH PLATE</t>
  </si>
  <si>
    <t>BOWL DETECTION FINGER</t>
  </si>
  <si>
    <t>BOWL SUSTAINER (UL-USA, for 54V1)</t>
  </si>
  <si>
    <t>WASHER AZ6</t>
  </si>
  <si>
    <t>BASE COLOMN, PAINTED BLACK</t>
  </si>
  <si>
    <t xml:space="preserve">BASE COLOMN, PAINTED BLACK with hole for
switch</t>
  </si>
  <si>
    <t>BASE SEAL</t>
  </si>
  <si>
    <t>INTERFERENCE FILTER (220V) FROM 2015</t>
  </si>
  <si>
    <t>INTERFERENCE FILTER (220V) &lt;2016</t>
  </si>
  <si>
    <t>WASHER 7X20</t>
  </si>
  <si>
    <t>SCREW H 4.2X12.7 AUTO</t>
  </si>
  <si>
    <t>CIRCUIT BREAKER 0.8 A (220-240V 50/60 Hz)</t>
  </si>
  <si>
    <t>CIRCUIT BREAKER 1.5 A (100-120V 50/60 Hz)</t>
  </si>
  <si>
    <t>FOOT HOLDING SCREW DIAM 4</t>
  </si>
  <si>
    <t>INTERFERENCE FILTER (220V) &gt;= 2016</t>
  </si>
  <si>
    <t>FRONT SHEET</t>
  </si>
  <si>
    <t>SCREW M6X16</t>
  </si>
  <si>
    <t>SCREW FX M4X10 Zn</t>
  </si>
  <si>
    <t>SCREW CAP</t>
  </si>
  <si>
    <t>SUCKER FOOT 25MM, WHITE</t>
  </si>
  <si>
    <t>COMPLETE CRISTAL HOPPER</t>
  </si>
  <si>
    <t>CRISTAL HOPPER</t>
  </si>
  <si>
    <t xml:space="preserve">CRISTAL COFFEE BEANS HOPPER
ASSEMBLY WITHOUT COVER</t>
  </si>
  <si>
    <t>1Kg COMPLETE HOPPER</t>
  </si>
  <si>
    <t>1Kg HOPPER COVER</t>
  </si>
  <si>
    <t>1 Kg HOPPER</t>
  </si>
  <si>
    <t>HOPPER DEFLECTOR</t>
  </si>
  <si>
    <t xml:space="preserve">1Kg COFFEE BEANS HOPPER ASSEMBLY
WITHOUT COVER</t>
  </si>
  <si>
    <t>SCREW CX 2.5X10 Zn AUTO</t>
  </si>
  <si>
    <t>SCREW CX 2.5X6 Zn AUTO</t>
  </si>
  <si>
    <t>SCREW PUSHER</t>
  </si>
  <si>
    <t>COMPLETE FEEDING SCREW</t>
  </si>
  <si>
    <t>COMPLETE FEEDING SCREW WBC</t>
  </si>
  <si>
    <t>V RING SEAL</t>
  </si>
  <si>
    <t>FEEDING SCREW FIXING SCREW</t>
  </si>
  <si>
    <t>COMPLETE MOTOR 110V 50/60Hz</t>
  </si>
  <si>
    <t>COMPLETE UPPER FLANGE (Before 2016)</t>
  </si>
  <si>
    <t>UPPER FLANGE (Before 2016)</t>
  </si>
  <si>
    <t>COMPLETE ROTOR (Before 2016)</t>
  </si>
  <si>
    <t>STATOR ONLY 110-120V 50/60Hz</t>
  </si>
  <si>
    <t>COMPLETE LOWER FLANGE (Before 2016)</t>
  </si>
  <si>
    <t>REAR FLANGE (Before 2016)</t>
  </si>
  <si>
    <t>SCREW H M5X10 AUTO</t>
  </si>
  <si>
    <t>MOTOR PLATE SPACER (Old&lt;10/2023)</t>
  </si>
  <si>
    <t>SILENTBLOC SPACER  (Old&lt;11/2023)</t>
  </si>
  <si>
    <t xml:space="preserve">FIXING ASSEMBLY MOTOR-COLUMN
(old&lt;11/2023)</t>
  </si>
  <si>
    <t>COLUMN ASSEMBLY WBC</t>
  </si>
  <si>
    <t>BOTTOM PLATE WBC</t>
  </si>
  <si>
    <t>COMPLETE MOTOR 220V 50/60 Hz</t>
  </si>
  <si>
    <t xml:space="preserve">COMPONENTS PLATE ASSEMBLY 220V +
Europe Plug (Old 12/2024)</t>
  </si>
  <si>
    <t xml:space="preserve">COMPONENTS PLATE ASSEMBLY PLATE
110V + USA Plug</t>
  </si>
  <si>
    <t>COMPONENTS PLATE</t>
  </si>
  <si>
    <t>ELECTRONIC CARD PLATE</t>
  </si>
  <si>
    <t>GROUND CONNECTOR 350MM for 220V</t>
  </si>
  <si>
    <t>SCREW H M5 X 16 Zn AUTO</t>
  </si>
  <si>
    <t>SCREW H M5X10 Zn</t>
  </si>
  <si>
    <t xml:space="preserve">POWER ELECTRONIC BOARD 220-240V
50/60Hz</t>
  </si>
  <si>
    <t xml:space="preserve">POWER ELECTRONIC BOARD 100-120V
50/60Hz</t>
  </si>
  <si>
    <t>PULSE RELAY WBC</t>
  </si>
  <si>
    <t>HOLDING BOX FOR PULSE RELAY WBC</t>
  </si>
  <si>
    <t>RELAY ASSEMBLY WBC</t>
  </si>
  <si>
    <t>GROUND CONNECTOR 240MM for 220V</t>
  </si>
  <si>
    <t>COMPLETE PAINTED BODY Black</t>
  </si>
  <si>
    <t>COMPLETE PAINTED BODY Grey (55BM) (Old)</t>
  </si>
  <si>
    <t>COMPLETE PAINTED BODY White</t>
  </si>
  <si>
    <t>PAINTED BASE BLACK</t>
  </si>
  <si>
    <t>SCREW RLS M5X25 S.STEEL</t>
  </si>
  <si>
    <t>SCREW H M5X20</t>
  </si>
  <si>
    <t>HEXAGON THREADED SPACER</t>
  </si>
  <si>
    <t>HOPPER ALIGNMENT SPACER</t>
  </si>
  <si>
    <t>HOPPER HOLDER (Old&lt;11/2024)</t>
  </si>
  <si>
    <t>SCREW (Old&lt;11/2024)</t>
  </si>
  <si>
    <t>COFFEE GRIDING RECEPTACLE</t>
  </si>
  <si>
    <t xml:space="preserve">COMPONENTS PLATE ASSEMBLY 220V +
Europe Plug</t>
  </si>
  <si>
    <t>SCREW CBX M4X25 AUTO</t>
  </si>
  <si>
    <t>COMPLETE FRONT PLATE Black (Old)</t>
  </si>
  <si>
    <t>COMPLETE FRONT PLATE</t>
  </si>
  <si>
    <t>FRONT PANEL WBC</t>
  </si>
  <si>
    <t>LABEL PANEL</t>
  </si>
  <si>
    <t>COUNTER PANEL</t>
  </si>
  <si>
    <t>ADJUSTING BUTTONS</t>
  </si>
  <si>
    <t>TRAPEZE STEEL PLATE</t>
  </si>
  <si>
    <t>ELECTRONIC CABLES</t>
  </si>
  <si>
    <t>COMMAND BOARD HOLDER</t>
  </si>
  <si>
    <t>FRONT PLATE FLANGE</t>
  </si>
  <si>
    <t>COMMAND BOARD - FRONT PANEL</t>
  </si>
  <si>
    <t>COFFEE OUTPUT CHANNEL</t>
  </si>
  <si>
    <t>SCREW H M5X12 Zn AUTO</t>
  </si>
  <si>
    <t>COFFEE OUTPUT FLAP</t>
  </si>
  <si>
    <t>COFFEE EXHAUST ASSEMBLY</t>
  </si>
  <si>
    <t>COFFEE DEFLECTOR</t>
  </si>
  <si>
    <t>COFFEE HOLDER DETECTION ASSEMBLY</t>
  </si>
  <si>
    <t>MICRO SWICH WITH CABLES</t>
  </si>
  <si>
    <t>MICRO SWITCH HOLDER COVER</t>
  </si>
  <si>
    <t>FILTER HOLDER DETECTION PIN</t>
  </si>
  <si>
    <t>FILTER HOLDER BUTTON</t>
  </si>
  <si>
    <t>SCREW 5X16</t>
  </si>
  <si>
    <t>FILTER HOLDER FORK LOWERED MODEL</t>
  </si>
  <si>
    <t>LOWER FORK HOLDER HOLDER WBC</t>
  </si>
  <si>
    <t>ADJUSTABKE FILTER HOLDER FORK WBC</t>
  </si>
  <si>
    <t>UPPER HOLDER WBC</t>
  </si>
  <si>
    <t>CONTACT WASHER 5X12 Zn</t>
  </si>
  <si>
    <t>FORK PANEL WBC</t>
  </si>
  <si>
    <t>WBC FORK FRONT SPACER</t>
  </si>
  <si>
    <t xml:space="preserve">COMPLETE MOBILE TAMPING DEVICE DIAM
55 for 55BM and 55BC</t>
  </si>
  <si>
    <t xml:space="preserve">COMPLETE MOBILE TAMPING DEVICE DIAM
55 BLACK for 55BF</t>
  </si>
  <si>
    <t>TAMPER END DIAM 57 MM</t>
  </si>
  <si>
    <t>TAMPER WASHER</t>
  </si>
  <si>
    <t>TAMPER SPRING</t>
  </si>
  <si>
    <t>MOBILE PUSHER</t>
  </si>
  <si>
    <t>MOBILE PUSHER WITH CHROMED END</t>
  </si>
  <si>
    <t>FRONT PLATE BARISTA</t>
  </si>
  <si>
    <t>COMPLETE GRIND ADJUSTING SCREW 50Hz</t>
  </si>
  <si>
    <t>COMPLETE GRIND ADJUSTING SCREW 60Hz</t>
  </si>
  <si>
    <t>SCREW CXS 2.5X10 Zn AUTO</t>
  </si>
  <si>
    <t>SCREW H M 6 X 30 Zn (Old&lt;07/2024)</t>
  </si>
  <si>
    <t>WASHER AZ 6 (Old&lt;07/2024)</t>
  </si>
  <si>
    <t>WASHER 6X18 (Old&lt;07/2024)</t>
  </si>
  <si>
    <t>COMPLETE UPPER FLANGE 110V</t>
  </si>
  <si>
    <t>COMPLETE ROTOR 110V</t>
  </si>
  <si>
    <t>COMPLETE LOWER FLANGE 110V</t>
  </si>
  <si>
    <t>REAR FLANGE 110V</t>
  </si>
  <si>
    <t>SILENTBLOC SPACER (Old&lt;11/2023)</t>
  </si>
  <si>
    <t>COMPLETE MOTOR 110V 50/60Hz (futur)</t>
  </si>
  <si>
    <t xml:space="preserve">COMPONENTS PLATE ASSEMBLY 220V +
Europe Plug (old&lt;12/2024)</t>
  </si>
  <si>
    <t>SCREWH 4.8X16</t>
  </si>
  <si>
    <t>PAINTED BASE White</t>
  </si>
  <si>
    <t>GROUND COFFEE RECEPTACLE</t>
  </si>
  <si>
    <t>FRONT PANEL ASSEMBLY</t>
  </si>
  <si>
    <t>FRONT PANEL WITH SCREEN SHIELD</t>
  </si>
  <si>
    <t>BUTTONS</t>
  </si>
  <si>
    <t>REAR PANEL</t>
  </si>
  <si>
    <t>SCREW H M5X20 (Old)</t>
  </si>
  <si>
    <t>HMI ELECTRONIC ASSSEMBLY</t>
  </si>
  <si>
    <t>COMPLETE SLINDING NOZZLE</t>
  </si>
  <si>
    <t>TAMPER HANDLE</t>
  </si>
  <si>
    <t>TAMPER GUIDING ROD</t>
  </si>
  <si>
    <t>BUMPER WASHER</t>
  </si>
  <si>
    <t>IMPACT WASHER</t>
  </si>
  <si>
    <t>TAMPER HOLDING DISC</t>
  </si>
  <si>
    <t>REMOVABLE TAMPER DIAM 53 with magnets</t>
  </si>
  <si>
    <t>REMOVABLE TAMPER DIAM 55 with magnets</t>
  </si>
  <si>
    <t>REMOVABLE TAMPER DIAM 57 with magnets</t>
  </si>
  <si>
    <t>DISPLAY PLATE 59 WITHOUT TAMPER</t>
  </si>
  <si>
    <t>FORK HOLDER</t>
  </si>
  <si>
    <t>UPPER HOLDER</t>
  </si>
  <si>
    <t>ADJUSTABLE FORK ASSEMBLY</t>
  </si>
  <si>
    <t>FORK PANEL WITH 2 INSERTS</t>
  </si>
  <si>
    <t>COMPLETE BOWL (not for USA)</t>
  </si>
  <si>
    <t xml:space="preserve">Transparent COMPLETE BOWL (not for USA)
assembled, without cover</t>
  </si>
  <si>
    <t xml:space="preserve">COMPLETE BOWL with Foam Milk Agitator (not
for USA)</t>
  </si>
  <si>
    <t xml:space="preserve">Transparent COMPLETE BOWL (not for USA) assembled, without cover, with Foam Milk
Agitator</t>
  </si>
  <si>
    <t>COMPLETE BOWL - Red Colour (not for USA)</t>
  </si>
  <si>
    <t xml:space="preserve">Red COMPLETE BOWL (not for USA)
assembled, without cover</t>
  </si>
  <si>
    <t>COMPLETE BOWL - Yellow Colour (not for USA)</t>
  </si>
  <si>
    <t xml:space="preserve">Yellow COMPLETE BOWL (not for USA)
assembled, without cover</t>
  </si>
  <si>
    <t>BOWL (not for USA)</t>
  </si>
  <si>
    <t>BOWL - Red Colour (not for USA)</t>
  </si>
  <si>
    <t>BOWL - Yellow Colour (not for USA)</t>
  </si>
  <si>
    <t>BOWL COVER (not for USA)</t>
  </si>
  <si>
    <t>BOWL COVER - Red Colour (not for USA)</t>
  </si>
  <si>
    <t>BOWL COVER - Yellow Colour (not for USA)</t>
  </si>
  <si>
    <t>AXLE LOCK</t>
  </si>
  <si>
    <t>O' RING GASKET</t>
  </si>
  <si>
    <t>COMPLETE CAGE</t>
  </si>
  <si>
    <t>CAGE + KNIFE ASSEMBLY</t>
  </si>
  <si>
    <t>CAGE + FOAM MILK AGITATOR ASSEMBLY</t>
  </si>
  <si>
    <t>V RING GASKET</t>
  </si>
  <si>
    <t>KNIFE LOCKING NUT</t>
  </si>
  <si>
    <t>TiN BLENDER KNIFE DCA</t>
  </si>
  <si>
    <t xml:space="preserve">SPHERICAL AGITATOR  - TOOL FOR MILK
FOAMING</t>
  </si>
  <si>
    <t>COMPLETE PENTAGONAL BOWL</t>
  </si>
  <si>
    <t>PENTAGONAL BOWL</t>
  </si>
  <si>
    <t>PENTAGONAL BOWL COVER</t>
  </si>
  <si>
    <t>COVER PENTAGONAL CAP</t>
  </si>
  <si>
    <t>COMPLETE SOUND ENCLOSURE</t>
  </si>
  <si>
    <t>BOWL HOLDER ASSEMBLY</t>
  </si>
  <si>
    <t>BOWL HOLDRER CENTER RING</t>
  </si>
  <si>
    <t>REMOVABLE BOWL HOLDER</t>
  </si>
  <si>
    <t>SILENT SOUND ENCLOSURE DOOR</t>
  </si>
  <si>
    <t>SILENT SOUND ENCLOSURE BASE</t>
  </si>
  <si>
    <t>BASE ASSEMBLY 220V EUROPE PLUG</t>
  </si>
  <si>
    <t>BASE ASSEMBLY 110V USA PLUG</t>
  </si>
  <si>
    <t>MOTOR BASE (&lt;04/2022)</t>
  </si>
  <si>
    <t>SHIFTER (old&lt;2022)</t>
  </si>
  <si>
    <t>SCREW M5x20</t>
  </si>
  <si>
    <t xml:space="preserve">BRUSHLESS MOTOR 220-240V 50/60Hz
ASSEMBLY</t>
  </si>
  <si>
    <t>BRUSHLESS MOTOR 100-120V 50/60Hz</t>
  </si>
  <si>
    <t>CENTRAL BAFFLE</t>
  </si>
  <si>
    <t>FRONT PANEL</t>
  </si>
  <si>
    <t>SCREW M2.5X8</t>
  </si>
  <si>
    <t>LCD SCREEN</t>
  </si>
  <si>
    <t>MOTOR BASE WITH FRONT PANEL</t>
  </si>
  <si>
    <t>SCREW M4X6</t>
  </si>
  <si>
    <t>BOARDS SET 220V (Old&lt;Sept2022)</t>
  </si>
  <si>
    <t>BOARDS SET 110V</t>
  </si>
  <si>
    <t>SOCKET RETAINER CLIP</t>
  </si>
  <si>
    <t>MAIN BOX</t>
  </si>
  <si>
    <t>COMPLETE COUPLING ASSEMBLY</t>
  </si>
  <si>
    <t>SCREW HM 4x6</t>
  </si>
  <si>
    <t>SCREW M 4X6</t>
  </si>
  <si>
    <t>SCREW M4X10</t>
  </si>
  <si>
    <t>SCREW M 5 X 12 In</t>
  </si>
  <si>
    <t>COUPLING CORE</t>
  </si>
  <si>
    <t>COUPLING PLATE</t>
  </si>
  <si>
    <t>SCREW FS 2.2X9.5 S.STEEL</t>
  </si>
  <si>
    <t>MOTOR SILENTBLOC (Old &lt;2022)</t>
  </si>
  <si>
    <t xml:space="preserve">BRUSHLESS MOTOR 220-240V 50/60Hz
(Silentbloc version)</t>
  </si>
  <si>
    <t>GROUND BRAID</t>
  </si>
  <si>
    <t xml:space="preserve">BRUSHLESS MOTOR 220-240V 50/60Hz
ASSEMBLY (old&lt;09/2023)</t>
  </si>
  <si>
    <t xml:space="preserve">MOTOR ASSEMBLY WITH DEFLECTOR AND
PIN (old&lt;09/2023)</t>
  </si>
  <si>
    <t>PIN 4 X 22</t>
  </si>
  <si>
    <t>WASHER W 5 Zn</t>
  </si>
  <si>
    <t>MOTOR HOLDING PLATE</t>
  </si>
  <si>
    <t>MOTOR BASE WITH FRONT PANEL (&lt;04/2022)</t>
  </si>
  <si>
    <t>COUPLING SPACER</t>
  </si>
  <si>
    <t>COUPLING UPPER BODY</t>
  </si>
  <si>
    <t>FLEXTOR COUPLING</t>
  </si>
  <si>
    <t>COUPLING LOWER BODY</t>
  </si>
  <si>
    <t>COUPLING BASE</t>
  </si>
  <si>
    <t xml:space="preserve">MOTOR ASSEMBLY WITH DEFLECTOR AND
PIN</t>
  </si>
  <si>
    <t>CASE ASSEMBLY</t>
  </si>
  <si>
    <t>BASE CASING</t>
  </si>
  <si>
    <t>SCREW HM4X16</t>
  </si>
  <si>
    <t>TABLE GASKET</t>
  </si>
  <si>
    <t>BLENDER JUG RINSER</t>
  </si>
  <si>
    <t>TIGHTENING TOOL for 62&amp;66 BOWL SCREW</t>
  </si>
  <si>
    <t xml:space="preserve">SET OF 2 SANTOS GRINDING DISCS DIAM
120 mm pour 50Hz</t>
  </si>
  <si>
    <t>HOPPER SPIDER</t>
  </si>
  <si>
    <t>MAGNET</t>
  </si>
  <si>
    <t>COVER HINGE</t>
  </si>
  <si>
    <t>COVER  ASSEMBLY</t>
  </si>
  <si>
    <t>COVER PLATE</t>
  </si>
  <si>
    <t>BLACK ADHESIVE BUMPER</t>
  </si>
  <si>
    <t>HOPPER HOLDER ANGLE</t>
  </si>
  <si>
    <t>HOPPER SEAL</t>
  </si>
  <si>
    <t>SET OF 2 MAGNET PLATES FR+GB 90*126</t>
  </si>
  <si>
    <t>SANTOS PLATE</t>
  </si>
  <si>
    <t>SCREW RLS M4X8 In</t>
  </si>
  <si>
    <t>SCREW FS M4X12 S.STEEL (old&lt;11/2024)</t>
  </si>
  <si>
    <t xml:space="preserve">COMPLETE MOTOR SINGLE PHASE 220-240V
50 Hz (&lt;11/2020)</t>
  </si>
  <si>
    <t xml:space="preserve">COMPLETE MOTOR SINGLE PHASE 110-120V
60 Hz (&lt;11/2020)</t>
  </si>
  <si>
    <t xml:space="preserve">COMPLETE MOTOR SINGLE PHASE 220-240V
60 Hz (&lt;11/2020)</t>
  </si>
  <si>
    <t>TOP TRAY</t>
  </si>
  <si>
    <t>SCREW H M6X20 Zn</t>
  </si>
  <si>
    <t>GROWER WASHER W 6 Zn</t>
  </si>
  <si>
    <t>SCREW CS M6X12 S.STEEL</t>
  </si>
  <si>
    <t xml:space="preserve">COMPLETE MOTOR SINGLE PHASE 220-240V
50 Hz</t>
  </si>
  <si>
    <t xml:space="preserve">COMPLETE MOTOR SINGLE PHASE 110-120V
60 Hz</t>
  </si>
  <si>
    <t xml:space="preserve">COMPLETE MOTOR SINGLE PHASE 220-240V
60 Hz</t>
  </si>
  <si>
    <t xml:space="preserve">UPPER FLANGE ASSEMBLY (With Ring)
(old&lt;11/2024)</t>
  </si>
  <si>
    <t>UPPER FLANGE ASSEMBLY (With Ring)</t>
  </si>
  <si>
    <t xml:space="preserve">MOTOR ASSEMBLY SINGLE PHASE 220-240V
50 Hz</t>
  </si>
  <si>
    <t>SCREW H M8X25 Zn</t>
  </si>
  <si>
    <t>WASHER 8X30 S.STEEL</t>
  </si>
  <si>
    <t>GRINDING DISK HOLDING PLATE</t>
  </si>
  <si>
    <t>METAL RING 12X14X20</t>
  </si>
  <si>
    <t>GRINDING DISC HOLDER SHAFT</t>
  </si>
  <si>
    <t>BALL BEARING 6205</t>
  </si>
  <si>
    <t>ROTOR WITH SHAFT (old&lt;11/2024)</t>
  </si>
  <si>
    <t>STATOR 220-240V 50Hz (old&lt;11/2024)</t>
  </si>
  <si>
    <t>STATOR 110-120V 60Hz</t>
  </si>
  <si>
    <t xml:space="preserve">ASSEMBLING THREADED ROD M5
(ancien&lt;11/2024)</t>
  </si>
  <si>
    <t>NUT HM 5 Zn (old&lt;11/2024)</t>
  </si>
  <si>
    <t>ASSEMBLING KIT FOR N63 MOTOR</t>
  </si>
  <si>
    <t>REAR FLANGE (Old&lt;09/2024)</t>
  </si>
  <si>
    <t>ONDULATED WASHER (old&lt;11/2024)</t>
  </si>
  <si>
    <t>BALL BEARING 6203 (old&lt;11/2024)</t>
  </si>
  <si>
    <t>ECCENTRIC (old&lt;11/2024)</t>
  </si>
  <si>
    <t>FAN (old&lt;11/2024)</t>
  </si>
  <si>
    <t>FAN COVER (old&lt;11/2024)</t>
  </si>
  <si>
    <t xml:space="preserve">SCREW CBX M5X12 Zn AUTOTAR
(old&lt;11/2024)</t>
  </si>
  <si>
    <t>RING D 47</t>
  </si>
  <si>
    <t>BALL BEARING 608 (old&lt;11/2024)</t>
  </si>
  <si>
    <t>WASHER 9X16X1.5 S.STEEL (old&lt;11/2024)</t>
  </si>
  <si>
    <t>ECCENTRIC BEARING SCREW (old&lt;11/2024)</t>
  </si>
  <si>
    <t>WASHER AZ 5 Zn (old&lt;11/2024)</t>
  </si>
  <si>
    <t>SCREW H M5X12 Zn (old&lt;11/2024)</t>
  </si>
  <si>
    <t>BEARING COVER (old&lt;11/2024)</t>
  </si>
  <si>
    <t>ECCENTRIC RING V2 (old&lt;11/2024)</t>
  </si>
  <si>
    <t>SCREW CHC M5X15 Zn</t>
  </si>
  <si>
    <t>NUT HM 6 Zn</t>
  </si>
  <si>
    <t>SCREW H M6x10 Zn</t>
  </si>
  <si>
    <t>BUTTON INDEX</t>
  </si>
  <si>
    <t>ADJUSTING BUTTON (&lt;11/2020)</t>
  </si>
  <si>
    <t>GRIND ADJUSTMENT SCREW (&lt;11/2020)</t>
  </si>
  <si>
    <t>GRADUATED RING</t>
  </si>
  <si>
    <t>INDEX LOCKING SCREW</t>
  </si>
  <si>
    <t>SOFT BUTTON</t>
  </si>
  <si>
    <t>SHUTTER HANDLE</t>
  </si>
  <si>
    <t>SHUTTER PLATE</t>
  </si>
  <si>
    <t>SHUTTER HANDLE CLOSER</t>
  </si>
  <si>
    <t>SCREW FX 3.5X16 S.STEEL AUTO</t>
  </si>
  <si>
    <t>WASHER 5X16x1 Zn</t>
  </si>
  <si>
    <t>NUT HM 5 Zn</t>
  </si>
  <si>
    <t>SCREW FX M5x20 In</t>
  </si>
  <si>
    <t>SCREW H M 5X25 Zn AUTO</t>
  </si>
  <si>
    <t>COMPLETE BOTOM PLATE 220V (old&lt;11/2024)</t>
  </si>
  <si>
    <t>COMPLETE BOTOM PLATE 110V</t>
  </si>
  <si>
    <t>COMPLETE BOTOM PLATE 220V</t>
  </si>
  <si>
    <t>BOTOM PLATE 220V</t>
  </si>
  <si>
    <t>BOTOM PLATE 220V (old&lt;11/2024)</t>
  </si>
  <si>
    <t>BOTOM PLATE 110V</t>
  </si>
  <si>
    <t>BUMPER</t>
  </si>
  <si>
    <t>RELAY 230V 50/60Hz</t>
  </si>
  <si>
    <t>RELAY 115V 50/60Hz</t>
  </si>
  <si>
    <t>SCREW H M4X20 Zn</t>
  </si>
  <si>
    <t>NUT HM 4 Zn</t>
  </si>
  <si>
    <t>CAPACITOR 40µF 450V</t>
  </si>
  <si>
    <t>CAPACITOR HOLDING PLATE</t>
  </si>
  <si>
    <t>110V CONTACTOR HOLDER</t>
  </si>
  <si>
    <t>POWER SUPPLY 12VDC 10W</t>
  </si>
  <si>
    <t>NSF BASE SEAL</t>
  </si>
  <si>
    <t>CAPACITOR 80 µF 100-120V 50/60 Hz</t>
  </si>
  <si>
    <t>GROUND RECEPTACLE LEFT FOOT</t>
  </si>
  <si>
    <t>BUMPER DIAM 12 H 7.5 BLACK</t>
  </si>
  <si>
    <t>GROUNDS RECEPTACLE</t>
  </si>
  <si>
    <t>GROUND RECEPTACLE RIGHT FOOT</t>
  </si>
  <si>
    <t>LIGHTED PUSH SWITCH 220V</t>
  </si>
  <si>
    <t>LIGHTED PUSH SWITCH 110V</t>
  </si>
  <si>
    <t>SCREW H M5 X 40 S.STEEL</t>
  </si>
  <si>
    <t>COFFEE OUTPUT ASSEMBLY</t>
  </si>
  <si>
    <t>COFFEE OUTPUT WITH BUMPERS</t>
  </si>
  <si>
    <t>LEFT BAG HOLDER SPRING</t>
  </si>
  <si>
    <t>BAG HOLDER AXLE</t>
  </si>
  <si>
    <t>RIGHT BAG HOLDER SPRING</t>
  </si>
  <si>
    <t>LEFT BAG HOLDER BASE</t>
  </si>
  <si>
    <t>RIGHT BAG HOLDER BASE</t>
  </si>
  <si>
    <t>SCREW FS M6 x 30 S.STEEL</t>
  </si>
  <si>
    <t>REAR SHEET (old&lt;10/2024)</t>
  </si>
  <si>
    <t>REAR SHEET  115 V</t>
  </si>
  <si>
    <t>POWER CORD WITH US PLUG</t>
  </si>
  <si>
    <t>SCREW H 4.2X12.7 Zn</t>
  </si>
  <si>
    <t>ROCKER SWITCH</t>
  </si>
  <si>
    <t>MAIN SHEET</t>
  </si>
  <si>
    <t>MAIN SHEET (old&lt;10/2024)</t>
  </si>
  <si>
    <t>CONDUIT SEAL</t>
  </si>
  <si>
    <t>ECCENTRIC ROD (old&lt;11/2024)</t>
  </si>
  <si>
    <t>VIBRATING PLATE HOLDER (old&lt;11/2024)</t>
  </si>
  <si>
    <t>ECCENTRIC GUIDE ROD (old&lt;11/2024)</t>
  </si>
  <si>
    <t>ECCENTRIC GUIDE COVER (old&lt;11/2024)</t>
  </si>
  <si>
    <t>SILENTBLOC 10X10</t>
  </si>
  <si>
    <t>VIBRATING PLATE (old&lt;10/2024)</t>
  </si>
  <si>
    <t>VIBRATING PLATE</t>
  </si>
  <si>
    <t>VIBRATING MOTOR HOLDING PLATE</t>
  </si>
  <si>
    <t>PLATE VIBRATOR</t>
  </si>
  <si>
    <t>SCREW M4 x 20 S.STEEL</t>
  </si>
  <si>
    <t>SCREW M4X6 S.STEEL</t>
  </si>
  <si>
    <t>SCREW FZ M3X6</t>
  </si>
  <si>
    <t>PUSHER 110V</t>
  </si>
  <si>
    <t>FEEDING TUBE</t>
  </si>
  <si>
    <t>FEEDING TUBE 110V</t>
  </si>
  <si>
    <t>CONTAINER CAP</t>
  </si>
  <si>
    <t>PULP CONTAINER WITH CAP</t>
  </si>
  <si>
    <t>COMPLETE FILTER BODY</t>
  </si>
  <si>
    <t>TOP SCREW SEAL</t>
  </si>
  <si>
    <t>S.STEEL LOWER SCREW (Old &lt;11/2024)</t>
  </si>
  <si>
    <t>BOTTOM SCREW SEAL (Old &lt;11/2024)</t>
  </si>
  <si>
    <t>LOCKING SCREW (Old &lt;11/2024)</t>
  </si>
  <si>
    <t>O'RING 85X2</t>
  </si>
  <si>
    <t xml:space="preserve">0.3 MESH WITH O'RING SEAL 85X2 (Old
&lt;11/2024)</t>
  </si>
  <si>
    <t>0.3 MESH WITH O'RING SEAL</t>
  </si>
  <si>
    <t>O'RING 109x3</t>
  </si>
  <si>
    <t xml:space="preserve">COMPLETE WIPER (=2*65265 + 4*65264) (Old
&lt;11/2024)</t>
  </si>
  <si>
    <t>OUTSIDE SCREW SEAL</t>
  </si>
  <si>
    <t>RUBBER SCRAPER (Old &lt;11/2024)</t>
  </si>
  <si>
    <t>SCRAPER HOLDER (Old&lt;11/2024)</t>
  </si>
  <si>
    <t>SEAL OUTSIDE RING</t>
  </si>
  <si>
    <t>SCRAPER HOLDER</t>
  </si>
  <si>
    <t>RUBBER SCRAPER</t>
  </si>
  <si>
    <t>COMPLETE WIPER (=2*65265 + 4*65264)</t>
  </si>
  <si>
    <t>CONE HOLDER PLATE (Old &lt;11/2024)</t>
  </si>
  <si>
    <t>WASTE OUTPUT CONE (Old &lt;11/2024)</t>
  </si>
  <si>
    <t>SCREW SEAL (Inside) (Old&lt;11/2024)</t>
  </si>
  <si>
    <t>SCREW 3.5X10 S.STEEL (Old&lt;11/2024)</t>
  </si>
  <si>
    <t>WASTE OUTPUT CONE</t>
  </si>
  <si>
    <t>CONE HOLDER PLATE</t>
  </si>
  <si>
    <t>SCREW SEAL (Inside)</t>
  </si>
  <si>
    <t>SCREW FS 2.9X16 A TOLE S.STEEL</t>
  </si>
  <si>
    <t>TOP SCREW WITH PINS (Old &lt;11/2024)</t>
  </si>
  <si>
    <t>UPPER SCREW BRUSHING</t>
  </si>
  <si>
    <t>S.STEEL LOWER SCREW</t>
  </si>
  <si>
    <t>LOWER SCREW AXLE</t>
  </si>
  <si>
    <t>TOP SCREW WITH PINS</t>
  </si>
  <si>
    <t>SCREW HC M3x5</t>
  </si>
  <si>
    <t>S.STEEL LOWER SCREW WITH AXLE</t>
  </si>
  <si>
    <t>TOP CASING (Old &lt;11/2024)</t>
  </si>
  <si>
    <t>SAFETY RING</t>
  </si>
  <si>
    <t>BODY TOP GUIDE</t>
  </si>
  <si>
    <t>SCREW CHC (+step) M6x10</t>
  </si>
  <si>
    <t>TOP CASING WITH RINGS (Old &lt;11/2024)</t>
  </si>
  <si>
    <t>PLASTIC BEARING 5x7x10</t>
  </si>
  <si>
    <t>PIN 3 X 20</t>
  </si>
  <si>
    <t>LOCK</t>
  </si>
  <si>
    <t>PIN 3X14</t>
  </si>
  <si>
    <t>LOCKING WASHER 3</t>
  </si>
  <si>
    <t>SCREW CS M3X16 Zn</t>
  </si>
  <si>
    <t>LOCKING SPRING (Old&lt;11/2024)</t>
  </si>
  <si>
    <t>LOCKING HANDLE AXLE (Old&lt;11/2024)</t>
  </si>
  <si>
    <t>LOCKING HANDLE (Old&lt;11/2024)</t>
  </si>
  <si>
    <t>SCREW CBX M3x6 (Old&lt;11/2024)</t>
  </si>
  <si>
    <t>TOP CASING</t>
  </si>
  <si>
    <t>TOP CASING WITH RINGS</t>
  </si>
  <si>
    <t>GROOVED PIN</t>
  </si>
  <si>
    <t>LEVER SPRING</t>
  </si>
  <si>
    <t>LOCKING TRIGGER (Old &lt;11/2024)</t>
  </si>
  <si>
    <t>PULLEYS HOLDING PLATE (Old &lt;11/2024)</t>
  </si>
  <si>
    <t>SCREW SAFETY AXLE</t>
  </si>
  <si>
    <t>SPACER 5x8x6</t>
  </si>
  <si>
    <t>SCREW 5X20</t>
  </si>
  <si>
    <t>SPACER M4x24</t>
  </si>
  <si>
    <t>UPPER TENSIONING AXLE</t>
  </si>
  <si>
    <t>BRONZE BEARING 25x30x25</t>
  </si>
  <si>
    <t>TUBE SAFETY AXLE</t>
  </si>
  <si>
    <t>WASHER 6 X 14</t>
  </si>
  <si>
    <t>SAFETY SPRING</t>
  </si>
  <si>
    <t>SAFETY SPRING TUBE</t>
  </si>
  <si>
    <t>PCB ASSEMBLY CPJ65</t>
  </si>
  <si>
    <t>PCB ASSEMBLY CPJ65 110V</t>
  </si>
  <si>
    <t>TOP COUPLING</t>
  </si>
  <si>
    <t>ROLLER</t>
  </si>
  <si>
    <t>ROLLER SPACER</t>
  </si>
  <si>
    <t>TOP MOTOR HOLDING PLATE</t>
  </si>
  <si>
    <t>TOP MOTOR CAGE</t>
  </si>
  <si>
    <t>SCREW FX M4x16</t>
  </si>
  <si>
    <t>BRONZE BEARING 16x20x20</t>
  </si>
  <si>
    <t>TOP DRIVING PULLEY</t>
  </si>
  <si>
    <t>PULLEYS HOLDING PLATE</t>
  </si>
  <si>
    <t>LOCKING TRIGGER</t>
  </si>
  <si>
    <t>100W MOTOR 110V</t>
  </si>
  <si>
    <t>PINION + 220V MOTOR ASSEMBLY</t>
  </si>
  <si>
    <t>PINION + 110V MOTOR ASSEMBLY</t>
  </si>
  <si>
    <t>GEARBOX MOTOR TOP SPACER</t>
  </si>
  <si>
    <t>PLANETARY GEARBOX</t>
  </si>
  <si>
    <t>TOP COUPLING (Old&lt;11/2024)</t>
  </si>
  <si>
    <t>UPPER RING</t>
  </si>
  <si>
    <t>UPPER RING 110V</t>
  </si>
  <si>
    <t>TOP COVER SHEET (Old)</t>
  </si>
  <si>
    <t>SCREW H M4</t>
  </si>
  <si>
    <t>SPACER M3x20</t>
  </si>
  <si>
    <t>TOP COVER SHEET (Old&lt;11/2024)</t>
  </si>
  <si>
    <t>TOP COVER SHEET</t>
  </si>
  <si>
    <t>TOP MOTOR CASING</t>
  </si>
  <si>
    <t>MOTOR CASING SEAL</t>
  </si>
  <si>
    <t>SCREW M5X10 S.STEEL</t>
  </si>
  <si>
    <t>UPPER BELT (Old &lt;11/2024)</t>
  </si>
  <si>
    <t>UPPER BELT</t>
  </si>
  <si>
    <t>TOP PULLEY AXLE</t>
  </si>
  <si>
    <t>RIGHT HARM</t>
  </si>
  <si>
    <t>LEFT HARM</t>
  </si>
  <si>
    <t>RIGHT ARM PLATE</t>
  </si>
  <si>
    <t>LEFT ARM PLATE</t>
  </si>
  <si>
    <t>SCREW CHC M6x60</t>
  </si>
  <si>
    <t>SCREW 6X25</t>
  </si>
  <si>
    <t>LOCKING RING (Old&lt;11/2024)</t>
  </si>
  <si>
    <t>RIGHT HARM WITH 2 RINGS (Old&lt;11/2024)</t>
  </si>
  <si>
    <t>S. STEEL PIN 2 X 4</t>
  </si>
  <si>
    <t>SCREW HC M4X6</t>
  </si>
  <si>
    <t>LEFT HARM WITH 2 RINGS</t>
  </si>
  <si>
    <t>ON OFF PUSH BUTTON</t>
  </si>
  <si>
    <t>REVERSE PUSH BUTTON</t>
  </si>
  <si>
    <t>ROD HOLDING PLATE</t>
  </si>
  <si>
    <t>TOP CASING RETURN ROD</t>
  </si>
  <si>
    <t>SPRING RING</t>
  </si>
  <si>
    <t>MASK</t>
  </si>
  <si>
    <t>MIDDLE CAST</t>
  </si>
  <si>
    <t>LOWER MOTOR HOLDING PLATE</t>
  </si>
  <si>
    <t>220V 300W MOTOR</t>
  </si>
  <si>
    <t>110V 300W MOTOR</t>
  </si>
  <si>
    <t>SPACER 6x9x16</t>
  </si>
  <si>
    <t>SCREW H M6x12 Zn</t>
  </si>
  <si>
    <t>LOWER PULLEY</t>
  </si>
  <si>
    <t>LOCKING WASHER</t>
  </si>
  <si>
    <t>PARALLEL KEY 4x4x12</t>
  </si>
  <si>
    <t>SCREW FX M4X10</t>
  </si>
  <si>
    <t>MAIN GEARBOX AXLE</t>
  </si>
  <si>
    <t>MAIN GEARBOX AXLE ASSEMBLY</t>
  </si>
  <si>
    <t>LOWER BELT</t>
  </si>
  <si>
    <t>DRIVING AXLE (Old&lt;11/2024)</t>
  </si>
  <si>
    <t>SCREW HC M3x5 (Ancien&lt;11/2024)</t>
  </si>
  <si>
    <t>MAIN GEARBOX SHIELD (Old&lt;11/2024)</t>
  </si>
  <si>
    <t>14 TEETH PINION</t>
  </si>
  <si>
    <t xml:space="preserve">MAIN GEARBOX PROTECTION SHEET
(Old&lt;11/2024)</t>
  </si>
  <si>
    <t>GEARBOX CAP</t>
  </si>
  <si>
    <t>MAIN TENSIONER AXLE (Old&lt;11/2024)</t>
  </si>
  <si>
    <t>BALL BEARING 6203</t>
  </si>
  <si>
    <t>MAIN TENSIONER AXLE</t>
  </si>
  <si>
    <t>SCREW CHC M6X16 Zn</t>
  </si>
  <si>
    <t>LOWER LOCK CORE</t>
  </si>
  <si>
    <t>DRIVING AXLE</t>
  </si>
  <si>
    <t>LOWER LOCK FLANGE</t>
  </si>
  <si>
    <t>LOWER LOCKING RING</t>
  </si>
  <si>
    <t>LOWER LOCK SPRING</t>
  </si>
  <si>
    <t>LOWER BODY</t>
  </si>
  <si>
    <t>LARGE MOTOR SHEET</t>
  </si>
  <si>
    <t xml:space="preserve">LOWER TRANSMISSION COVER
(Ancien&lt;11/2024)</t>
  </si>
  <si>
    <t>LOWER BODY GUIDE</t>
  </si>
  <si>
    <t>ADJUSTING WASHER (Old&lt;11/2024)</t>
  </si>
  <si>
    <t>SPACER M3x20 (Old&lt;11/2024)</t>
  </si>
  <si>
    <t>LOWER TRANSMISSION COVER</t>
  </si>
  <si>
    <t>SCREW H M6X16</t>
  </si>
  <si>
    <t>EMC FILTER 230V</t>
  </si>
  <si>
    <t>BODY DISASSEMMBLING TOOL</t>
  </si>
  <si>
    <t xml:space="preserve">Transparent COMPLETE BOWL (not for USA)
assembled, without cover, with Foam Milk Agitator</t>
  </si>
  <si>
    <t>COVER with Safety magnets</t>
  </si>
  <si>
    <t>Red COVER with Safety magnets</t>
  </si>
  <si>
    <t>Yellow COVER with Safety magnets</t>
  </si>
  <si>
    <t>COMPLETE FRONT PANEL</t>
  </si>
  <si>
    <t>PANEL CABLE</t>
  </si>
  <si>
    <t>ELECTRONIC PCB 66</t>
  </si>
  <si>
    <t>PCB BOARD ASSEMBLY</t>
  </si>
  <si>
    <t>PCB HOLDING PLATE</t>
  </si>
  <si>
    <t>SCREW M4X16 Zn AUTOTAR</t>
  </si>
  <si>
    <t>MICROSWITCH</t>
  </si>
  <si>
    <t>SWITCH HOLDING PLATE</t>
  </si>
  <si>
    <t>SCREW M3X25 Zn AUTOTAR</t>
  </si>
  <si>
    <t>MOTOR CASING</t>
  </si>
  <si>
    <t>230V MOTOR ASSEMBLY + DEFLECTOR</t>
  </si>
  <si>
    <t xml:space="preserve">COMPLETE MOTOR ASSEMBLY WITH FIXING
PLATE</t>
  </si>
  <si>
    <t>BUTTON SPRING</t>
  </si>
  <si>
    <t>CIRCLIP</t>
  </si>
  <si>
    <t>ROLL BAR</t>
  </si>
  <si>
    <t>ROLL BAR STICKER</t>
  </si>
  <si>
    <t>MAGNETIC SENSOR</t>
  </si>
  <si>
    <t>SCREW CBX 2.2X6.5 S.STEEL</t>
  </si>
  <si>
    <t>BOWL HOLDER</t>
  </si>
  <si>
    <t>COUPLING ASSEMBLY</t>
  </si>
  <si>
    <t xml:space="preserve">SET OF 2 SANTOS GRINDING DISCS DIAM
120 mm for 60 Hz</t>
  </si>
  <si>
    <t>HUBCAP DISASSEMBLING TOOL</t>
  </si>
  <si>
    <t>HOPPER LID</t>
  </si>
  <si>
    <t>1KG HOPPER</t>
  </si>
  <si>
    <t>SHUTTER</t>
  </si>
  <si>
    <t>HOPPER BASE</t>
  </si>
  <si>
    <t>COMPLETE REMOVABLE TRAY with screw</t>
  </si>
  <si>
    <t>SCREW WITH WITH DISC ASSEMBLY</t>
  </si>
  <si>
    <t>GRIND ADJUSTEMENT SCREW</t>
  </si>
  <si>
    <t>SCREW FS M4x6 In</t>
  </si>
  <si>
    <t>LOCKING RING</t>
  </si>
  <si>
    <t>GRADED RING</t>
  </si>
  <si>
    <t>REMOVABLE TRAY ASSEMBLY</t>
  </si>
  <si>
    <t>HOPPER DETECTION PIN</t>
  </si>
  <si>
    <t>UPPER FLOATING RING</t>
  </si>
  <si>
    <t>LOCKER ASSEMBLY</t>
  </si>
  <si>
    <t>INDEX LOCKER SPRING</t>
  </si>
  <si>
    <t>SPECIAL SCREW CB M5X12</t>
  </si>
  <si>
    <t>REMOVABLE TRAY</t>
  </si>
  <si>
    <t>FLOATING RING</t>
  </si>
  <si>
    <t>HOPPER DETECTION SPRING</t>
  </si>
  <si>
    <t>LOCKING PIN LEVER</t>
  </si>
  <si>
    <t>GRIND ADJUSTEMENT SCREW HOLDER</t>
  </si>
  <si>
    <t>LOCKING FINGER HOUSING</t>
  </si>
  <si>
    <t>PIN 3X12 In</t>
  </si>
  <si>
    <t xml:space="preserve">BODY, MOTOR AND COFFEE OUTPUT
ASSEMBLY</t>
  </si>
  <si>
    <t xml:space="preserve">COMPLETE MOTOR AND GRINDING
CHAMBER ASSEMBLY</t>
  </si>
  <si>
    <t>FLAP HOLDING BASE</t>
  </si>
  <si>
    <t>ANTISTATIC STRIP</t>
  </si>
  <si>
    <t>FLAP HOLDER COVER</t>
  </si>
  <si>
    <t>COMPLETE ANTISATIC STRIP</t>
  </si>
  <si>
    <t>COMPLETE GRINDING CHAMBER ASSEMBLY</t>
  </si>
  <si>
    <t>GRINDING CHAMBER</t>
  </si>
  <si>
    <t>SAFETY PIN</t>
  </si>
  <si>
    <t>SAFETY SWITCH COVER</t>
  </si>
  <si>
    <t>GROUND COFFEE OUTLET</t>
  </si>
  <si>
    <t>COFFEE OUTLET SEAL</t>
  </si>
  <si>
    <t>COMPLETE FRONT NOZZLE</t>
  </si>
  <si>
    <t>BRUSHLESS MOTOR</t>
  </si>
  <si>
    <t>BODY HOLDING SCREW</t>
  </si>
  <si>
    <t>MOTOR SCREW DAMPENER</t>
  </si>
  <si>
    <t>COMPLETE HMI</t>
  </si>
  <si>
    <t>COMPLETE HMI (WITHOUT FLANGES)</t>
  </si>
  <si>
    <t>HMI PCB</t>
  </si>
  <si>
    <t>LCD SCREEN HOLDER</t>
  </si>
  <si>
    <t>HMI SCREEN</t>
  </si>
  <si>
    <t>COMPLETE HMI FRONT DISPLAY</t>
  </si>
  <si>
    <t>HMI FRONT PANEL</t>
  </si>
  <si>
    <t>TURNING KNOB</t>
  </si>
  <si>
    <t>HMI LOCKING ARM</t>
  </si>
  <si>
    <t>KNOB CAP</t>
  </si>
  <si>
    <t>MOTOR DAMPENER</t>
  </si>
  <si>
    <t>FLANGE FIXING SCREW</t>
  </si>
  <si>
    <t>COMPLETE UPPER BASE</t>
  </si>
  <si>
    <t>UPPER BASE</t>
  </si>
  <si>
    <t>SAFETY SWITCH HOLDING BRACKET</t>
  </si>
  <si>
    <t>LEFT HUBCAP</t>
  </si>
  <si>
    <t>RIGHT HUBCAP ASSEMBLY</t>
  </si>
  <si>
    <t>RIGHT HUBCAP</t>
  </si>
  <si>
    <t>BUTTTON</t>
  </si>
  <si>
    <t>ON/OFF SWITCH HOLDING BRACKET</t>
  </si>
  <si>
    <t>COMPLETE BASE</t>
  </si>
  <si>
    <t>FOOD FIXING SCREW</t>
  </si>
  <si>
    <t>GROUND CONNECTOR</t>
  </si>
  <si>
    <t xml:space="preserve">GROUND COFFEE RECEPTACLE WITH
MAGNET</t>
  </si>
  <si>
    <t>BEAM SPACER</t>
  </si>
  <si>
    <t>OUTLET HOUSING</t>
  </si>
  <si>
    <t>CYCLE START FLAP</t>
  </si>
  <si>
    <t>PORTAFILTER BUMPER</t>
  </si>
  <si>
    <t>FLAP AXLE</t>
  </si>
  <si>
    <t>SCREW CX 3X6 Zn AUTO</t>
  </si>
  <si>
    <t>FILTER HOLDER SWITCH SPRING</t>
  </si>
  <si>
    <t>FILTER HOLDER</t>
  </si>
  <si>
    <t>FORK ARM</t>
  </si>
  <si>
    <t>SCREW M 5 X 16 S.STEEL</t>
  </si>
  <si>
    <t>POWER BOARD HOLDER ASSEMBLY</t>
  </si>
  <si>
    <t>POWER BOARD HOLDER</t>
  </si>
  <si>
    <t>SOCKET IEC C14</t>
  </si>
  <si>
    <t>ELECTRONIC MOTOR PCB</t>
  </si>
  <si>
    <t>WIRE SET 67</t>
  </si>
  <si>
    <t xml:space="preserve">PATISSERIE PACK FOR JUICE EXTRACTOR
68</t>
  </si>
  <si>
    <t>COMPLETE BASKET STANDARD WITH BLADE</t>
  </si>
  <si>
    <t xml:space="preserve">COMPLETE BASKET-HOLES 0,8MM - WITH
BLADE</t>
  </si>
  <si>
    <t xml:space="preserve">COMPLETE AUTOCLEAN BASKET WITH
BLADE</t>
  </si>
  <si>
    <t xml:space="preserve">COMPLETE BASKET STANDARD WITH
SHARP BLADE</t>
  </si>
  <si>
    <t>BLADE (DISC) ONLY 68</t>
  </si>
  <si>
    <t>SHARP BLADE (DISC) ONLY 68</t>
  </si>
  <si>
    <t>SCREW  F90 M5x12 S.STEEL</t>
  </si>
  <si>
    <t>BASKET (STRAINER) ONLY  DIAM  0.8 MM</t>
  </si>
  <si>
    <t>BASKET (STRAINER) ONLY AUTOCLEAN</t>
  </si>
  <si>
    <t>BASKET BASE SEAL</t>
  </si>
  <si>
    <t>BOWL 68</t>
  </si>
  <si>
    <t>NUT M6 S.STEEL</t>
  </si>
  <si>
    <t>REMOVABLE CHUTE</t>
  </si>
  <si>
    <t>BASKET CHICANE</t>
  </si>
  <si>
    <t>HEAD SET + RING</t>
  </si>
  <si>
    <t>BRONZE BUSHING</t>
  </si>
  <si>
    <t>SCREW HC M6x8 S.STEEL</t>
  </si>
  <si>
    <t>PIN 6x30</t>
  </si>
  <si>
    <t>SHAFT NUT</t>
  </si>
  <si>
    <t>SHIFTER HEAD ASSEMBLY</t>
  </si>
  <si>
    <t>SCREW H M5X16 Zn</t>
  </si>
  <si>
    <t>CAPACITOR 180 µF 100-120V 50/60 Hz</t>
  </si>
  <si>
    <t>CAP NUT H M 5 S.Steel</t>
  </si>
  <si>
    <t>CONTACTOR 100-120V 50/60 Hz</t>
  </si>
  <si>
    <t>THERMAL PROTECTOR (110V)</t>
  </si>
  <si>
    <t>WIRE CLIP</t>
  </si>
  <si>
    <t>O'RING</t>
  </si>
  <si>
    <t>BRAKE SHEET</t>
  </si>
  <si>
    <t>SAFETY CAGE</t>
  </si>
  <si>
    <t>ALUMINIUM LOCKING HANDLE</t>
  </si>
  <si>
    <t>SAFETY RING HOLDER</t>
  </si>
  <si>
    <t>SAFETY RING  6X9X6</t>
  </si>
  <si>
    <t>SCREW HC M 6 X 12 In</t>
  </si>
  <si>
    <t>WASHER 5X16</t>
  </si>
  <si>
    <t>SPACER 5 X 40 Zn</t>
  </si>
  <si>
    <t>ANTI ROTATION SAFETY AXLE</t>
  </si>
  <si>
    <t>LEFT LOCKING ARM</t>
  </si>
  <si>
    <t>RIGHT LOCKING ARM</t>
  </si>
  <si>
    <t>BREAKING DISC WASHER</t>
  </si>
  <si>
    <t>BREAK DISC</t>
  </si>
  <si>
    <t>BRAKE SCREW</t>
  </si>
  <si>
    <t>O'RING 19 x 1.5</t>
  </si>
  <si>
    <t>SEAL RING</t>
  </si>
  <si>
    <t>BEARING PLATE</t>
  </si>
  <si>
    <t>SCREW M5X12 Zn AUTO</t>
  </si>
  <si>
    <t>PIN</t>
  </si>
  <si>
    <t>GASKET 12X18X5</t>
  </si>
  <si>
    <t>TOP FLANGE</t>
  </si>
  <si>
    <t>COLUMN LOCKING ROD</t>
  </si>
  <si>
    <t>MOTOR LOCKING ROD</t>
  </si>
  <si>
    <t>FLEXIBLE LID</t>
  </si>
  <si>
    <t>REINFORCED SPACER</t>
  </si>
  <si>
    <t>SCREW 4X25 S.STEEL</t>
  </si>
  <si>
    <t>LEVER PLATE</t>
  </si>
  <si>
    <t>SCREW 3.5X10 S.STEEL</t>
  </si>
  <si>
    <t>STOP WASHER</t>
  </si>
  <si>
    <t>LEVER WITH HINGE</t>
  </si>
  <si>
    <t>PIN 5X45 S.STEEL</t>
  </si>
  <si>
    <t>LEVER HINGE</t>
  </si>
  <si>
    <t>SOFT WASHER 9X14.5X2</t>
  </si>
  <si>
    <t>STAINLESS STEEL CUP</t>
  </si>
  <si>
    <t>COMPLETE S.STEEL BOWL</t>
  </si>
  <si>
    <t>STAINLESS STEEL BOWL BUMPERS</t>
  </si>
  <si>
    <t>PAINTED TOP BOWL ASSEMBLY (Black)</t>
  </si>
  <si>
    <t>CHROMED TOP BOWL (Old)</t>
  </si>
  <si>
    <t>PAINTED ALUMINIUM TOP BOWL (Black)</t>
  </si>
  <si>
    <t>DOUBLE BOWL TOP</t>
  </si>
  <si>
    <t>BOTTOM OF DOUBLE BOWL</t>
  </si>
  <si>
    <t>COMPLETE CLUTCH</t>
  </si>
  <si>
    <t>COMPLETE CONE STEERING AXLE</t>
  </si>
  <si>
    <t>BRAKE DISC</t>
  </si>
  <si>
    <t>CLUTCH DISC</t>
  </si>
  <si>
    <t>CLUTCH SPRING</t>
  </si>
  <si>
    <t>CLUTCH PLATE</t>
  </si>
  <si>
    <t>PIN 4X24 S.STEEL</t>
  </si>
  <si>
    <t>COMPLETE MOTOR 220V 50/60Hz</t>
  </si>
  <si>
    <t>WASHER (SPECIAL)</t>
  </si>
  <si>
    <t>SCREW ROD H M5 x 125 Zn Auto</t>
  </si>
  <si>
    <t>STATOR 220-240V 50/60Hz (Old&lt;=09/2017)</t>
  </si>
  <si>
    <t>STATOR 110-120V 50/60Hz</t>
  </si>
  <si>
    <t>O'RING D9.5X2</t>
  </si>
  <si>
    <t>ROTOR WITH SHAFT (Old&lt;=09/2017)</t>
  </si>
  <si>
    <t>FAN D 120mm</t>
  </si>
  <si>
    <t>COMPLETE ROTOR (ROTOR + SHAFT + FAN) (Old&lt;=09/2017)</t>
  </si>
  <si>
    <t>REAR FLANGE WITH BEARING</t>
  </si>
  <si>
    <t>COMPLETE ROTOR (ROTOR + SHAFT + FAN)</t>
  </si>
  <si>
    <t>SCREW H M4X10 Zn AUTO</t>
  </si>
  <si>
    <t>WAVED SHEET (&lt;2021)</t>
  </si>
  <si>
    <t>HOUSING BOTTOM SEAL</t>
  </si>
  <si>
    <t>WAVED SHEET</t>
  </si>
  <si>
    <t>HOUSING TOP SEAL</t>
  </si>
  <si>
    <t xml:space="preserve">COMPLETE PAINTED BASE EUROPE PLUG
(&lt;2021)</t>
  </si>
  <si>
    <t>COMPLETE Grey BASE USA PLUG (&lt;2021)</t>
  </si>
  <si>
    <t>CHROMED COMPLETE BASE EUROPE PLUG</t>
  </si>
  <si>
    <t>CHROMED COMPLETE BASE USA PLUG</t>
  </si>
  <si>
    <t>BASE, PAINTED (Before 2020)</t>
  </si>
  <si>
    <t>CHROMED BASE ASSEMBLY (Old)</t>
  </si>
  <si>
    <t>ORANGE LIGHTED SWITCH (Old 2020)</t>
  </si>
  <si>
    <t>CAPACITOR 8µF</t>
  </si>
  <si>
    <t>CAPACITOR 12µF</t>
  </si>
  <si>
    <t>NUT HM 8 Zn</t>
  </si>
  <si>
    <t>DRIP TRAY S.STEEL GRID</t>
  </si>
  <si>
    <t>GLASS RAISER</t>
  </si>
  <si>
    <t xml:space="preserve">COMPLETE BOTTOM PLATE EUROPE PLUG
(before 2020)</t>
  </si>
  <si>
    <t xml:space="preserve">COMPLETE BOTTOM PLATE USA PLUG
(Before 2020)</t>
  </si>
  <si>
    <t>BOTTOM PLATE (before 2020)</t>
  </si>
  <si>
    <t xml:space="preserve">COMPLETE Black PAINTED BASE EUROPE
PLUG</t>
  </si>
  <si>
    <t>COMPLETE Black BASE USA PLUG</t>
  </si>
  <si>
    <t>BASE, PAINTED (Black)</t>
  </si>
  <si>
    <t>COMPLETE BOTTOM PLATE USA PLUG</t>
  </si>
  <si>
    <t>SCREW CBX M5X30 AUTO</t>
  </si>
  <si>
    <t>SCREW H M5X20 Zn AUTO</t>
  </si>
  <si>
    <t>NUT HM5 Zn</t>
  </si>
  <si>
    <t>UNIVERSAL CONE</t>
  </si>
  <si>
    <t>COMPLETE BLACK PLASTIC BOWL (For 71C)</t>
  </si>
  <si>
    <t>BLACK BOWL (For 71C)</t>
  </si>
  <si>
    <t>COMPLETE GEAR MOTOR 220 V 50 HZ</t>
  </si>
  <si>
    <t>COMPLETE GEAR MOTOR 120 V 60 Hz</t>
  </si>
  <si>
    <t>GEAR MOTOR ONLY 220 V 50 Hz</t>
  </si>
  <si>
    <t>GEAR MOTOR 120 V 60 Hz</t>
  </si>
  <si>
    <t>GEAR MOTOR PLATE</t>
  </si>
  <si>
    <t>SCREW H 5 X 16 Zn AUTO</t>
  </si>
  <si>
    <t>MOTOR FAN</t>
  </si>
  <si>
    <t>BRONZE BEARING 12X17X25</t>
  </si>
  <si>
    <t>ROTATION SQUEEZER AXLE</t>
  </si>
  <si>
    <t>O - RING SEAL 7X1.5</t>
  </si>
  <si>
    <t>PIN HOLDING RING</t>
  </si>
  <si>
    <t xml:space="preserve">COMPLETE BOTTOM PLATE WITH EUROPE
PLUG</t>
  </si>
  <si>
    <t>COMPLETE BOTTOM PLATE WITH USA PLUG</t>
  </si>
  <si>
    <t>SCREW 5 X 16 Zn AUTO</t>
  </si>
  <si>
    <t>SCREW CBLZ 5.5 X 16 Zn</t>
  </si>
  <si>
    <t>WASHER 5,5X12x1 In</t>
  </si>
  <si>
    <t>SET OF 2 SANTOS GRINDING DISCS DIAM 54</t>
  </si>
  <si>
    <t>COFFEE HOPPER</t>
  </si>
  <si>
    <t>HOPPER OBTURATOR</t>
  </si>
  <si>
    <t xml:space="preserve">REMOVABLE GRIND ADJUSTMENT SCREW
ASSEMBLY</t>
  </si>
  <si>
    <t>GRIND ADJUSTMENT SCREW ASSEMBLY</t>
  </si>
  <si>
    <t>GRINDING DISC FIXING SCREW</t>
  </si>
  <si>
    <t>GRIND ADJUSTING SCREW</t>
  </si>
  <si>
    <t>INDEX HOLDING RING</t>
  </si>
  <si>
    <t>INDEX PUSHER PLATE</t>
  </si>
  <si>
    <t>INDEX SPRING</t>
  </si>
  <si>
    <t>LOCKING PIN</t>
  </si>
  <si>
    <t>SCREW HOLDING PLATE</t>
  </si>
  <si>
    <t>O'RING SEAT</t>
  </si>
  <si>
    <t>COPPER RING</t>
  </si>
  <si>
    <t>FEEDING SCREW ASSEMBLY</t>
  </si>
  <si>
    <t>COMPLETE MOTOR ASSEMBLY</t>
  </si>
  <si>
    <t>LOWER FLANGE ASSEMBLY</t>
  </si>
  <si>
    <t>ROTOR N76</t>
  </si>
  <si>
    <t>STATOR N76 230V 50/60Hz</t>
  </si>
  <si>
    <t>STATOR N76 110V 50/60Hz</t>
  </si>
  <si>
    <t>BOTTOM PLATE ASSEMBLY 220V EU Plug</t>
  </si>
  <si>
    <t>CAPACITOR</t>
  </si>
  <si>
    <t>UPPER FLANGE SEAL</t>
  </si>
  <si>
    <t>LANGUETTE ASSEMBLY</t>
  </si>
  <si>
    <t>STRIP HOLDER</t>
  </si>
  <si>
    <t>FORK HOLDING PLATE</t>
  </si>
  <si>
    <t>FILTER HOLDER HOLDING PLATE</t>
  </si>
  <si>
    <t>FOLDABLE FORK ASSEMBLY</t>
  </si>
  <si>
    <t>STATIONARY FORK</t>
  </si>
  <si>
    <t>ADJUSTABLE FORK</t>
  </si>
  <si>
    <t xml:space="preserve">COMPLETE GRATER HOUSING WITHOUT
LOCKING ROD (before 2011)</t>
  </si>
  <si>
    <t>PROTECTION CAP (before 2011)</t>
  </si>
  <si>
    <t>BAKELITE BALL (before 2011)</t>
  </si>
  <si>
    <t>GROOVED PIN 8X55</t>
  </si>
  <si>
    <t>COMPLETER HOUSING</t>
  </si>
  <si>
    <t xml:space="preserve">COMPLETE CRUSHING DISC WITH BLADE +
LOCKING SCREW</t>
  </si>
  <si>
    <t>CRUSHING DISC WITH BLADE</t>
  </si>
  <si>
    <t>ALUMINIUM DISC HOLDER ONLY</t>
  </si>
  <si>
    <t>STAINLESS STEEL KNIFE</t>
  </si>
  <si>
    <t>SCREW H M 5 X 10 S. STEEL</t>
  </si>
  <si>
    <t>SCREW H M 8 X 10 S.STEEL</t>
  </si>
  <si>
    <t>FIBER WASHER (Old)</t>
  </si>
  <si>
    <t>FIBER WASHER</t>
  </si>
  <si>
    <t>WASHER D5 S. STEEL</t>
  </si>
  <si>
    <t>SPACER 16X20X35 (before 2011)</t>
  </si>
  <si>
    <t>RUBBER FOOT DIAM 12</t>
  </si>
  <si>
    <t>RUBBER FOOT DIAM 22 X 10</t>
  </si>
  <si>
    <t>CAPACITOR 75 µF DIAM 46 (Old&lt;11/2024)</t>
  </si>
  <si>
    <t>COMPLETE BASE 230V</t>
  </si>
  <si>
    <t>DRAWER</t>
  </si>
  <si>
    <t>DRAWER S. STEEL PLATE</t>
  </si>
  <si>
    <t>SPECIAL KEY FOR CRUSHER (Before 2011)</t>
  </si>
  <si>
    <t>FRUITS CONTAINER</t>
  </si>
  <si>
    <t>CORD IEC 3X0,75 with GB Plug</t>
  </si>
  <si>
    <t>CORD IEC 3X0,75 with EUROPE Plug</t>
  </si>
  <si>
    <t>SPECIAL COMPLETE S/S TABLE</t>
  </si>
  <si>
    <t>S/S KNIFE FOR TC 22 ENTERPRISE</t>
  </si>
  <si>
    <t>S/S PLATE MM 6 FOR TC 22 _ 2C</t>
  </si>
  <si>
    <t>S/S PLATE MM 8 FOR TC 22 _ 2C</t>
  </si>
  <si>
    <t>WORM+WORM-PIN CAST-IRON TC 22 E</t>
  </si>
  <si>
    <t>ALUMINUM WHEEL TC/TCG22E</t>
  </si>
  <si>
    <t>Pre-Rinse Unit</t>
  </si>
  <si>
    <t>848180</t>
  </si>
  <si>
    <t>QUOTATION</t>
  </si>
  <si>
    <t xml:space="preserve">Sl.
No.</t>
  </si>
  <si>
    <t xml:space="preserve">Model No/Part
Code</t>
  </si>
  <si>
    <t>HSN Code</t>
  </si>
  <si>
    <t>QTY</t>
  </si>
  <si>
    <t>Unit Rate (₹)</t>
  </si>
  <si>
    <t>Taxable Value (₹)</t>
  </si>
  <si>
    <t xml:space="preserve">GST Rate
(%)</t>
  </si>
  <si>
    <t>GST Value (₹)</t>
  </si>
  <si>
    <t>Total Value (₹)</t>
  </si>
  <si>
    <t>Itemised Total</t>
  </si>
  <si>
    <t>INSTALLATION/SERVICE CHARGES (IF APPLICABLE)</t>
  </si>
  <si>
    <t>CARTAGE/FREIGHT/INSURANCE (IF ANY)</t>
  </si>
  <si>
    <t>Sub Total</t>
  </si>
  <si>
    <t>Round Off (+/-)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</si>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</sst>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ck"/>
      <bottom style="thick"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050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15" customWidth="1"/>
    <col min="5" max="5" width="10" customWidth="1"/>
    <col min="6" max="6" width="15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2450000</v>
      </c>
      <c r="G2">
        <v>18</v>
      </c>
      <c r="J2" t="s">
        <v>7</v>
      </c>
      <c r="K2" t="s">
        <v>8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5">
      <c r="A3" t="s">
        <v>18</v>
      </c>
      <c r="B3" t="s">
        <v>12</v>
      </c>
      <c r="C3" t="s">
        <v>19</v>
      </c>
      <c r="D3" t="s">
        <v>20</v>
      </c>
      <c r="E3" t="s">
        <v>11</v>
      </c>
      <c r="F3">
        <v>62989.409999999996</v>
      </c>
      <c r="G3">
        <v>18</v>
      </c>
      <c r="J3" t="s">
        <v>18</v>
      </c>
      <c r="L3" t="s">
        <v>21</v>
      </c>
      <c r="N3" t="s">
        <v>22</v>
      </c>
      <c r="O3" t="s">
        <v>23</v>
      </c>
      <c r="P3" t="s">
        <v>24</v>
      </c>
      <c r="Q3" t="s">
        <v>25</v>
      </c>
    </row>
    <row r="4" spans="1:17" x14ac:dyDescent="0.25">
      <c r="A4" t="s">
        <v>18</v>
      </c>
      <c r="B4" t="s">
        <v>21</v>
      </c>
      <c r="C4" t="s">
        <v>26</v>
      </c>
      <c r="D4" t="s">
        <v>20</v>
      </c>
      <c r="E4" t="s">
        <v>11</v>
      </c>
      <c r="F4">
        <v>59101.812000000005</v>
      </c>
      <c r="G4">
        <v>18</v>
      </c>
      <c r="J4" t="s">
        <v>27</v>
      </c>
      <c r="L4" t="s">
        <v>28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18</v>
      </c>
      <c r="B5" t="s">
        <v>28</v>
      </c>
      <c r="C5" t="s">
        <v>33</v>
      </c>
      <c r="D5" t="s">
        <v>20</v>
      </c>
      <c r="E5" t="s">
        <v>11</v>
      </c>
      <c r="F5">
        <v>62989.409999999996</v>
      </c>
      <c r="G5">
        <v>18</v>
      </c>
      <c r="J5" t="s">
        <v>34</v>
      </c>
      <c r="L5" t="s">
        <v>35</v>
      </c>
      <c r="N5" t="s">
        <v>36</v>
      </c>
      <c r="O5" t="s">
        <v>37</v>
      </c>
      <c r="P5" t="s">
        <v>38</v>
      </c>
      <c r="Q5" t="s">
        <v>39</v>
      </c>
    </row>
    <row r="6" spans="1:16" x14ac:dyDescent="0.25">
      <c r="A6" t="s">
        <v>18</v>
      </c>
      <c r="B6" t="s">
        <v>35</v>
      </c>
      <c r="C6" t="s">
        <v>40</v>
      </c>
      <c r="D6" t="s">
        <v>20</v>
      </c>
      <c r="E6" t="s">
        <v>11</v>
      </c>
      <c r="F6">
        <v>5744.112</v>
      </c>
      <c r="G6">
        <v>18</v>
      </c>
      <c r="J6" t="s">
        <v>41</v>
      </c>
      <c r="L6" t="s">
        <v>42</v>
      </c>
      <c r="N6" t="s">
        <v>43</v>
      </c>
      <c r="O6" t="s">
        <v>44</v>
      </c>
      <c r="P6" t="s">
        <v>45</v>
      </c>
    </row>
    <row r="7" spans="1:15" x14ac:dyDescent="0.25">
      <c r="A7" t="s">
        <v>18</v>
      </c>
      <c r="B7" t="s">
        <v>42</v>
      </c>
      <c r="C7" t="s">
        <v>46</v>
      </c>
      <c r="D7" t="s">
        <v>20</v>
      </c>
      <c r="E7" t="s">
        <v>11</v>
      </c>
      <c r="F7">
        <v>5091.371999999999</v>
      </c>
      <c r="G7">
        <v>18</v>
      </c>
      <c r="J7" t="s">
        <v>47</v>
      </c>
      <c r="L7" t="s">
        <v>48</v>
      </c>
      <c r="O7" t="s">
        <v>49</v>
      </c>
    </row>
    <row r="8" spans="1:15" x14ac:dyDescent="0.25">
      <c r="A8" t="s">
        <v>18</v>
      </c>
      <c r="B8" t="s">
        <v>48</v>
      </c>
      <c r="C8" t="s">
        <v>50</v>
      </c>
      <c r="D8" t="s">
        <v>20</v>
      </c>
      <c r="E8" t="s">
        <v>11</v>
      </c>
      <c r="F8">
        <v>5091.371999999999</v>
      </c>
      <c r="G8">
        <v>18</v>
      </c>
      <c r="J8" t="s">
        <v>51</v>
      </c>
      <c r="L8" t="s">
        <v>52</v>
      </c>
      <c r="O8" t="s">
        <v>53</v>
      </c>
    </row>
    <row r="9" spans="1:15" x14ac:dyDescent="0.25">
      <c r="A9" t="s">
        <v>18</v>
      </c>
      <c r="B9" t="s">
        <v>52</v>
      </c>
      <c r="C9" t="s">
        <v>54</v>
      </c>
      <c r="D9" t="s">
        <v>20</v>
      </c>
      <c r="E9" t="s">
        <v>11</v>
      </c>
      <c r="F9">
        <v>6919.043999999999</v>
      </c>
      <c r="G9">
        <v>18</v>
      </c>
      <c r="L9" t="s">
        <v>55</v>
      </c>
      <c r="O9" t="s">
        <v>56</v>
      </c>
    </row>
    <row r="10" spans="1:15" x14ac:dyDescent="0.25">
      <c r="A10" t="s">
        <v>18</v>
      </c>
      <c r="B10" t="s">
        <v>55</v>
      </c>
      <c r="C10" t="s">
        <v>57</v>
      </c>
      <c r="D10" t="s">
        <v>20</v>
      </c>
      <c r="E10" t="s">
        <v>11</v>
      </c>
      <c r="F10">
        <v>6919.043999999999</v>
      </c>
      <c r="G10">
        <v>18</v>
      </c>
      <c r="L10" t="s">
        <v>58</v>
      </c>
      <c r="O10" t="s">
        <v>59</v>
      </c>
    </row>
    <row r="11" spans="1:15" x14ac:dyDescent="0.25">
      <c r="A11" t="s">
        <v>18</v>
      </c>
      <c r="B11" t="s">
        <v>58</v>
      </c>
      <c r="C11" t="s">
        <v>60</v>
      </c>
      <c r="D11" t="s">
        <v>20</v>
      </c>
      <c r="E11" t="s">
        <v>11</v>
      </c>
      <c r="F11">
        <v>6919.043999999999</v>
      </c>
      <c r="G11">
        <v>18</v>
      </c>
      <c r="L11" t="s">
        <v>61</v>
      </c>
      <c r="O11" t="s">
        <v>62</v>
      </c>
    </row>
    <row r="12" spans="1:15" x14ac:dyDescent="0.25">
      <c r="A12" t="s">
        <v>18</v>
      </c>
      <c r="B12" t="s">
        <v>61</v>
      </c>
      <c r="C12" t="s">
        <v>63</v>
      </c>
      <c r="D12" t="s">
        <v>20</v>
      </c>
      <c r="E12" t="s">
        <v>11</v>
      </c>
      <c r="F12">
        <v>7506.51</v>
      </c>
      <c r="G12">
        <v>18</v>
      </c>
      <c r="L12" t="s">
        <v>64</v>
      </c>
      <c r="O12" t="s">
        <v>65</v>
      </c>
    </row>
    <row r="13" spans="1:15" x14ac:dyDescent="0.25">
      <c r="A13" t="s">
        <v>18</v>
      </c>
      <c r="B13" t="s">
        <v>64</v>
      </c>
      <c r="C13" t="s">
        <v>66</v>
      </c>
      <c r="D13" t="s">
        <v>20</v>
      </c>
      <c r="E13" t="s">
        <v>11</v>
      </c>
      <c r="F13">
        <v>6396.852</v>
      </c>
      <c r="G13">
        <v>18</v>
      </c>
      <c r="L13" t="s">
        <v>67</v>
      </c>
      <c r="O13" t="s">
        <v>68</v>
      </c>
    </row>
    <row r="14" spans="1:15" x14ac:dyDescent="0.25">
      <c r="A14" t="s">
        <v>18</v>
      </c>
      <c r="B14" t="s">
        <v>67</v>
      </c>
      <c r="C14" t="s">
        <v>69</v>
      </c>
      <c r="D14" t="s">
        <v>20</v>
      </c>
      <c r="E14" t="s">
        <v>11</v>
      </c>
      <c r="F14">
        <v>6592.673999999999</v>
      </c>
      <c r="G14">
        <v>18</v>
      </c>
      <c r="L14" t="s">
        <v>70</v>
      </c>
      <c r="O14" t="s">
        <v>71</v>
      </c>
    </row>
    <row r="15" spans="1:15" x14ac:dyDescent="0.25">
      <c r="A15" t="s">
        <v>18</v>
      </c>
      <c r="B15" t="s">
        <v>70</v>
      </c>
      <c r="C15" t="s">
        <v>72</v>
      </c>
      <c r="D15" t="s">
        <v>20</v>
      </c>
      <c r="E15" t="s">
        <v>11</v>
      </c>
      <c r="F15">
        <v>5939.933999999999</v>
      </c>
      <c r="G15">
        <v>18</v>
      </c>
      <c r="L15" t="s">
        <v>73</v>
      </c>
      <c r="O15" t="s">
        <v>74</v>
      </c>
    </row>
    <row r="16" spans="1:15" x14ac:dyDescent="0.25">
      <c r="A16" t="s">
        <v>18</v>
      </c>
      <c r="B16" t="s">
        <v>73</v>
      </c>
      <c r="C16" t="s">
        <v>75</v>
      </c>
      <c r="D16" t="s">
        <v>20</v>
      </c>
      <c r="E16" t="s">
        <v>11</v>
      </c>
      <c r="F16">
        <v>10770.210000000001</v>
      </c>
      <c r="G16">
        <v>18</v>
      </c>
      <c r="L16" t="s">
        <v>76</v>
      </c>
      <c r="O16" t="s">
        <v>77</v>
      </c>
    </row>
    <row r="17" spans="1:15" x14ac:dyDescent="0.25">
      <c r="A17" t="s">
        <v>18</v>
      </c>
      <c r="B17" t="s">
        <v>76</v>
      </c>
      <c r="C17" t="s">
        <v>78</v>
      </c>
      <c r="D17" t="s">
        <v>20</v>
      </c>
      <c r="E17" t="s">
        <v>11</v>
      </c>
      <c r="F17">
        <v>18276.72</v>
      </c>
      <c r="G17">
        <v>18</v>
      </c>
      <c r="L17" t="s">
        <v>79</v>
      </c>
      <c r="O17" t="s">
        <v>80</v>
      </c>
    </row>
    <row r="18" spans="1:15" x14ac:dyDescent="0.25">
      <c r="A18" t="s">
        <v>18</v>
      </c>
      <c r="B18" t="s">
        <v>79</v>
      </c>
      <c r="C18" t="s">
        <v>81</v>
      </c>
      <c r="D18" t="s">
        <v>20</v>
      </c>
      <c r="E18" t="s">
        <v>11</v>
      </c>
      <c r="F18">
        <v>2937.3300000000004</v>
      </c>
      <c r="G18">
        <v>18</v>
      </c>
      <c r="L18" t="s">
        <v>82</v>
      </c>
      <c r="O18" t="s">
        <v>83</v>
      </c>
    </row>
    <row r="19" spans="1:15" x14ac:dyDescent="0.25">
      <c r="A19" t="s">
        <v>18</v>
      </c>
      <c r="B19" t="s">
        <v>82</v>
      </c>
      <c r="C19" t="s">
        <v>84</v>
      </c>
      <c r="D19" t="s">
        <v>20</v>
      </c>
      <c r="E19" t="s">
        <v>11</v>
      </c>
      <c r="F19">
        <v>3785.892</v>
      </c>
      <c r="G19">
        <v>18</v>
      </c>
      <c r="L19" t="s">
        <v>85</v>
      </c>
      <c r="O19" t="s">
        <v>86</v>
      </c>
    </row>
    <row r="20" spans="1:15" x14ac:dyDescent="0.25">
      <c r="A20" t="s">
        <v>18</v>
      </c>
      <c r="B20" t="s">
        <v>85</v>
      </c>
      <c r="C20" t="s">
        <v>87</v>
      </c>
      <c r="D20" t="s">
        <v>20</v>
      </c>
      <c r="E20" t="s">
        <v>11</v>
      </c>
      <c r="F20">
        <v>2937.3300000000004</v>
      </c>
      <c r="G20">
        <v>18</v>
      </c>
      <c r="L20" t="s">
        <v>88</v>
      </c>
      <c r="O20" t="s">
        <v>89</v>
      </c>
    </row>
    <row r="21" spans="1:15" x14ac:dyDescent="0.25">
      <c r="A21" t="s">
        <v>18</v>
      </c>
      <c r="B21" t="s">
        <v>88</v>
      </c>
      <c r="C21" t="s">
        <v>90</v>
      </c>
      <c r="D21" t="s">
        <v>20</v>
      </c>
      <c r="E21" t="s">
        <v>11</v>
      </c>
      <c r="F21">
        <v>26501.244</v>
      </c>
      <c r="G21">
        <v>18</v>
      </c>
      <c r="L21" t="s">
        <v>91</v>
      </c>
      <c r="O21" t="s">
        <v>92</v>
      </c>
    </row>
    <row r="22" spans="1:15" x14ac:dyDescent="0.25">
      <c r="A22" t="s">
        <v>18</v>
      </c>
      <c r="B22" t="s">
        <v>91</v>
      </c>
      <c r="C22" t="s">
        <v>93</v>
      </c>
      <c r="D22" t="s">
        <v>20</v>
      </c>
      <c r="E22" t="s">
        <v>11</v>
      </c>
      <c r="F22">
        <v>2741.508</v>
      </c>
      <c r="G22">
        <v>18</v>
      </c>
      <c r="L22" t="s">
        <v>94</v>
      </c>
      <c r="O22" t="s">
        <v>95</v>
      </c>
    </row>
    <row r="23" spans="1:15" x14ac:dyDescent="0.25">
      <c r="A23" t="s">
        <v>18</v>
      </c>
      <c r="B23" t="s">
        <v>94</v>
      </c>
      <c r="C23" t="s">
        <v>96</v>
      </c>
      <c r="D23" t="s">
        <v>20</v>
      </c>
      <c r="E23" t="s">
        <v>11</v>
      </c>
      <c r="F23">
        <v>2872.056</v>
      </c>
      <c r="G23">
        <v>18</v>
      </c>
      <c r="L23" t="s">
        <v>97</v>
      </c>
      <c r="O23" t="s">
        <v>98</v>
      </c>
    </row>
    <row r="24" spans="1:15" x14ac:dyDescent="0.25">
      <c r="A24" t="s">
        <v>18</v>
      </c>
      <c r="B24" t="s">
        <v>97</v>
      </c>
      <c r="C24" t="s">
        <v>99</v>
      </c>
      <c r="D24" t="s">
        <v>20</v>
      </c>
      <c r="E24" t="s">
        <v>11</v>
      </c>
      <c r="F24">
        <v>3002.604</v>
      </c>
      <c r="G24">
        <v>18</v>
      </c>
      <c r="L24" t="s">
        <v>100</v>
      </c>
      <c r="O24" t="s">
        <v>101</v>
      </c>
    </row>
    <row r="25" spans="1:15" x14ac:dyDescent="0.25">
      <c r="A25" t="s">
        <v>18</v>
      </c>
      <c r="B25" t="s">
        <v>100</v>
      </c>
      <c r="C25" t="s">
        <v>102</v>
      </c>
      <c r="D25" t="s">
        <v>20</v>
      </c>
      <c r="E25" t="s">
        <v>11</v>
      </c>
      <c r="F25">
        <v>16971.239999999998</v>
      </c>
      <c r="G25">
        <v>18</v>
      </c>
      <c r="L25" t="s">
        <v>103</v>
      </c>
      <c r="O25" t="s">
        <v>104</v>
      </c>
    </row>
    <row r="26" spans="1:15" x14ac:dyDescent="0.25">
      <c r="A26" t="s">
        <v>18</v>
      </c>
      <c r="B26" t="s">
        <v>103</v>
      </c>
      <c r="C26" t="s">
        <v>105</v>
      </c>
      <c r="D26" t="s">
        <v>20</v>
      </c>
      <c r="E26" t="s">
        <v>11</v>
      </c>
      <c r="F26">
        <v>6396.852</v>
      </c>
      <c r="G26">
        <v>18</v>
      </c>
      <c r="L26" t="s">
        <v>106</v>
      </c>
      <c r="O26" t="s">
        <v>107</v>
      </c>
    </row>
    <row r="27" spans="1:15" x14ac:dyDescent="0.25">
      <c r="A27" t="s">
        <v>18</v>
      </c>
      <c r="B27" t="s">
        <v>106</v>
      </c>
      <c r="C27" t="s">
        <v>108</v>
      </c>
      <c r="D27" t="s">
        <v>20</v>
      </c>
      <c r="E27" t="s">
        <v>11</v>
      </c>
      <c r="F27">
        <v>62271.396</v>
      </c>
      <c r="G27">
        <v>18</v>
      </c>
      <c r="L27" t="s">
        <v>109</v>
      </c>
      <c r="O27" t="s">
        <v>110</v>
      </c>
    </row>
    <row r="28" spans="1:15" x14ac:dyDescent="0.25">
      <c r="A28" t="s">
        <v>18</v>
      </c>
      <c r="B28" t="s">
        <v>109</v>
      </c>
      <c r="C28" t="s">
        <v>111</v>
      </c>
      <c r="D28" t="s">
        <v>20</v>
      </c>
      <c r="E28" t="s">
        <v>11</v>
      </c>
      <c r="F28">
        <v>62271.396</v>
      </c>
      <c r="G28">
        <v>18</v>
      </c>
      <c r="L28" t="s">
        <v>112</v>
      </c>
      <c r="O28" t="s">
        <v>113</v>
      </c>
    </row>
    <row r="29" spans="1:15" x14ac:dyDescent="0.25">
      <c r="A29" t="s">
        <v>18</v>
      </c>
      <c r="B29" t="s">
        <v>112</v>
      </c>
      <c r="C29" t="s">
        <v>114</v>
      </c>
      <c r="D29" t="s">
        <v>20</v>
      </c>
      <c r="E29" t="s">
        <v>11</v>
      </c>
      <c r="F29">
        <v>6331.5779999999995</v>
      </c>
      <c r="G29">
        <v>18</v>
      </c>
      <c r="L29" t="s">
        <v>115</v>
      </c>
      <c r="O29" t="s">
        <v>116</v>
      </c>
    </row>
    <row r="30" spans="1:15" x14ac:dyDescent="0.25">
      <c r="A30" t="s">
        <v>18</v>
      </c>
      <c r="B30" t="s">
        <v>115</v>
      </c>
      <c r="C30" t="s">
        <v>117</v>
      </c>
      <c r="D30" t="s">
        <v>20</v>
      </c>
      <c r="E30" t="s">
        <v>11</v>
      </c>
      <c r="F30">
        <v>6657.947999999999</v>
      </c>
      <c r="G30">
        <v>18</v>
      </c>
      <c r="L30" t="s">
        <v>118</v>
      </c>
      <c r="O30" t="s">
        <v>119</v>
      </c>
    </row>
    <row r="31" spans="1:15" x14ac:dyDescent="0.25">
      <c r="A31" t="s">
        <v>18</v>
      </c>
      <c r="B31" t="s">
        <v>118</v>
      </c>
      <c r="C31" t="s">
        <v>120</v>
      </c>
      <c r="D31" t="s">
        <v>20</v>
      </c>
      <c r="E31" t="s">
        <v>11</v>
      </c>
      <c r="F31">
        <v>4830.276</v>
      </c>
      <c r="G31">
        <v>18</v>
      </c>
      <c r="L31" t="s">
        <v>121</v>
      </c>
      <c r="O31" t="s">
        <v>122</v>
      </c>
    </row>
    <row r="32" spans="1:15" x14ac:dyDescent="0.25">
      <c r="A32" t="s">
        <v>18</v>
      </c>
      <c r="B32" t="s">
        <v>121</v>
      </c>
      <c r="C32" t="s">
        <v>123</v>
      </c>
      <c r="D32" t="s">
        <v>20</v>
      </c>
      <c r="E32" t="s">
        <v>11</v>
      </c>
      <c r="F32">
        <v>2284.59</v>
      </c>
      <c r="G32">
        <v>18</v>
      </c>
      <c r="L32" t="s">
        <v>124</v>
      </c>
      <c r="O32" t="s">
        <v>125</v>
      </c>
    </row>
    <row r="33" spans="1:15" x14ac:dyDescent="0.25">
      <c r="A33" t="s">
        <v>18</v>
      </c>
      <c r="B33" t="s">
        <v>124</v>
      </c>
      <c r="C33" t="s">
        <v>126</v>
      </c>
      <c r="D33" t="s">
        <v>20</v>
      </c>
      <c r="E33" t="s">
        <v>11</v>
      </c>
      <c r="F33">
        <v>2937.3300000000004</v>
      </c>
      <c r="G33">
        <v>18</v>
      </c>
      <c r="L33" t="s">
        <v>127</v>
      </c>
      <c r="O33" t="s">
        <v>128</v>
      </c>
    </row>
    <row r="34" spans="1:15" x14ac:dyDescent="0.25">
      <c r="A34" t="s">
        <v>18</v>
      </c>
      <c r="B34" t="s">
        <v>127</v>
      </c>
      <c r="C34" t="s">
        <v>129</v>
      </c>
      <c r="D34" t="s">
        <v>20</v>
      </c>
      <c r="E34" t="s">
        <v>11</v>
      </c>
      <c r="F34">
        <v>3002.604</v>
      </c>
      <c r="G34">
        <v>18</v>
      </c>
      <c r="L34" t="s">
        <v>130</v>
      </c>
      <c r="O34" t="s">
        <v>131</v>
      </c>
    </row>
    <row r="35" spans="1:15" x14ac:dyDescent="0.25">
      <c r="A35" t="s">
        <v>18</v>
      </c>
      <c r="B35" t="s">
        <v>130</v>
      </c>
      <c r="C35" t="s">
        <v>132</v>
      </c>
      <c r="D35" t="s">
        <v>20</v>
      </c>
      <c r="E35" t="s">
        <v>11</v>
      </c>
      <c r="F35">
        <v>2872.056</v>
      </c>
      <c r="G35">
        <v>18</v>
      </c>
      <c r="L35" t="s">
        <v>133</v>
      </c>
      <c r="O35" t="s">
        <v>134</v>
      </c>
    </row>
    <row r="36" spans="1:15" x14ac:dyDescent="0.25">
      <c r="A36" t="s">
        <v>18</v>
      </c>
      <c r="B36" t="s">
        <v>133</v>
      </c>
      <c r="C36" t="s">
        <v>135</v>
      </c>
      <c r="D36" t="s">
        <v>20</v>
      </c>
      <c r="E36" t="s">
        <v>11</v>
      </c>
      <c r="F36">
        <v>3720.6179999999995</v>
      </c>
      <c r="G36">
        <v>18</v>
      </c>
      <c r="L36" t="s">
        <v>136</v>
      </c>
      <c r="O36" t="s">
        <v>137</v>
      </c>
    </row>
    <row r="37" spans="1:15" x14ac:dyDescent="0.25">
      <c r="A37" t="s">
        <v>18</v>
      </c>
      <c r="B37" t="s">
        <v>136</v>
      </c>
      <c r="C37" t="s">
        <v>138</v>
      </c>
      <c r="D37" t="s">
        <v>20</v>
      </c>
      <c r="E37" t="s">
        <v>11</v>
      </c>
      <c r="F37">
        <v>4112.262</v>
      </c>
      <c r="G37">
        <v>18</v>
      </c>
      <c r="L37" t="s">
        <v>139</v>
      </c>
      <c r="O37" t="s">
        <v>140</v>
      </c>
    </row>
    <row r="38" spans="1:15" x14ac:dyDescent="0.25">
      <c r="A38" t="s">
        <v>18</v>
      </c>
      <c r="B38" t="s">
        <v>139</v>
      </c>
      <c r="C38" t="s">
        <v>141</v>
      </c>
      <c r="D38" t="s">
        <v>20</v>
      </c>
      <c r="E38" t="s">
        <v>11</v>
      </c>
      <c r="F38">
        <v>2219.316</v>
      </c>
      <c r="G38">
        <v>18</v>
      </c>
      <c r="L38" t="s">
        <v>142</v>
      </c>
      <c r="O38" t="s">
        <v>143</v>
      </c>
    </row>
    <row r="39" spans="1:15" x14ac:dyDescent="0.25">
      <c r="A39" t="s">
        <v>18</v>
      </c>
      <c r="B39" t="s">
        <v>142</v>
      </c>
      <c r="C39" t="s">
        <v>144</v>
      </c>
      <c r="D39" t="s">
        <v>20</v>
      </c>
      <c r="E39" t="s">
        <v>11</v>
      </c>
      <c r="F39">
        <v>3328.9739999999997</v>
      </c>
      <c r="G39">
        <v>18</v>
      </c>
      <c r="L39" t="s">
        <v>145</v>
      </c>
      <c r="O39" t="s">
        <v>146</v>
      </c>
    </row>
    <row r="40" spans="1:15" x14ac:dyDescent="0.25">
      <c r="A40" t="s">
        <v>18</v>
      </c>
      <c r="B40" t="s">
        <v>145</v>
      </c>
      <c r="C40" t="s">
        <v>147</v>
      </c>
      <c r="D40" t="s">
        <v>20</v>
      </c>
      <c r="E40" t="s">
        <v>11</v>
      </c>
      <c r="F40">
        <v>4112.262</v>
      </c>
      <c r="G40">
        <v>18</v>
      </c>
      <c r="L40" t="s">
        <v>148</v>
      </c>
      <c r="O40" t="s">
        <v>149</v>
      </c>
    </row>
    <row r="41" spans="1:15" x14ac:dyDescent="0.25">
      <c r="A41" t="s">
        <v>18</v>
      </c>
      <c r="B41" t="s">
        <v>148</v>
      </c>
      <c r="C41" t="s">
        <v>150</v>
      </c>
      <c r="D41" t="s">
        <v>20</v>
      </c>
      <c r="E41" t="s">
        <v>11</v>
      </c>
      <c r="F41">
        <v>3825.36</v>
      </c>
      <c r="G41">
        <v>18</v>
      </c>
      <c r="L41" t="s">
        <v>151</v>
      </c>
      <c r="O41" t="s">
        <v>152</v>
      </c>
    </row>
    <row r="42" spans="1:15" x14ac:dyDescent="0.25">
      <c r="A42" t="s">
        <v>18</v>
      </c>
      <c r="B42" t="s">
        <v>151</v>
      </c>
      <c r="C42" t="s">
        <v>153</v>
      </c>
      <c r="D42" t="s">
        <v>20</v>
      </c>
      <c r="E42" t="s">
        <v>11</v>
      </c>
      <c r="F42">
        <v>4699.727999999999</v>
      </c>
      <c r="G42">
        <v>18</v>
      </c>
      <c r="L42" t="s">
        <v>154</v>
      </c>
      <c r="O42" t="s">
        <v>155</v>
      </c>
    </row>
    <row r="43" spans="1:15" x14ac:dyDescent="0.25">
      <c r="A43" t="s">
        <v>18</v>
      </c>
      <c r="B43" t="s">
        <v>154</v>
      </c>
      <c r="C43" t="s">
        <v>156</v>
      </c>
      <c r="D43" t="s">
        <v>20</v>
      </c>
      <c r="E43" t="s">
        <v>11</v>
      </c>
      <c r="F43">
        <v>6984.318</v>
      </c>
      <c r="G43">
        <v>18</v>
      </c>
      <c r="L43" t="s">
        <v>157</v>
      </c>
      <c r="O43" t="s">
        <v>158</v>
      </c>
    </row>
    <row r="44" spans="1:15" x14ac:dyDescent="0.25">
      <c r="A44" t="s">
        <v>18</v>
      </c>
      <c r="B44" t="s">
        <v>157</v>
      </c>
      <c r="C44" t="s">
        <v>159</v>
      </c>
      <c r="D44" t="s">
        <v>20</v>
      </c>
      <c r="E44" t="s">
        <v>11</v>
      </c>
      <c r="F44">
        <v>4960.8240000000005</v>
      </c>
      <c r="G44">
        <v>18</v>
      </c>
      <c r="L44" t="s">
        <v>160</v>
      </c>
      <c r="O44" t="s">
        <v>161</v>
      </c>
    </row>
    <row r="45" spans="1:15" x14ac:dyDescent="0.25">
      <c r="A45" t="s">
        <v>18</v>
      </c>
      <c r="B45" t="s">
        <v>160</v>
      </c>
      <c r="C45" t="s">
        <v>162</v>
      </c>
      <c r="D45" t="s">
        <v>20</v>
      </c>
      <c r="E45" t="s">
        <v>11</v>
      </c>
      <c r="F45">
        <v>8942.538</v>
      </c>
      <c r="G45">
        <v>18</v>
      </c>
      <c r="L45" t="s">
        <v>163</v>
      </c>
      <c r="O45" t="s">
        <v>164</v>
      </c>
    </row>
    <row r="46" spans="1:15" x14ac:dyDescent="0.25">
      <c r="A46" t="s">
        <v>18</v>
      </c>
      <c r="B46" t="s">
        <v>163</v>
      </c>
      <c r="C46" t="s">
        <v>165</v>
      </c>
      <c r="D46" t="s">
        <v>20</v>
      </c>
      <c r="E46" t="s">
        <v>11</v>
      </c>
      <c r="F46">
        <v>33616.11</v>
      </c>
      <c r="G46">
        <v>18</v>
      </c>
      <c r="L46" t="s">
        <v>166</v>
      </c>
      <c r="O46" t="s">
        <v>167</v>
      </c>
    </row>
    <row r="47" spans="1:15" x14ac:dyDescent="0.25">
      <c r="A47" t="s">
        <v>18</v>
      </c>
      <c r="B47" t="s">
        <v>166</v>
      </c>
      <c r="C47" t="s">
        <v>168</v>
      </c>
      <c r="D47" t="s">
        <v>20</v>
      </c>
      <c r="E47" t="s">
        <v>11</v>
      </c>
      <c r="F47">
        <v>12140.964</v>
      </c>
      <c r="G47">
        <v>18</v>
      </c>
      <c r="L47" t="s">
        <v>169</v>
      </c>
      <c r="O47" t="s">
        <v>170</v>
      </c>
    </row>
    <row r="48" spans="1:15" x14ac:dyDescent="0.25">
      <c r="A48" t="s">
        <v>18</v>
      </c>
      <c r="B48" t="s">
        <v>169</v>
      </c>
      <c r="C48" t="s">
        <v>171</v>
      </c>
      <c r="D48" t="s">
        <v>20</v>
      </c>
      <c r="E48" t="s">
        <v>11</v>
      </c>
      <c r="F48">
        <v>5483.016</v>
      </c>
      <c r="G48">
        <v>18</v>
      </c>
      <c r="L48" t="s">
        <v>172</v>
      </c>
      <c r="O48" t="s">
        <v>173</v>
      </c>
    </row>
    <row r="49" spans="1:15" x14ac:dyDescent="0.25">
      <c r="A49" t="s">
        <v>18</v>
      </c>
      <c r="B49" t="s">
        <v>172</v>
      </c>
      <c r="C49" t="s">
        <v>174</v>
      </c>
      <c r="D49" t="s">
        <v>20</v>
      </c>
      <c r="E49" t="s">
        <v>11</v>
      </c>
      <c r="F49">
        <v>4308.084</v>
      </c>
      <c r="G49">
        <v>18</v>
      </c>
      <c r="L49" t="s">
        <v>175</v>
      </c>
      <c r="O49" t="s">
        <v>176</v>
      </c>
    </row>
    <row r="50" spans="1:15" x14ac:dyDescent="0.25">
      <c r="A50" t="s">
        <v>18</v>
      </c>
      <c r="B50" t="s">
        <v>175</v>
      </c>
      <c r="C50" t="s">
        <v>177</v>
      </c>
      <c r="D50" t="s">
        <v>20</v>
      </c>
      <c r="E50" t="s">
        <v>11</v>
      </c>
      <c r="F50">
        <v>3328.9739999999997</v>
      </c>
      <c r="G50">
        <v>18</v>
      </c>
      <c r="L50" t="s">
        <v>178</v>
      </c>
      <c r="O50" t="s">
        <v>179</v>
      </c>
    </row>
    <row r="51" spans="1:15" x14ac:dyDescent="0.25">
      <c r="A51" t="s">
        <v>18</v>
      </c>
      <c r="B51" t="s">
        <v>178</v>
      </c>
      <c r="C51" t="s">
        <v>180</v>
      </c>
      <c r="D51" t="s">
        <v>20</v>
      </c>
      <c r="E51" t="s">
        <v>11</v>
      </c>
      <c r="F51">
        <v>33224.466</v>
      </c>
      <c r="G51">
        <v>18</v>
      </c>
      <c r="L51" t="s">
        <v>181</v>
      </c>
      <c r="O51" t="s">
        <v>182</v>
      </c>
    </row>
    <row r="52" spans="1:15" x14ac:dyDescent="0.25">
      <c r="A52" t="s">
        <v>18</v>
      </c>
      <c r="B52" t="s">
        <v>181</v>
      </c>
      <c r="C52" t="s">
        <v>183</v>
      </c>
      <c r="D52" t="s">
        <v>20</v>
      </c>
      <c r="E52" t="s">
        <v>11</v>
      </c>
      <c r="F52">
        <v>4634.454</v>
      </c>
      <c r="G52">
        <v>18</v>
      </c>
      <c r="L52" t="s">
        <v>184</v>
      </c>
      <c r="O52" t="s">
        <v>185</v>
      </c>
    </row>
    <row r="53" spans="1:15" x14ac:dyDescent="0.25">
      <c r="A53" t="s">
        <v>18</v>
      </c>
      <c r="B53" t="s">
        <v>184</v>
      </c>
      <c r="C53" t="s">
        <v>186</v>
      </c>
      <c r="D53" t="s">
        <v>20</v>
      </c>
      <c r="E53" t="s">
        <v>11</v>
      </c>
      <c r="F53">
        <v>4242.8099999999995</v>
      </c>
      <c r="G53">
        <v>18</v>
      </c>
      <c r="L53" t="s">
        <v>187</v>
      </c>
      <c r="O53" t="s">
        <v>188</v>
      </c>
    </row>
    <row r="54" spans="1:15" x14ac:dyDescent="0.25">
      <c r="A54" t="s">
        <v>18</v>
      </c>
      <c r="B54" t="s">
        <v>187</v>
      </c>
      <c r="C54" t="s">
        <v>189</v>
      </c>
      <c r="D54" t="s">
        <v>20</v>
      </c>
      <c r="E54" t="s">
        <v>11</v>
      </c>
      <c r="F54">
        <v>4634.454</v>
      </c>
      <c r="G54">
        <v>18</v>
      </c>
      <c r="L54" t="s">
        <v>190</v>
      </c>
      <c r="O54" t="s">
        <v>191</v>
      </c>
    </row>
    <row r="55" spans="1:15" x14ac:dyDescent="0.25">
      <c r="A55" t="s">
        <v>18</v>
      </c>
      <c r="B55" t="s">
        <v>190</v>
      </c>
      <c r="C55" t="s">
        <v>192</v>
      </c>
      <c r="D55" t="s">
        <v>20</v>
      </c>
      <c r="E55" t="s">
        <v>11</v>
      </c>
      <c r="F55">
        <v>4895.55</v>
      </c>
      <c r="G55">
        <v>18</v>
      </c>
      <c r="L55" t="s">
        <v>193</v>
      </c>
      <c r="O55" t="s">
        <v>194</v>
      </c>
    </row>
    <row r="56" spans="1:15" x14ac:dyDescent="0.25">
      <c r="A56" t="s">
        <v>18</v>
      </c>
      <c r="B56" t="s">
        <v>193</v>
      </c>
      <c r="C56" t="s">
        <v>195</v>
      </c>
      <c r="D56" t="s">
        <v>20</v>
      </c>
      <c r="E56" t="s">
        <v>11</v>
      </c>
      <c r="F56">
        <v>7832.88</v>
      </c>
      <c r="G56">
        <v>18</v>
      </c>
      <c r="L56" t="s">
        <v>196</v>
      </c>
      <c r="O56" t="s">
        <v>197</v>
      </c>
    </row>
    <row r="57" spans="1:15" x14ac:dyDescent="0.25">
      <c r="A57" t="s">
        <v>18</v>
      </c>
      <c r="B57" t="s">
        <v>196</v>
      </c>
      <c r="C57" t="s">
        <v>198</v>
      </c>
      <c r="D57" t="s">
        <v>20</v>
      </c>
      <c r="E57" t="s">
        <v>11</v>
      </c>
      <c r="F57">
        <v>4503.906</v>
      </c>
      <c r="G57">
        <v>18</v>
      </c>
      <c r="L57" t="s">
        <v>199</v>
      </c>
      <c r="O57" t="s">
        <v>200</v>
      </c>
    </row>
    <row r="58" spans="1:15" x14ac:dyDescent="0.25">
      <c r="A58" t="s">
        <v>18</v>
      </c>
      <c r="B58" t="s">
        <v>199</v>
      </c>
      <c r="C58" t="s">
        <v>201</v>
      </c>
      <c r="D58" t="s">
        <v>20</v>
      </c>
      <c r="E58" t="s">
        <v>11</v>
      </c>
      <c r="F58">
        <v>3002.604</v>
      </c>
      <c r="G58">
        <v>18</v>
      </c>
      <c r="L58" t="s">
        <v>202</v>
      </c>
      <c r="O58" t="s">
        <v>203</v>
      </c>
    </row>
    <row r="59" spans="1:15" x14ac:dyDescent="0.25">
      <c r="A59" t="s">
        <v>18</v>
      </c>
      <c r="B59" t="s">
        <v>202</v>
      </c>
      <c r="C59" t="s">
        <v>204</v>
      </c>
      <c r="D59" t="s">
        <v>20</v>
      </c>
      <c r="E59" t="s">
        <v>11</v>
      </c>
      <c r="F59">
        <v>7310.688</v>
      </c>
      <c r="G59">
        <v>18</v>
      </c>
      <c r="L59" t="s">
        <v>205</v>
      </c>
      <c r="O59" t="s">
        <v>206</v>
      </c>
    </row>
    <row r="60" spans="1:15" x14ac:dyDescent="0.25">
      <c r="A60" t="s">
        <v>18</v>
      </c>
      <c r="B60" t="s">
        <v>205</v>
      </c>
      <c r="C60" t="s">
        <v>207</v>
      </c>
      <c r="D60" t="s">
        <v>20</v>
      </c>
      <c r="E60" t="s">
        <v>11</v>
      </c>
      <c r="F60">
        <v>11684.045999999998</v>
      </c>
      <c r="G60">
        <v>18</v>
      </c>
      <c r="L60" t="s">
        <v>208</v>
      </c>
      <c r="O60" t="s">
        <v>209</v>
      </c>
    </row>
    <row r="61" spans="1:15" x14ac:dyDescent="0.25">
      <c r="A61" t="s">
        <v>18</v>
      </c>
      <c r="B61" t="s">
        <v>208</v>
      </c>
      <c r="C61" t="s">
        <v>210</v>
      </c>
      <c r="D61" t="s">
        <v>20</v>
      </c>
      <c r="E61" t="s">
        <v>11</v>
      </c>
      <c r="F61">
        <v>11684.045999999998</v>
      </c>
      <c r="G61">
        <v>18</v>
      </c>
      <c r="L61" t="s">
        <v>211</v>
      </c>
      <c r="O61" t="s">
        <v>212</v>
      </c>
    </row>
    <row r="62" spans="1:15" x14ac:dyDescent="0.25">
      <c r="A62" t="s">
        <v>18</v>
      </c>
      <c r="B62" t="s">
        <v>211</v>
      </c>
      <c r="C62" t="s">
        <v>207</v>
      </c>
      <c r="D62" t="s">
        <v>20</v>
      </c>
      <c r="E62" t="s">
        <v>11</v>
      </c>
      <c r="F62">
        <v>11684.045999999998</v>
      </c>
      <c r="G62">
        <v>18</v>
      </c>
      <c r="L62" t="s">
        <v>213</v>
      </c>
      <c r="O62" t="s">
        <v>214</v>
      </c>
    </row>
    <row r="63" spans="1:15" x14ac:dyDescent="0.25">
      <c r="A63" t="s">
        <v>18</v>
      </c>
      <c r="B63" t="s">
        <v>213</v>
      </c>
      <c r="C63" t="s">
        <v>215</v>
      </c>
      <c r="D63" t="s">
        <v>20</v>
      </c>
      <c r="E63" t="s">
        <v>11</v>
      </c>
      <c r="F63">
        <v>11684.045999999998</v>
      </c>
      <c r="G63">
        <v>18</v>
      </c>
      <c r="L63" t="s">
        <v>216</v>
      </c>
      <c r="O63" t="s">
        <v>217</v>
      </c>
    </row>
    <row r="64" spans="1:15" x14ac:dyDescent="0.25">
      <c r="A64" t="s">
        <v>18</v>
      </c>
      <c r="B64" t="s">
        <v>216</v>
      </c>
      <c r="C64" t="s">
        <v>218</v>
      </c>
      <c r="D64" t="s">
        <v>20</v>
      </c>
      <c r="E64" t="s">
        <v>11</v>
      </c>
      <c r="F64">
        <v>11684.045999999998</v>
      </c>
      <c r="G64">
        <v>18</v>
      </c>
      <c r="L64" t="s">
        <v>219</v>
      </c>
      <c r="O64" t="s">
        <v>220</v>
      </c>
    </row>
    <row r="65" spans="1:15" x14ac:dyDescent="0.25">
      <c r="A65" t="s">
        <v>18</v>
      </c>
      <c r="B65" t="s">
        <v>219</v>
      </c>
      <c r="C65" t="s">
        <v>207</v>
      </c>
      <c r="D65" t="s">
        <v>20</v>
      </c>
      <c r="E65" t="s">
        <v>11</v>
      </c>
      <c r="F65">
        <v>11684.045999999998</v>
      </c>
      <c r="G65">
        <v>18</v>
      </c>
      <c r="L65" t="s">
        <v>221</v>
      </c>
      <c r="O65" t="s">
        <v>222</v>
      </c>
    </row>
    <row r="66" spans="1:15" x14ac:dyDescent="0.25">
      <c r="A66" t="s">
        <v>18</v>
      </c>
      <c r="B66" t="s">
        <v>221</v>
      </c>
      <c r="C66" t="s">
        <v>223</v>
      </c>
      <c r="D66" t="s">
        <v>20</v>
      </c>
      <c r="E66" t="s">
        <v>11</v>
      </c>
      <c r="F66">
        <v>11684.045999999998</v>
      </c>
      <c r="G66">
        <v>18</v>
      </c>
      <c r="L66" t="s">
        <v>224</v>
      </c>
      <c r="O66" t="s">
        <v>225</v>
      </c>
    </row>
    <row r="67" spans="1:15" x14ac:dyDescent="0.25">
      <c r="A67" t="s">
        <v>18</v>
      </c>
      <c r="B67" t="s">
        <v>224</v>
      </c>
      <c r="C67" t="s">
        <v>226</v>
      </c>
      <c r="D67" t="s">
        <v>20</v>
      </c>
      <c r="E67" t="s">
        <v>11</v>
      </c>
      <c r="F67">
        <v>11684.045999999998</v>
      </c>
      <c r="G67">
        <v>18</v>
      </c>
      <c r="L67" t="s">
        <v>227</v>
      </c>
      <c r="O67" t="s">
        <v>228</v>
      </c>
    </row>
    <row r="68" spans="1:15" x14ac:dyDescent="0.25">
      <c r="A68" t="s">
        <v>18</v>
      </c>
      <c r="B68" t="s">
        <v>227</v>
      </c>
      <c r="C68" t="s">
        <v>229</v>
      </c>
      <c r="D68" t="s">
        <v>20</v>
      </c>
      <c r="E68" t="s">
        <v>11</v>
      </c>
      <c r="F68">
        <v>11684.045999999998</v>
      </c>
      <c r="G68">
        <v>18</v>
      </c>
      <c r="L68" t="s">
        <v>230</v>
      </c>
      <c r="O68" t="s">
        <v>231</v>
      </c>
    </row>
    <row r="69" spans="1:15" x14ac:dyDescent="0.25">
      <c r="A69" t="s">
        <v>18</v>
      </c>
      <c r="B69" t="s">
        <v>230</v>
      </c>
      <c r="C69" t="s">
        <v>232</v>
      </c>
      <c r="D69" t="s">
        <v>20</v>
      </c>
      <c r="E69" t="s">
        <v>11</v>
      </c>
      <c r="F69">
        <v>5352.468</v>
      </c>
      <c r="G69">
        <v>18</v>
      </c>
      <c r="L69" t="s">
        <v>233</v>
      </c>
      <c r="O69" t="s">
        <v>234</v>
      </c>
    </row>
    <row r="70" spans="1:15" x14ac:dyDescent="0.25">
      <c r="A70" t="s">
        <v>18</v>
      </c>
      <c r="B70" t="s">
        <v>233</v>
      </c>
      <c r="C70" t="s">
        <v>235</v>
      </c>
      <c r="D70" t="s">
        <v>20</v>
      </c>
      <c r="E70" t="s">
        <v>11</v>
      </c>
      <c r="F70">
        <v>17724.167999999998</v>
      </c>
      <c r="G70">
        <v>18</v>
      </c>
      <c r="L70" t="s">
        <v>236</v>
      </c>
      <c r="O70" t="s">
        <v>237</v>
      </c>
    </row>
    <row r="71" spans="1:15" x14ac:dyDescent="0.25">
      <c r="A71" t="s">
        <v>18</v>
      </c>
      <c r="B71" t="s">
        <v>236</v>
      </c>
      <c r="C71" t="s">
        <v>238</v>
      </c>
      <c r="D71" t="s">
        <v>20</v>
      </c>
      <c r="E71" t="s">
        <v>11</v>
      </c>
      <c r="F71">
        <v>2937.3300000000004</v>
      </c>
      <c r="G71">
        <v>18</v>
      </c>
      <c r="L71" t="s">
        <v>239</v>
      </c>
      <c r="O71" t="s">
        <v>240</v>
      </c>
    </row>
    <row r="72" spans="1:15" x14ac:dyDescent="0.25">
      <c r="A72" t="s">
        <v>18</v>
      </c>
      <c r="B72" t="s">
        <v>239</v>
      </c>
      <c r="C72" t="s">
        <v>241</v>
      </c>
      <c r="D72" t="s">
        <v>20</v>
      </c>
      <c r="E72" t="s">
        <v>11</v>
      </c>
      <c r="F72">
        <v>8028.701999999999</v>
      </c>
      <c r="G72">
        <v>18</v>
      </c>
      <c r="L72" t="s">
        <v>242</v>
      </c>
      <c r="O72" t="s">
        <v>243</v>
      </c>
    </row>
    <row r="73" spans="1:15" x14ac:dyDescent="0.25">
      <c r="A73" t="s">
        <v>18</v>
      </c>
      <c r="B73" t="s">
        <v>242</v>
      </c>
      <c r="C73" t="s">
        <v>244</v>
      </c>
      <c r="D73" t="s">
        <v>20</v>
      </c>
      <c r="E73" t="s">
        <v>11</v>
      </c>
      <c r="F73">
        <v>913.836</v>
      </c>
      <c r="G73">
        <v>18</v>
      </c>
      <c r="L73" t="s">
        <v>245</v>
      </c>
      <c r="O73" t="s">
        <v>246</v>
      </c>
    </row>
    <row r="74" spans="1:15" x14ac:dyDescent="0.25">
      <c r="A74" t="s">
        <v>18</v>
      </c>
      <c r="B74" t="s">
        <v>245</v>
      </c>
      <c r="C74" t="s">
        <v>247</v>
      </c>
      <c r="D74" t="s">
        <v>20</v>
      </c>
      <c r="E74" t="s">
        <v>11</v>
      </c>
      <c r="F74">
        <v>913.836</v>
      </c>
      <c r="G74">
        <v>18</v>
      </c>
      <c r="L74" t="s">
        <v>248</v>
      </c>
      <c r="O74" t="s">
        <v>249</v>
      </c>
    </row>
    <row r="75" spans="1:15" x14ac:dyDescent="0.25">
      <c r="A75" t="s">
        <v>18</v>
      </c>
      <c r="B75" t="s">
        <v>248</v>
      </c>
      <c r="C75" t="s">
        <v>250</v>
      </c>
      <c r="D75" t="s">
        <v>20</v>
      </c>
      <c r="E75" t="s">
        <v>11</v>
      </c>
      <c r="F75">
        <v>13576.991999999998</v>
      </c>
      <c r="G75">
        <v>18</v>
      </c>
      <c r="L75" t="s">
        <v>251</v>
      </c>
      <c r="O75" t="s">
        <v>252</v>
      </c>
    </row>
    <row r="76" spans="1:15" x14ac:dyDescent="0.25">
      <c r="A76" t="s">
        <v>18</v>
      </c>
      <c r="B76" t="s">
        <v>251</v>
      </c>
      <c r="C76" t="s">
        <v>253</v>
      </c>
      <c r="D76" t="s">
        <v>20</v>
      </c>
      <c r="E76" t="s">
        <v>11</v>
      </c>
      <c r="F76">
        <v>2610.96</v>
      </c>
      <c r="G76">
        <v>18</v>
      </c>
      <c r="L76" t="s">
        <v>254</v>
      </c>
      <c r="O76" t="s">
        <v>255</v>
      </c>
    </row>
    <row r="77" spans="1:15" x14ac:dyDescent="0.25">
      <c r="A77" t="s">
        <v>18</v>
      </c>
      <c r="B77" t="s">
        <v>254</v>
      </c>
      <c r="C77" t="s">
        <v>256</v>
      </c>
      <c r="D77" t="s">
        <v>20</v>
      </c>
      <c r="E77" t="s">
        <v>11</v>
      </c>
      <c r="F77">
        <v>6266.303999999999</v>
      </c>
      <c r="G77">
        <v>18</v>
      </c>
      <c r="L77" t="s">
        <v>257</v>
      </c>
      <c r="O77" t="s">
        <v>258</v>
      </c>
    </row>
    <row r="78" spans="1:15" x14ac:dyDescent="0.25">
      <c r="A78" t="s">
        <v>18</v>
      </c>
      <c r="B78" t="s">
        <v>257</v>
      </c>
      <c r="C78" t="s">
        <v>259</v>
      </c>
      <c r="D78" t="s">
        <v>20</v>
      </c>
      <c r="E78" t="s">
        <v>11</v>
      </c>
      <c r="F78">
        <v>8746.716</v>
      </c>
      <c r="G78">
        <v>18</v>
      </c>
      <c r="L78" t="s">
        <v>260</v>
      </c>
      <c r="O78" t="s">
        <v>261</v>
      </c>
    </row>
    <row r="79" spans="1:15" x14ac:dyDescent="0.25">
      <c r="A79" t="s">
        <v>18</v>
      </c>
      <c r="B79" t="s">
        <v>260</v>
      </c>
      <c r="C79" t="s">
        <v>262</v>
      </c>
      <c r="D79" t="s">
        <v>20</v>
      </c>
      <c r="E79" t="s">
        <v>11</v>
      </c>
      <c r="F79">
        <v>10900.757999999998</v>
      </c>
      <c r="G79">
        <v>18</v>
      </c>
      <c r="L79" t="s">
        <v>263</v>
      </c>
      <c r="O79" t="s">
        <v>264</v>
      </c>
    </row>
    <row r="80" spans="1:15" x14ac:dyDescent="0.25">
      <c r="A80" t="s">
        <v>18</v>
      </c>
      <c r="B80" t="s">
        <v>263</v>
      </c>
      <c r="C80" t="s">
        <v>265</v>
      </c>
      <c r="D80" t="s">
        <v>20</v>
      </c>
      <c r="E80" t="s">
        <v>11</v>
      </c>
      <c r="F80">
        <v>10900.757999999998</v>
      </c>
      <c r="G80">
        <v>18</v>
      </c>
      <c r="L80" t="s">
        <v>266</v>
      </c>
      <c r="O80" t="s">
        <v>267</v>
      </c>
    </row>
    <row r="81" spans="1:15" x14ac:dyDescent="0.25">
      <c r="A81" t="s">
        <v>18</v>
      </c>
      <c r="B81" t="s">
        <v>266</v>
      </c>
      <c r="C81" t="s">
        <v>268</v>
      </c>
      <c r="D81" t="s">
        <v>20</v>
      </c>
      <c r="E81" t="s">
        <v>11</v>
      </c>
      <c r="F81">
        <v>10900.757999999998</v>
      </c>
      <c r="G81">
        <v>18</v>
      </c>
      <c r="L81" t="s">
        <v>269</v>
      </c>
      <c r="O81" t="s">
        <v>270</v>
      </c>
    </row>
    <row r="82" spans="1:15" x14ac:dyDescent="0.25">
      <c r="A82" t="s">
        <v>18</v>
      </c>
      <c r="B82" t="s">
        <v>269</v>
      </c>
      <c r="C82" t="s">
        <v>262</v>
      </c>
      <c r="D82" t="s">
        <v>20</v>
      </c>
      <c r="E82" t="s">
        <v>11</v>
      </c>
      <c r="F82">
        <v>10900.757999999998</v>
      </c>
      <c r="G82">
        <v>18</v>
      </c>
      <c r="L82" t="s">
        <v>271</v>
      </c>
      <c r="O82" t="s">
        <v>272</v>
      </c>
    </row>
    <row r="83" spans="1:15" x14ac:dyDescent="0.25">
      <c r="A83" t="s">
        <v>18</v>
      </c>
      <c r="B83" t="s">
        <v>271</v>
      </c>
      <c r="C83" t="s">
        <v>273</v>
      </c>
      <c r="D83" t="s">
        <v>20</v>
      </c>
      <c r="E83" t="s">
        <v>11</v>
      </c>
      <c r="F83">
        <v>10900.757999999998</v>
      </c>
      <c r="G83">
        <v>18</v>
      </c>
      <c r="L83" t="s">
        <v>274</v>
      </c>
      <c r="O83" t="s">
        <v>275</v>
      </c>
    </row>
    <row r="84" spans="1:15" x14ac:dyDescent="0.25">
      <c r="A84" t="s">
        <v>18</v>
      </c>
      <c r="B84" t="s">
        <v>274</v>
      </c>
      <c r="C84" t="s">
        <v>276</v>
      </c>
      <c r="D84" t="s">
        <v>20</v>
      </c>
      <c r="E84" t="s">
        <v>11</v>
      </c>
      <c r="F84">
        <v>10900.757999999998</v>
      </c>
      <c r="G84">
        <v>18</v>
      </c>
      <c r="L84" t="s">
        <v>277</v>
      </c>
      <c r="O84" t="s">
        <v>278</v>
      </c>
    </row>
    <row r="85" spans="1:15" x14ac:dyDescent="0.25">
      <c r="A85" t="s">
        <v>18</v>
      </c>
      <c r="B85" t="s">
        <v>277</v>
      </c>
      <c r="C85" t="s">
        <v>279</v>
      </c>
      <c r="D85" t="s">
        <v>20</v>
      </c>
      <c r="E85" t="s">
        <v>11</v>
      </c>
      <c r="F85">
        <v>10900.757999999998</v>
      </c>
      <c r="G85">
        <v>18</v>
      </c>
      <c r="L85" t="s">
        <v>280</v>
      </c>
      <c r="O85" t="s">
        <v>281</v>
      </c>
    </row>
    <row r="86" spans="1:15" x14ac:dyDescent="0.25">
      <c r="A86" t="s">
        <v>18</v>
      </c>
      <c r="B86" t="s">
        <v>280</v>
      </c>
      <c r="C86" t="s">
        <v>282</v>
      </c>
      <c r="D86" t="s">
        <v>20</v>
      </c>
      <c r="E86" t="s">
        <v>11</v>
      </c>
      <c r="F86">
        <v>7571.784</v>
      </c>
      <c r="G86">
        <v>18</v>
      </c>
      <c r="L86" t="s">
        <v>283</v>
      </c>
      <c r="O86" t="s">
        <v>284</v>
      </c>
    </row>
    <row r="87" spans="1:15" x14ac:dyDescent="0.25">
      <c r="A87" t="s">
        <v>18</v>
      </c>
      <c r="B87" t="s">
        <v>283</v>
      </c>
      <c r="C87" t="s">
        <v>285</v>
      </c>
      <c r="D87" t="s">
        <v>20</v>
      </c>
      <c r="E87" t="s">
        <v>11</v>
      </c>
      <c r="F87">
        <v>8746.716</v>
      </c>
      <c r="G87">
        <v>18</v>
      </c>
      <c r="L87" t="s">
        <v>286</v>
      </c>
      <c r="O87" t="s">
        <v>287</v>
      </c>
    </row>
    <row r="88" spans="1:15" x14ac:dyDescent="0.25">
      <c r="A88" t="s">
        <v>18</v>
      </c>
      <c r="B88" t="s">
        <v>286</v>
      </c>
      <c r="C88" t="s">
        <v>288</v>
      </c>
      <c r="D88" t="s">
        <v>20</v>
      </c>
      <c r="E88" t="s">
        <v>11</v>
      </c>
      <c r="F88">
        <v>12402.060000000001</v>
      </c>
      <c r="G88">
        <v>18</v>
      </c>
      <c r="L88" t="s">
        <v>289</v>
      </c>
      <c r="O88" t="s">
        <v>290</v>
      </c>
    </row>
    <row r="89" spans="1:15" x14ac:dyDescent="0.25">
      <c r="A89" t="s">
        <v>18</v>
      </c>
      <c r="B89" t="s">
        <v>289</v>
      </c>
      <c r="C89" t="s">
        <v>291</v>
      </c>
      <c r="D89" t="s">
        <v>20</v>
      </c>
      <c r="E89" t="s">
        <v>11</v>
      </c>
      <c r="F89">
        <v>3394.2479999999996</v>
      </c>
      <c r="G89">
        <v>18</v>
      </c>
      <c r="L89" t="s">
        <v>292</v>
      </c>
      <c r="O89" t="s">
        <v>293</v>
      </c>
    </row>
    <row r="90" spans="1:15" x14ac:dyDescent="0.25">
      <c r="A90" t="s">
        <v>18</v>
      </c>
      <c r="B90" t="s">
        <v>292</v>
      </c>
      <c r="C90" t="s">
        <v>294</v>
      </c>
      <c r="D90" t="s">
        <v>20</v>
      </c>
      <c r="E90" t="s">
        <v>11</v>
      </c>
      <c r="F90">
        <v>6201.030000000001</v>
      </c>
      <c r="G90">
        <v>18</v>
      </c>
      <c r="L90" t="s">
        <v>295</v>
      </c>
      <c r="O90" t="s">
        <v>296</v>
      </c>
    </row>
    <row r="91" spans="1:15" x14ac:dyDescent="0.25">
      <c r="A91" t="s">
        <v>18</v>
      </c>
      <c r="B91" t="s">
        <v>295</v>
      </c>
      <c r="C91" t="s">
        <v>297</v>
      </c>
      <c r="D91" t="s">
        <v>20</v>
      </c>
      <c r="E91" t="s">
        <v>11</v>
      </c>
      <c r="F91">
        <v>2219.316</v>
      </c>
      <c r="G91">
        <v>18</v>
      </c>
      <c r="L91" t="s">
        <v>298</v>
      </c>
      <c r="O91" t="s">
        <v>299</v>
      </c>
    </row>
    <row r="92" spans="1:15" x14ac:dyDescent="0.25">
      <c r="A92" t="s">
        <v>18</v>
      </c>
      <c r="B92" t="s">
        <v>298</v>
      </c>
      <c r="C92" t="s">
        <v>300</v>
      </c>
      <c r="D92" t="s">
        <v>20</v>
      </c>
      <c r="E92" t="s">
        <v>11</v>
      </c>
      <c r="F92">
        <v>5352.468</v>
      </c>
      <c r="G92">
        <v>18</v>
      </c>
      <c r="L92" t="s">
        <v>301</v>
      </c>
      <c r="O92" t="s">
        <v>302</v>
      </c>
    </row>
    <row r="93" spans="1:15" x14ac:dyDescent="0.25">
      <c r="A93" t="s">
        <v>18</v>
      </c>
      <c r="B93" t="s">
        <v>301</v>
      </c>
      <c r="C93" t="s">
        <v>303</v>
      </c>
      <c r="D93" t="s">
        <v>20</v>
      </c>
      <c r="E93" t="s">
        <v>11</v>
      </c>
      <c r="F93">
        <v>2219.316</v>
      </c>
      <c r="G93">
        <v>18</v>
      </c>
      <c r="L93" t="s">
        <v>304</v>
      </c>
      <c r="O93" t="s">
        <v>305</v>
      </c>
    </row>
    <row r="94" spans="1:15" x14ac:dyDescent="0.25">
      <c r="A94" t="s">
        <v>18</v>
      </c>
      <c r="B94" t="s">
        <v>304</v>
      </c>
      <c r="C94" t="s">
        <v>306</v>
      </c>
      <c r="D94" t="s">
        <v>20</v>
      </c>
      <c r="E94" t="s">
        <v>11</v>
      </c>
      <c r="F94">
        <v>22911.173999999995</v>
      </c>
      <c r="G94">
        <v>18</v>
      </c>
      <c r="L94" t="s">
        <v>307</v>
      </c>
      <c r="O94" t="s">
        <v>308</v>
      </c>
    </row>
    <row r="95" spans="1:15" x14ac:dyDescent="0.25">
      <c r="A95" t="s">
        <v>18</v>
      </c>
      <c r="B95" t="s">
        <v>307</v>
      </c>
      <c r="C95" t="s">
        <v>309</v>
      </c>
      <c r="D95" t="s">
        <v>20</v>
      </c>
      <c r="E95" t="s">
        <v>11</v>
      </c>
      <c r="F95">
        <v>23955.557999999997</v>
      </c>
      <c r="G95">
        <v>18</v>
      </c>
      <c r="L95" t="s">
        <v>310</v>
      </c>
      <c r="O95" t="s">
        <v>311</v>
      </c>
    </row>
    <row r="96" spans="1:15" x14ac:dyDescent="0.25">
      <c r="A96" t="s">
        <v>18</v>
      </c>
      <c r="B96" t="s">
        <v>310</v>
      </c>
      <c r="C96" t="s">
        <v>312</v>
      </c>
      <c r="D96" t="s">
        <v>20</v>
      </c>
      <c r="E96" t="s">
        <v>11</v>
      </c>
      <c r="F96">
        <v>5809.3859999999995</v>
      </c>
      <c r="G96">
        <v>18</v>
      </c>
      <c r="L96" t="s">
        <v>313</v>
      </c>
      <c r="O96" t="s">
        <v>314</v>
      </c>
    </row>
    <row r="97" spans="1:15" x14ac:dyDescent="0.25">
      <c r="A97" t="s">
        <v>18</v>
      </c>
      <c r="B97" t="s">
        <v>313</v>
      </c>
      <c r="C97" t="s">
        <v>315</v>
      </c>
      <c r="D97" t="s">
        <v>20</v>
      </c>
      <c r="E97" t="s">
        <v>11</v>
      </c>
      <c r="F97">
        <v>80025.924</v>
      </c>
      <c r="G97">
        <v>18</v>
      </c>
      <c r="L97" t="s">
        <v>316</v>
      </c>
      <c r="O97" t="s">
        <v>317</v>
      </c>
    </row>
    <row r="98" spans="1:15" x14ac:dyDescent="0.25">
      <c r="A98" t="s">
        <v>18</v>
      </c>
      <c r="B98" t="s">
        <v>316</v>
      </c>
      <c r="C98" t="s">
        <v>174</v>
      </c>
      <c r="D98" t="s">
        <v>20</v>
      </c>
      <c r="E98" t="s">
        <v>11</v>
      </c>
      <c r="F98">
        <v>848.5619999999999</v>
      </c>
      <c r="G98">
        <v>18</v>
      </c>
      <c r="L98" t="s">
        <v>318</v>
      </c>
      <c r="O98" t="s">
        <v>319</v>
      </c>
    </row>
    <row r="99" spans="1:15" x14ac:dyDescent="0.25">
      <c r="A99" t="s">
        <v>18</v>
      </c>
      <c r="B99" t="s">
        <v>318</v>
      </c>
      <c r="C99" t="s">
        <v>320</v>
      </c>
      <c r="D99" t="s">
        <v>20</v>
      </c>
      <c r="E99" t="s">
        <v>11</v>
      </c>
      <c r="F99">
        <v>4308.084</v>
      </c>
      <c r="G99">
        <v>18</v>
      </c>
      <c r="L99" t="s">
        <v>321</v>
      </c>
      <c r="O99" t="s">
        <v>322</v>
      </c>
    </row>
    <row r="100" spans="1:15" x14ac:dyDescent="0.25">
      <c r="A100" t="s">
        <v>18</v>
      </c>
      <c r="B100" t="s">
        <v>321</v>
      </c>
      <c r="C100" t="s">
        <v>323</v>
      </c>
      <c r="D100" t="s">
        <v>20</v>
      </c>
      <c r="E100" t="s">
        <v>11</v>
      </c>
      <c r="F100">
        <v>4830.276</v>
      </c>
      <c r="G100">
        <v>18</v>
      </c>
      <c r="L100" t="s">
        <v>324</v>
      </c>
      <c r="O100" t="s">
        <v>325</v>
      </c>
    </row>
    <row r="101" spans="1:15" x14ac:dyDescent="0.25">
      <c r="A101" t="s">
        <v>18</v>
      </c>
      <c r="B101" t="s">
        <v>324</v>
      </c>
      <c r="C101" t="s">
        <v>326</v>
      </c>
      <c r="D101" t="s">
        <v>20</v>
      </c>
      <c r="E101" t="s">
        <v>11</v>
      </c>
      <c r="F101">
        <v>7637.058</v>
      </c>
      <c r="G101">
        <v>18</v>
      </c>
      <c r="L101" t="s">
        <v>327</v>
      </c>
      <c r="O101" t="s">
        <v>328</v>
      </c>
    </row>
    <row r="102" spans="1:15" x14ac:dyDescent="0.25">
      <c r="A102" t="s">
        <v>18</v>
      </c>
      <c r="B102" t="s">
        <v>327</v>
      </c>
      <c r="C102" t="s">
        <v>329</v>
      </c>
      <c r="D102" t="s">
        <v>20</v>
      </c>
      <c r="E102" t="s">
        <v>11</v>
      </c>
      <c r="F102">
        <v>848.5619999999999</v>
      </c>
      <c r="G102">
        <v>18</v>
      </c>
      <c r="L102" t="s">
        <v>330</v>
      </c>
      <c r="O102" t="s">
        <v>331</v>
      </c>
    </row>
    <row r="103" spans="1:15" x14ac:dyDescent="0.25">
      <c r="A103" t="s">
        <v>18</v>
      </c>
      <c r="B103" t="s">
        <v>330</v>
      </c>
      <c r="C103" t="s">
        <v>332</v>
      </c>
      <c r="D103" t="s">
        <v>20</v>
      </c>
      <c r="E103" t="s">
        <v>11</v>
      </c>
      <c r="F103">
        <v>2741.508</v>
      </c>
      <c r="G103">
        <v>18</v>
      </c>
      <c r="L103" t="s">
        <v>333</v>
      </c>
      <c r="O103" t="s">
        <v>334</v>
      </c>
    </row>
    <row r="104" spans="1:15" x14ac:dyDescent="0.25">
      <c r="A104" t="s">
        <v>18</v>
      </c>
      <c r="B104" t="s">
        <v>333</v>
      </c>
      <c r="C104" t="s">
        <v>335</v>
      </c>
      <c r="D104" t="s">
        <v>20</v>
      </c>
      <c r="E104" t="s">
        <v>11</v>
      </c>
      <c r="F104">
        <v>783.2879999999999</v>
      </c>
      <c r="G104">
        <v>18</v>
      </c>
      <c r="L104" t="s">
        <v>336</v>
      </c>
      <c r="O104" t="s">
        <v>337</v>
      </c>
    </row>
    <row r="105" spans="1:15" x14ac:dyDescent="0.25">
      <c r="A105" t="s">
        <v>18</v>
      </c>
      <c r="B105" t="s">
        <v>336</v>
      </c>
      <c r="C105" t="s">
        <v>338</v>
      </c>
      <c r="D105" t="s">
        <v>20</v>
      </c>
      <c r="E105" t="s">
        <v>11</v>
      </c>
      <c r="F105">
        <v>2937.3300000000004</v>
      </c>
      <c r="G105">
        <v>18</v>
      </c>
      <c r="L105" t="s">
        <v>339</v>
      </c>
      <c r="O105" t="s">
        <v>340</v>
      </c>
    </row>
    <row r="106" spans="1:15" x14ac:dyDescent="0.25">
      <c r="A106" t="s">
        <v>18</v>
      </c>
      <c r="B106" t="s">
        <v>339</v>
      </c>
      <c r="C106" t="s">
        <v>341</v>
      </c>
      <c r="D106" t="s">
        <v>20</v>
      </c>
      <c r="E106" t="s">
        <v>11</v>
      </c>
      <c r="F106">
        <v>1370.754</v>
      </c>
      <c r="G106">
        <v>18</v>
      </c>
      <c r="L106" t="s">
        <v>342</v>
      </c>
      <c r="O106" t="s">
        <v>343</v>
      </c>
    </row>
    <row r="107" spans="1:15" x14ac:dyDescent="0.25">
      <c r="A107" t="s">
        <v>18</v>
      </c>
      <c r="B107" t="s">
        <v>342</v>
      </c>
      <c r="C107" t="s">
        <v>344</v>
      </c>
      <c r="D107" t="s">
        <v>20</v>
      </c>
      <c r="E107" t="s">
        <v>11</v>
      </c>
      <c r="F107">
        <v>848.5619999999999</v>
      </c>
      <c r="G107">
        <v>18</v>
      </c>
      <c r="L107" t="s">
        <v>345</v>
      </c>
      <c r="O107" t="s">
        <v>346</v>
      </c>
    </row>
    <row r="108" spans="1:15" x14ac:dyDescent="0.25">
      <c r="A108" t="s">
        <v>18</v>
      </c>
      <c r="B108" t="s">
        <v>345</v>
      </c>
      <c r="C108" t="s">
        <v>347</v>
      </c>
      <c r="D108" t="s">
        <v>20</v>
      </c>
      <c r="E108" t="s">
        <v>11</v>
      </c>
      <c r="F108">
        <v>130.548</v>
      </c>
      <c r="G108">
        <v>18</v>
      </c>
      <c r="L108" t="s">
        <v>348</v>
      </c>
      <c r="O108" t="s">
        <v>349</v>
      </c>
    </row>
    <row r="109" spans="1:15" x14ac:dyDescent="0.25">
      <c r="A109" t="s">
        <v>18</v>
      </c>
      <c r="B109" t="s">
        <v>348</v>
      </c>
      <c r="C109" t="s">
        <v>350</v>
      </c>
      <c r="D109" t="s">
        <v>20</v>
      </c>
      <c r="E109" t="s">
        <v>11</v>
      </c>
      <c r="F109">
        <v>261.096</v>
      </c>
      <c r="G109">
        <v>18</v>
      </c>
      <c r="L109" t="s">
        <v>351</v>
      </c>
      <c r="O109" t="s">
        <v>352</v>
      </c>
    </row>
    <row r="110" spans="1:15" x14ac:dyDescent="0.25">
      <c r="A110" t="s">
        <v>18</v>
      </c>
      <c r="B110" t="s">
        <v>351</v>
      </c>
      <c r="C110" t="s">
        <v>353</v>
      </c>
      <c r="D110" t="s">
        <v>20</v>
      </c>
      <c r="E110" t="s">
        <v>11</v>
      </c>
      <c r="F110">
        <v>53655.227999999996</v>
      </c>
      <c r="G110">
        <v>18</v>
      </c>
      <c r="L110" t="s">
        <v>354</v>
      </c>
      <c r="O110" t="s">
        <v>355</v>
      </c>
    </row>
    <row r="111" spans="1:15" x14ac:dyDescent="0.25">
      <c r="A111" t="s">
        <v>18</v>
      </c>
      <c r="B111" t="s">
        <v>354</v>
      </c>
      <c r="C111" t="s">
        <v>356</v>
      </c>
      <c r="D111" t="s">
        <v>20</v>
      </c>
      <c r="E111" t="s">
        <v>11</v>
      </c>
      <c r="F111">
        <v>848.5619999999999</v>
      </c>
      <c r="G111">
        <v>18</v>
      </c>
      <c r="L111" t="s">
        <v>357</v>
      </c>
      <c r="O111" t="s">
        <v>358</v>
      </c>
    </row>
    <row r="112" spans="1:15" x14ac:dyDescent="0.25">
      <c r="A112" t="s">
        <v>18</v>
      </c>
      <c r="B112" t="s">
        <v>357</v>
      </c>
      <c r="C112" t="s">
        <v>359</v>
      </c>
      <c r="D112" t="s">
        <v>20</v>
      </c>
      <c r="E112" t="s">
        <v>11</v>
      </c>
      <c r="F112">
        <v>783.2879999999999</v>
      </c>
      <c r="G112">
        <v>18</v>
      </c>
      <c r="L112" t="s">
        <v>360</v>
      </c>
      <c r="O112" t="s">
        <v>361</v>
      </c>
    </row>
    <row r="113" spans="1:15" x14ac:dyDescent="0.25">
      <c r="A113" t="s">
        <v>18</v>
      </c>
      <c r="B113" t="s">
        <v>360</v>
      </c>
      <c r="C113" t="s">
        <v>362</v>
      </c>
      <c r="D113" t="s">
        <v>20</v>
      </c>
      <c r="E113" t="s">
        <v>11</v>
      </c>
      <c r="F113">
        <v>3328.9739999999997</v>
      </c>
      <c r="G113">
        <v>18</v>
      </c>
      <c r="L113" t="s">
        <v>363</v>
      </c>
      <c r="O113" t="s">
        <v>364</v>
      </c>
    </row>
    <row r="114" spans="1:15" x14ac:dyDescent="0.25">
      <c r="A114" t="s">
        <v>18</v>
      </c>
      <c r="B114" t="s">
        <v>363</v>
      </c>
      <c r="C114" t="s">
        <v>365</v>
      </c>
      <c r="D114" t="s">
        <v>20</v>
      </c>
      <c r="E114" t="s">
        <v>11</v>
      </c>
      <c r="F114">
        <v>7506.51</v>
      </c>
      <c r="G114">
        <v>18</v>
      </c>
      <c r="L114" t="s">
        <v>366</v>
      </c>
      <c r="O114" t="s">
        <v>367</v>
      </c>
    </row>
    <row r="115" spans="1:15" x14ac:dyDescent="0.25">
      <c r="A115" t="s">
        <v>18</v>
      </c>
      <c r="B115" t="s">
        <v>366</v>
      </c>
      <c r="C115" t="s">
        <v>368</v>
      </c>
      <c r="D115" t="s">
        <v>20</v>
      </c>
      <c r="E115" t="s">
        <v>11</v>
      </c>
      <c r="F115">
        <v>1697.1239999999998</v>
      </c>
      <c r="G115">
        <v>18</v>
      </c>
      <c r="L115" t="s">
        <v>369</v>
      </c>
      <c r="O115" t="s">
        <v>370</v>
      </c>
    </row>
    <row r="116" spans="1:15" x14ac:dyDescent="0.25">
      <c r="A116" t="s">
        <v>18</v>
      </c>
      <c r="B116" t="s">
        <v>369</v>
      </c>
      <c r="C116" t="s">
        <v>371</v>
      </c>
      <c r="D116" t="s">
        <v>20</v>
      </c>
      <c r="E116" t="s">
        <v>11</v>
      </c>
      <c r="F116">
        <v>3263.7</v>
      </c>
      <c r="G116">
        <v>18</v>
      </c>
      <c r="L116" t="s">
        <v>372</v>
      </c>
      <c r="O116" t="s">
        <v>373</v>
      </c>
    </row>
    <row r="117" spans="1:15" x14ac:dyDescent="0.25">
      <c r="A117" t="s">
        <v>18</v>
      </c>
      <c r="B117" t="s">
        <v>372</v>
      </c>
      <c r="C117" t="s">
        <v>374</v>
      </c>
      <c r="D117" t="s">
        <v>20</v>
      </c>
      <c r="E117" t="s">
        <v>11</v>
      </c>
      <c r="F117">
        <v>12597.882</v>
      </c>
      <c r="G117">
        <v>18</v>
      </c>
      <c r="L117" t="s">
        <v>375</v>
      </c>
      <c r="O117" t="s">
        <v>376</v>
      </c>
    </row>
    <row r="118" spans="1:15" x14ac:dyDescent="0.25">
      <c r="A118" t="s">
        <v>18</v>
      </c>
      <c r="B118" t="s">
        <v>375</v>
      </c>
      <c r="C118" t="s">
        <v>377</v>
      </c>
      <c r="D118" t="s">
        <v>20</v>
      </c>
      <c r="E118" t="s">
        <v>11</v>
      </c>
      <c r="F118">
        <v>4242.8099999999995</v>
      </c>
      <c r="G118">
        <v>18</v>
      </c>
      <c r="L118" t="s">
        <v>378</v>
      </c>
      <c r="O118" t="s">
        <v>379</v>
      </c>
    </row>
    <row r="119" spans="1:15" x14ac:dyDescent="0.25">
      <c r="A119" t="s">
        <v>18</v>
      </c>
      <c r="B119" t="s">
        <v>378</v>
      </c>
      <c r="C119" t="s">
        <v>380</v>
      </c>
      <c r="D119" t="s">
        <v>20</v>
      </c>
      <c r="E119" t="s">
        <v>11</v>
      </c>
      <c r="F119">
        <v>5678.838</v>
      </c>
      <c r="G119">
        <v>18</v>
      </c>
      <c r="L119" t="s">
        <v>381</v>
      </c>
      <c r="O119" t="s">
        <v>382</v>
      </c>
    </row>
    <row r="120" spans="1:15" x14ac:dyDescent="0.25">
      <c r="A120" t="s">
        <v>18</v>
      </c>
      <c r="B120" t="s">
        <v>381</v>
      </c>
      <c r="C120" t="s">
        <v>383</v>
      </c>
      <c r="D120" t="s">
        <v>20</v>
      </c>
      <c r="E120" t="s">
        <v>11</v>
      </c>
      <c r="F120">
        <v>6201.030000000001</v>
      </c>
      <c r="G120">
        <v>18</v>
      </c>
      <c r="L120" t="s">
        <v>384</v>
      </c>
      <c r="O120" t="s">
        <v>385</v>
      </c>
    </row>
    <row r="121" spans="1:15" x14ac:dyDescent="0.25">
      <c r="A121" t="s">
        <v>18</v>
      </c>
      <c r="B121" t="s">
        <v>384</v>
      </c>
      <c r="C121" t="s">
        <v>386</v>
      </c>
      <c r="D121" t="s">
        <v>20</v>
      </c>
      <c r="E121" t="s">
        <v>11</v>
      </c>
      <c r="F121">
        <v>26305.422</v>
      </c>
      <c r="G121">
        <v>18</v>
      </c>
      <c r="L121" t="s">
        <v>387</v>
      </c>
      <c r="O121" t="s">
        <v>388</v>
      </c>
    </row>
    <row r="122" spans="1:15" x14ac:dyDescent="0.25">
      <c r="A122" t="s">
        <v>18</v>
      </c>
      <c r="B122" t="s">
        <v>387</v>
      </c>
      <c r="C122" t="s">
        <v>389</v>
      </c>
      <c r="D122" t="s">
        <v>20</v>
      </c>
      <c r="E122" t="s">
        <v>11</v>
      </c>
      <c r="F122">
        <v>718.014</v>
      </c>
      <c r="G122">
        <v>18</v>
      </c>
      <c r="L122" t="s">
        <v>390</v>
      </c>
      <c r="O122" t="s">
        <v>391</v>
      </c>
    </row>
    <row r="123" spans="1:15" x14ac:dyDescent="0.25">
      <c r="A123" t="s">
        <v>18</v>
      </c>
      <c r="B123" t="s">
        <v>390</v>
      </c>
      <c r="C123" t="s">
        <v>392</v>
      </c>
      <c r="D123" t="s">
        <v>20</v>
      </c>
      <c r="E123" t="s">
        <v>11</v>
      </c>
      <c r="F123">
        <v>2545.6859999999997</v>
      </c>
      <c r="G123">
        <v>18</v>
      </c>
      <c r="L123" t="s">
        <v>393</v>
      </c>
      <c r="O123" t="s">
        <v>394</v>
      </c>
    </row>
    <row r="124" spans="1:15" x14ac:dyDescent="0.25">
      <c r="A124" t="s">
        <v>18</v>
      </c>
      <c r="B124" t="s">
        <v>393</v>
      </c>
      <c r="C124" t="s">
        <v>395</v>
      </c>
      <c r="D124" t="s">
        <v>20</v>
      </c>
      <c r="E124" t="s">
        <v>11</v>
      </c>
      <c r="F124">
        <v>783.2879999999999</v>
      </c>
      <c r="G124">
        <v>18</v>
      </c>
      <c r="L124" t="s">
        <v>396</v>
      </c>
      <c r="O124" t="s">
        <v>397</v>
      </c>
    </row>
    <row r="125" spans="1:15" x14ac:dyDescent="0.25">
      <c r="A125" t="s">
        <v>18</v>
      </c>
      <c r="B125" t="s">
        <v>396</v>
      </c>
      <c r="C125" t="s">
        <v>398</v>
      </c>
      <c r="D125" t="s">
        <v>20</v>
      </c>
      <c r="E125" t="s">
        <v>11</v>
      </c>
      <c r="F125">
        <v>783.2879999999999</v>
      </c>
      <c r="G125">
        <v>18</v>
      </c>
      <c r="L125" t="s">
        <v>399</v>
      </c>
      <c r="O125" t="s">
        <v>400</v>
      </c>
    </row>
    <row r="126" spans="1:15" x14ac:dyDescent="0.25">
      <c r="A126" t="s">
        <v>18</v>
      </c>
      <c r="B126" t="s">
        <v>399</v>
      </c>
      <c r="C126" t="s">
        <v>401</v>
      </c>
      <c r="D126" t="s">
        <v>20</v>
      </c>
      <c r="E126" t="s">
        <v>11</v>
      </c>
      <c r="F126">
        <v>261.096</v>
      </c>
      <c r="G126">
        <v>18</v>
      </c>
      <c r="L126" t="s">
        <v>402</v>
      </c>
      <c r="O126" t="s">
        <v>403</v>
      </c>
    </row>
    <row r="127" spans="1:15" x14ac:dyDescent="0.25">
      <c r="A127" t="s">
        <v>18</v>
      </c>
      <c r="B127" t="s">
        <v>402</v>
      </c>
      <c r="C127" t="s">
        <v>404</v>
      </c>
      <c r="D127" t="s">
        <v>20</v>
      </c>
      <c r="E127" t="s">
        <v>11</v>
      </c>
      <c r="F127">
        <v>7767.605999999999</v>
      </c>
      <c r="G127">
        <v>18</v>
      </c>
      <c r="L127" t="s">
        <v>405</v>
      </c>
      <c r="O127" t="s">
        <v>406</v>
      </c>
    </row>
    <row r="128" spans="1:15" x14ac:dyDescent="0.25">
      <c r="A128" t="s">
        <v>18</v>
      </c>
      <c r="B128" t="s">
        <v>405</v>
      </c>
      <c r="C128" t="s">
        <v>407</v>
      </c>
      <c r="D128" t="s">
        <v>20</v>
      </c>
      <c r="E128" t="s">
        <v>11</v>
      </c>
      <c r="F128">
        <v>3981.714</v>
      </c>
      <c r="G128">
        <v>18</v>
      </c>
      <c r="L128" t="s">
        <v>408</v>
      </c>
      <c r="O128" t="s">
        <v>409</v>
      </c>
    </row>
    <row r="129" spans="1:15" x14ac:dyDescent="0.25">
      <c r="A129" t="s">
        <v>18</v>
      </c>
      <c r="B129" t="s">
        <v>408</v>
      </c>
      <c r="C129" t="s">
        <v>410</v>
      </c>
      <c r="D129" t="s">
        <v>20</v>
      </c>
      <c r="E129" t="s">
        <v>11</v>
      </c>
      <c r="F129">
        <v>1566.5759999999998</v>
      </c>
      <c r="G129">
        <v>18</v>
      </c>
      <c r="L129" t="s">
        <v>411</v>
      </c>
      <c r="O129" t="s">
        <v>412</v>
      </c>
    </row>
    <row r="130" spans="1:15" x14ac:dyDescent="0.25">
      <c r="A130" t="s">
        <v>18</v>
      </c>
      <c r="B130" t="s">
        <v>411</v>
      </c>
      <c r="C130" t="s">
        <v>413</v>
      </c>
      <c r="D130" t="s">
        <v>20</v>
      </c>
      <c r="E130" t="s">
        <v>11</v>
      </c>
      <c r="F130">
        <v>2937.3300000000004</v>
      </c>
      <c r="G130">
        <v>18</v>
      </c>
      <c r="L130" t="s">
        <v>414</v>
      </c>
      <c r="O130" t="s">
        <v>415</v>
      </c>
    </row>
    <row r="131" spans="1:15" x14ac:dyDescent="0.25">
      <c r="A131" t="s">
        <v>18</v>
      </c>
      <c r="B131" t="s">
        <v>414</v>
      </c>
      <c r="C131" t="s">
        <v>416</v>
      </c>
      <c r="D131" t="s">
        <v>20</v>
      </c>
      <c r="E131" t="s">
        <v>11</v>
      </c>
      <c r="F131">
        <v>5091.371999999999</v>
      </c>
      <c r="G131">
        <v>18</v>
      </c>
      <c r="L131" t="s">
        <v>417</v>
      </c>
      <c r="O131" t="s">
        <v>418</v>
      </c>
    </row>
    <row r="132" spans="1:15" x14ac:dyDescent="0.25">
      <c r="A132" t="s">
        <v>18</v>
      </c>
      <c r="B132" t="s">
        <v>417</v>
      </c>
      <c r="C132" t="s">
        <v>419</v>
      </c>
      <c r="D132" t="s">
        <v>20</v>
      </c>
      <c r="E132" t="s">
        <v>11</v>
      </c>
      <c r="F132">
        <v>2219.316</v>
      </c>
      <c r="G132">
        <v>18</v>
      </c>
      <c r="L132" t="s">
        <v>420</v>
      </c>
      <c r="O132" t="s">
        <v>421</v>
      </c>
    </row>
    <row r="133" spans="1:15" x14ac:dyDescent="0.25">
      <c r="A133" t="s">
        <v>18</v>
      </c>
      <c r="B133" t="s">
        <v>420</v>
      </c>
      <c r="C133" t="s">
        <v>422</v>
      </c>
      <c r="D133" t="s">
        <v>20</v>
      </c>
      <c r="E133" t="s">
        <v>11</v>
      </c>
      <c r="F133">
        <v>5548.29</v>
      </c>
      <c r="G133">
        <v>18</v>
      </c>
      <c r="L133" t="s">
        <v>423</v>
      </c>
      <c r="O133" t="s">
        <v>424</v>
      </c>
    </row>
    <row r="134" spans="1:15" x14ac:dyDescent="0.25">
      <c r="A134" t="s">
        <v>18</v>
      </c>
      <c r="B134" t="s">
        <v>423</v>
      </c>
      <c r="C134" t="s">
        <v>425</v>
      </c>
      <c r="D134" t="s">
        <v>20</v>
      </c>
      <c r="E134" t="s">
        <v>11</v>
      </c>
      <c r="F134">
        <v>3655.344</v>
      </c>
      <c r="G134">
        <v>18</v>
      </c>
      <c r="L134" t="s">
        <v>426</v>
      </c>
      <c r="O134" t="s">
        <v>427</v>
      </c>
    </row>
    <row r="135" spans="1:15" x14ac:dyDescent="0.25">
      <c r="A135" t="s">
        <v>18</v>
      </c>
      <c r="B135" t="s">
        <v>426</v>
      </c>
      <c r="C135" t="s">
        <v>428</v>
      </c>
      <c r="D135" t="s">
        <v>20</v>
      </c>
      <c r="E135" t="s">
        <v>11</v>
      </c>
      <c r="F135">
        <v>6135.755999999999</v>
      </c>
      <c r="G135">
        <v>18</v>
      </c>
      <c r="L135" t="s">
        <v>429</v>
      </c>
      <c r="O135" t="s">
        <v>430</v>
      </c>
    </row>
    <row r="136" spans="1:15" x14ac:dyDescent="0.25">
      <c r="A136" t="s">
        <v>18</v>
      </c>
      <c r="B136" t="s">
        <v>429</v>
      </c>
      <c r="C136" t="s">
        <v>431</v>
      </c>
      <c r="D136" t="s">
        <v>20</v>
      </c>
      <c r="E136" t="s">
        <v>11</v>
      </c>
      <c r="F136">
        <v>6135.755999999999</v>
      </c>
      <c r="G136">
        <v>18</v>
      </c>
      <c r="L136" t="s">
        <v>432</v>
      </c>
      <c r="O136" t="s">
        <v>433</v>
      </c>
    </row>
    <row r="137" spans="1:15" x14ac:dyDescent="0.25">
      <c r="A137" t="s">
        <v>18</v>
      </c>
      <c r="B137" t="s">
        <v>432</v>
      </c>
      <c r="C137" t="s">
        <v>434</v>
      </c>
      <c r="D137" t="s">
        <v>20</v>
      </c>
      <c r="E137" t="s">
        <v>11</v>
      </c>
      <c r="F137">
        <v>3981.714</v>
      </c>
      <c r="G137">
        <v>18</v>
      </c>
      <c r="L137" t="s">
        <v>435</v>
      </c>
      <c r="O137" t="s">
        <v>436</v>
      </c>
    </row>
    <row r="138" spans="1:15" x14ac:dyDescent="0.25">
      <c r="A138" t="s">
        <v>18</v>
      </c>
      <c r="B138" t="s">
        <v>435</v>
      </c>
      <c r="C138" t="s">
        <v>437</v>
      </c>
      <c r="D138" t="s">
        <v>20</v>
      </c>
      <c r="E138" t="s">
        <v>11</v>
      </c>
      <c r="F138">
        <v>12989.526</v>
      </c>
      <c r="G138">
        <v>18</v>
      </c>
      <c r="L138" t="s">
        <v>438</v>
      </c>
      <c r="O138" t="s">
        <v>439</v>
      </c>
    </row>
    <row r="139" spans="1:15" x14ac:dyDescent="0.25">
      <c r="A139" t="s">
        <v>18</v>
      </c>
      <c r="B139" t="s">
        <v>438</v>
      </c>
      <c r="C139" t="s">
        <v>440</v>
      </c>
      <c r="D139" t="s">
        <v>20</v>
      </c>
      <c r="E139" t="s">
        <v>11</v>
      </c>
      <c r="F139">
        <v>17819.802</v>
      </c>
      <c r="G139">
        <v>18</v>
      </c>
      <c r="L139" t="s">
        <v>441</v>
      </c>
      <c r="O139" t="s">
        <v>442</v>
      </c>
    </row>
    <row r="140" spans="1:15" x14ac:dyDescent="0.25">
      <c r="A140" t="s">
        <v>18</v>
      </c>
      <c r="B140" t="s">
        <v>441</v>
      </c>
      <c r="C140" t="s">
        <v>183</v>
      </c>
      <c r="D140" t="s">
        <v>20</v>
      </c>
      <c r="E140" t="s">
        <v>11</v>
      </c>
      <c r="F140">
        <v>1044.384</v>
      </c>
      <c r="G140">
        <v>18</v>
      </c>
      <c r="L140" t="s">
        <v>443</v>
      </c>
      <c r="O140" t="s">
        <v>444</v>
      </c>
    </row>
    <row r="141" spans="1:15" x14ac:dyDescent="0.25">
      <c r="A141" t="s">
        <v>18</v>
      </c>
      <c r="B141" t="s">
        <v>443</v>
      </c>
      <c r="C141" t="s">
        <v>445</v>
      </c>
      <c r="D141" t="s">
        <v>20</v>
      </c>
      <c r="E141" t="s">
        <v>11</v>
      </c>
      <c r="F141">
        <v>13185.347999999998</v>
      </c>
      <c r="G141">
        <v>18</v>
      </c>
      <c r="L141" t="s">
        <v>446</v>
      </c>
      <c r="O141" t="s">
        <v>447</v>
      </c>
    </row>
    <row r="142" spans="1:15" x14ac:dyDescent="0.25">
      <c r="A142" t="s">
        <v>18</v>
      </c>
      <c r="B142" t="s">
        <v>446</v>
      </c>
      <c r="C142" t="s">
        <v>448</v>
      </c>
      <c r="D142" t="s">
        <v>20</v>
      </c>
      <c r="E142" t="s">
        <v>11</v>
      </c>
      <c r="F142">
        <v>1109.658</v>
      </c>
      <c r="G142">
        <v>18</v>
      </c>
      <c r="L142" t="s">
        <v>449</v>
      </c>
      <c r="O142" t="s">
        <v>450</v>
      </c>
    </row>
    <row r="143" spans="1:15" x14ac:dyDescent="0.25">
      <c r="A143" t="s">
        <v>18</v>
      </c>
      <c r="B143" t="s">
        <v>449</v>
      </c>
      <c r="C143" t="s">
        <v>451</v>
      </c>
      <c r="D143" t="s">
        <v>20</v>
      </c>
      <c r="E143" t="s">
        <v>11</v>
      </c>
      <c r="F143">
        <v>2284.59</v>
      </c>
      <c r="G143">
        <v>18</v>
      </c>
      <c r="L143" t="s">
        <v>452</v>
      </c>
      <c r="O143" t="s">
        <v>453</v>
      </c>
    </row>
    <row r="144" spans="1:15" x14ac:dyDescent="0.25">
      <c r="A144" t="s">
        <v>18</v>
      </c>
      <c r="B144" t="s">
        <v>452</v>
      </c>
      <c r="C144" t="s">
        <v>454</v>
      </c>
      <c r="D144" t="s">
        <v>20</v>
      </c>
      <c r="E144" t="s">
        <v>11</v>
      </c>
      <c r="F144">
        <v>2415.138</v>
      </c>
      <c r="G144">
        <v>18</v>
      </c>
      <c r="L144" t="s">
        <v>455</v>
      </c>
      <c r="O144" t="s">
        <v>456</v>
      </c>
    </row>
    <row r="145" spans="1:15" x14ac:dyDescent="0.25">
      <c r="A145" t="s">
        <v>18</v>
      </c>
      <c r="B145" t="s">
        <v>455</v>
      </c>
      <c r="C145" t="s">
        <v>457</v>
      </c>
      <c r="D145" t="s">
        <v>20</v>
      </c>
      <c r="E145" t="s">
        <v>11</v>
      </c>
      <c r="F145">
        <v>10313.292</v>
      </c>
      <c r="G145">
        <v>18</v>
      </c>
      <c r="L145" t="s">
        <v>458</v>
      </c>
      <c r="O145" t="s">
        <v>459</v>
      </c>
    </row>
    <row r="146" spans="1:15" x14ac:dyDescent="0.25">
      <c r="A146" t="s">
        <v>18</v>
      </c>
      <c r="B146" t="s">
        <v>458</v>
      </c>
      <c r="C146" t="s">
        <v>460</v>
      </c>
      <c r="D146" t="s">
        <v>20</v>
      </c>
      <c r="E146" t="s">
        <v>11</v>
      </c>
      <c r="F146">
        <v>1892.946</v>
      </c>
      <c r="G146">
        <v>18</v>
      </c>
      <c r="L146" t="s">
        <v>461</v>
      </c>
      <c r="O146" t="s">
        <v>462</v>
      </c>
    </row>
    <row r="147" spans="1:15" x14ac:dyDescent="0.25">
      <c r="A147" t="s">
        <v>18</v>
      </c>
      <c r="B147" t="s">
        <v>461</v>
      </c>
      <c r="C147" t="s">
        <v>463</v>
      </c>
      <c r="D147" t="s">
        <v>20</v>
      </c>
      <c r="E147" t="s">
        <v>11</v>
      </c>
      <c r="F147">
        <v>4569.18</v>
      </c>
      <c r="G147">
        <v>18</v>
      </c>
      <c r="L147" t="s">
        <v>464</v>
      </c>
      <c r="O147" t="s">
        <v>465</v>
      </c>
    </row>
    <row r="148" spans="1:15" x14ac:dyDescent="0.25">
      <c r="A148" t="s">
        <v>18</v>
      </c>
      <c r="B148" t="s">
        <v>464</v>
      </c>
      <c r="C148" t="s">
        <v>466</v>
      </c>
      <c r="D148" t="s">
        <v>20</v>
      </c>
      <c r="E148" t="s">
        <v>11</v>
      </c>
      <c r="F148">
        <v>2219.316</v>
      </c>
      <c r="G148">
        <v>18</v>
      </c>
      <c r="L148" t="s">
        <v>467</v>
      </c>
      <c r="O148" t="s">
        <v>468</v>
      </c>
    </row>
    <row r="149" spans="1:15" x14ac:dyDescent="0.25">
      <c r="A149" t="s">
        <v>18</v>
      </c>
      <c r="B149" t="s">
        <v>467</v>
      </c>
      <c r="C149" t="s">
        <v>469</v>
      </c>
      <c r="D149" t="s">
        <v>20</v>
      </c>
      <c r="E149" t="s">
        <v>11</v>
      </c>
      <c r="F149">
        <v>4830.276</v>
      </c>
      <c r="G149">
        <v>18</v>
      </c>
      <c r="L149" t="s">
        <v>470</v>
      </c>
      <c r="O149" t="s">
        <v>471</v>
      </c>
    </row>
    <row r="150" spans="1:15" x14ac:dyDescent="0.25">
      <c r="A150" t="s">
        <v>18</v>
      </c>
      <c r="B150" t="s">
        <v>470</v>
      </c>
      <c r="C150" t="s">
        <v>472</v>
      </c>
      <c r="D150" t="s">
        <v>20</v>
      </c>
      <c r="E150" t="s">
        <v>11</v>
      </c>
      <c r="F150">
        <v>587.4659999999999</v>
      </c>
      <c r="G150">
        <v>18</v>
      </c>
      <c r="L150" t="s">
        <v>473</v>
      </c>
      <c r="O150" t="s">
        <v>474</v>
      </c>
    </row>
    <row r="151" spans="1:15" x14ac:dyDescent="0.25">
      <c r="A151" t="s">
        <v>18</v>
      </c>
      <c r="B151" t="s">
        <v>473</v>
      </c>
      <c r="C151" t="s">
        <v>475</v>
      </c>
      <c r="D151" t="s">
        <v>20</v>
      </c>
      <c r="E151" t="s">
        <v>11</v>
      </c>
      <c r="F151">
        <v>28002.545999999995</v>
      </c>
      <c r="G151">
        <v>18</v>
      </c>
      <c r="L151" t="s">
        <v>476</v>
      </c>
      <c r="O151" t="s">
        <v>477</v>
      </c>
    </row>
    <row r="152" spans="1:15" x14ac:dyDescent="0.25">
      <c r="A152" t="s">
        <v>18</v>
      </c>
      <c r="B152" t="s">
        <v>476</v>
      </c>
      <c r="C152" t="s">
        <v>478</v>
      </c>
      <c r="D152" t="s">
        <v>20</v>
      </c>
      <c r="E152" t="s">
        <v>11</v>
      </c>
      <c r="F152">
        <v>27153.983999999997</v>
      </c>
      <c r="G152">
        <v>18</v>
      </c>
      <c r="L152" t="s">
        <v>479</v>
      </c>
      <c r="O152" t="s">
        <v>480</v>
      </c>
    </row>
    <row r="153" spans="1:15" x14ac:dyDescent="0.25">
      <c r="A153" t="s">
        <v>18</v>
      </c>
      <c r="B153" t="s">
        <v>479</v>
      </c>
      <c r="C153" t="s">
        <v>481</v>
      </c>
      <c r="D153" t="s">
        <v>20</v>
      </c>
      <c r="E153" t="s">
        <v>11</v>
      </c>
      <c r="F153">
        <v>16579.595999999998</v>
      </c>
      <c r="G153">
        <v>18</v>
      </c>
      <c r="L153" t="s">
        <v>482</v>
      </c>
      <c r="O153" t="s">
        <v>483</v>
      </c>
    </row>
    <row r="154" spans="1:15" x14ac:dyDescent="0.25">
      <c r="A154" t="s">
        <v>18</v>
      </c>
      <c r="B154" t="s">
        <v>482</v>
      </c>
      <c r="C154" t="s">
        <v>484</v>
      </c>
      <c r="D154" t="s">
        <v>20</v>
      </c>
      <c r="E154" t="s">
        <v>11</v>
      </c>
      <c r="F154">
        <v>2872.056</v>
      </c>
      <c r="G154">
        <v>18</v>
      </c>
      <c r="L154" t="s">
        <v>485</v>
      </c>
      <c r="O154" t="s">
        <v>486</v>
      </c>
    </row>
    <row r="155" spans="1:15" x14ac:dyDescent="0.25">
      <c r="A155" t="s">
        <v>18</v>
      </c>
      <c r="B155" t="s">
        <v>485</v>
      </c>
      <c r="C155" t="s">
        <v>487</v>
      </c>
      <c r="D155" t="s">
        <v>20</v>
      </c>
      <c r="E155" t="s">
        <v>11</v>
      </c>
      <c r="F155">
        <v>2415.138</v>
      </c>
      <c r="G155">
        <v>18</v>
      </c>
      <c r="L155" t="s">
        <v>488</v>
      </c>
      <c r="O155" t="s">
        <v>489</v>
      </c>
    </row>
    <row r="156" spans="1:15" x14ac:dyDescent="0.25">
      <c r="A156" t="s">
        <v>18</v>
      </c>
      <c r="B156" t="s">
        <v>488</v>
      </c>
      <c r="C156" t="s">
        <v>490</v>
      </c>
      <c r="D156" t="s">
        <v>20</v>
      </c>
      <c r="E156" t="s">
        <v>11</v>
      </c>
      <c r="F156">
        <v>19321.104</v>
      </c>
      <c r="G156">
        <v>18</v>
      </c>
      <c r="L156" t="s">
        <v>491</v>
      </c>
      <c r="O156" t="s">
        <v>492</v>
      </c>
    </row>
    <row r="157" spans="1:15" x14ac:dyDescent="0.25">
      <c r="A157" t="s">
        <v>18</v>
      </c>
      <c r="B157" t="s">
        <v>491</v>
      </c>
      <c r="C157" t="s">
        <v>493</v>
      </c>
      <c r="D157" t="s">
        <v>20</v>
      </c>
      <c r="E157" t="s">
        <v>11</v>
      </c>
      <c r="F157">
        <v>5744.112</v>
      </c>
      <c r="G157">
        <v>18</v>
      </c>
      <c r="L157" t="s">
        <v>494</v>
      </c>
      <c r="O157" t="s">
        <v>495</v>
      </c>
    </row>
    <row r="158" spans="1:15" x14ac:dyDescent="0.25">
      <c r="A158" t="s">
        <v>18</v>
      </c>
      <c r="B158" t="s">
        <v>494</v>
      </c>
      <c r="C158" t="s">
        <v>496</v>
      </c>
      <c r="D158" t="s">
        <v>20</v>
      </c>
      <c r="E158" t="s">
        <v>11</v>
      </c>
      <c r="F158">
        <v>4960.8240000000005</v>
      </c>
      <c r="G158">
        <v>18</v>
      </c>
      <c r="L158" t="s">
        <v>497</v>
      </c>
      <c r="O158" t="s">
        <v>498</v>
      </c>
    </row>
    <row r="159" spans="1:15" x14ac:dyDescent="0.25">
      <c r="A159" t="s">
        <v>18</v>
      </c>
      <c r="B159" t="s">
        <v>497</v>
      </c>
      <c r="C159" t="s">
        <v>499</v>
      </c>
      <c r="D159" t="s">
        <v>20</v>
      </c>
      <c r="E159" t="s">
        <v>11</v>
      </c>
      <c r="F159">
        <v>587.4659999999999</v>
      </c>
      <c r="G159">
        <v>18</v>
      </c>
      <c r="L159" t="s">
        <v>500</v>
      </c>
      <c r="O159" t="s">
        <v>501</v>
      </c>
    </row>
    <row r="160" spans="1:15" x14ac:dyDescent="0.25">
      <c r="A160" t="s">
        <v>18</v>
      </c>
      <c r="B160" t="s">
        <v>500</v>
      </c>
      <c r="C160" t="s">
        <v>502</v>
      </c>
      <c r="D160" t="s">
        <v>20</v>
      </c>
      <c r="E160" t="s">
        <v>11</v>
      </c>
      <c r="F160">
        <v>1631.85</v>
      </c>
      <c r="G160">
        <v>18</v>
      </c>
      <c r="L160" t="s">
        <v>503</v>
      </c>
      <c r="O160" t="s">
        <v>504</v>
      </c>
    </row>
    <row r="161" spans="1:15" x14ac:dyDescent="0.25">
      <c r="A161" t="s">
        <v>18</v>
      </c>
      <c r="B161" t="s">
        <v>503</v>
      </c>
      <c r="C161" t="s">
        <v>505</v>
      </c>
      <c r="D161" t="s">
        <v>20</v>
      </c>
      <c r="E161" t="s">
        <v>11</v>
      </c>
      <c r="F161">
        <v>1240.2060000000001</v>
      </c>
      <c r="G161">
        <v>18</v>
      </c>
      <c r="L161" t="s">
        <v>506</v>
      </c>
      <c r="O161" t="s">
        <v>507</v>
      </c>
    </row>
    <row r="162" spans="1:15" x14ac:dyDescent="0.25">
      <c r="A162" t="s">
        <v>18</v>
      </c>
      <c r="B162" t="s">
        <v>506</v>
      </c>
      <c r="C162" t="s">
        <v>508</v>
      </c>
      <c r="D162" t="s">
        <v>20</v>
      </c>
      <c r="E162" t="s">
        <v>11</v>
      </c>
      <c r="F162">
        <v>4242.8099999999995</v>
      </c>
      <c r="G162">
        <v>18</v>
      </c>
      <c r="L162" t="s">
        <v>509</v>
      </c>
      <c r="O162" t="s">
        <v>510</v>
      </c>
    </row>
    <row r="163" spans="1:15" x14ac:dyDescent="0.25">
      <c r="A163" t="s">
        <v>18</v>
      </c>
      <c r="B163" t="s">
        <v>509</v>
      </c>
      <c r="C163" t="s">
        <v>511</v>
      </c>
      <c r="D163" t="s">
        <v>20</v>
      </c>
      <c r="E163" t="s">
        <v>11</v>
      </c>
      <c r="F163">
        <v>4242.8099999999995</v>
      </c>
      <c r="G163">
        <v>18</v>
      </c>
      <c r="L163" t="s">
        <v>512</v>
      </c>
      <c r="O163" t="s">
        <v>513</v>
      </c>
    </row>
    <row r="164" spans="1:15" x14ac:dyDescent="0.25">
      <c r="A164" t="s">
        <v>18</v>
      </c>
      <c r="B164" t="s">
        <v>512</v>
      </c>
      <c r="C164" t="s">
        <v>514</v>
      </c>
      <c r="D164" t="s">
        <v>20</v>
      </c>
      <c r="E164" t="s">
        <v>11</v>
      </c>
      <c r="F164">
        <v>2088.768</v>
      </c>
      <c r="G164">
        <v>18</v>
      </c>
      <c r="L164" t="s">
        <v>515</v>
      </c>
      <c r="O164" t="s">
        <v>516</v>
      </c>
    </row>
    <row r="165" spans="1:15" x14ac:dyDescent="0.25">
      <c r="A165" t="s">
        <v>18</v>
      </c>
      <c r="B165" t="s">
        <v>515</v>
      </c>
      <c r="C165" t="s">
        <v>517</v>
      </c>
      <c r="D165" t="s">
        <v>20</v>
      </c>
      <c r="E165" t="s">
        <v>11</v>
      </c>
      <c r="F165">
        <v>8877.264</v>
      </c>
      <c r="G165">
        <v>18</v>
      </c>
      <c r="L165" t="s">
        <v>518</v>
      </c>
      <c r="O165" t="s">
        <v>519</v>
      </c>
    </row>
    <row r="166" spans="1:15" x14ac:dyDescent="0.25">
      <c r="A166" t="s">
        <v>18</v>
      </c>
      <c r="B166" t="s">
        <v>518</v>
      </c>
      <c r="C166" t="s">
        <v>520</v>
      </c>
      <c r="D166" t="s">
        <v>20</v>
      </c>
      <c r="E166" t="s">
        <v>11</v>
      </c>
      <c r="F166">
        <v>587.4659999999999</v>
      </c>
      <c r="G166">
        <v>18</v>
      </c>
      <c r="L166" t="s">
        <v>521</v>
      </c>
      <c r="O166" t="s">
        <v>522</v>
      </c>
    </row>
    <row r="167" spans="1:15" x14ac:dyDescent="0.25">
      <c r="A167" t="s">
        <v>18</v>
      </c>
      <c r="B167" t="s">
        <v>521</v>
      </c>
      <c r="C167" t="s">
        <v>523</v>
      </c>
      <c r="D167" t="s">
        <v>20</v>
      </c>
      <c r="E167" t="s">
        <v>11</v>
      </c>
      <c r="F167">
        <v>2872.056</v>
      </c>
      <c r="G167">
        <v>18</v>
      </c>
      <c r="L167" t="s">
        <v>524</v>
      </c>
      <c r="O167" t="s">
        <v>525</v>
      </c>
    </row>
    <row r="168" spans="1:15" x14ac:dyDescent="0.25">
      <c r="A168" t="s">
        <v>18</v>
      </c>
      <c r="B168" t="s">
        <v>524</v>
      </c>
      <c r="C168" t="s">
        <v>526</v>
      </c>
      <c r="D168" t="s">
        <v>20</v>
      </c>
      <c r="E168" t="s">
        <v>11</v>
      </c>
      <c r="F168">
        <v>10966.032</v>
      </c>
      <c r="G168">
        <v>18</v>
      </c>
      <c r="L168" t="s">
        <v>527</v>
      </c>
      <c r="O168" t="s">
        <v>528</v>
      </c>
    </row>
    <row r="169" spans="1:15" x14ac:dyDescent="0.25">
      <c r="A169" t="s">
        <v>18</v>
      </c>
      <c r="B169" t="s">
        <v>527</v>
      </c>
      <c r="C169" t="s">
        <v>529</v>
      </c>
      <c r="D169" t="s">
        <v>20</v>
      </c>
      <c r="E169" t="s">
        <v>11</v>
      </c>
      <c r="F169">
        <v>9007.812</v>
      </c>
      <c r="G169">
        <v>18</v>
      </c>
      <c r="L169" t="s">
        <v>530</v>
      </c>
      <c r="O169" t="s">
        <v>531</v>
      </c>
    </row>
    <row r="170" spans="1:15" x14ac:dyDescent="0.25">
      <c r="A170" t="s">
        <v>18</v>
      </c>
      <c r="B170" t="s">
        <v>530</v>
      </c>
      <c r="C170" t="s">
        <v>532</v>
      </c>
      <c r="D170" t="s">
        <v>20</v>
      </c>
      <c r="E170" t="s">
        <v>11</v>
      </c>
      <c r="F170">
        <v>11227.127999999999</v>
      </c>
      <c r="G170">
        <v>18</v>
      </c>
      <c r="L170" t="s">
        <v>533</v>
      </c>
      <c r="O170" t="s">
        <v>534</v>
      </c>
    </row>
    <row r="171" spans="1:15" x14ac:dyDescent="0.25">
      <c r="A171" t="s">
        <v>18</v>
      </c>
      <c r="B171" t="s">
        <v>533</v>
      </c>
      <c r="C171" t="s">
        <v>535</v>
      </c>
      <c r="D171" t="s">
        <v>20</v>
      </c>
      <c r="E171" t="s">
        <v>11</v>
      </c>
      <c r="F171">
        <v>652.74</v>
      </c>
      <c r="G171">
        <v>18</v>
      </c>
      <c r="L171" t="s">
        <v>536</v>
      </c>
      <c r="O171" t="s">
        <v>537</v>
      </c>
    </row>
    <row r="172" spans="1:15" x14ac:dyDescent="0.25">
      <c r="A172" t="s">
        <v>18</v>
      </c>
      <c r="B172" t="s">
        <v>536</v>
      </c>
      <c r="C172" t="s">
        <v>538</v>
      </c>
      <c r="D172" t="s">
        <v>20</v>
      </c>
      <c r="E172" t="s">
        <v>11</v>
      </c>
      <c r="F172">
        <v>5678.838</v>
      </c>
      <c r="G172">
        <v>18</v>
      </c>
      <c r="L172" t="s">
        <v>539</v>
      </c>
      <c r="O172" t="s">
        <v>540</v>
      </c>
    </row>
    <row r="173" spans="1:15" x14ac:dyDescent="0.25">
      <c r="A173" t="s">
        <v>18</v>
      </c>
      <c r="B173" t="s">
        <v>539</v>
      </c>
      <c r="C173" t="s">
        <v>541</v>
      </c>
      <c r="D173" t="s">
        <v>20</v>
      </c>
      <c r="E173" t="s">
        <v>11</v>
      </c>
      <c r="F173">
        <v>1958.22</v>
      </c>
      <c r="G173">
        <v>18</v>
      </c>
      <c r="L173" t="s">
        <v>542</v>
      </c>
      <c r="O173" t="s">
        <v>543</v>
      </c>
    </row>
    <row r="174" spans="1:15" x14ac:dyDescent="0.25">
      <c r="A174" t="s">
        <v>18</v>
      </c>
      <c r="B174" t="s">
        <v>542</v>
      </c>
      <c r="C174" t="s">
        <v>544</v>
      </c>
      <c r="D174" t="s">
        <v>20</v>
      </c>
      <c r="E174" t="s">
        <v>11</v>
      </c>
      <c r="F174">
        <v>10455.983999999997</v>
      </c>
      <c r="G174">
        <v>18</v>
      </c>
      <c r="L174" t="s">
        <v>545</v>
      </c>
      <c r="O174" t="s">
        <v>546</v>
      </c>
    </row>
    <row r="175" spans="1:15" x14ac:dyDescent="0.25">
      <c r="A175" t="s">
        <v>18</v>
      </c>
      <c r="B175" t="s">
        <v>545</v>
      </c>
      <c r="C175" t="s">
        <v>547</v>
      </c>
      <c r="D175" t="s">
        <v>20</v>
      </c>
      <c r="E175" t="s">
        <v>11</v>
      </c>
      <c r="F175">
        <v>3328.9739999999997</v>
      </c>
      <c r="G175">
        <v>18</v>
      </c>
      <c r="L175" t="s">
        <v>548</v>
      </c>
      <c r="O175" t="s">
        <v>549</v>
      </c>
    </row>
    <row r="176" spans="1:15" x14ac:dyDescent="0.25">
      <c r="A176" t="s">
        <v>18</v>
      </c>
      <c r="B176" t="s">
        <v>548</v>
      </c>
      <c r="C176" t="s">
        <v>550</v>
      </c>
      <c r="D176" t="s">
        <v>20</v>
      </c>
      <c r="E176" t="s">
        <v>11</v>
      </c>
      <c r="F176">
        <v>3590.0699999999997</v>
      </c>
      <c r="G176">
        <v>18</v>
      </c>
      <c r="L176" t="s">
        <v>551</v>
      </c>
      <c r="O176" t="s">
        <v>552</v>
      </c>
    </row>
    <row r="177" spans="1:15" x14ac:dyDescent="0.25">
      <c r="A177" t="s">
        <v>18</v>
      </c>
      <c r="B177" t="s">
        <v>551</v>
      </c>
      <c r="C177" t="s">
        <v>553</v>
      </c>
      <c r="D177" t="s">
        <v>20</v>
      </c>
      <c r="E177" t="s">
        <v>11</v>
      </c>
      <c r="F177">
        <v>2741.508</v>
      </c>
      <c r="G177">
        <v>18</v>
      </c>
      <c r="L177" t="s">
        <v>554</v>
      </c>
      <c r="O177" t="s">
        <v>555</v>
      </c>
    </row>
    <row r="178" spans="1:15" x14ac:dyDescent="0.25">
      <c r="A178" t="s">
        <v>18</v>
      </c>
      <c r="B178" t="s">
        <v>554</v>
      </c>
      <c r="C178" t="s">
        <v>556</v>
      </c>
      <c r="D178" t="s">
        <v>20</v>
      </c>
      <c r="E178" t="s">
        <v>11</v>
      </c>
      <c r="F178">
        <v>1305.48</v>
      </c>
      <c r="G178">
        <v>18</v>
      </c>
      <c r="L178" t="s">
        <v>557</v>
      </c>
      <c r="O178" t="s">
        <v>558</v>
      </c>
    </row>
    <row r="179" spans="1:15" x14ac:dyDescent="0.25">
      <c r="A179" t="s">
        <v>18</v>
      </c>
      <c r="B179" t="s">
        <v>557</v>
      </c>
      <c r="C179" t="s">
        <v>559</v>
      </c>
      <c r="D179" t="s">
        <v>20</v>
      </c>
      <c r="E179" t="s">
        <v>11</v>
      </c>
      <c r="F179">
        <v>13120.074</v>
      </c>
      <c r="G179">
        <v>18</v>
      </c>
      <c r="L179" t="s">
        <v>560</v>
      </c>
      <c r="O179" t="s">
        <v>561</v>
      </c>
    </row>
    <row r="180" spans="1:15" x14ac:dyDescent="0.25">
      <c r="A180" t="s">
        <v>18</v>
      </c>
      <c r="B180" t="s">
        <v>560</v>
      </c>
      <c r="C180" t="s">
        <v>562</v>
      </c>
      <c r="D180" t="s">
        <v>20</v>
      </c>
      <c r="E180" t="s">
        <v>11</v>
      </c>
      <c r="F180">
        <v>6462.126</v>
      </c>
      <c r="G180">
        <v>18</v>
      </c>
      <c r="L180" t="s">
        <v>563</v>
      </c>
      <c r="O180" t="s">
        <v>564</v>
      </c>
    </row>
    <row r="181" spans="1:15" x14ac:dyDescent="0.25">
      <c r="A181" t="s">
        <v>18</v>
      </c>
      <c r="B181" t="s">
        <v>563</v>
      </c>
      <c r="C181" t="s">
        <v>565</v>
      </c>
      <c r="D181" t="s">
        <v>20</v>
      </c>
      <c r="E181" t="s">
        <v>11</v>
      </c>
      <c r="F181">
        <v>5352.468</v>
      </c>
      <c r="G181">
        <v>18</v>
      </c>
      <c r="L181" t="s">
        <v>566</v>
      </c>
      <c r="O181" t="s">
        <v>567</v>
      </c>
    </row>
    <row r="182" spans="1:15" x14ac:dyDescent="0.25">
      <c r="A182" t="s">
        <v>18</v>
      </c>
      <c r="B182" t="s">
        <v>566</v>
      </c>
      <c r="C182" t="s">
        <v>568</v>
      </c>
      <c r="D182" t="s">
        <v>20</v>
      </c>
      <c r="E182" t="s">
        <v>11</v>
      </c>
      <c r="F182">
        <v>3981.714</v>
      </c>
      <c r="G182">
        <v>18</v>
      </c>
      <c r="L182" t="s">
        <v>569</v>
      </c>
      <c r="O182" t="s">
        <v>570</v>
      </c>
    </row>
    <row r="183" spans="1:15" x14ac:dyDescent="0.25">
      <c r="A183" t="s">
        <v>18</v>
      </c>
      <c r="B183" t="s">
        <v>569</v>
      </c>
      <c r="C183" t="s">
        <v>571</v>
      </c>
      <c r="D183" t="s">
        <v>20</v>
      </c>
      <c r="E183" t="s">
        <v>11</v>
      </c>
      <c r="F183">
        <v>65208.726</v>
      </c>
      <c r="G183">
        <v>18</v>
      </c>
      <c r="L183" t="s">
        <v>572</v>
      </c>
      <c r="O183" t="s">
        <v>573</v>
      </c>
    </row>
    <row r="184" spans="1:15" x14ac:dyDescent="0.25">
      <c r="A184" t="s">
        <v>18</v>
      </c>
      <c r="B184" t="s">
        <v>572</v>
      </c>
      <c r="C184" t="s">
        <v>574</v>
      </c>
      <c r="D184" t="s">
        <v>20</v>
      </c>
      <c r="E184" t="s">
        <v>11</v>
      </c>
      <c r="F184">
        <v>54569.064</v>
      </c>
      <c r="G184">
        <v>18</v>
      </c>
      <c r="L184" t="s">
        <v>575</v>
      </c>
      <c r="O184" t="s">
        <v>576</v>
      </c>
    </row>
    <row r="185" spans="1:15" x14ac:dyDescent="0.25">
      <c r="A185" t="s">
        <v>18</v>
      </c>
      <c r="B185" t="s">
        <v>575</v>
      </c>
      <c r="C185" t="s">
        <v>577</v>
      </c>
      <c r="D185" t="s">
        <v>20</v>
      </c>
      <c r="E185" t="s">
        <v>11</v>
      </c>
      <c r="F185">
        <v>28002.545999999995</v>
      </c>
      <c r="G185">
        <v>18</v>
      </c>
      <c r="L185" t="s">
        <v>578</v>
      </c>
      <c r="O185" t="s">
        <v>579</v>
      </c>
    </row>
    <row r="186" spans="1:15" x14ac:dyDescent="0.25">
      <c r="A186" t="s">
        <v>18</v>
      </c>
      <c r="B186" t="s">
        <v>578</v>
      </c>
      <c r="C186" t="s">
        <v>580</v>
      </c>
      <c r="D186" t="s">
        <v>20</v>
      </c>
      <c r="E186" t="s">
        <v>11</v>
      </c>
      <c r="F186">
        <v>5419.26</v>
      </c>
      <c r="G186">
        <v>18</v>
      </c>
      <c r="L186" t="s">
        <v>581</v>
      </c>
      <c r="O186" t="s">
        <v>582</v>
      </c>
    </row>
    <row r="187" spans="1:15" x14ac:dyDescent="0.25">
      <c r="A187" t="s">
        <v>18</v>
      </c>
      <c r="B187" t="s">
        <v>581</v>
      </c>
      <c r="C187" t="s">
        <v>583</v>
      </c>
      <c r="D187" t="s">
        <v>20</v>
      </c>
      <c r="E187" t="s">
        <v>11</v>
      </c>
      <c r="F187">
        <v>5809.3859999999995</v>
      </c>
      <c r="G187">
        <v>18</v>
      </c>
      <c r="L187" t="s">
        <v>584</v>
      </c>
      <c r="O187" t="s">
        <v>585</v>
      </c>
    </row>
    <row r="188" spans="1:15" x14ac:dyDescent="0.25">
      <c r="A188" t="s">
        <v>18</v>
      </c>
      <c r="B188" t="s">
        <v>584</v>
      </c>
      <c r="C188" t="s">
        <v>586</v>
      </c>
      <c r="D188" t="s">
        <v>20</v>
      </c>
      <c r="E188" t="s">
        <v>11</v>
      </c>
      <c r="F188">
        <v>5809.3859999999995</v>
      </c>
      <c r="G188">
        <v>18</v>
      </c>
      <c r="L188" t="s">
        <v>587</v>
      </c>
      <c r="O188" t="s">
        <v>588</v>
      </c>
    </row>
    <row r="189" spans="1:15" x14ac:dyDescent="0.25">
      <c r="A189" t="s">
        <v>18</v>
      </c>
      <c r="B189" t="s">
        <v>587</v>
      </c>
      <c r="C189" t="s">
        <v>589</v>
      </c>
      <c r="D189" t="s">
        <v>20</v>
      </c>
      <c r="E189" t="s">
        <v>11</v>
      </c>
      <c r="F189">
        <v>5809.3859999999995</v>
      </c>
      <c r="G189">
        <v>18</v>
      </c>
      <c r="L189" t="s">
        <v>590</v>
      </c>
      <c r="O189" t="s">
        <v>591</v>
      </c>
    </row>
    <row r="190" spans="1:15" x14ac:dyDescent="0.25">
      <c r="A190" t="s">
        <v>18</v>
      </c>
      <c r="B190" t="s">
        <v>590</v>
      </c>
      <c r="C190" t="s">
        <v>592</v>
      </c>
      <c r="D190" t="s">
        <v>20</v>
      </c>
      <c r="E190" t="s">
        <v>11</v>
      </c>
      <c r="F190">
        <v>1436.028</v>
      </c>
      <c r="G190">
        <v>18</v>
      </c>
      <c r="L190" t="s">
        <v>593</v>
      </c>
      <c r="O190" t="s">
        <v>594</v>
      </c>
    </row>
    <row r="191" spans="1:15" x14ac:dyDescent="0.25">
      <c r="A191" t="s">
        <v>18</v>
      </c>
      <c r="B191" t="s">
        <v>593</v>
      </c>
      <c r="C191" t="s">
        <v>595</v>
      </c>
      <c r="D191" t="s">
        <v>20</v>
      </c>
      <c r="E191" t="s">
        <v>11</v>
      </c>
      <c r="F191">
        <v>913.836</v>
      </c>
      <c r="G191">
        <v>18</v>
      </c>
      <c r="L191" t="s">
        <v>596</v>
      </c>
      <c r="O191" t="s">
        <v>597</v>
      </c>
    </row>
    <row r="192" spans="1:15" x14ac:dyDescent="0.25">
      <c r="A192" t="s">
        <v>18</v>
      </c>
      <c r="B192" t="s">
        <v>596</v>
      </c>
      <c r="C192" t="s">
        <v>598</v>
      </c>
      <c r="D192" t="s">
        <v>20</v>
      </c>
      <c r="E192" t="s">
        <v>11</v>
      </c>
      <c r="F192">
        <v>1109.658</v>
      </c>
      <c r="G192">
        <v>18</v>
      </c>
      <c r="L192" t="s">
        <v>599</v>
      </c>
      <c r="O192" t="s">
        <v>600</v>
      </c>
    </row>
    <row r="193" spans="1:15" x14ac:dyDescent="0.25">
      <c r="A193" t="s">
        <v>18</v>
      </c>
      <c r="B193" t="s">
        <v>599</v>
      </c>
      <c r="C193" t="s">
        <v>601</v>
      </c>
      <c r="D193" t="s">
        <v>20</v>
      </c>
      <c r="E193" t="s">
        <v>11</v>
      </c>
      <c r="F193">
        <v>1044.384</v>
      </c>
      <c r="G193">
        <v>18</v>
      </c>
      <c r="L193" t="s">
        <v>602</v>
      </c>
      <c r="O193" t="s">
        <v>603</v>
      </c>
    </row>
    <row r="194" spans="1:15" x14ac:dyDescent="0.25">
      <c r="A194" t="s">
        <v>18</v>
      </c>
      <c r="B194" t="s">
        <v>602</v>
      </c>
      <c r="C194" t="s">
        <v>574</v>
      </c>
      <c r="D194" t="s">
        <v>20</v>
      </c>
      <c r="E194" t="s">
        <v>11</v>
      </c>
      <c r="F194">
        <v>54569.064</v>
      </c>
      <c r="G194">
        <v>18</v>
      </c>
      <c r="L194" t="s">
        <v>604</v>
      </c>
      <c r="O194" t="s">
        <v>605</v>
      </c>
    </row>
    <row r="195" spans="1:15" x14ac:dyDescent="0.25">
      <c r="A195" t="s">
        <v>18</v>
      </c>
      <c r="B195" t="s">
        <v>604</v>
      </c>
      <c r="C195" t="s">
        <v>606</v>
      </c>
      <c r="D195" t="s">
        <v>20</v>
      </c>
      <c r="E195" t="s">
        <v>11</v>
      </c>
      <c r="F195">
        <v>587.4659999999999</v>
      </c>
      <c r="G195">
        <v>18</v>
      </c>
      <c r="L195" t="s">
        <v>607</v>
      </c>
      <c r="O195" t="s">
        <v>608</v>
      </c>
    </row>
    <row r="196" spans="1:15" x14ac:dyDescent="0.25">
      <c r="A196" t="s">
        <v>18</v>
      </c>
      <c r="B196" t="s">
        <v>607</v>
      </c>
      <c r="C196" t="s">
        <v>609</v>
      </c>
      <c r="D196" t="s">
        <v>20</v>
      </c>
      <c r="E196" t="s">
        <v>11</v>
      </c>
      <c r="F196">
        <v>6527.4</v>
      </c>
      <c r="G196">
        <v>18</v>
      </c>
      <c r="L196" t="s">
        <v>610</v>
      </c>
      <c r="O196" t="s">
        <v>611</v>
      </c>
    </row>
    <row r="197" spans="1:15" x14ac:dyDescent="0.25">
      <c r="A197" t="s">
        <v>18</v>
      </c>
      <c r="B197" t="s">
        <v>610</v>
      </c>
      <c r="C197" t="s">
        <v>612</v>
      </c>
      <c r="D197" t="s">
        <v>20</v>
      </c>
      <c r="E197" t="s">
        <v>11</v>
      </c>
      <c r="F197">
        <v>6070.482</v>
      </c>
      <c r="G197">
        <v>18</v>
      </c>
      <c r="L197" t="s">
        <v>613</v>
      </c>
      <c r="O197" t="s">
        <v>614</v>
      </c>
    </row>
    <row r="198" spans="1:15" x14ac:dyDescent="0.25">
      <c r="A198" t="s">
        <v>18</v>
      </c>
      <c r="B198" t="s">
        <v>613</v>
      </c>
      <c r="C198" t="s">
        <v>615</v>
      </c>
      <c r="D198" t="s">
        <v>20</v>
      </c>
      <c r="E198" t="s">
        <v>11</v>
      </c>
      <c r="F198">
        <v>37336.727999999996</v>
      </c>
      <c r="G198">
        <v>18</v>
      </c>
      <c r="L198" t="s">
        <v>616</v>
      </c>
      <c r="O198" t="s">
        <v>617</v>
      </c>
    </row>
    <row r="199" spans="1:15" x14ac:dyDescent="0.25">
      <c r="A199" t="s">
        <v>18</v>
      </c>
      <c r="B199" t="s">
        <v>616</v>
      </c>
      <c r="C199" t="s">
        <v>618</v>
      </c>
      <c r="D199" t="s">
        <v>20</v>
      </c>
      <c r="E199" t="s">
        <v>11</v>
      </c>
      <c r="F199">
        <v>1305.48</v>
      </c>
      <c r="G199">
        <v>18</v>
      </c>
      <c r="L199" t="s">
        <v>619</v>
      </c>
      <c r="O199" t="s">
        <v>620</v>
      </c>
    </row>
    <row r="200" spans="1:15" x14ac:dyDescent="0.25">
      <c r="A200" t="s">
        <v>18</v>
      </c>
      <c r="B200" t="s">
        <v>619</v>
      </c>
      <c r="C200" t="s">
        <v>621</v>
      </c>
      <c r="D200" t="s">
        <v>20</v>
      </c>
      <c r="E200" t="s">
        <v>11</v>
      </c>
      <c r="F200">
        <v>59856.258</v>
      </c>
      <c r="G200">
        <v>18</v>
      </c>
      <c r="L200" t="s">
        <v>622</v>
      </c>
      <c r="O200" t="s">
        <v>623</v>
      </c>
    </row>
    <row r="201" spans="1:15" x14ac:dyDescent="0.25">
      <c r="A201" t="s">
        <v>18</v>
      </c>
      <c r="B201" t="s">
        <v>622</v>
      </c>
      <c r="C201" t="s">
        <v>624</v>
      </c>
      <c r="D201" t="s">
        <v>20</v>
      </c>
      <c r="E201" t="s">
        <v>11</v>
      </c>
      <c r="F201">
        <v>5287.193999999999</v>
      </c>
      <c r="G201">
        <v>18</v>
      </c>
      <c r="L201" t="s">
        <v>625</v>
      </c>
      <c r="O201" t="s">
        <v>626</v>
      </c>
    </row>
    <row r="202" spans="1:15" x14ac:dyDescent="0.25">
      <c r="A202" t="s">
        <v>18</v>
      </c>
      <c r="B202" t="s">
        <v>625</v>
      </c>
      <c r="C202" t="s">
        <v>627</v>
      </c>
      <c r="D202" t="s">
        <v>20</v>
      </c>
      <c r="E202" t="s">
        <v>11</v>
      </c>
      <c r="F202">
        <v>10770.210000000001</v>
      </c>
      <c r="G202">
        <v>18</v>
      </c>
      <c r="L202" t="s">
        <v>628</v>
      </c>
      <c r="O202" t="s">
        <v>629</v>
      </c>
    </row>
    <row r="203" spans="1:15" x14ac:dyDescent="0.25">
      <c r="A203" t="s">
        <v>18</v>
      </c>
      <c r="B203" t="s">
        <v>628</v>
      </c>
      <c r="C203" t="s">
        <v>630</v>
      </c>
      <c r="D203" t="s">
        <v>20</v>
      </c>
      <c r="E203" t="s">
        <v>11</v>
      </c>
      <c r="F203">
        <v>5417.742</v>
      </c>
      <c r="G203">
        <v>18</v>
      </c>
      <c r="L203" t="s">
        <v>631</v>
      </c>
      <c r="O203" t="s">
        <v>632</v>
      </c>
    </row>
    <row r="204" spans="1:15" x14ac:dyDescent="0.25">
      <c r="A204" t="s">
        <v>18</v>
      </c>
      <c r="B204" t="s">
        <v>631</v>
      </c>
      <c r="C204" t="s">
        <v>633</v>
      </c>
      <c r="D204" t="s">
        <v>20</v>
      </c>
      <c r="E204" t="s">
        <v>11</v>
      </c>
      <c r="F204">
        <v>4830.276</v>
      </c>
      <c r="G204">
        <v>18</v>
      </c>
      <c r="L204" t="s">
        <v>634</v>
      </c>
      <c r="O204" t="s">
        <v>635</v>
      </c>
    </row>
    <row r="205" spans="1:15" x14ac:dyDescent="0.25">
      <c r="A205" t="s">
        <v>18</v>
      </c>
      <c r="B205" t="s">
        <v>634</v>
      </c>
      <c r="C205" t="s">
        <v>636</v>
      </c>
      <c r="D205" t="s">
        <v>20</v>
      </c>
      <c r="E205" t="s">
        <v>11</v>
      </c>
      <c r="F205">
        <v>391.64399999999995</v>
      </c>
      <c r="G205">
        <v>18</v>
      </c>
      <c r="L205" t="s">
        <v>637</v>
      </c>
      <c r="O205" t="s">
        <v>638</v>
      </c>
    </row>
    <row r="206" spans="1:15" x14ac:dyDescent="0.25">
      <c r="A206" t="s">
        <v>18</v>
      </c>
      <c r="B206" t="s">
        <v>637</v>
      </c>
      <c r="C206" t="s">
        <v>639</v>
      </c>
      <c r="D206" t="s">
        <v>20</v>
      </c>
      <c r="E206" t="s">
        <v>11</v>
      </c>
      <c r="F206">
        <v>1436.028</v>
      </c>
      <c r="G206">
        <v>18</v>
      </c>
      <c r="L206" t="s">
        <v>640</v>
      </c>
      <c r="O206" t="s">
        <v>641</v>
      </c>
    </row>
    <row r="207" spans="1:15" x14ac:dyDescent="0.25">
      <c r="A207" t="s">
        <v>18</v>
      </c>
      <c r="B207" t="s">
        <v>640</v>
      </c>
      <c r="C207" t="s">
        <v>642</v>
      </c>
      <c r="D207" t="s">
        <v>20</v>
      </c>
      <c r="E207" t="s">
        <v>11</v>
      </c>
      <c r="F207">
        <v>718.014</v>
      </c>
      <c r="G207">
        <v>18</v>
      </c>
      <c r="L207" t="s">
        <v>643</v>
      </c>
      <c r="O207" t="s">
        <v>644</v>
      </c>
    </row>
    <row r="208" spans="1:15" x14ac:dyDescent="0.25">
      <c r="A208" t="s">
        <v>18</v>
      </c>
      <c r="B208" t="s">
        <v>643</v>
      </c>
      <c r="C208" t="s">
        <v>645</v>
      </c>
      <c r="D208" t="s">
        <v>20</v>
      </c>
      <c r="E208" t="s">
        <v>11</v>
      </c>
      <c r="F208">
        <v>718.014</v>
      </c>
      <c r="G208">
        <v>18</v>
      </c>
      <c r="L208" t="s">
        <v>646</v>
      </c>
      <c r="O208" t="s">
        <v>647</v>
      </c>
    </row>
    <row r="209" spans="1:15" x14ac:dyDescent="0.25">
      <c r="A209" t="s">
        <v>18</v>
      </c>
      <c r="B209" t="s">
        <v>646</v>
      </c>
      <c r="C209" t="s">
        <v>648</v>
      </c>
      <c r="D209" t="s">
        <v>20</v>
      </c>
      <c r="E209" t="s">
        <v>11</v>
      </c>
      <c r="F209">
        <v>11553.497999999998</v>
      </c>
      <c r="G209">
        <v>18</v>
      </c>
      <c r="L209" t="s">
        <v>649</v>
      </c>
      <c r="O209" t="s">
        <v>650</v>
      </c>
    </row>
    <row r="210" spans="1:15" x14ac:dyDescent="0.25">
      <c r="A210" t="s">
        <v>18</v>
      </c>
      <c r="B210" t="s">
        <v>649</v>
      </c>
      <c r="C210" t="s">
        <v>651</v>
      </c>
      <c r="D210" t="s">
        <v>20</v>
      </c>
      <c r="E210" t="s">
        <v>11</v>
      </c>
      <c r="F210">
        <v>1370.754</v>
      </c>
      <c r="G210">
        <v>18</v>
      </c>
      <c r="L210" t="s">
        <v>652</v>
      </c>
      <c r="O210" t="s">
        <v>653</v>
      </c>
    </row>
    <row r="211" spans="1:15" x14ac:dyDescent="0.25">
      <c r="A211" t="s">
        <v>18</v>
      </c>
      <c r="B211" t="s">
        <v>652</v>
      </c>
      <c r="C211" t="s">
        <v>654</v>
      </c>
      <c r="D211" t="s">
        <v>20</v>
      </c>
      <c r="E211" t="s">
        <v>11</v>
      </c>
      <c r="F211">
        <v>3328.9739999999997</v>
      </c>
      <c r="G211">
        <v>18</v>
      </c>
      <c r="L211" t="s">
        <v>655</v>
      </c>
      <c r="O211" t="s">
        <v>656</v>
      </c>
    </row>
    <row r="212" spans="1:15" x14ac:dyDescent="0.25">
      <c r="A212" t="s">
        <v>18</v>
      </c>
      <c r="B212" t="s">
        <v>655</v>
      </c>
      <c r="C212" t="s">
        <v>657</v>
      </c>
      <c r="D212" t="s">
        <v>20</v>
      </c>
      <c r="E212" t="s">
        <v>11</v>
      </c>
      <c r="F212">
        <v>2872.056</v>
      </c>
      <c r="G212">
        <v>18</v>
      </c>
      <c r="L212" t="s">
        <v>658</v>
      </c>
      <c r="O212" t="s">
        <v>659</v>
      </c>
    </row>
    <row r="213" spans="1:15" x14ac:dyDescent="0.25">
      <c r="A213" t="s">
        <v>18</v>
      </c>
      <c r="B213" t="s">
        <v>658</v>
      </c>
      <c r="C213" t="s">
        <v>660</v>
      </c>
      <c r="D213" t="s">
        <v>20</v>
      </c>
      <c r="E213" t="s">
        <v>11</v>
      </c>
      <c r="F213">
        <v>6266.303999999999</v>
      </c>
      <c r="G213">
        <v>18</v>
      </c>
      <c r="L213" t="s">
        <v>661</v>
      </c>
      <c r="O213" t="s">
        <v>662</v>
      </c>
    </row>
    <row r="214" spans="1:15" x14ac:dyDescent="0.25">
      <c r="A214" t="s">
        <v>18</v>
      </c>
      <c r="B214" t="s">
        <v>661</v>
      </c>
      <c r="C214" t="s">
        <v>663</v>
      </c>
      <c r="D214" t="s">
        <v>20</v>
      </c>
      <c r="E214" t="s">
        <v>11</v>
      </c>
      <c r="F214">
        <v>522.192</v>
      </c>
      <c r="G214">
        <v>18</v>
      </c>
      <c r="L214" t="s">
        <v>664</v>
      </c>
      <c r="O214" t="s">
        <v>665</v>
      </c>
    </row>
    <row r="215" spans="1:15" x14ac:dyDescent="0.25">
      <c r="A215" t="s">
        <v>18</v>
      </c>
      <c r="B215" t="s">
        <v>664</v>
      </c>
      <c r="C215" t="s">
        <v>666</v>
      </c>
      <c r="D215" t="s">
        <v>20</v>
      </c>
      <c r="E215" t="s">
        <v>11</v>
      </c>
      <c r="F215">
        <v>2806.7819999999997</v>
      </c>
      <c r="G215">
        <v>18</v>
      </c>
      <c r="L215" t="s">
        <v>667</v>
      </c>
      <c r="O215" t="s">
        <v>668</v>
      </c>
    </row>
    <row r="216" spans="1:15" x14ac:dyDescent="0.25">
      <c r="A216" t="s">
        <v>18</v>
      </c>
      <c r="B216" t="s">
        <v>667</v>
      </c>
      <c r="C216" t="s">
        <v>669</v>
      </c>
      <c r="D216" t="s">
        <v>20</v>
      </c>
      <c r="E216" t="s">
        <v>11</v>
      </c>
      <c r="F216">
        <v>195.82199999999997</v>
      </c>
      <c r="G216">
        <v>18</v>
      </c>
      <c r="L216" t="s">
        <v>670</v>
      </c>
      <c r="O216" t="s">
        <v>671</v>
      </c>
    </row>
    <row r="217" spans="1:15" x14ac:dyDescent="0.25">
      <c r="A217" t="s">
        <v>18</v>
      </c>
      <c r="B217" t="s">
        <v>670</v>
      </c>
      <c r="C217" t="s">
        <v>672</v>
      </c>
      <c r="D217" t="s">
        <v>20</v>
      </c>
      <c r="E217" t="s">
        <v>11</v>
      </c>
      <c r="F217">
        <v>522.192</v>
      </c>
      <c r="G217">
        <v>18</v>
      </c>
      <c r="L217" t="s">
        <v>673</v>
      </c>
      <c r="O217" t="s">
        <v>674</v>
      </c>
    </row>
    <row r="218" spans="1:15" x14ac:dyDescent="0.25">
      <c r="A218" t="s">
        <v>18</v>
      </c>
      <c r="B218" t="s">
        <v>673</v>
      </c>
      <c r="C218" t="s">
        <v>675</v>
      </c>
      <c r="D218" t="s">
        <v>20</v>
      </c>
      <c r="E218" t="s">
        <v>11</v>
      </c>
      <c r="F218">
        <v>8289.797999999999</v>
      </c>
      <c r="G218">
        <v>18</v>
      </c>
      <c r="L218" t="s">
        <v>676</v>
      </c>
      <c r="O218" t="s">
        <v>677</v>
      </c>
    </row>
    <row r="219" spans="1:15" x14ac:dyDescent="0.25">
      <c r="A219" t="s">
        <v>18</v>
      </c>
      <c r="B219" t="s">
        <v>676</v>
      </c>
      <c r="C219" t="s">
        <v>678</v>
      </c>
      <c r="D219" t="s">
        <v>20</v>
      </c>
      <c r="E219" t="s">
        <v>11</v>
      </c>
      <c r="F219">
        <v>5026.097999999999</v>
      </c>
      <c r="G219">
        <v>18</v>
      </c>
      <c r="L219" t="s">
        <v>679</v>
      </c>
      <c r="O219" t="s">
        <v>680</v>
      </c>
    </row>
    <row r="220" spans="1:15" x14ac:dyDescent="0.25">
      <c r="A220" t="s">
        <v>18</v>
      </c>
      <c r="B220" t="s">
        <v>679</v>
      </c>
      <c r="C220" t="s">
        <v>681</v>
      </c>
      <c r="D220" t="s">
        <v>20</v>
      </c>
      <c r="E220" t="s">
        <v>11</v>
      </c>
      <c r="F220">
        <v>5026.097999999999</v>
      </c>
      <c r="G220">
        <v>18</v>
      </c>
      <c r="L220" t="s">
        <v>682</v>
      </c>
      <c r="O220" t="s">
        <v>683</v>
      </c>
    </row>
    <row r="221" spans="1:15" x14ac:dyDescent="0.25">
      <c r="A221" t="s">
        <v>18</v>
      </c>
      <c r="B221" t="s">
        <v>682</v>
      </c>
      <c r="C221" t="s">
        <v>684</v>
      </c>
      <c r="D221" t="s">
        <v>20</v>
      </c>
      <c r="E221" t="s">
        <v>11</v>
      </c>
      <c r="F221">
        <v>5026.097999999999</v>
      </c>
      <c r="G221">
        <v>18</v>
      </c>
      <c r="L221" t="s">
        <v>685</v>
      </c>
      <c r="O221" t="s">
        <v>686</v>
      </c>
    </row>
    <row r="222" spans="1:15" x14ac:dyDescent="0.25">
      <c r="A222" t="s">
        <v>18</v>
      </c>
      <c r="B222" t="s">
        <v>685</v>
      </c>
      <c r="C222" t="s">
        <v>687</v>
      </c>
      <c r="D222" t="s">
        <v>20</v>
      </c>
      <c r="E222" t="s">
        <v>11</v>
      </c>
      <c r="F222">
        <v>5026.097999999999</v>
      </c>
      <c r="G222">
        <v>18</v>
      </c>
      <c r="L222" t="s">
        <v>688</v>
      </c>
      <c r="O222" t="s">
        <v>689</v>
      </c>
    </row>
    <row r="223" spans="1:15" x14ac:dyDescent="0.25">
      <c r="A223" t="s">
        <v>18</v>
      </c>
      <c r="B223" t="s">
        <v>688</v>
      </c>
      <c r="C223" t="s">
        <v>690</v>
      </c>
      <c r="D223" t="s">
        <v>20</v>
      </c>
      <c r="E223" t="s">
        <v>11</v>
      </c>
      <c r="F223">
        <v>5026.097999999999</v>
      </c>
      <c r="G223">
        <v>18</v>
      </c>
      <c r="L223" t="s">
        <v>691</v>
      </c>
      <c r="O223" t="s">
        <v>692</v>
      </c>
    </row>
    <row r="224" spans="1:15" x14ac:dyDescent="0.25">
      <c r="A224" t="s">
        <v>18</v>
      </c>
      <c r="B224" t="s">
        <v>691</v>
      </c>
      <c r="C224" t="s">
        <v>693</v>
      </c>
      <c r="D224" t="s">
        <v>20</v>
      </c>
      <c r="E224" t="s">
        <v>11</v>
      </c>
      <c r="F224">
        <v>5026.097999999999</v>
      </c>
      <c r="G224">
        <v>18</v>
      </c>
      <c r="L224" t="s">
        <v>694</v>
      </c>
      <c r="O224" t="s">
        <v>695</v>
      </c>
    </row>
    <row r="225" spans="1:15" x14ac:dyDescent="0.25">
      <c r="A225" t="s">
        <v>18</v>
      </c>
      <c r="B225" t="s">
        <v>694</v>
      </c>
      <c r="C225" t="s">
        <v>696</v>
      </c>
      <c r="D225" t="s">
        <v>20</v>
      </c>
      <c r="E225" t="s">
        <v>11</v>
      </c>
      <c r="F225">
        <v>5026.097999999999</v>
      </c>
      <c r="G225">
        <v>18</v>
      </c>
      <c r="L225" t="s">
        <v>697</v>
      </c>
      <c r="O225" t="s">
        <v>698</v>
      </c>
    </row>
    <row r="226" spans="1:15" x14ac:dyDescent="0.25">
      <c r="A226" t="s">
        <v>18</v>
      </c>
      <c r="B226" t="s">
        <v>697</v>
      </c>
      <c r="C226" t="s">
        <v>699</v>
      </c>
      <c r="D226" t="s">
        <v>20</v>
      </c>
      <c r="E226" t="s">
        <v>11</v>
      </c>
      <c r="F226">
        <v>5026.097999999999</v>
      </c>
      <c r="G226">
        <v>18</v>
      </c>
      <c r="L226" t="s">
        <v>700</v>
      </c>
      <c r="O226" t="s">
        <v>701</v>
      </c>
    </row>
    <row r="227" spans="1:15" x14ac:dyDescent="0.25">
      <c r="A227" t="s">
        <v>18</v>
      </c>
      <c r="B227" t="s">
        <v>700</v>
      </c>
      <c r="C227" t="s">
        <v>702</v>
      </c>
      <c r="D227" t="s">
        <v>20</v>
      </c>
      <c r="E227" t="s">
        <v>11</v>
      </c>
      <c r="F227">
        <v>5026.097999999999</v>
      </c>
      <c r="G227">
        <v>18</v>
      </c>
      <c r="L227" t="s">
        <v>703</v>
      </c>
      <c r="O227" t="s">
        <v>704</v>
      </c>
    </row>
    <row r="228" spans="1:15" x14ac:dyDescent="0.25">
      <c r="A228" t="s">
        <v>18</v>
      </c>
      <c r="B228" t="s">
        <v>703</v>
      </c>
      <c r="C228" t="s">
        <v>705</v>
      </c>
      <c r="D228" t="s">
        <v>20</v>
      </c>
      <c r="E228" t="s">
        <v>11</v>
      </c>
      <c r="F228">
        <v>5026.097999999999</v>
      </c>
      <c r="G228">
        <v>18</v>
      </c>
      <c r="L228" t="s">
        <v>706</v>
      </c>
      <c r="O228" t="s">
        <v>707</v>
      </c>
    </row>
    <row r="229" spans="1:15" x14ac:dyDescent="0.25">
      <c r="A229" t="s">
        <v>18</v>
      </c>
      <c r="B229" t="s">
        <v>706</v>
      </c>
      <c r="C229" t="s">
        <v>708</v>
      </c>
      <c r="D229" t="s">
        <v>20</v>
      </c>
      <c r="E229" t="s">
        <v>11</v>
      </c>
      <c r="F229">
        <v>4830.276</v>
      </c>
      <c r="G229">
        <v>18</v>
      </c>
      <c r="L229" t="s">
        <v>709</v>
      </c>
      <c r="O229" t="s">
        <v>710</v>
      </c>
    </row>
    <row r="230" spans="1:15" x14ac:dyDescent="0.25">
      <c r="A230" t="s">
        <v>18</v>
      </c>
      <c r="B230" t="s">
        <v>709</v>
      </c>
      <c r="C230" t="s">
        <v>711</v>
      </c>
      <c r="D230" t="s">
        <v>20</v>
      </c>
      <c r="E230" t="s">
        <v>11</v>
      </c>
      <c r="F230">
        <v>4699.727999999999</v>
      </c>
      <c r="G230">
        <v>18</v>
      </c>
      <c r="L230" t="s">
        <v>712</v>
      </c>
      <c r="O230" t="s">
        <v>713</v>
      </c>
    </row>
    <row r="231" spans="1:15" x14ac:dyDescent="0.25">
      <c r="A231" t="s">
        <v>18</v>
      </c>
      <c r="B231" t="s">
        <v>712</v>
      </c>
      <c r="C231" t="s">
        <v>714</v>
      </c>
      <c r="D231" t="s">
        <v>20</v>
      </c>
      <c r="E231" t="s">
        <v>11</v>
      </c>
      <c r="F231">
        <v>4399.164</v>
      </c>
      <c r="G231">
        <v>18</v>
      </c>
      <c r="L231" t="s">
        <v>715</v>
      </c>
      <c r="O231" t="s">
        <v>716</v>
      </c>
    </row>
    <row r="232" spans="1:15" x14ac:dyDescent="0.25">
      <c r="A232" t="s">
        <v>18</v>
      </c>
      <c r="B232" t="s">
        <v>715</v>
      </c>
      <c r="C232" t="s">
        <v>717</v>
      </c>
      <c r="D232" t="s">
        <v>20</v>
      </c>
      <c r="E232" t="s">
        <v>11</v>
      </c>
      <c r="F232">
        <v>4699.727999999999</v>
      </c>
      <c r="G232">
        <v>18</v>
      </c>
      <c r="L232" t="s">
        <v>718</v>
      </c>
      <c r="O232" t="s">
        <v>719</v>
      </c>
    </row>
    <row r="233" spans="1:15" x14ac:dyDescent="0.25">
      <c r="A233" t="s">
        <v>18</v>
      </c>
      <c r="B233" t="s">
        <v>718</v>
      </c>
      <c r="C233" t="s">
        <v>720</v>
      </c>
      <c r="D233" t="s">
        <v>20</v>
      </c>
      <c r="E233" t="s">
        <v>11</v>
      </c>
      <c r="F233">
        <v>2349.8639999999996</v>
      </c>
      <c r="G233">
        <v>18</v>
      </c>
      <c r="L233" t="s">
        <v>721</v>
      </c>
      <c r="O233" t="s">
        <v>722</v>
      </c>
    </row>
    <row r="234" spans="1:15" x14ac:dyDescent="0.25">
      <c r="A234" t="s">
        <v>18</v>
      </c>
      <c r="B234" t="s">
        <v>721</v>
      </c>
      <c r="C234" t="s">
        <v>723</v>
      </c>
      <c r="D234" t="s">
        <v>20</v>
      </c>
      <c r="E234" t="s">
        <v>11</v>
      </c>
      <c r="F234">
        <v>4308.084</v>
      </c>
      <c r="G234">
        <v>18</v>
      </c>
      <c r="L234" t="s">
        <v>724</v>
      </c>
      <c r="O234" t="s">
        <v>725</v>
      </c>
    </row>
    <row r="235" spans="1:15" x14ac:dyDescent="0.25">
      <c r="A235" t="s">
        <v>18</v>
      </c>
      <c r="B235" t="s">
        <v>724</v>
      </c>
      <c r="C235" t="s">
        <v>726</v>
      </c>
      <c r="D235" t="s">
        <v>20</v>
      </c>
      <c r="E235" t="s">
        <v>11</v>
      </c>
      <c r="F235">
        <v>2872.056</v>
      </c>
      <c r="G235">
        <v>18</v>
      </c>
      <c r="L235" t="s">
        <v>727</v>
      </c>
      <c r="O235" t="s">
        <v>728</v>
      </c>
    </row>
    <row r="236" spans="1:15" x14ac:dyDescent="0.25">
      <c r="A236" t="s">
        <v>18</v>
      </c>
      <c r="B236" t="s">
        <v>727</v>
      </c>
      <c r="C236" t="s">
        <v>729</v>
      </c>
      <c r="D236" t="s">
        <v>20</v>
      </c>
      <c r="E236" t="s">
        <v>11</v>
      </c>
      <c r="F236">
        <v>2415.138</v>
      </c>
      <c r="G236">
        <v>18</v>
      </c>
      <c r="L236" t="s">
        <v>730</v>
      </c>
      <c r="O236" t="s">
        <v>731</v>
      </c>
    </row>
    <row r="237" spans="1:15" x14ac:dyDescent="0.25">
      <c r="A237" t="s">
        <v>18</v>
      </c>
      <c r="B237" t="s">
        <v>730</v>
      </c>
      <c r="C237" t="s">
        <v>732</v>
      </c>
      <c r="D237" t="s">
        <v>20</v>
      </c>
      <c r="E237" t="s">
        <v>11</v>
      </c>
      <c r="F237">
        <v>4242.8099999999995</v>
      </c>
      <c r="G237">
        <v>18</v>
      </c>
      <c r="L237" t="s">
        <v>733</v>
      </c>
      <c r="O237" t="s">
        <v>734</v>
      </c>
    </row>
    <row r="238" spans="1:15" x14ac:dyDescent="0.25">
      <c r="A238" t="s">
        <v>18</v>
      </c>
      <c r="B238" t="s">
        <v>733</v>
      </c>
      <c r="C238" t="s">
        <v>735</v>
      </c>
      <c r="D238" t="s">
        <v>20</v>
      </c>
      <c r="E238" t="s">
        <v>11</v>
      </c>
      <c r="F238">
        <v>4438.632</v>
      </c>
      <c r="G238">
        <v>18</v>
      </c>
      <c r="L238" t="s">
        <v>736</v>
      </c>
      <c r="O238" t="s">
        <v>737</v>
      </c>
    </row>
    <row r="239" spans="1:15" x14ac:dyDescent="0.25">
      <c r="A239" t="s">
        <v>18</v>
      </c>
      <c r="B239" t="s">
        <v>736</v>
      </c>
      <c r="C239" t="s">
        <v>738</v>
      </c>
      <c r="D239" t="s">
        <v>20</v>
      </c>
      <c r="E239" t="s">
        <v>11</v>
      </c>
      <c r="F239">
        <v>2284.59</v>
      </c>
      <c r="G239">
        <v>18</v>
      </c>
      <c r="L239" t="s">
        <v>739</v>
      </c>
      <c r="O239" t="s">
        <v>740</v>
      </c>
    </row>
    <row r="240" spans="1:15" x14ac:dyDescent="0.25">
      <c r="A240" t="s">
        <v>18</v>
      </c>
      <c r="B240" t="s">
        <v>739</v>
      </c>
      <c r="C240" t="s">
        <v>741</v>
      </c>
      <c r="D240" t="s">
        <v>20</v>
      </c>
      <c r="E240" t="s">
        <v>11</v>
      </c>
      <c r="F240">
        <v>2610.96</v>
      </c>
      <c r="G240">
        <v>18</v>
      </c>
      <c r="L240" t="s">
        <v>742</v>
      </c>
      <c r="O240" t="s">
        <v>743</v>
      </c>
    </row>
    <row r="241" spans="1:15" x14ac:dyDescent="0.25">
      <c r="A241" t="s">
        <v>18</v>
      </c>
      <c r="B241" t="s">
        <v>742</v>
      </c>
      <c r="C241" t="s">
        <v>744</v>
      </c>
      <c r="D241" t="s">
        <v>20</v>
      </c>
      <c r="E241" t="s">
        <v>11</v>
      </c>
      <c r="F241">
        <v>4177.536</v>
      </c>
      <c r="G241">
        <v>18</v>
      </c>
      <c r="L241" t="s">
        <v>745</v>
      </c>
      <c r="O241" t="s">
        <v>746</v>
      </c>
    </row>
    <row r="242" spans="1:15" x14ac:dyDescent="0.25">
      <c r="A242" t="s">
        <v>18</v>
      </c>
      <c r="B242" t="s">
        <v>745</v>
      </c>
      <c r="C242" t="s">
        <v>747</v>
      </c>
      <c r="D242" t="s">
        <v>20</v>
      </c>
      <c r="E242" t="s">
        <v>11</v>
      </c>
      <c r="F242">
        <v>4373.358</v>
      </c>
      <c r="G242">
        <v>18</v>
      </c>
      <c r="L242" t="s">
        <v>748</v>
      </c>
      <c r="O242" t="s">
        <v>749</v>
      </c>
    </row>
    <row r="243" spans="1:15" x14ac:dyDescent="0.25">
      <c r="A243" t="s">
        <v>18</v>
      </c>
      <c r="B243" t="s">
        <v>748</v>
      </c>
      <c r="C243" t="s">
        <v>750</v>
      </c>
      <c r="D243" t="s">
        <v>20</v>
      </c>
      <c r="E243" t="s">
        <v>11</v>
      </c>
      <c r="F243">
        <v>7310.688</v>
      </c>
      <c r="G243">
        <v>18</v>
      </c>
      <c r="L243" t="s">
        <v>751</v>
      </c>
      <c r="O243" t="s">
        <v>752</v>
      </c>
    </row>
    <row r="244" spans="1:15" x14ac:dyDescent="0.25">
      <c r="A244" t="s">
        <v>18</v>
      </c>
      <c r="B244" t="s">
        <v>751</v>
      </c>
      <c r="C244" t="s">
        <v>753</v>
      </c>
      <c r="D244" t="s">
        <v>20</v>
      </c>
      <c r="E244" t="s">
        <v>11</v>
      </c>
      <c r="F244">
        <v>3442.824</v>
      </c>
      <c r="G244">
        <v>18</v>
      </c>
      <c r="L244" t="s">
        <v>754</v>
      </c>
      <c r="O244" t="s">
        <v>755</v>
      </c>
    </row>
    <row r="245" spans="1:15" x14ac:dyDescent="0.25">
      <c r="A245" t="s">
        <v>18</v>
      </c>
      <c r="B245" t="s">
        <v>754</v>
      </c>
      <c r="C245" t="s">
        <v>756</v>
      </c>
      <c r="D245" t="s">
        <v>20</v>
      </c>
      <c r="E245" t="s">
        <v>11</v>
      </c>
      <c r="F245">
        <v>2349.8639999999996</v>
      </c>
      <c r="G245">
        <v>18</v>
      </c>
      <c r="L245" t="s">
        <v>757</v>
      </c>
      <c r="O245" t="s">
        <v>758</v>
      </c>
    </row>
    <row r="246" spans="1:15" x14ac:dyDescent="0.25">
      <c r="A246" t="s">
        <v>18</v>
      </c>
      <c r="B246" t="s">
        <v>757</v>
      </c>
      <c r="C246" t="s">
        <v>759</v>
      </c>
      <c r="D246" t="s">
        <v>20</v>
      </c>
      <c r="E246" t="s">
        <v>11</v>
      </c>
      <c r="F246">
        <v>8289.797999999999</v>
      </c>
      <c r="G246">
        <v>18</v>
      </c>
      <c r="L246" t="s">
        <v>760</v>
      </c>
      <c r="O246" t="s">
        <v>761</v>
      </c>
    </row>
    <row r="247" spans="1:15" x14ac:dyDescent="0.25">
      <c r="A247" t="s">
        <v>18</v>
      </c>
      <c r="B247" t="s">
        <v>760</v>
      </c>
      <c r="C247" t="s">
        <v>762</v>
      </c>
      <c r="D247" t="s">
        <v>20</v>
      </c>
      <c r="E247" t="s">
        <v>11</v>
      </c>
      <c r="F247">
        <v>1370.754</v>
      </c>
      <c r="G247">
        <v>18</v>
      </c>
      <c r="L247" t="s">
        <v>763</v>
      </c>
      <c r="O247" t="s">
        <v>764</v>
      </c>
    </row>
    <row r="248" spans="1:15" x14ac:dyDescent="0.25">
      <c r="A248" t="s">
        <v>18</v>
      </c>
      <c r="B248" t="s">
        <v>763</v>
      </c>
      <c r="C248" t="s">
        <v>765</v>
      </c>
      <c r="D248" t="s">
        <v>20</v>
      </c>
      <c r="E248" t="s">
        <v>11</v>
      </c>
      <c r="F248">
        <v>2610.96</v>
      </c>
      <c r="G248">
        <v>18</v>
      </c>
      <c r="L248" t="s">
        <v>766</v>
      </c>
      <c r="O248" t="s">
        <v>767</v>
      </c>
    </row>
    <row r="249" spans="1:15" x14ac:dyDescent="0.25">
      <c r="A249" t="s">
        <v>18</v>
      </c>
      <c r="B249" t="s">
        <v>766</v>
      </c>
      <c r="C249" t="s">
        <v>768</v>
      </c>
      <c r="D249" t="s">
        <v>20</v>
      </c>
      <c r="E249" t="s">
        <v>11</v>
      </c>
      <c r="F249">
        <v>3825.36</v>
      </c>
      <c r="G249">
        <v>18</v>
      </c>
      <c r="L249" t="s">
        <v>769</v>
      </c>
      <c r="O249" t="s">
        <v>770</v>
      </c>
    </row>
    <row r="250" spans="1:15" x14ac:dyDescent="0.25">
      <c r="A250" t="s">
        <v>18</v>
      </c>
      <c r="B250" t="s">
        <v>769</v>
      </c>
      <c r="C250" t="s">
        <v>771</v>
      </c>
      <c r="D250" t="s">
        <v>20</v>
      </c>
      <c r="E250" t="s">
        <v>11</v>
      </c>
      <c r="F250">
        <v>1370.754</v>
      </c>
      <c r="G250">
        <v>18</v>
      </c>
      <c r="L250" t="s">
        <v>772</v>
      </c>
      <c r="O250" t="s">
        <v>773</v>
      </c>
    </row>
    <row r="251" spans="1:15" x14ac:dyDescent="0.25">
      <c r="A251" t="s">
        <v>18</v>
      </c>
      <c r="B251" t="s">
        <v>772</v>
      </c>
      <c r="C251" t="s">
        <v>774</v>
      </c>
      <c r="D251" t="s">
        <v>20</v>
      </c>
      <c r="E251" t="s">
        <v>11</v>
      </c>
      <c r="F251">
        <v>1566.5759999999998</v>
      </c>
      <c r="G251">
        <v>18</v>
      </c>
      <c r="L251" t="s">
        <v>775</v>
      </c>
      <c r="O251" t="s">
        <v>776</v>
      </c>
    </row>
    <row r="252" spans="1:15" x14ac:dyDescent="0.25">
      <c r="A252" t="s">
        <v>18</v>
      </c>
      <c r="B252" t="s">
        <v>775</v>
      </c>
      <c r="C252" t="s">
        <v>777</v>
      </c>
      <c r="D252" t="s">
        <v>20</v>
      </c>
      <c r="E252" t="s">
        <v>11</v>
      </c>
      <c r="F252">
        <v>3720.6179999999995</v>
      </c>
      <c r="G252">
        <v>18</v>
      </c>
      <c r="L252" t="s">
        <v>778</v>
      </c>
      <c r="O252" t="s">
        <v>779</v>
      </c>
    </row>
    <row r="253" spans="1:15" x14ac:dyDescent="0.25">
      <c r="A253" t="s">
        <v>18</v>
      </c>
      <c r="B253" t="s">
        <v>778</v>
      </c>
      <c r="C253" t="s">
        <v>780</v>
      </c>
      <c r="D253" t="s">
        <v>20</v>
      </c>
      <c r="E253" t="s">
        <v>11</v>
      </c>
      <c r="F253">
        <v>4717.944</v>
      </c>
      <c r="G253">
        <v>18</v>
      </c>
      <c r="L253" t="s">
        <v>781</v>
      </c>
      <c r="O253" t="s">
        <v>782</v>
      </c>
    </row>
    <row r="254" spans="1:15" x14ac:dyDescent="0.25">
      <c r="A254" t="s">
        <v>18</v>
      </c>
      <c r="B254" t="s">
        <v>781</v>
      </c>
      <c r="C254" t="s">
        <v>783</v>
      </c>
      <c r="D254" t="s">
        <v>20</v>
      </c>
      <c r="E254" t="s">
        <v>11</v>
      </c>
      <c r="F254">
        <v>3720.6179999999995</v>
      </c>
      <c r="G254">
        <v>18</v>
      </c>
      <c r="L254" t="s">
        <v>784</v>
      </c>
      <c r="O254" t="s">
        <v>785</v>
      </c>
    </row>
    <row r="255" spans="1:15" x14ac:dyDescent="0.25">
      <c r="A255" t="s">
        <v>18</v>
      </c>
      <c r="B255" t="s">
        <v>784</v>
      </c>
      <c r="C255" t="s">
        <v>786</v>
      </c>
      <c r="D255" t="s">
        <v>20</v>
      </c>
      <c r="E255" t="s">
        <v>11</v>
      </c>
      <c r="F255">
        <v>456.918</v>
      </c>
      <c r="G255">
        <v>18</v>
      </c>
      <c r="L255" t="s">
        <v>787</v>
      </c>
      <c r="O255" t="s">
        <v>788</v>
      </c>
    </row>
    <row r="256" spans="1:15" x14ac:dyDescent="0.25">
      <c r="A256" t="s">
        <v>18</v>
      </c>
      <c r="B256" t="s">
        <v>787</v>
      </c>
      <c r="C256" t="s">
        <v>789</v>
      </c>
      <c r="D256" t="s">
        <v>20</v>
      </c>
      <c r="E256" t="s">
        <v>11</v>
      </c>
      <c r="F256">
        <v>456.918</v>
      </c>
      <c r="G256">
        <v>18</v>
      </c>
      <c r="L256" t="s">
        <v>790</v>
      </c>
      <c r="O256" t="s">
        <v>791</v>
      </c>
    </row>
    <row r="257" spans="1:15" x14ac:dyDescent="0.25">
      <c r="A257" t="s">
        <v>18</v>
      </c>
      <c r="B257" t="s">
        <v>790</v>
      </c>
      <c r="C257" t="s">
        <v>792</v>
      </c>
      <c r="D257" t="s">
        <v>20</v>
      </c>
      <c r="E257" t="s">
        <v>11</v>
      </c>
      <c r="F257">
        <v>16840.692</v>
      </c>
      <c r="G257">
        <v>18</v>
      </c>
      <c r="L257" t="s">
        <v>793</v>
      </c>
      <c r="O257" t="s">
        <v>794</v>
      </c>
    </row>
    <row r="258" spans="1:15" x14ac:dyDescent="0.25">
      <c r="A258" t="s">
        <v>18</v>
      </c>
      <c r="B258" t="s">
        <v>793</v>
      </c>
      <c r="C258" t="s">
        <v>795</v>
      </c>
      <c r="D258" t="s">
        <v>20</v>
      </c>
      <c r="E258" t="s">
        <v>11</v>
      </c>
      <c r="F258">
        <v>1305.48</v>
      </c>
      <c r="G258">
        <v>18</v>
      </c>
      <c r="L258" t="s">
        <v>796</v>
      </c>
      <c r="O258" t="s">
        <v>797</v>
      </c>
    </row>
    <row r="259" spans="1:15" x14ac:dyDescent="0.25">
      <c r="A259" t="s">
        <v>18</v>
      </c>
      <c r="B259" t="s">
        <v>796</v>
      </c>
      <c r="C259" t="s">
        <v>798</v>
      </c>
      <c r="D259" t="s">
        <v>20</v>
      </c>
      <c r="E259" t="s">
        <v>11</v>
      </c>
      <c r="F259">
        <v>5221.92</v>
      </c>
      <c r="G259">
        <v>18</v>
      </c>
      <c r="L259" t="s">
        <v>799</v>
      </c>
      <c r="O259" t="s">
        <v>800</v>
      </c>
    </row>
    <row r="260" spans="1:15" x14ac:dyDescent="0.25">
      <c r="A260" t="s">
        <v>18</v>
      </c>
      <c r="B260" t="s">
        <v>799</v>
      </c>
      <c r="C260" t="s">
        <v>801</v>
      </c>
      <c r="D260" t="s">
        <v>20</v>
      </c>
      <c r="E260" t="s">
        <v>11</v>
      </c>
      <c r="F260">
        <v>1436.028</v>
      </c>
      <c r="G260">
        <v>18</v>
      </c>
      <c r="L260" t="s">
        <v>802</v>
      </c>
      <c r="O260" t="s">
        <v>803</v>
      </c>
    </row>
    <row r="261" spans="1:15" x14ac:dyDescent="0.25">
      <c r="A261" t="s">
        <v>18</v>
      </c>
      <c r="B261" t="s">
        <v>802</v>
      </c>
      <c r="C261" t="s">
        <v>804</v>
      </c>
      <c r="D261" t="s">
        <v>20</v>
      </c>
      <c r="E261" t="s">
        <v>11</v>
      </c>
      <c r="F261">
        <v>5221.92</v>
      </c>
      <c r="G261">
        <v>18</v>
      </c>
      <c r="L261" t="s">
        <v>805</v>
      </c>
      <c r="O261" t="s">
        <v>806</v>
      </c>
    </row>
    <row r="262" spans="1:15" x14ac:dyDescent="0.25">
      <c r="A262" t="s">
        <v>18</v>
      </c>
      <c r="B262" t="s">
        <v>805</v>
      </c>
      <c r="C262" t="s">
        <v>807</v>
      </c>
      <c r="D262" t="s">
        <v>20</v>
      </c>
      <c r="E262" t="s">
        <v>11</v>
      </c>
      <c r="F262">
        <v>2872.056</v>
      </c>
      <c r="G262">
        <v>18</v>
      </c>
      <c r="L262" t="s">
        <v>808</v>
      </c>
      <c r="O262" t="s">
        <v>809</v>
      </c>
    </row>
    <row r="263" spans="1:15" x14ac:dyDescent="0.25">
      <c r="A263" t="s">
        <v>18</v>
      </c>
      <c r="B263" t="s">
        <v>808</v>
      </c>
      <c r="C263" t="s">
        <v>810</v>
      </c>
      <c r="D263" t="s">
        <v>20</v>
      </c>
      <c r="E263" t="s">
        <v>11</v>
      </c>
      <c r="F263">
        <v>4438.632</v>
      </c>
      <c r="G263">
        <v>18</v>
      </c>
      <c r="L263" t="s">
        <v>811</v>
      </c>
      <c r="O263" t="s">
        <v>812</v>
      </c>
    </row>
    <row r="264" spans="1:15" x14ac:dyDescent="0.25">
      <c r="A264" t="s">
        <v>18</v>
      </c>
      <c r="B264" t="s">
        <v>811</v>
      </c>
      <c r="C264" t="s">
        <v>813</v>
      </c>
      <c r="D264" t="s">
        <v>20</v>
      </c>
      <c r="E264" t="s">
        <v>11</v>
      </c>
      <c r="F264">
        <v>2872.056</v>
      </c>
      <c r="G264">
        <v>18</v>
      </c>
      <c r="L264" t="s">
        <v>814</v>
      </c>
      <c r="O264" t="s">
        <v>815</v>
      </c>
    </row>
    <row r="265" spans="1:15" x14ac:dyDescent="0.25">
      <c r="A265" t="s">
        <v>18</v>
      </c>
      <c r="B265" t="s">
        <v>814</v>
      </c>
      <c r="C265" t="s">
        <v>816</v>
      </c>
      <c r="D265" t="s">
        <v>20</v>
      </c>
      <c r="E265" t="s">
        <v>11</v>
      </c>
      <c r="F265">
        <v>4765.0019999999995</v>
      </c>
      <c r="G265">
        <v>18</v>
      </c>
      <c r="L265" t="s">
        <v>817</v>
      </c>
      <c r="O265" t="s">
        <v>818</v>
      </c>
    </row>
    <row r="266" spans="1:15" x14ac:dyDescent="0.25">
      <c r="A266" t="s">
        <v>18</v>
      </c>
      <c r="B266" t="s">
        <v>817</v>
      </c>
      <c r="C266" t="s">
        <v>819</v>
      </c>
      <c r="D266" t="s">
        <v>20</v>
      </c>
      <c r="E266" t="s">
        <v>11</v>
      </c>
      <c r="F266">
        <v>7963.428</v>
      </c>
      <c r="G266">
        <v>18</v>
      </c>
      <c r="L266" t="s">
        <v>820</v>
      </c>
      <c r="O266" t="s">
        <v>821</v>
      </c>
    </row>
    <row r="267" spans="1:15" x14ac:dyDescent="0.25">
      <c r="A267" t="s">
        <v>18</v>
      </c>
      <c r="B267" t="s">
        <v>820</v>
      </c>
      <c r="C267" t="s">
        <v>822</v>
      </c>
      <c r="D267" t="s">
        <v>20</v>
      </c>
      <c r="E267" t="s">
        <v>11</v>
      </c>
      <c r="F267">
        <v>8811.99</v>
      </c>
      <c r="G267">
        <v>18</v>
      </c>
      <c r="L267" t="s">
        <v>823</v>
      </c>
      <c r="O267" t="s">
        <v>824</v>
      </c>
    </row>
    <row r="268" spans="1:15" x14ac:dyDescent="0.25">
      <c r="A268" t="s">
        <v>18</v>
      </c>
      <c r="B268" t="s">
        <v>823</v>
      </c>
      <c r="C268" t="s">
        <v>825</v>
      </c>
      <c r="D268" t="s">
        <v>20</v>
      </c>
      <c r="E268" t="s">
        <v>11</v>
      </c>
      <c r="F268">
        <v>3133.1519999999996</v>
      </c>
      <c r="G268">
        <v>18</v>
      </c>
      <c r="L268" t="s">
        <v>826</v>
      </c>
      <c r="O268" t="s">
        <v>827</v>
      </c>
    </row>
    <row r="269" spans="1:15" x14ac:dyDescent="0.25">
      <c r="A269" t="s">
        <v>18</v>
      </c>
      <c r="B269" t="s">
        <v>826</v>
      </c>
      <c r="C269" t="s">
        <v>828</v>
      </c>
      <c r="D269" t="s">
        <v>20</v>
      </c>
      <c r="E269" t="s">
        <v>11</v>
      </c>
      <c r="F269">
        <v>3133.1519999999996</v>
      </c>
      <c r="G269">
        <v>18</v>
      </c>
      <c r="L269" t="s">
        <v>829</v>
      </c>
      <c r="O269" t="s">
        <v>830</v>
      </c>
    </row>
    <row r="270" spans="1:15" x14ac:dyDescent="0.25">
      <c r="A270" t="s">
        <v>18</v>
      </c>
      <c r="B270" t="s">
        <v>829</v>
      </c>
      <c r="C270" t="s">
        <v>831</v>
      </c>
      <c r="D270" t="s">
        <v>20</v>
      </c>
      <c r="E270" t="s">
        <v>11</v>
      </c>
      <c r="F270">
        <v>3590.0699999999997</v>
      </c>
      <c r="G270">
        <v>18</v>
      </c>
      <c r="L270" t="s">
        <v>832</v>
      </c>
      <c r="O270" t="s">
        <v>833</v>
      </c>
    </row>
    <row r="271" spans="1:15" x14ac:dyDescent="0.25">
      <c r="A271" t="s">
        <v>18</v>
      </c>
      <c r="B271" t="s">
        <v>832</v>
      </c>
      <c r="C271" t="s">
        <v>834</v>
      </c>
      <c r="D271" t="s">
        <v>20</v>
      </c>
      <c r="E271" t="s">
        <v>11</v>
      </c>
      <c r="F271">
        <v>3981.714</v>
      </c>
      <c r="G271">
        <v>18</v>
      </c>
      <c r="L271" t="s">
        <v>835</v>
      </c>
      <c r="O271" t="s">
        <v>836</v>
      </c>
    </row>
    <row r="272" spans="1:15" x14ac:dyDescent="0.25">
      <c r="A272" t="s">
        <v>18</v>
      </c>
      <c r="B272" t="s">
        <v>835</v>
      </c>
      <c r="C272" t="s">
        <v>837</v>
      </c>
      <c r="D272" t="s">
        <v>20</v>
      </c>
      <c r="E272" t="s">
        <v>11</v>
      </c>
      <c r="F272">
        <v>7702.332</v>
      </c>
      <c r="G272">
        <v>18</v>
      </c>
      <c r="L272" t="s">
        <v>838</v>
      </c>
      <c r="O272" t="s">
        <v>839</v>
      </c>
    </row>
    <row r="273" spans="1:15" x14ac:dyDescent="0.25">
      <c r="A273" t="s">
        <v>18</v>
      </c>
      <c r="B273" t="s">
        <v>838</v>
      </c>
      <c r="C273" t="s">
        <v>840</v>
      </c>
      <c r="D273" t="s">
        <v>20</v>
      </c>
      <c r="E273" t="s">
        <v>11</v>
      </c>
      <c r="F273">
        <v>5026.097999999999</v>
      </c>
      <c r="G273">
        <v>18</v>
      </c>
      <c r="L273" t="s">
        <v>841</v>
      </c>
      <c r="O273" t="s">
        <v>842</v>
      </c>
    </row>
    <row r="274" spans="1:15" x14ac:dyDescent="0.25">
      <c r="A274" t="s">
        <v>18</v>
      </c>
      <c r="B274" t="s">
        <v>841</v>
      </c>
      <c r="C274" t="s">
        <v>843</v>
      </c>
      <c r="D274" t="s">
        <v>20</v>
      </c>
      <c r="E274" t="s">
        <v>11</v>
      </c>
      <c r="F274">
        <v>3002.604</v>
      </c>
      <c r="G274">
        <v>18</v>
      </c>
      <c r="L274" t="s">
        <v>844</v>
      </c>
      <c r="O274" t="s">
        <v>845</v>
      </c>
    </row>
    <row r="275" spans="1:15" x14ac:dyDescent="0.25">
      <c r="A275" t="s">
        <v>18</v>
      </c>
      <c r="B275" t="s">
        <v>844</v>
      </c>
      <c r="C275" t="s">
        <v>846</v>
      </c>
      <c r="D275" t="s">
        <v>20</v>
      </c>
      <c r="E275" t="s">
        <v>11</v>
      </c>
      <c r="F275">
        <v>5744.112</v>
      </c>
      <c r="G275">
        <v>18</v>
      </c>
      <c r="L275" t="s">
        <v>847</v>
      </c>
      <c r="O275" t="s">
        <v>848</v>
      </c>
    </row>
    <row r="276" spans="1:15" x14ac:dyDescent="0.25">
      <c r="A276" t="s">
        <v>18</v>
      </c>
      <c r="B276" t="s">
        <v>847</v>
      </c>
      <c r="C276" t="s">
        <v>849</v>
      </c>
      <c r="D276" t="s">
        <v>20</v>
      </c>
      <c r="E276" t="s">
        <v>11</v>
      </c>
      <c r="F276">
        <v>1566.5759999999998</v>
      </c>
      <c r="G276">
        <v>18</v>
      </c>
      <c r="L276" t="s">
        <v>850</v>
      </c>
      <c r="O276" t="s">
        <v>851</v>
      </c>
    </row>
    <row r="277" spans="1:15" x14ac:dyDescent="0.25">
      <c r="A277" t="s">
        <v>18</v>
      </c>
      <c r="B277" t="s">
        <v>850</v>
      </c>
      <c r="C277" t="s">
        <v>852</v>
      </c>
      <c r="D277" t="s">
        <v>20</v>
      </c>
      <c r="E277" t="s">
        <v>11</v>
      </c>
      <c r="F277">
        <v>1436.028</v>
      </c>
      <c r="G277">
        <v>18</v>
      </c>
      <c r="L277" t="s">
        <v>853</v>
      </c>
      <c r="O277" t="s">
        <v>854</v>
      </c>
    </row>
    <row r="278" spans="1:15" x14ac:dyDescent="0.25">
      <c r="A278" t="s">
        <v>18</v>
      </c>
      <c r="B278" t="s">
        <v>853</v>
      </c>
      <c r="C278" t="s">
        <v>855</v>
      </c>
      <c r="D278" t="s">
        <v>20</v>
      </c>
      <c r="E278" t="s">
        <v>11</v>
      </c>
      <c r="F278">
        <v>2284.59</v>
      </c>
      <c r="G278">
        <v>18</v>
      </c>
      <c r="L278" t="s">
        <v>856</v>
      </c>
      <c r="O278" t="s">
        <v>857</v>
      </c>
    </row>
    <row r="279" spans="1:15" x14ac:dyDescent="0.25">
      <c r="A279" t="s">
        <v>18</v>
      </c>
      <c r="B279" t="s">
        <v>856</v>
      </c>
      <c r="C279" t="s">
        <v>858</v>
      </c>
      <c r="D279" t="s">
        <v>20</v>
      </c>
      <c r="E279" t="s">
        <v>11</v>
      </c>
      <c r="F279">
        <v>5610.528</v>
      </c>
      <c r="G279">
        <v>18</v>
      </c>
      <c r="L279" t="s">
        <v>859</v>
      </c>
      <c r="O279" t="s">
        <v>860</v>
      </c>
    </row>
    <row r="280" spans="1:15" x14ac:dyDescent="0.25">
      <c r="A280" t="s">
        <v>18</v>
      </c>
      <c r="B280" t="s">
        <v>859</v>
      </c>
      <c r="C280" t="s">
        <v>861</v>
      </c>
      <c r="D280" t="s">
        <v>20</v>
      </c>
      <c r="E280" t="s">
        <v>11</v>
      </c>
      <c r="F280">
        <v>10966.032</v>
      </c>
      <c r="G280">
        <v>18</v>
      </c>
      <c r="L280" t="s">
        <v>862</v>
      </c>
      <c r="O280" t="s">
        <v>863</v>
      </c>
    </row>
    <row r="281" spans="1:15" x14ac:dyDescent="0.25">
      <c r="A281" t="s">
        <v>18</v>
      </c>
      <c r="B281" t="s">
        <v>862</v>
      </c>
      <c r="C281" t="s">
        <v>864</v>
      </c>
      <c r="D281" t="s">
        <v>20</v>
      </c>
      <c r="E281" t="s">
        <v>11</v>
      </c>
      <c r="F281">
        <v>11618.771999999999</v>
      </c>
      <c r="G281">
        <v>18</v>
      </c>
      <c r="L281" t="s">
        <v>865</v>
      </c>
      <c r="O281" t="s">
        <v>866</v>
      </c>
    </row>
    <row r="282" spans="1:15" x14ac:dyDescent="0.25">
      <c r="A282" t="s">
        <v>18</v>
      </c>
      <c r="B282" t="s">
        <v>865</v>
      </c>
      <c r="C282" t="s">
        <v>867</v>
      </c>
      <c r="D282" t="s">
        <v>20</v>
      </c>
      <c r="E282" t="s">
        <v>11</v>
      </c>
      <c r="F282">
        <v>16579.595999999998</v>
      </c>
      <c r="G282">
        <v>18</v>
      </c>
      <c r="L282" t="s">
        <v>868</v>
      </c>
      <c r="O282" t="s">
        <v>869</v>
      </c>
    </row>
    <row r="283" spans="1:15" x14ac:dyDescent="0.25">
      <c r="A283" t="s">
        <v>18</v>
      </c>
      <c r="B283" t="s">
        <v>868</v>
      </c>
      <c r="C283" t="s">
        <v>870</v>
      </c>
      <c r="D283" t="s">
        <v>20</v>
      </c>
      <c r="E283" t="s">
        <v>11</v>
      </c>
      <c r="F283">
        <v>24281.928</v>
      </c>
      <c r="G283">
        <v>18</v>
      </c>
      <c r="L283" t="s">
        <v>871</v>
      </c>
      <c r="O283" t="s">
        <v>872</v>
      </c>
    </row>
    <row r="284" spans="1:15" x14ac:dyDescent="0.25">
      <c r="A284" t="s">
        <v>18</v>
      </c>
      <c r="B284" t="s">
        <v>871</v>
      </c>
      <c r="C284" t="s">
        <v>873</v>
      </c>
      <c r="D284" t="s">
        <v>20</v>
      </c>
      <c r="E284" t="s">
        <v>11</v>
      </c>
      <c r="F284">
        <v>1370.754</v>
      </c>
      <c r="G284">
        <v>18</v>
      </c>
      <c r="L284" t="s">
        <v>874</v>
      </c>
      <c r="O284" t="s">
        <v>875</v>
      </c>
    </row>
    <row r="285" spans="1:15" x14ac:dyDescent="0.25">
      <c r="A285" t="s">
        <v>18</v>
      </c>
      <c r="B285" t="s">
        <v>874</v>
      </c>
      <c r="C285" t="s">
        <v>876</v>
      </c>
      <c r="D285" t="s">
        <v>20</v>
      </c>
      <c r="E285" t="s">
        <v>11</v>
      </c>
      <c r="F285">
        <v>1370.754</v>
      </c>
      <c r="G285">
        <v>18</v>
      </c>
      <c r="L285" t="s">
        <v>877</v>
      </c>
      <c r="O285" t="s">
        <v>878</v>
      </c>
    </row>
    <row r="286" spans="1:15" x14ac:dyDescent="0.25">
      <c r="A286" t="s">
        <v>18</v>
      </c>
      <c r="B286" t="s">
        <v>877</v>
      </c>
      <c r="C286" t="s">
        <v>879</v>
      </c>
      <c r="D286" t="s">
        <v>20</v>
      </c>
      <c r="E286" t="s">
        <v>11</v>
      </c>
      <c r="F286">
        <v>6005.208</v>
      </c>
      <c r="G286">
        <v>18</v>
      </c>
      <c r="L286" t="s">
        <v>880</v>
      </c>
      <c r="O286" t="s">
        <v>881</v>
      </c>
    </row>
    <row r="287" spans="1:15" x14ac:dyDescent="0.25">
      <c r="A287" t="s">
        <v>18</v>
      </c>
      <c r="B287" t="s">
        <v>880</v>
      </c>
      <c r="C287" t="s">
        <v>882</v>
      </c>
      <c r="D287" t="s">
        <v>20</v>
      </c>
      <c r="E287" t="s">
        <v>11</v>
      </c>
      <c r="F287">
        <v>4242.8099999999995</v>
      </c>
      <c r="G287">
        <v>18</v>
      </c>
      <c r="L287" t="s">
        <v>883</v>
      </c>
      <c r="O287" t="s">
        <v>884</v>
      </c>
    </row>
    <row r="288" spans="1:15" x14ac:dyDescent="0.25">
      <c r="A288" t="s">
        <v>18</v>
      </c>
      <c r="B288" t="s">
        <v>883</v>
      </c>
      <c r="C288" t="s">
        <v>885</v>
      </c>
      <c r="D288" t="s">
        <v>20</v>
      </c>
      <c r="E288" t="s">
        <v>11</v>
      </c>
      <c r="F288">
        <v>4569.18</v>
      </c>
      <c r="G288">
        <v>18</v>
      </c>
      <c r="L288" t="s">
        <v>886</v>
      </c>
      <c r="O288" t="s">
        <v>887</v>
      </c>
    </row>
    <row r="289" spans="1:15" x14ac:dyDescent="0.25">
      <c r="A289" t="s">
        <v>18</v>
      </c>
      <c r="B289" t="s">
        <v>886</v>
      </c>
      <c r="C289" t="s">
        <v>888</v>
      </c>
      <c r="D289" t="s">
        <v>20</v>
      </c>
      <c r="E289" t="s">
        <v>11</v>
      </c>
      <c r="F289">
        <v>4830.276</v>
      </c>
      <c r="G289">
        <v>18</v>
      </c>
      <c r="L289" t="s">
        <v>889</v>
      </c>
      <c r="O289" t="s">
        <v>890</v>
      </c>
    </row>
    <row r="290" spans="1:15" x14ac:dyDescent="0.25">
      <c r="A290" t="s">
        <v>18</v>
      </c>
      <c r="B290" t="s">
        <v>889</v>
      </c>
      <c r="C290" t="s">
        <v>891</v>
      </c>
      <c r="D290" t="s">
        <v>20</v>
      </c>
      <c r="E290" t="s">
        <v>11</v>
      </c>
      <c r="F290">
        <v>2872.056</v>
      </c>
      <c r="G290">
        <v>18</v>
      </c>
      <c r="L290" t="s">
        <v>892</v>
      </c>
      <c r="O290" t="s">
        <v>893</v>
      </c>
    </row>
    <row r="291" spans="1:15" x14ac:dyDescent="0.25">
      <c r="A291" t="s">
        <v>18</v>
      </c>
      <c r="B291" t="s">
        <v>892</v>
      </c>
      <c r="C291" t="s">
        <v>894</v>
      </c>
      <c r="D291" t="s">
        <v>20</v>
      </c>
      <c r="E291" t="s">
        <v>11</v>
      </c>
      <c r="F291">
        <v>36553.44</v>
      </c>
      <c r="G291">
        <v>18</v>
      </c>
      <c r="L291" t="s">
        <v>895</v>
      </c>
      <c r="O291" t="s">
        <v>896</v>
      </c>
    </row>
    <row r="292" spans="1:15" x14ac:dyDescent="0.25">
      <c r="A292" t="s">
        <v>18</v>
      </c>
      <c r="B292" t="s">
        <v>895</v>
      </c>
      <c r="C292" t="s">
        <v>897</v>
      </c>
      <c r="D292" t="s">
        <v>20</v>
      </c>
      <c r="E292" t="s">
        <v>11</v>
      </c>
      <c r="F292">
        <v>4335.407999999999</v>
      </c>
      <c r="G292">
        <v>18</v>
      </c>
      <c r="L292" t="s">
        <v>898</v>
      </c>
      <c r="O292" t="s">
        <v>899</v>
      </c>
    </row>
    <row r="293" spans="1:15" x14ac:dyDescent="0.25">
      <c r="A293" t="s">
        <v>18</v>
      </c>
      <c r="B293" t="s">
        <v>898</v>
      </c>
      <c r="C293" t="s">
        <v>900</v>
      </c>
      <c r="D293" t="s">
        <v>20</v>
      </c>
      <c r="E293" t="s">
        <v>11</v>
      </c>
      <c r="F293">
        <v>5417.742</v>
      </c>
      <c r="G293">
        <v>18</v>
      </c>
      <c r="L293" t="s">
        <v>901</v>
      </c>
      <c r="O293" t="s">
        <v>902</v>
      </c>
    </row>
    <row r="294" spans="1:15" x14ac:dyDescent="0.25">
      <c r="A294" t="s">
        <v>18</v>
      </c>
      <c r="B294" t="s">
        <v>901</v>
      </c>
      <c r="C294" t="s">
        <v>903</v>
      </c>
      <c r="D294" t="s">
        <v>20</v>
      </c>
      <c r="E294" t="s">
        <v>11</v>
      </c>
      <c r="F294">
        <v>3263.7</v>
      </c>
      <c r="G294">
        <v>18</v>
      </c>
      <c r="L294" t="s">
        <v>904</v>
      </c>
      <c r="O294" t="s">
        <v>905</v>
      </c>
    </row>
    <row r="295" spans="1:15" x14ac:dyDescent="0.25">
      <c r="A295" t="s">
        <v>18</v>
      </c>
      <c r="B295" t="s">
        <v>904</v>
      </c>
      <c r="C295" t="s">
        <v>906</v>
      </c>
      <c r="D295" t="s">
        <v>20</v>
      </c>
      <c r="E295" t="s">
        <v>11</v>
      </c>
      <c r="F295">
        <v>19255.829999999998</v>
      </c>
      <c r="G295">
        <v>18</v>
      </c>
      <c r="L295" t="s">
        <v>907</v>
      </c>
      <c r="O295" t="s">
        <v>908</v>
      </c>
    </row>
    <row r="296" spans="1:15" x14ac:dyDescent="0.25">
      <c r="A296" t="s">
        <v>18</v>
      </c>
      <c r="B296" t="s">
        <v>907</v>
      </c>
      <c r="C296" t="s">
        <v>909</v>
      </c>
      <c r="D296" t="s">
        <v>20</v>
      </c>
      <c r="E296" t="s">
        <v>11</v>
      </c>
      <c r="F296">
        <v>4895.55</v>
      </c>
      <c r="G296">
        <v>18</v>
      </c>
      <c r="L296" t="s">
        <v>910</v>
      </c>
      <c r="O296" t="s">
        <v>911</v>
      </c>
    </row>
    <row r="297" spans="1:15" x14ac:dyDescent="0.25">
      <c r="A297" t="s">
        <v>18</v>
      </c>
      <c r="B297" t="s">
        <v>910</v>
      </c>
      <c r="C297" t="s">
        <v>912</v>
      </c>
      <c r="D297" t="s">
        <v>20</v>
      </c>
      <c r="E297" t="s">
        <v>11</v>
      </c>
      <c r="F297">
        <v>5352.468</v>
      </c>
      <c r="G297">
        <v>18</v>
      </c>
      <c r="L297" t="s">
        <v>913</v>
      </c>
      <c r="O297" t="s">
        <v>914</v>
      </c>
    </row>
    <row r="298" spans="1:15" x14ac:dyDescent="0.25">
      <c r="A298" t="s">
        <v>18</v>
      </c>
      <c r="B298" t="s">
        <v>913</v>
      </c>
      <c r="C298" t="s">
        <v>915</v>
      </c>
      <c r="D298" t="s">
        <v>20</v>
      </c>
      <c r="E298" t="s">
        <v>11</v>
      </c>
      <c r="F298">
        <v>6135.755999999999</v>
      </c>
      <c r="G298">
        <v>18</v>
      </c>
      <c r="L298" t="s">
        <v>916</v>
      </c>
      <c r="O298" t="s">
        <v>917</v>
      </c>
    </row>
    <row r="299" spans="1:15" x14ac:dyDescent="0.25">
      <c r="A299" t="s">
        <v>18</v>
      </c>
      <c r="B299" t="s">
        <v>916</v>
      </c>
      <c r="C299" t="s">
        <v>918</v>
      </c>
      <c r="D299" t="s">
        <v>20</v>
      </c>
      <c r="E299" t="s">
        <v>11</v>
      </c>
      <c r="F299">
        <v>4765.0019999999995</v>
      </c>
      <c r="G299">
        <v>18</v>
      </c>
      <c r="L299" t="s">
        <v>919</v>
      </c>
      <c r="O299" t="s">
        <v>920</v>
      </c>
    </row>
    <row r="300" spans="1:15" x14ac:dyDescent="0.25">
      <c r="A300" t="s">
        <v>18</v>
      </c>
      <c r="B300" t="s">
        <v>919</v>
      </c>
      <c r="C300" t="s">
        <v>921</v>
      </c>
      <c r="D300" t="s">
        <v>20</v>
      </c>
      <c r="E300" t="s">
        <v>11</v>
      </c>
      <c r="F300">
        <v>4895.55</v>
      </c>
      <c r="G300">
        <v>18</v>
      </c>
      <c r="L300" t="s">
        <v>922</v>
      </c>
      <c r="O300" t="s">
        <v>923</v>
      </c>
    </row>
    <row r="301" spans="1:15" x14ac:dyDescent="0.25">
      <c r="A301" t="s">
        <v>18</v>
      </c>
      <c r="B301" t="s">
        <v>922</v>
      </c>
      <c r="C301" t="s">
        <v>924</v>
      </c>
      <c r="D301" t="s">
        <v>20</v>
      </c>
      <c r="E301" t="s">
        <v>11</v>
      </c>
      <c r="F301">
        <v>12402.060000000001</v>
      </c>
      <c r="G301">
        <v>18</v>
      </c>
      <c r="L301" t="s">
        <v>925</v>
      </c>
      <c r="O301" t="s">
        <v>926</v>
      </c>
    </row>
    <row r="302" spans="1:15" x14ac:dyDescent="0.25">
      <c r="A302" t="s">
        <v>18</v>
      </c>
      <c r="B302" t="s">
        <v>925</v>
      </c>
      <c r="C302" t="s">
        <v>927</v>
      </c>
      <c r="D302" t="s">
        <v>20</v>
      </c>
      <c r="E302" t="s">
        <v>11</v>
      </c>
      <c r="F302">
        <v>12402.060000000001</v>
      </c>
      <c r="G302">
        <v>18</v>
      </c>
      <c r="L302" t="s">
        <v>928</v>
      </c>
      <c r="O302" t="s">
        <v>929</v>
      </c>
    </row>
    <row r="303" spans="1:15" x14ac:dyDescent="0.25">
      <c r="A303" t="s">
        <v>18</v>
      </c>
      <c r="B303" t="s">
        <v>928</v>
      </c>
      <c r="C303" t="s">
        <v>930</v>
      </c>
      <c r="D303" t="s">
        <v>20</v>
      </c>
      <c r="E303" t="s">
        <v>11</v>
      </c>
      <c r="F303">
        <v>3394.2479999999996</v>
      </c>
      <c r="G303">
        <v>18</v>
      </c>
      <c r="L303" t="s">
        <v>931</v>
      </c>
      <c r="O303" t="s">
        <v>932</v>
      </c>
    </row>
    <row r="304" spans="1:15" x14ac:dyDescent="0.25">
      <c r="A304" t="s">
        <v>18</v>
      </c>
      <c r="B304" t="s">
        <v>931</v>
      </c>
      <c r="C304" t="s">
        <v>933</v>
      </c>
      <c r="D304" t="s">
        <v>20</v>
      </c>
      <c r="E304" t="s">
        <v>11</v>
      </c>
      <c r="F304">
        <v>12597.882</v>
      </c>
      <c r="G304">
        <v>18</v>
      </c>
      <c r="L304" t="s">
        <v>934</v>
      </c>
      <c r="O304" t="s">
        <v>935</v>
      </c>
    </row>
    <row r="305" spans="1:15" x14ac:dyDescent="0.25">
      <c r="A305" t="s">
        <v>18</v>
      </c>
      <c r="B305" t="s">
        <v>934</v>
      </c>
      <c r="C305" t="s">
        <v>936</v>
      </c>
      <c r="D305" t="s">
        <v>20</v>
      </c>
      <c r="E305" t="s">
        <v>11</v>
      </c>
      <c r="F305">
        <v>8289.797999999999</v>
      </c>
      <c r="G305">
        <v>18</v>
      </c>
      <c r="L305" t="s">
        <v>937</v>
      </c>
      <c r="O305" t="s">
        <v>938</v>
      </c>
    </row>
    <row r="306" spans="1:15" x14ac:dyDescent="0.25">
      <c r="A306" t="s">
        <v>18</v>
      </c>
      <c r="B306" t="s">
        <v>937</v>
      </c>
      <c r="C306" t="s">
        <v>939</v>
      </c>
      <c r="D306" t="s">
        <v>20</v>
      </c>
      <c r="E306" t="s">
        <v>11</v>
      </c>
      <c r="F306">
        <v>9399.455999999998</v>
      </c>
      <c r="G306">
        <v>18</v>
      </c>
      <c r="L306" t="s">
        <v>940</v>
      </c>
      <c r="O306" t="s">
        <v>941</v>
      </c>
    </row>
    <row r="307" spans="1:15" x14ac:dyDescent="0.25">
      <c r="A307" t="s">
        <v>18</v>
      </c>
      <c r="B307" t="s">
        <v>940</v>
      </c>
      <c r="C307" t="s">
        <v>942</v>
      </c>
      <c r="D307" t="s">
        <v>20</v>
      </c>
      <c r="E307" t="s">
        <v>11</v>
      </c>
      <c r="F307">
        <v>7963.428</v>
      </c>
      <c r="G307">
        <v>18</v>
      </c>
      <c r="L307" t="s">
        <v>943</v>
      </c>
      <c r="O307" t="s">
        <v>944</v>
      </c>
    </row>
    <row r="308" spans="1:15" x14ac:dyDescent="0.25">
      <c r="A308" t="s">
        <v>18</v>
      </c>
      <c r="B308" t="s">
        <v>943</v>
      </c>
      <c r="C308" t="s">
        <v>945</v>
      </c>
      <c r="D308" t="s">
        <v>20</v>
      </c>
      <c r="E308" t="s">
        <v>11</v>
      </c>
      <c r="F308">
        <v>7767.605999999999</v>
      </c>
      <c r="G308">
        <v>18</v>
      </c>
      <c r="L308" t="s">
        <v>946</v>
      </c>
      <c r="O308" t="s">
        <v>947</v>
      </c>
    </row>
    <row r="309" spans="1:15" x14ac:dyDescent="0.25">
      <c r="A309" t="s">
        <v>18</v>
      </c>
      <c r="B309" t="s">
        <v>946</v>
      </c>
      <c r="C309" t="s">
        <v>948</v>
      </c>
      <c r="D309" t="s">
        <v>20</v>
      </c>
      <c r="E309" t="s">
        <v>11</v>
      </c>
      <c r="F309">
        <v>7963.428</v>
      </c>
      <c r="G309">
        <v>18</v>
      </c>
      <c r="L309" t="s">
        <v>949</v>
      </c>
      <c r="O309" t="s">
        <v>950</v>
      </c>
    </row>
    <row r="310" spans="1:15" x14ac:dyDescent="0.25">
      <c r="A310" t="s">
        <v>18</v>
      </c>
      <c r="B310" t="s">
        <v>949</v>
      </c>
      <c r="C310" t="s">
        <v>951</v>
      </c>
      <c r="D310" t="s">
        <v>20</v>
      </c>
      <c r="E310" t="s">
        <v>11</v>
      </c>
      <c r="F310">
        <v>5809.3859999999995</v>
      </c>
      <c r="G310">
        <v>18</v>
      </c>
      <c r="L310" t="s">
        <v>952</v>
      </c>
      <c r="O310" t="s">
        <v>953</v>
      </c>
    </row>
    <row r="311" spans="1:15" x14ac:dyDescent="0.25">
      <c r="A311" t="s">
        <v>18</v>
      </c>
      <c r="B311" t="s">
        <v>952</v>
      </c>
      <c r="C311" t="s">
        <v>954</v>
      </c>
      <c r="D311" t="s">
        <v>20</v>
      </c>
      <c r="E311" t="s">
        <v>11</v>
      </c>
      <c r="F311">
        <v>10443.84</v>
      </c>
      <c r="G311">
        <v>18</v>
      </c>
      <c r="L311" t="s">
        <v>955</v>
      </c>
      <c r="O311" t="s">
        <v>956</v>
      </c>
    </row>
    <row r="312" spans="1:15" x14ac:dyDescent="0.25">
      <c r="A312" t="s">
        <v>18</v>
      </c>
      <c r="B312" t="s">
        <v>955</v>
      </c>
      <c r="C312" t="s">
        <v>957</v>
      </c>
      <c r="D312" t="s">
        <v>20</v>
      </c>
      <c r="E312" t="s">
        <v>11</v>
      </c>
      <c r="F312">
        <v>11684.045999999998</v>
      </c>
      <c r="G312">
        <v>18</v>
      </c>
      <c r="L312" t="s">
        <v>958</v>
      </c>
      <c r="O312" t="s">
        <v>959</v>
      </c>
    </row>
    <row r="313" spans="1:15" x14ac:dyDescent="0.25">
      <c r="A313" t="s">
        <v>18</v>
      </c>
      <c r="B313" t="s">
        <v>958</v>
      </c>
      <c r="C313" t="s">
        <v>960</v>
      </c>
      <c r="D313" t="s">
        <v>20</v>
      </c>
      <c r="E313" t="s">
        <v>11</v>
      </c>
      <c r="F313">
        <v>10704.936</v>
      </c>
      <c r="G313">
        <v>18</v>
      </c>
      <c r="L313" t="s">
        <v>961</v>
      </c>
      <c r="O313" t="s">
        <v>962</v>
      </c>
    </row>
    <row r="314" spans="1:15" x14ac:dyDescent="0.25">
      <c r="A314" t="s">
        <v>18</v>
      </c>
      <c r="B314" t="s">
        <v>961</v>
      </c>
      <c r="C314" t="s">
        <v>963</v>
      </c>
      <c r="D314" t="s">
        <v>20</v>
      </c>
      <c r="E314" t="s">
        <v>11</v>
      </c>
      <c r="F314">
        <v>10704.936</v>
      </c>
      <c r="G314">
        <v>18</v>
      </c>
      <c r="L314" t="s">
        <v>964</v>
      </c>
      <c r="O314" t="s">
        <v>965</v>
      </c>
    </row>
    <row r="315" spans="1:15" x14ac:dyDescent="0.25">
      <c r="A315" t="s">
        <v>18</v>
      </c>
      <c r="B315" t="s">
        <v>964</v>
      </c>
      <c r="C315" t="s">
        <v>966</v>
      </c>
      <c r="D315" t="s">
        <v>20</v>
      </c>
      <c r="E315" t="s">
        <v>11</v>
      </c>
      <c r="F315">
        <v>9464.73</v>
      </c>
      <c r="G315">
        <v>18</v>
      </c>
      <c r="L315" t="s">
        <v>967</v>
      </c>
      <c r="O315" t="s">
        <v>968</v>
      </c>
    </row>
    <row r="316" spans="1:15" x14ac:dyDescent="0.25">
      <c r="A316" t="s">
        <v>18</v>
      </c>
      <c r="B316" t="s">
        <v>967</v>
      </c>
      <c r="C316" t="s">
        <v>969</v>
      </c>
      <c r="D316" t="s">
        <v>20</v>
      </c>
      <c r="E316" t="s">
        <v>11</v>
      </c>
      <c r="F316">
        <v>9986.921999999999</v>
      </c>
      <c r="G316">
        <v>18</v>
      </c>
      <c r="L316" t="s">
        <v>970</v>
      </c>
      <c r="O316" t="s">
        <v>971</v>
      </c>
    </row>
    <row r="317" spans="1:15" x14ac:dyDescent="0.25">
      <c r="A317" t="s">
        <v>18</v>
      </c>
      <c r="B317" t="s">
        <v>970</v>
      </c>
      <c r="C317" t="s">
        <v>972</v>
      </c>
      <c r="D317" t="s">
        <v>20</v>
      </c>
      <c r="E317" t="s">
        <v>11</v>
      </c>
      <c r="F317">
        <v>13185.347999999998</v>
      </c>
      <c r="G317">
        <v>18</v>
      </c>
      <c r="L317" t="s">
        <v>973</v>
      </c>
      <c r="O317" t="s">
        <v>974</v>
      </c>
    </row>
    <row r="318" spans="1:15" x14ac:dyDescent="0.25">
      <c r="A318" t="s">
        <v>18</v>
      </c>
      <c r="B318" t="s">
        <v>973</v>
      </c>
      <c r="C318" t="s">
        <v>975</v>
      </c>
      <c r="D318" t="s">
        <v>20</v>
      </c>
      <c r="E318" t="s">
        <v>11</v>
      </c>
      <c r="F318">
        <v>3002.604</v>
      </c>
      <c r="G318">
        <v>18</v>
      </c>
      <c r="L318" t="s">
        <v>976</v>
      </c>
      <c r="O318" t="s">
        <v>977</v>
      </c>
    </row>
    <row r="319" spans="1:15" x14ac:dyDescent="0.25">
      <c r="A319" t="s">
        <v>18</v>
      </c>
      <c r="B319" t="s">
        <v>976</v>
      </c>
      <c r="C319" t="s">
        <v>978</v>
      </c>
      <c r="D319" t="s">
        <v>20</v>
      </c>
      <c r="E319" t="s">
        <v>11</v>
      </c>
      <c r="F319">
        <v>7637.058</v>
      </c>
      <c r="G319">
        <v>18</v>
      </c>
      <c r="L319" t="s">
        <v>979</v>
      </c>
      <c r="O319" t="s">
        <v>980</v>
      </c>
    </row>
    <row r="320" spans="1:15" x14ac:dyDescent="0.25">
      <c r="A320" t="s">
        <v>18</v>
      </c>
      <c r="B320" t="s">
        <v>979</v>
      </c>
      <c r="C320" t="s">
        <v>981</v>
      </c>
      <c r="D320" t="s">
        <v>20</v>
      </c>
      <c r="E320" t="s">
        <v>11</v>
      </c>
      <c r="F320">
        <v>7778.232000000001</v>
      </c>
      <c r="G320">
        <v>18</v>
      </c>
      <c r="L320" t="s">
        <v>982</v>
      </c>
      <c r="O320" t="s">
        <v>983</v>
      </c>
    </row>
    <row r="321" spans="1:15" x14ac:dyDescent="0.25">
      <c r="A321" t="s">
        <v>18</v>
      </c>
      <c r="B321" t="s">
        <v>982</v>
      </c>
      <c r="C321" t="s">
        <v>984</v>
      </c>
      <c r="D321" t="s">
        <v>20</v>
      </c>
      <c r="E321" t="s">
        <v>11</v>
      </c>
      <c r="F321">
        <v>7310.688</v>
      </c>
      <c r="G321">
        <v>18</v>
      </c>
      <c r="L321" t="s">
        <v>985</v>
      </c>
      <c r="O321" t="s">
        <v>986</v>
      </c>
    </row>
    <row r="322" spans="1:15" x14ac:dyDescent="0.25">
      <c r="A322" t="s">
        <v>18</v>
      </c>
      <c r="B322" t="s">
        <v>985</v>
      </c>
      <c r="C322" t="s">
        <v>987</v>
      </c>
      <c r="D322" t="s">
        <v>20</v>
      </c>
      <c r="E322" t="s">
        <v>11</v>
      </c>
      <c r="F322">
        <v>4699.727999999999</v>
      </c>
      <c r="G322">
        <v>18</v>
      </c>
      <c r="L322" t="s">
        <v>988</v>
      </c>
      <c r="O322" t="s">
        <v>989</v>
      </c>
    </row>
    <row r="323" spans="1:15" x14ac:dyDescent="0.25">
      <c r="A323" t="s">
        <v>18</v>
      </c>
      <c r="B323" t="s">
        <v>988</v>
      </c>
      <c r="C323" t="s">
        <v>990</v>
      </c>
      <c r="D323" t="s">
        <v>20</v>
      </c>
      <c r="E323" t="s">
        <v>11</v>
      </c>
      <c r="F323">
        <v>5744.112</v>
      </c>
      <c r="G323">
        <v>18</v>
      </c>
      <c r="L323" t="s">
        <v>991</v>
      </c>
      <c r="O323" t="s">
        <v>992</v>
      </c>
    </row>
    <row r="324" spans="1:15" x14ac:dyDescent="0.25">
      <c r="A324" t="s">
        <v>18</v>
      </c>
      <c r="B324" t="s">
        <v>991</v>
      </c>
      <c r="C324" t="s">
        <v>993</v>
      </c>
      <c r="D324" t="s">
        <v>20</v>
      </c>
      <c r="E324" t="s">
        <v>11</v>
      </c>
      <c r="F324">
        <v>4373.358</v>
      </c>
      <c r="G324">
        <v>18</v>
      </c>
      <c r="L324" t="s">
        <v>994</v>
      </c>
      <c r="O324" t="s">
        <v>995</v>
      </c>
    </row>
    <row r="325" spans="1:15" x14ac:dyDescent="0.25">
      <c r="A325" t="s">
        <v>18</v>
      </c>
      <c r="B325" t="s">
        <v>994</v>
      </c>
      <c r="C325" t="s">
        <v>996</v>
      </c>
      <c r="D325" t="s">
        <v>20</v>
      </c>
      <c r="E325" t="s">
        <v>11</v>
      </c>
      <c r="F325">
        <v>3981.714</v>
      </c>
      <c r="G325">
        <v>18</v>
      </c>
      <c r="L325" t="s">
        <v>997</v>
      </c>
      <c r="O325" t="s">
        <v>998</v>
      </c>
    </row>
    <row r="326" spans="1:15" x14ac:dyDescent="0.25">
      <c r="A326" t="s">
        <v>18</v>
      </c>
      <c r="B326" t="s">
        <v>997</v>
      </c>
      <c r="C326" t="s">
        <v>999</v>
      </c>
      <c r="D326" t="s">
        <v>20</v>
      </c>
      <c r="E326" t="s">
        <v>11</v>
      </c>
      <c r="F326">
        <v>3590.0699999999997</v>
      </c>
      <c r="G326">
        <v>18</v>
      </c>
      <c r="L326" t="s">
        <v>1000</v>
      </c>
      <c r="O326" t="s">
        <v>1001</v>
      </c>
    </row>
    <row r="327" spans="1:15" x14ac:dyDescent="0.25">
      <c r="A327" t="s">
        <v>18</v>
      </c>
      <c r="B327" t="s">
        <v>1000</v>
      </c>
      <c r="C327" t="s">
        <v>1002</v>
      </c>
      <c r="D327" t="s">
        <v>20</v>
      </c>
      <c r="E327" t="s">
        <v>11</v>
      </c>
      <c r="F327">
        <v>4308.084</v>
      </c>
      <c r="G327">
        <v>18</v>
      </c>
      <c r="L327" t="s">
        <v>1003</v>
      </c>
      <c r="O327" t="s">
        <v>1004</v>
      </c>
    </row>
    <row r="328" spans="1:15" x14ac:dyDescent="0.25">
      <c r="A328" t="s">
        <v>18</v>
      </c>
      <c r="B328" t="s">
        <v>1003</v>
      </c>
      <c r="C328" t="s">
        <v>1005</v>
      </c>
      <c r="D328" t="s">
        <v>20</v>
      </c>
      <c r="E328" t="s">
        <v>11</v>
      </c>
      <c r="F328">
        <v>5026.097999999999</v>
      </c>
      <c r="G328">
        <v>18</v>
      </c>
      <c r="L328" t="s">
        <v>1006</v>
      </c>
      <c r="O328" t="s">
        <v>1007</v>
      </c>
    </row>
    <row r="329" spans="1:15" x14ac:dyDescent="0.25">
      <c r="A329" t="s">
        <v>18</v>
      </c>
      <c r="B329" t="s">
        <v>1006</v>
      </c>
      <c r="C329" t="s">
        <v>1008</v>
      </c>
      <c r="D329" t="s">
        <v>20</v>
      </c>
      <c r="E329" t="s">
        <v>11</v>
      </c>
      <c r="F329">
        <v>4503.906</v>
      </c>
      <c r="G329">
        <v>18</v>
      </c>
      <c r="L329" t="s">
        <v>1009</v>
      </c>
      <c r="O329" t="s">
        <v>1010</v>
      </c>
    </row>
    <row r="330" spans="1:15" x14ac:dyDescent="0.25">
      <c r="A330" t="s">
        <v>18</v>
      </c>
      <c r="B330" t="s">
        <v>1009</v>
      </c>
      <c r="C330" t="s">
        <v>1011</v>
      </c>
      <c r="D330" t="s">
        <v>20</v>
      </c>
      <c r="E330" t="s">
        <v>11</v>
      </c>
      <c r="F330">
        <v>7180.139999999999</v>
      </c>
      <c r="G330">
        <v>18</v>
      </c>
      <c r="L330" t="s">
        <v>1012</v>
      </c>
      <c r="O330" t="s">
        <v>1013</v>
      </c>
    </row>
    <row r="331" spans="1:15" x14ac:dyDescent="0.25">
      <c r="A331" t="s">
        <v>18</v>
      </c>
      <c r="B331" t="s">
        <v>1012</v>
      </c>
      <c r="C331" t="s">
        <v>1014</v>
      </c>
      <c r="D331" t="s">
        <v>20</v>
      </c>
      <c r="E331" t="s">
        <v>11</v>
      </c>
      <c r="F331">
        <v>9399.455999999998</v>
      </c>
      <c r="G331">
        <v>18</v>
      </c>
      <c r="L331" t="s">
        <v>1015</v>
      </c>
      <c r="O331" t="s">
        <v>1016</v>
      </c>
    </row>
    <row r="332" spans="1:15" x14ac:dyDescent="0.25">
      <c r="A332" t="s">
        <v>18</v>
      </c>
      <c r="B332" t="s">
        <v>1015</v>
      </c>
      <c r="C332" t="s">
        <v>1017</v>
      </c>
      <c r="D332" t="s">
        <v>20</v>
      </c>
      <c r="E332" t="s">
        <v>11</v>
      </c>
      <c r="F332">
        <v>11553.497999999998</v>
      </c>
      <c r="G332">
        <v>18</v>
      </c>
      <c r="L332" t="s">
        <v>1018</v>
      </c>
      <c r="O332" t="s">
        <v>1019</v>
      </c>
    </row>
    <row r="333" spans="1:15" x14ac:dyDescent="0.25">
      <c r="A333" t="s">
        <v>18</v>
      </c>
      <c r="B333" t="s">
        <v>1018</v>
      </c>
      <c r="C333" t="s">
        <v>1020</v>
      </c>
      <c r="D333" t="s">
        <v>20</v>
      </c>
      <c r="E333" t="s">
        <v>11</v>
      </c>
      <c r="F333">
        <v>6201.030000000001</v>
      </c>
      <c r="G333">
        <v>18</v>
      </c>
      <c r="L333" t="s">
        <v>1021</v>
      </c>
      <c r="O333" t="s">
        <v>1022</v>
      </c>
    </row>
    <row r="334" spans="1:15" x14ac:dyDescent="0.25">
      <c r="A334" t="s">
        <v>18</v>
      </c>
      <c r="B334" t="s">
        <v>1021</v>
      </c>
      <c r="C334" t="s">
        <v>1023</v>
      </c>
      <c r="D334" t="s">
        <v>20</v>
      </c>
      <c r="E334" t="s">
        <v>11</v>
      </c>
      <c r="F334">
        <v>7180.139999999999</v>
      </c>
      <c r="G334">
        <v>18</v>
      </c>
      <c r="L334" t="s">
        <v>1024</v>
      </c>
      <c r="O334" t="s">
        <v>1025</v>
      </c>
    </row>
    <row r="335" spans="1:15" x14ac:dyDescent="0.25">
      <c r="A335" t="s">
        <v>18</v>
      </c>
      <c r="B335" t="s">
        <v>1024</v>
      </c>
      <c r="C335" t="s">
        <v>1026</v>
      </c>
      <c r="D335" t="s">
        <v>20</v>
      </c>
      <c r="E335" t="s">
        <v>11</v>
      </c>
      <c r="F335">
        <v>9399.455999999998</v>
      </c>
      <c r="G335">
        <v>18</v>
      </c>
      <c r="L335" t="s">
        <v>1027</v>
      </c>
      <c r="O335" t="s">
        <v>1028</v>
      </c>
    </row>
    <row r="336" spans="1:15" x14ac:dyDescent="0.25">
      <c r="A336" t="s">
        <v>18</v>
      </c>
      <c r="B336" t="s">
        <v>1027</v>
      </c>
      <c r="C336" t="s">
        <v>1029</v>
      </c>
      <c r="D336" t="s">
        <v>20</v>
      </c>
      <c r="E336" t="s">
        <v>11</v>
      </c>
      <c r="F336">
        <v>12663.155999999999</v>
      </c>
      <c r="G336">
        <v>18</v>
      </c>
      <c r="L336" t="s">
        <v>1030</v>
      </c>
      <c r="O336" t="s">
        <v>1031</v>
      </c>
    </row>
    <row r="337" spans="1:15" x14ac:dyDescent="0.25">
      <c r="A337" t="s">
        <v>18</v>
      </c>
      <c r="B337" t="s">
        <v>1030</v>
      </c>
      <c r="C337" t="s">
        <v>1032</v>
      </c>
      <c r="D337" t="s">
        <v>20</v>
      </c>
      <c r="E337" t="s">
        <v>11</v>
      </c>
      <c r="F337">
        <v>5939.933999999999</v>
      </c>
      <c r="G337">
        <v>18</v>
      </c>
      <c r="L337" t="s">
        <v>1033</v>
      </c>
      <c r="O337" t="s">
        <v>1034</v>
      </c>
    </row>
    <row r="338" spans="1:15" x14ac:dyDescent="0.25">
      <c r="A338" t="s">
        <v>18</v>
      </c>
      <c r="B338" t="s">
        <v>1033</v>
      </c>
      <c r="C338" t="s">
        <v>1035</v>
      </c>
      <c r="D338" t="s">
        <v>20</v>
      </c>
      <c r="E338" t="s">
        <v>11</v>
      </c>
      <c r="F338">
        <v>7180.139999999999</v>
      </c>
      <c r="G338">
        <v>18</v>
      </c>
      <c r="L338" t="s">
        <v>1036</v>
      </c>
      <c r="O338" t="s">
        <v>1037</v>
      </c>
    </row>
    <row r="339" spans="1:15" x14ac:dyDescent="0.25">
      <c r="A339" t="s">
        <v>18</v>
      </c>
      <c r="B339" t="s">
        <v>1036</v>
      </c>
      <c r="C339" t="s">
        <v>1038</v>
      </c>
      <c r="D339" t="s">
        <v>20</v>
      </c>
      <c r="E339" t="s">
        <v>11</v>
      </c>
      <c r="F339">
        <v>9399.455999999998</v>
      </c>
      <c r="G339">
        <v>18</v>
      </c>
      <c r="L339" t="s">
        <v>1039</v>
      </c>
      <c r="O339" t="s">
        <v>1040</v>
      </c>
    </row>
    <row r="340" spans="1:15" x14ac:dyDescent="0.25">
      <c r="A340" t="s">
        <v>18</v>
      </c>
      <c r="B340" t="s">
        <v>1039</v>
      </c>
      <c r="C340" t="s">
        <v>1041</v>
      </c>
      <c r="D340" t="s">
        <v>20</v>
      </c>
      <c r="E340" t="s">
        <v>11</v>
      </c>
      <c r="F340">
        <v>11879.867999999999</v>
      </c>
      <c r="G340">
        <v>18</v>
      </c>
      <c r="L340" t="s">
        <v>1042</v>
      </c>
      <c r="O340" t="s">
        <v>1043</v>
      </c>
    </row>
    <row r="341" spans="1:15" x14ac:dyDescent="0.25">
      <c r="A341" t="s">
        <v>18</v>
      </c>
      <c r="B341" t="s">
        <v>1042</v>
      </c>
      <c r="C341" t="s">
        <v>1044</v>
      </c>
      <c r="D341" t="s">
        <v>20</v>
      </c>
      <c r="E341" t="s">
        <v>11</v>
      </c>
      <c r="F341">
        <v>8877.264</v>
      </c>
      <c r="G341">
        <v>18</v>
      </c>
      <c r="L341" t="s">
        <v>1045</v>
      </c>
      <c r="O341" t="s">
        <v>1046</v>
      </c>
    </row>
    <row r="342" spans="1:15" x14ac:dyDescent="0.25">
      <c r="A342" t="s">
        <v>18</v>
      </c>
      <c r="B342" t="s">
        <v>1045</v>
      </c>
      <c r="C342" t="s">
        <v>1047</v>
      </c>
      <c r="D342" t="s">
        <v>20</v>
      </c>
      <c r="E342" t="s">
        <v>11</v>
      </c>
      <c r="F342">
        <v>12467.334</v>
      </c>
      <c r="G342">
        <v>18</v>
      </c>
      <c r="L342" t="s">
        <v>1048</v>
      </c>
      <c r="O342" t="s">
        <v>1049</v>
      </c>
    </row>
    <row r="343" spans="1:15" x14ac:dyDescent="0.25">
      <c r="A343" t="s">
        <v>18</v>
      </c>
      <c r="B343" t="s">
        <v>1048</v>
      </c>
      <c r="C343" t="s">
        <v>1050</v>
      </c>
      <c r="D343" t="s">
        <v>20</v>
      </c>
      <c r="E343" t="s">
        <v>11</v>
      </c>
      <c r="F343">
        <v>19582.2</v>
      </c>
      <c r="G343">
        <v>18</v>
      </c>
      <c r="L343" t="s">
        <v>1051</v>
      </c>
      <c r="O343" t="s">
        <v>1052</v>
      </c>
    </row>
    <row r="344" spans="1:15" x14ac:dyDescent="0.25">
      <c r="A344" t="s">
        <v>18</v>
      </c>
      <c r="B344" t="s">
        <v>1051</v>
      </c>
      <c r="C344" t="s">
        <v>1053</v>
      </c>
      <c r="D344" t="s">
        <v>20</v>
      </c>
      <c r="E344" t="s">
        <v>11</v>
      </c>
      <c r="F344">
        <v>19451.652</v>
      </c>
      <c r="G344">
        <v>18</v>
      </c>
      <c r="L344" t="s">
        <v>1054</v>
      </c>
      <c r="O344" t="s">
        <v>1055</v>
      </c>
    </row>
    <row r="345" spans="1:15" x14ac:dyDescent="0.25">
      <c r="A345" t="s">
        <v>18</v>
      </c>
      <c r="B345" t="s">
        <v>1054</v>
      </c>
      <c r="C345" t="s">
        <v>1056</v>
      </c>
      <c r="D345" t="s">
        <v>20</v>
      </c>
      <c r="E345" t="s">
        <v>11</v>
      </c>
      <c r="F345">
        <v>3590.0699999999997</v>
      </c>
      <c r="G345">
        <v>18</v>
      </c>
      <c r="L345" t="s">
        <v>1057</v>
      </c>
      <c r="O345" t="s">
        <v>1058</v>
      </c>
    </row>
    <row r="346" spans="1:15" x14ac:dyDescent="0.25">
      <c r="A346" t="s">
        <v>18</v>
      </c>
      <c r="B346" t="s">
        <v>1057</v>
      </c>
      <c r="C346" t="s">
        <v>1059</v>
      </c>
      <c r="D346" t="s">
        <v>20</v>
      </c>
      <c r="E346" t="s">
        <v>11</v>
      </c>
      <c r="F346">
        <v>3590.0699999999997</v>
      </c>
      <c r="G346">
        <v>18</v>
      </c>
      <c r="L346" t="s">
        <v>1060</v>
      </c>
      <c r="O346" t="s">
        <v>1061</v>
      </c>
    </row>
    <row r="347" spans="1:15" x14ac:dyDescent="0.25">
      <c r="A347" t="s">
        <v>18</v>
      </c>
      <c r="B347" t="s">
        <v>1060</v>
      </c>
      <c r="C347" t="s">
        <v>1062</v>
      </c>
      <c r="D347" t="s">
        <v>20</v>
      </c>
      <c r="E347" t="s">
        <v>11</v>
      </c>
      <c r="F347">
        <v>3590.0699999999997</v>
      </c>
      <c r="G347">
        <v>18</v>
      </c>
      <c r="L347" t="s">
        <v>1063</v>
      </c>
      <c r="O347" t="s">
        <v>1064</v>
      </c>
    </row>
    <row r="348" spans="1:15" x14ac:dyDescent="0.25">
      <c r="A348" t="s">
        <v>18</v>
      </c>
      <c r="B348" t="s">
        <v>1063</v>
      </c>
      <c r="C348" t="s">
        <v>1065</v>
      </c>
      <c r="D348" t="s">
        <v>20</v>
      </c>
      <c r="E348" t="s">
        <v>11</v>
      </c>
      <c r="F348">
        <v>3590.0699999999997</v>
      </c>
      <c r="G348">
        <v>18</v>
      </c>
      <c r="L348" t="s">
        <v>1066</v>
      </c>
      <c r="O348" t="s">
        <v>1067</v>
      </c>
    </row>
    <row r="349" spans="1:15" x14ac:dyDescent="0.25">
      <c r="A349" t="s">
        <v>18</v>
      </c>
      <c r="B349" t="s">
        <v>1066</v>
      </c>
      <c r="C349" t="s">
        <v>1068</v>
      </c>
      <c r="D349" t="s">
        <v>20</v>
      </c>
      <c r="E349" t="s">
        <v>11</v>
      </c>
      <c r="F349">
        <v>6462.126</v>
      </c>
      <c r="G349">
        <v>18</v>
      </c>
      <c r="L349" t="s">
        <v>1069</v>
      </c>
      <c r="O349" t="s">
        <v>1070</v>
      </c>
    </row>
    <row r="350" spans="1:15" x14ac:dyDescent="0.25">
      <c r="A350" t="s">
        <v>18</v>
      </c>
      <c r="B350" t="s">
        <v>1069</v>
      </c>
      <c r="C350" t="s">
        <v>1071</v>
      </c>
      <c r="D350" t="s">
        <v>20</v>
      </c>
      <c r="E350" t="s">
        <v>11</v>
      </c>
      <c r="F350">
        <v>6201.030000000001</v>
      </c>
      <c r="G350">
        <v>18</v>
      </c>
      <c r="L350" t="s">
        <v>1072</v>
      </c>
      <c r="O350" t="s">
        <v>1073</v>
      </c>
    </row>
    <row r="351" spans="1:15" x14ac:dyDescent="0.25">
      <c r="A351" t="s">
        <v>18</v>
      </c>
      <c r="B351" t="s">
        <v>1072</v>
      </c>
      <c r="C351" t="s">
        <v>1074</v>
      </c>
      <c r="D351" t="s">
        <v>20</v>
      </c>
      <c r="E351" t="s">
        <v>11</v>
      </c>
      <c r="F351">
        <v>2480.4120000000003</v>
      </c>
      <c r="G351">
        <v>18</v>
      </c>
      <c r="L351" t="s">
        <v>1075</v>
      </c>
      <c r="O351" t="s">
        <v>1076</v>
      </c>
    </row>
    <row r="352" spans="1:15" x14ac:dyDescent="0.25">
      <c r="A352" t="s">
        <v>18</v>
      </c>
      <c r="B352" t="s">
        <v>1075</v>
      </c>
      <c r="C352" t="s">
        <v>1077</v>
      </c>
      <c r="D352" t="s">
        <v>20</v>
      </c>
      <c r="E352" t="s">
        <v>11</v>
      </c>
      <c r="F352">
        <v>2937.3300000000004</v>
      </c>
      <c r="G352">
        <v>18</v>
      </c>
      <c r="L352" t="s">
        <v>1078</v>
      </c>
      <c r="O352" t="s">
        <v>1079</v>
      </c>
    </row>
    <row r="353" spans="1:15" x14ac:dyDescent="0.25">
      <c r="A353" t="s">
        <v>18</v>
      </c>
      <c r="B353" t="s">
        <v>1078</v>
      </c>
      <c r="C353" t="s">
        <v>1080</v>
      </c>
      <c r="D353" t="s">
        <v>20</v>
      </c>
      <c r="E353" t="s">
        <v>11</v>
      </c>
      <c r="F353">
        <v>2349.8639999999996</v>
      </c>
      <c r="G353">
        <v>18</v>
      </c>
      <c r="L353" t="s">
        <v>1081</v>
      </c>
      <c r="O353" t="s">
        <v>1082</v>
      </c>
    </row>
    <row r="354" spans="1:15" x14ac:dyDescent="0.25">
      <c r="A354" t="s">
        <v>18</v>
      </c>
      <c r="B354" t="s">
        <v>1081</v>
      </c>
      <c r="C354" t="s">
        <v>1083</v>
      </c>
      <c r="D354" t="s">
        <v>20</v>
      </c>
      <c r="E354" t="s">
        <v>11</v>
      </c>
      <c r="F354">
        <v>3720.6179999999995</v>
      </c>
      <c r="G354">
        <v>18</v>
      </c>
      <c r="L354" t="s">
        <v>1084</v>
      </c>
      <c r="O354" t="s">
        <v>1085</v>
      </c>
    </row>
    <row r="355" spans="1:15" x14ac:dyDescent="0.25">
      <c r="A355" t="s">
        <v>18</v>
      </c>
      <c r="B355" t="s">
        <v>1084</v>
      </c>
      <c r="C355" t="s">
        <v>1086</v>
      </c>
      <c r="D355" t="s">
        <v>20</v>
      </c>
      <c r="E355" t="s">
        <v>11</v>
      </c>
      <c r="F355">
        <v>2741.508</v>
      </c>
      <c r="G355">
        <v>18</v>
      </c>
      <c r="L355" t="s">
        <v>1087</v>
      </c>
      <c r="O355" t="s">
        <v>1088</v>
      </c>
    </row>
    <row r="356" spans="1:15" x14ac:dyDescent="0.25">
      <c r="A356" t="s">
        <v>18</v>
      </c>
      <c r="B356" t="s">
        <v>1087</v>
      </c>
      <c r="C356" t="s">
        <v>1089</v>
      </c>
      <c r="D356" t="s">
        <v>20</v>
      </c>
      <c r="E356" t="s">
        <v>11</v>
      </c>
      <c r="F356">
        <v>3328.9739999999997</v>
      </c>
      <c r="G356">
        <v>18</v>
      </c>
      <c r="L356" t="s">
        <v>1090</v>
      </c>
      <c r="O356" t="s">
        <v>1091</v>
      </c>
    </row>
    <row r="357" spans="1:15" x14ac:dyDescent="0.25">
      <c r="A357" t="s">
        <v>18</v>
      </c>
      <c r="B357" t="s">
        <v>1090</v>
      </c>
      <c r="C357" t="s">
        <v>1092</v>
      </c>
      <c r="D357" t="s">
        <v>20</v>
      </c>
      <c r="E357" t="s">
        <v>11</v>
      </c>
      <c r="F357">
        <v>3590.0699999999997</v>
      </c>
      <c r="G357">
        <v>18</v>
      </c>
      <c r="L357" t="s">
        <v>1093</v>
      </c>
      <c r="O357" t="s">
        <v>1094</v>
      </c>
    </row>
    <row r="358" spans="1:15" x14ac:dyDescent="0.25">
      <c r="A358" t="s">
        <v>18</v>
      </c>
      <c r="B358" t="s">
        <v>1093</v>
      </c>
      <c r="C358" t="s">
        <v>1095</v>
      </c>
      <c r="D358" t="s">
        <v>20</v>
      </c>
      <c r="E358" t="s">
        <v>11</v>
      </c>
      <c r="F358">
        <v>3981.714</v>
      </c>
      <c r="G358">
        <v>18</v>
      </c>
      <c r="L358" t="s">
        <v>1096</v>
      </c>
      <c r="O358" t="s">
        <v>1097</v>
      </c>
    </row>
    <row r="359" spans="1:15" x14ac:dyDescent="0.25">
      <c r="A359" t="s">
        <v>18</v>
      </c>
      <c r="B359" t="s">
        <v>1096</v>
      </c>
      <c r="C359" t="s">
        <v>1098</v>
      </c>
      <c r="D359" t="s">
        <v>20</v>
      </c>
      <c r="E359" t="s">
        <v>11</v>
      </c>
      <c r="F359">
        <v>36227.07</v>
      </c>
      <c r="G359">
        <v>18</v>
      </c>
      <c r="L359" t="s">
        <v>1099</v>
      </c>
      <c r="O359" t="s">
        <v>1100</v>
      </c>
    </row>
    <row r="360" spans="1:15" x14ac:dyDescent="0.25">
      <c r="A360" t="s">
        <v>18</v>
      </c>
      <c r="B360" t="s">
        <v>1099</v>
      </c>
      <c r="C360" t="s">
        <v>1101</v>
      </c>
      <c r="D360" t="s">
        <v>20</v>
      </c>
      <c r="E360" t="s">
        <v>11</v>
      </c>
      <c r="F360">
        <v>3720.6179999999995</v>
      </c>
      <c r="G360">
        <v>18</v>
      </c>
      <c r="L360" t="s">
        <v>1102</v>
      </c>
      <c r="O360" t="s">
        <v>1103</v>
      </c>
    </row>
    <row r="361" spans="1:15" x14ac:dyDescent="0.25">
      <c r="A361" t="s">
        <v>18</v>
      </c>
      <c r="B361" t="s">
        <v>1102</v>
      </c>
      <c r="C361" t="s">
        <v>1104</v>
      </c>
      <c r="D361" t="s">
        <v>20</v>
      </c>
      <c r="E361" t="s">
        <v>11</v>
      </c>
      <c r="F361">
        <v>5613.563999999999</v>
      </c>
      <c r="G361">
        <v>18</v>
      </c>
      <c r="L361" t="s">
        <v>1105</v>
      </c>
      <c r="O361" t="s">
        <v>1106</v>
      </c>
    </row>
    <row r="362" spans="1:15" x14ac:dyDescent="0.25">
      <c r="A362" t="s">
        <v>18</v>
      </c>
      <c r="B362" t="s">
        <v>1105</v>
      </c>
      <c r="C362" t="s">
        <v>1107</v>
      </c>
      <c r="D362" t="s">
        <v>20</v>
      </c>
      <c r="E362" t="s">
        <v>11</v>
      </c>
      <c r="F362">
        <v>2872.056</v>
      </c>
      <c r="G362">
        <v>18</v>
      </c>
      <c r="L362" t="s">
        <v>1108</v>
      </c>
      <c r="O362" t="s">
        <v>1109</v>
      </c>
    </row>
    <row r="363" spans="1:15" x14ac:dyDescent="0.25">
      <c r="A363" t="s">
        <v>18</v>
      </c>
      <c r="B363" t="s">
        <v>1108</v>
      </c>
      <c r="C363" t="s">
        <v>1110</v>
      </c>
      <c r="D363" t="s">
        <v>20</v>
      </c>
      <c r="E363" t="s">
        <v>11</v>
      </c>
      <c r="F363">
        <v>3328.9739999999997</v>
      </c>
      <c r="G363">
        <v>18</v>
      </c>
      <c r="L363" t="s">
        <v>1111</v>
      </c>
      <c r="O363" t="s">
        <v>1112</v>
      </c>
    </row>
    <row r="364" spans="1:15" x14ac:dyDescent="0.25">
      <c r="A364" t="s">
        <v>18</v>
      </c>
      <c r="B364" t="s">
        <v>1111</v>
      </c>
      <c r="C364" t="s">
        <v>1113</v>
      </c>
      <c r="D364" t="s">
        <v>20</v>
      </c>
      <c r="E364" t="s">
        <v>11</v>
      </c>
      <c r="F364">
        <v>3981.714</v>
      </c>
      <c r="G364">
        <v>18</v>
      </c>
      <c r="L364" t="s">
        <v>1114</v>
      </c>
      <c r="O364" t="s">
        <v>1115</v>
      </c>
    </row>
    <row r="365" spans="1:15" x14ac:dyDescent="0.25">
      <c r="A365" t="s">
        <v>18</v>
      </c>
      <c r="B365" t="s">
        <v>1114</v>
      </c>
      <c r="C365" t="s">
        <v>1116</v>
      </c>
      <c r="D365" t="s">
        <v>20</v>
      </c>
      <c r="E365" t="s">
        <v>11</v>
      </c>
      <c r="F365">
        <v>4373.358</v>
      </c>
      <c r="G365">
        <v>18</v>
      </c>
      <c r="L365" t="s">
        <v>1117</v>
      </c>
      <c r="O365" t="s">
        <v>1118</v>
      </c>
    </row>
    <row r="366" spans="1:15" x14ac:dyDescent="0.25">
      <c r="A366" t="s">
        <v>18</v>
      </c>
      <c r="B366" t="s">
        <v>1117</v>
      </c>
      <c r="C366" t="s">
        <v>1119</v>
      </c>
      <c r="D366" t="s">
        <v>20</v>
      </c>
      <c r="E366" t="s">
        <v>11</v>
      </c>
      <c r="F366">
        <v>5417.742</v>
      </c>
      <c r="G366">
        <v>18</v>
      </c>
      <c r="L366" t="s">
        <v>1120</v>
      </c>
      <c r="O366" t="s">
        <v>1121</v>
      </c>
    </row>
    <row r="367" spans="1:15" x14ac:dyDescent="0.25">
      <c r="A367" t="s">
        <v>18</v>
      </c>
      <c r="B367" t="s">
        <v>1120</v>
      </c>
      <c r="C367" t="s">
        <v>1122</v>
      </c>
      <c r="D367" t="s">
        <v>20</v>
      </c>
      <c r="E367" t="s">
        <v>11</v>
      </c>
      <c r="F367">
        <v>6592.673999999999</v>
      </c>
      <c r="G367">
        <v>18</v>
      </c>
      <c r="L367" t="s">
        <v>1123</v>
      </c>
      <c r="O367" t="s">
        <v>1124</v>
      </c>
    </row>
    <row r="368" spans="1:15" x14ac:dyDescent="0.25">
      <c r="A368" t="s">
        <v>18</v>
      </c>
      <c r="B368" t="s">
        <v>1123</v>
      </c>
      <c r="C368" t="s">
        <v>1125</v>
      </c>
      <c r="D368" t="s">
        <v>20</v>
      </c>
      <c r="E368" t="s">
        <v>11</v>
      </c>
      <c r="F368">
        <v>7571.784</v>
      </c>
      <c r="G368">
        <v>18</v>
      </c>
      <c r="L368" t="s">
        <v>1126</v>
      </c>
      <c r="O368" t="s">
        <v>1127</v>
      </c>
    </row>
    <row r="369" spans="1:15" x14ac:dyDescent="0.25">
      <c r="A369" t="s">
        <v>18</v>
      </c>
      <c r="B369" t="s">
        <v>1126</v>
      </c>
      <c r="C369" t="s">
        <v>1128</v>
      </c>
      <c r="D369" t="s">
        <v>20</v>
      </c>
      <c r="E369" t="s">
        <v>11</v>
      </c>
      <c r="F369">
        <v>7180.139999999999</v>
      </c>
      <c r="G369">
        <v>18</v>
      </c>
      <c r="L369" t="s">
        <v>1129</v>
      </c>
      <c r="O369" t="s">
        <v>1130</v>
      </c>
    </row>
    <row r="370" spans="1:15" x14ac:dyDescent="0.25">
      <c r="A370" t="s">
        <v>18</v>
      </c>
      <c r="B370" t="s">
        <v>1129</v>
      </c>
      <c r="C370" t="s">
        <v>1131</v>
      </c>
      <c r="D370" t="s">
        <v>20</v>
      </c>
      <c r="E370" t="s">
        <v>11</v>
      </c>
      <c r="F370">
        <v>7702.332</v>
      </c>
      <c r="G370">
        <v>18</v>
      </c>
      <c r="L370" t="s">
        <v>1132</v>
      </c>
      <c r="O370" t="s">
        <v>1133</v>
      </c>
    </row>
    <row r="371" spans="1:15" x14ac:dyDescent="0.25">
      <c r="A371" t="s">
        <v>18</v>
      </c>
      <c r="B371" t="s">
        <v>1132</v>
      </c>
      <c r="C371" t="s">
        <v>1134</v>
      </c>
      <c r="D371" t="s">
        <v>20</v>
      </c>
      <c r="E371" t="s">
        <v>11</v>
      </c>
      <c r="F371">
        <v>8616.168</v>
      </c>
      <c r="G371">
        <v>18</v>
      </c>
      <c r="L371" t="s">
        <v>1135</v>
      </c>
      <c r="O371" t="s">
        <v>1136</v>
      </c>
    </row>
    <row r="372" spans="1:15" x14ac:dyDescent="0.25">
      <c r="A372" t="s">
        <v>18</v>
      </c>
      <c r="B372" t="s">
        <v>1135</v>
      </c>
      <c r="C372" t="s">
        <v>1137</v>
      </c>
      <c r="D372" t="s">
        <v>20</v>
      </c>
      <c r="E372" t="s">
        <v>11</v>
      </c>
      <c r="F372">
        <v>9203.633999999998</v>
      </c>
      <c r="G372">
        <v>18</v>
      </c>
      <c r="L372" t="s">
        <v>1138</v>
      </c>
      <c r="O372" t="s">
        <v>1139</v>
      </c>
    </row>
    <row r="373" spans="1:15" x14ac:dyDescent="0.25">
      <c r="A373" t="s">
        <v>18</v>
      </c>
      <c r="B373" t="s">
        <v>1138</v>
      </c>
      <c r="C373" t="s">
        <v>1140</v>
      </c>
      <c r="D373" t="s">
        <v>20</v>
      </c>
      <c r="E373" t="s">
        <v>11</v>
      </c>
      <c r="F373">
        <v>11227.127999999999</v>
      </c>
      <c r="G373">
        <v>18</v>
      </c>
      <c r="L373" t="s">
        <v>1141</v>
      </c>
      <c r="O373" t="s">
        <v>1142</v>
      </c>
    </row>
    <row r="374" spans="1:15" x14ac:dyDescent="0.25">
      <c r="A374" t="s">
        <v>18</v>
      </c>
      <c r="B374" t="s">
        <v>1141</v>
      </c>
      <c r="C374" t="s">
        <v>1143</v>
      </c>
      <c r="D374" t="s">
        <v>20</v>
      </c>
      <c r="E374" t="s">
        <v>11</v>
      </c>
      <c r="F374">
        <v>13968.636</v>
      </c>
      <c r="G374">
        <v>18</v>
      </c>
      <c r="L374" t="s">
        <v>1144</v>
      </c>
      <c r="O374" t="s">
        <v>1145</v>
      </c>
    </row>
    <row r="375" spans="1:15" x14ac:dyDescent="0.25">
      <c r="A375" t="s">
        <v>18</v>
      </c>
      <c r="B375" t="s">
        <v>1144</v>
      </c>
      <c r="C375" t="s">
        <v>1146</v>
      </c>
      <c r="D375" t="s">
        <v>20</v>
      </c>
      <c r="E375" t="s">
        <v>11</v>
      </c>
      <c r="F375">
        <v>11553.497999999998</v>
      </c>
      <c r="G375">
        <v>18</v>
      </c>
      <c r="L375" t="s">
        <v>1147</v>
      </c>
      <c r="O375" t="s">
        <v>1148</v>
      </c>
    </row>
    <row r="376" spans="1:15" x14ac:dyDescent="0.25">
      <c r="A376" t="s">
        <v>18</v>
      </c>
      <c r="B376" t="s">
        <v>1147</v>
      </c>
      <c r="C376" t="s">
        <v>1149</v>
      </c>
      <c r="D376" t="s">
        <v>20</v>
      </c>
      <c r="E376" t="s">
        <v>11</v>
      </c>
      <c r="F376">
        <v>11031.305999999999</v>
      </c>
      <c r="G376">
        <v>18</v>
      </c>
      <c r="L376" t="s">
        <v>1150</v>
      </c>
      <c r="O376" t="s">
        <v>1151</v>
      </c>
    </row>
    <row r="377" spans="1:15" x14ac:dyDescent="0.25">
      <c r="A377" t="s">
        <v>18</v>
      </c>
      <c r="B377" t="s">
        <v>1150</v>
      </c>
      <c r="C377" t="s">
        <v>1152</v>
      </c>
      <c r="D377" t="s">
        <v>20</v>
      </c>
      <c r="E377" t="s">
        <v>11</v>
      </c>
      <c r="F377">
        <v>14686.65</v>
      </c>
      <c r="G377">
        <v>18</v>
      </c>
      <c r="L377" t="s">
        <v>1153</v>
      </c>
      <c r="O377" t="s">
        <v>1154</v>
      </c>
    </row>
    <row r="378" spans="1:15" x14ac:dyDescent="0.25">
      <c r="A378" t="s">
        <v>18</v>
      </c>
      <c r="B378" t="s">
        <v>1153</v>
      </c>
      <c r="C378" t="s">
        <v>1155</v>
      </c>
      <c r="D378" t="s">
        <v>20</v>
      </c>
      <c r="E378" t="s">
        <v>11</v>
      </c>
      <c r="F378">
        <v>15078.294000000002</v>
      </c>
      <c r="G378">
        <v>18</v>
      </c>
      <c r="L378" t="s">
        <v>1156</v>
      </c>
      <c r="O378" t="s">
        <v>1157</v>
      </c>
    </row>
    <row r="379" spans="1:15" x14ac:dyDescent="0.25">
      <c r="A379" t="s">
        <v>18</v>
      </c>
      <c r="B379" t="s">
        <v>1156</v>
      </c>
      <c r="C379" t="s">
        <v>1158</v>
      </c>
      <c r="D379" t="s">
        <v>20</v>
      </c>
      <c r="E379" t="s">
        <v>11</v>
      </c>
      <c r="F379">
        <v>13185.347999999998</v>
      </c>
      <c r="G379">
        <v>18</v>
      </c>
      <c r="L379" t="s">
        <v>1159</v>
      </c>
      <c r="O379" t="s">
        <v>1160</v>
      </c>
    </row>
    <row r="380" spans="1:15" x14ac:dyDescent="0.25">
      <c r="A380" t="s">
        <v>18</v>
      </c>
      <c r="B380" t="s">
        <v>1159</v>
      </c>
      <c r="C380" t="s">
        <v>1161</v>
      </c>
      <c r="D380" t="s">
        <v>20</v>
      </c>
      <c r="E380" t="s">
        <v>11</v>
      </c>
      <c r="F380">
        <v>12336.786</v>
      </c>
      <c r="G380">
        <v>18</v>
      </c>
      <c r="L380" t="s">
        <v>1162</v>
      </c>
      <c r="O380" t="s">
        <v>1163</v>
      </c>
    </row>
    <row r="381" spans="1:15" x14ac:dyDescent="0.25">
      <c r="A381" t="s">
        <v>18</v>
      </c>
      <c r="B381" t="s">
        <v>1162</v>
      </c>
      <c r="C381" t="s">
        <v>1164</v>
      </c>
      <c r="D381" t="s">
        <v>20</v>
      </c>
      <c r="E381" t="s">
        <v>11</v>
      </c>
      <c r="F381">
        <v>11422.95</v>
      </c>
      <c r="G381">
        <v>18</v>
      </c>
      <c r="L381" t="s">
        <v>1165</v>
      </c>
      <c r="O381" t="s">
        <v>1166</v>
      </c>
    </row>
    <row r="382" spans="1:15" x14ac:dyDescent="0.25">
      <c r="A382" t="s">
        <v>18</v>
      </c>
      <c r="B382" t="s">
        <v>1165</v>
      </c>
      <c r="C382" t="s">
        <v>927</v>
      </c>
      <c r="D382" t="s">
        <v>20</v>
      </c>
      <c r="E382" t="s">
        <v>11</v>
      </c>
      <c r="F382">
        <v>12140.964</v>
      </c>
      <c r="G382">
        <v>18</v>
      </c>
      <c r="L382" t="s">
        <v>1167</v>
      </c>
      <c r="O382" t="s">
        <v>1168</v>
      </c>
    </row>
    <row r="383" spans="1:15" x14ac:dyDescent="0.25">
      <c r="A383" t="s">
        <v>18</v>
      </c>
      <c r="B383" t="s">
        <v>1167</v>
      </c>
      <c r="C383" t="s">
        <v>1161</v>
      </c>
      <c r="D383" t="s">
        <v>20</v>
      </c>
      <c r="E383" t="s">
        <v>11</v>
      </c>
      <c r="F383">
        <v>9921.648000000001</v>
      </c>
      <c r="G383">
        <v>18</v>
      </c>
      <c r="L383" t="s">
        <v>1169</v>
      </c>
      <c r="O383" t="s">
        <v>1170</v>
      </c>
    </row>
    <row r="384" spans="1:15" x14ac:dyDescent="0.25">
      <c r="A384" t="s">
        <v>18</v>
      </c>
      <c r="B384" t="s">
        <v>1169</v>
      </c>
      <c r="C384" t="s">
        <v>1171</v>
      </c>
      <c r="D384" t="s">
        <v>20</v>
      </c>
      <c r="E384" t="s">
        <v>11</v>
      </c>
      <c r="F384">
        <v>11357.676</v>
      </c>
      <c r="G384">
        <v>18</v>
      </c>
      <c r="L384" t="s">
        <v>1172</v>
      </c>
      <c r="O384" t="s">
        <v>1173</v>
      </c>
    </row>
    <row r="385" spans="1:15" x14ac:dyDescent="0.25">
      <c r="A385" t="s">
        <v>18</v>
      </c>
      <c r="B385" t="s">
        <v>1172</v>
      </c>
      <c r="C385" t="s">
        <v>1174</v>
      </c>
      <c r="D385" t="s">
        <v>20</v>
      </c>
      <c r="E385" t="s">
        <v>11</v>
      </c>
      <c r="F385">
        <v>5678.838</v>
      </c>
      <c r="G385">
        <v>18</v>
      </c>
      <c r="L385" t="s">
        <v>1175</v>
      </c>
      <c r="O385" t="s">
        <v>1176</v>
      </c>
    </row>
    <row r="386" spans="1:15" x14ac:dyDescent="0.25">
      <c r="A386" t="s">
        <v>18</v>
      </c>
      <c r="B386" t="s">
        <v>1175</v>
      </c>
      <c r="C386" t="s">
        <v>1177</v>
      </c>
      <c r="D386" t="s">
        <v>20</v>
      </c>
      <c r="E386" t="s">
        <v>11</v>
      </c>
      <c r="F386">
        <v>10639.661999999998</v>
      </c>
      <c r="G386">
        <v>18</v>
      </c>
      <c r="L386" t="s">
        <v>1178</v>
      </c>
      <c r="O386" t="s">
        <v>1179</v>
      </c>
    </row>
    <row r="387" spans="1:15" x14ac:dyDescent="0.25">
      <c r="A387" t="s">
        <v>18</v>
      </c>
      <c r="B387" t="s">
        <v>1178</v>
      </c>
      <c r="C387" t="s">
        <v>1180</v>
      </c>
      <c r="D387" t="s">
        <v>20</v>
      </c>
      <c r="E387" t="s">
        <v>11</v>
      </c>
      <c r="F387">
        <v>11357.676</v>
      </c>
      <c r="G387">
        <v>18</v>
      </c>
      <c r="L387" t="s">
        <v>1181</v>
      </c>
      <c r="O387" t="s">
        <v>1182</v>
      </c>
    </row>
    <row r="388" spans="1:15" x14ac:dyDescent="0.25">
      <c r="A388" t="s">
        <v>18</v>
      </c>
      <c r="B388" t="s">
        <v>1181</v>
      </c>
      <c r="C388" t="s">
        <v>1183</v>
      </c>
      <c r="D388" t="s">
        <v>20</v>
      </c>
      <c r="E388" t="s">
        <v>11</v>
      </c>
      <c r="F388">
        <v>12140.964</v>
      </c>
      <c r="G388">
        <v>18</v>
      </c>
      <c r="L388" t="s">
        <v>1184</v>
      </c>
      <c r="O388" t="s">
        <v>1185</v>
      </c>
    </row>
    <row r="389" spans="1:15" x14ac:dyDescent="0.25">
      <c r="A389" t="s">
        <v>18</v>
      </c>
      <c r="B389" t="s">
        <v>1184</v>
      </c>
      <c r="C389" t="s">
        <v>1186</v>
      </c>
      <c r="D389" t="s">
        <v>20</v>
      </c>
      <c r="E389" t="s">
        <v>11</v>
      </c>
      <c r="F389">
        <v>10704.936</v>
      </c>
      <c r="G389">
        <v>18</v>
      </c>
      <c r="L389" t="s">
        <v>1187</v>
      </c>
      <c r="O389" t="s">
        <v>1188</v>
      </c>
    </row>
    <row r="390" spans="1:15" x14ac:dyDescent="0.25">
      <c r="A390" t="s">
        <v>18</v>
      </c>
      <c r="B390" t="s">
        <v>1187</v>
      </c>
      <c r="C390" t="s">
        <v>1189</v>
      </c>
      <c r="D390" t="s">
        <v>20</v>
      </c>
      <c r="E390" t="s">
        <v>11</v>
      </c>
      <c r="F390">
        <v>12010.416</v>
      </c>
      <c r="G390">
        <v>18</v>
      </c>
      <c r="L390" t="s">
        <v>1190</v>
      </c>
      <c r="O390" t="s">
        <v>1191</v>
      </c>
    </row>
    <row r="391" spans="1:15" x14ac:dyDescent="0.25">
      <c r="A391" t="s">
        <v>18</v>
      </c>
      <c r="B391" t="s">
        <v>1190</v>
      </c>
      <c r="C391" t="s">
        <v>1192</v>
      </c>
      <c r="D391" t="s">
        <v>20</v>
      </c>
      <c r="E391" t="s">
        <v>11</v>
      </c>
      <c r="F391">
        <v>12010.416</v>
      </c>
      <c r="G391">
        <v>18</v>
      </c>
      <c r="L391" t="s">
        <v>1193</v>
      </c>
      <c r="O391" t="s">
        <v>1194</v>
      </c>
    </row>
    <row r="392" spans="1:15" x14ac:dyDescent="0.25">
      <c r="A392" t="s">
        <v>18</v>
      </c>
      <c r="B392" t="s">
        <v>1193</v>
      </c>
      <c r="C392" t="s">
        <v>1195</v>
      </c>
      <c r="D392" t="s">
        <v>20</v>
      </c>
      <c r="E392" t="s">
        <v>11</v>
      </c>
      <c r="F392">
        <v>11096.58</v>
      </c>
      <c r="G392">
        <v>18</v>
      </c>
      <c r="L392" t="s">
        <v>1196</v>
      </c>
      <c r="O392" t="s">
        <v>1197</v>
      </c>
    </row>
    <row r="393" spans="1:15" x14ac:dyDescent="0.25">
      <c r="A393" t="s">
        <v>18</v>
      </c>
      <c r="B393" t="s">
        <v>1196</v>
      </c>
      <c r="C393" t="s">
        <v>1198</v>
      </c>
      <c r="D393" t="s">
        <v>20</v>
      </c>
      <c r="E393" t="s">
        <v>11</v>
      </c>
      <c r="F393">
        <v>12271.511999999999</v>
      </c>
      <c r="G393">
        <v>18</v>
      </c>
      <c r="L393" t="s">
        <v>1199</v>
      </c>
      <c r="O393" t="s">
        <v>1200</v>
      </c>
    </row>
    <row r="394" spans="1:15" x14ac:dyDescent="0.25">
      <c r="A394" t="s">
        <v>18</v>
      </c>
      <c r="B394" t="s">
        <v>1199</v>
      </c>
      <c r="C394" t="s">
        <v>1201</v>
      </c>
      <c r="D394" t="s">
        <v>20</v>
      </c>
      <c r="E394" t="s">
        <v>11</v>
      </c>
      <c r="F394">
        <v>9399.455999999998</v>
      </c>
      <c r="G394">
        <v>18</v>
      </c>
      <c r="L394" t="s">
        <v>1202</v>
      </c>
      <c r="O394" t="s">
        <v>1203</v>
      </c>
    </row>
    <row r="395" spans="1:15" x14ac:dyDescent="0.25">
      <c r="A395" t="s">
        <v>18</v>
      </c>
      <c r="B395" t="s">
        <v>1202</v>
      </c>
      <c r="C395" t="s">
        <v>1204</v>
      </c>
      <c r="D395" t="s">
        <v>20</v>
      </c>
      <c r="E395" t="s">
        <v>11</v>
      </c>
      <c r="F395">
        <v>7963.428</v>
      </c>
      <c r="G395">
        <v>18</v>
      </c>
      <c r="L395" t="s">
        <v>1205</v>
      </c>
      <c r="O395" t="s">
        <v>1206</v>
      </c>
    </row>
    <row r="396" spans="1:15" x14ac:dyDescent="0.25">
      <c r="A396" t="s">
        <v>18</v>
      </c>
      <c r="B396" t="s">
        <v>1205</v>
      </c>
      <c r="C396" t="s">
        <v>1207</v>
      </c>
      <c r="D396" t="s">
        <v>20</v>
      </c>
      <c r="E396" t="s">
        <v>11</v>
      </c>
      <c r="F396">
        <v>12336.786</v>
      </c>
      <c r="G396">
        <v>18</v>
      </c>
      <c r="L396" t="s">
        <v>1208</v>
      </c>
      <c r="O396" t="s">
        <v>1209</v>
      </c>
    </row>
    <row r="397" spans="1:15" x14ac:dyDescent="0.25">
      <c r="A397" t="s">
        <v>18</v>
      </c>
      <c r="B397" t="s">
        <v>1208</v>
      </c>
      <c r="C397" t="s">
        <v>1210</v>
      </c>
      <c r="D397" t="s">
        <v>20</v>
      </c>
      <c r="E397" t="s">
        <v>11</v>
      </c>
      <c r="F397">
        <v>14295.006</v>
      </c>
      <c r="G397">
        <v>18</v>
      </c>
      <c r="L397" t="s">
        <v>1211</v>
      </c>
      <c r="O397" t="s">
        <v>1212</v>
      </c>
    </row>
    <row r="398" spans="1:15" x14ac:dyDescent="0.25">
      <c r="A398" t="s">
        <v>18</v>
      </c>
      <c r="B398" t="s">
        <v>1211</v>
      </c>
      <c r="C398" t="s">
        <v>1213</v>
      </c>
      <c r="D398" t="s">
        <v>20</v>
      </c>
      <c r="E398" t="s">
        <v>11</v>
      </c>
      <c r="F398">
        <v>14556.101999999999</v>
      </c>
      <c r="G398">
        <v>18</v>
      </c>
      <c r="L398" t="s">
        <v>1214</v>
      </c>
      <c r="O398" t="s">
        <v>1215</v>
      </c>
    </row>
    <row r="399" spans="1:15" x14ac:dyDescent="0.25">
      <c r="A399" t="s">
        <v>18</v>
      </c>
      <c r="B399" t="s">
        <v>1214</v>
      </c>
      <c r="C399" t="s">
        <v>1216</v>
      </c>
      <c r="D399" t="s">
        <v>20</v>
      </c>
      <c r="E399" t="s">
        <v>11</v>
      </c>
      <c r="F399">
        <v>14686.65</v>
      </c>
      <c r="G399">
        <v>18</v>
      </c>
      <c r="L399" t="s">
        <v>1217</v>
      </c>
      <c r="O399" t="s">
        <v>1218</v>
      </c>
    </row>
    <row r="400" spans="1:15" x14ac:dyDescent="0.25">
      <c r="A400" t="s">
        <v>18</v>
      </c>
      <c r="B400" t="s">
        <v>1217</v>
      </c>
      <c r="C400" t="s">
        <v>1219</v>
      </c>
      <c r="D400" t="s">
        <v>20</v>
      </c>
      <c r="E400" t="s">
        <v>11</v>
      </c>
      <c r="F400">
        <v>14556.101999999999</v>
      </c>
      <c r="G400">
        <v>18</v>
      </c>
      <c r="L400" t="s">
        <v>1220</v>
      </c>
      <c r="O400" t="s">
        <v>1221</v>
      </c>
    </row>
    <row r="401" spans="1:15" x14ac:dyDescent="0.25">
      <c r="A401" t="s">
        <v>18</v>
      </c>
      <c r="B401" t="s">
        <v>1220</v>
      </c>
      <c r="C401" t="s">
        <v>1222</v>
      </c>
      <c r="D401" t="s">
        <v>20</v>
      </c>
      <c r="E401" t="s">
        <v>11</v>
      </c>
      <c r="F401">
        <v>13315.895999999999</v>
      </c>
      <c r="G401">
        <v>18</v>
      </c>
      <c r="L401" t="s">
        <v>1223</v>
      </c>
      <c r="O401" t="s">
        <v>1224</v>
      </c>
    </row>
    <row r="402" spans="1:15" x14ac:dyDescent="0.25">
      <c r="A402" t="s">
        <v>18</v>
      </c>
      <c r="B402" t="s">
        <v>1223</v>
      </c>
      <c r="C402" t="s">
        <v>1216</v>
      </c>
      <c r="D402" t="s">
        <v>20</v>
      </c>
      <c r="E402" t="s">
        <v>11</v>
      </c>
      <c r="F402">
        <v>13446.444000000001</v>
      </c>
      <c r="G402">
        <v>18</v>
      </c>
      <c r="L402" t="s">
        <v>1225</v>
      </c>
      <c r="O402" t="s">
        <v>1226</v>
      </c>
    </row>
    <row r="403" spans="1:15" x14ac:dyDescent="0.25">
      <c r="A403" t="s">
        <v>18</v>
      </c>
      <c r="B403" t="s">
        <v>1225</v>
      </c>
      <c r="C403" t="s">
        <v>1227</v>
      </c>
      <c r="D403" t="s">
        <v>20</v>
      </c>
      <c r="E403" t="s">
        <v>11</v>
      </c>
      <c r="F403">
        <v>6201.030000000001</v>
      </c>
      <c r="G403">
        <v>18</v>
      </c>
      <c r="L403" t="s">
        <v>1228</v>
      </c>
      <c r="O403" t="s">
        <v>1229</v>
      </c>
    </row>
    <row r="404" spans="1:15" x14ac:dyDescent="0.25">
      <c r="A404" t="s">
        <v>18</v>
      </c>
      <c r="B404" t="s">
        <v>1228</v>
      </c>
      <c r="C404" t="s">
        <v>1230</v>
      </c>
      <c r="D404" t="s">
        <v>20</v>
      </c>
      <c r="E404" t="s">
        <v>11</v>
      </c>
      <c r="F404">
        <v>9138.36</v>
      </c>
      <c r="G404">
        <v>18</v>
      </c>
      <c r="L404" t="s">
        <v>1231</v>
      </c>
      <c r="O404" t="s">
        <v>1232</v>
      </c>
    </row>
    <row r="405" spans="1:15" x14ac:dyDescent="0.25">
      <c r="A405" t="s">
        <v>18</v>
      </c>
      <c r="B405" t="s">
        <v>1231</v>
      </c>
      <c r="C405" t="s">
        <v>1233</v>
      </c>
      <c r="D405" t="s">
        <v>20</v>
      </c>
      <c r="E405" t="s">
        <v>11</v>
      </c>
      <c r="F405">
        <v>10966.032</v>
      </c>
      <c r="G405">
        <v>18</v>
      </c>
      <c r="L405" t="s">
        <v>1234</v>
      </c>
      <c r="O405" t="s">
        <v>1235</v>
      </c>
    </row>
    <row r="406" spans="1:15" x14ac:dyDescent="0.25">
      <c r="A406" t="s">
        <v>18</v>
      </c>
      <c r="B406" t="s">
        <v>1234</v>
      </c>
      <c r="C406" t="s">
        <v>1236</v>
      </c>
      <c r="D406" t="s">
        <v>20</v>
      </c>
      <c r="E406" t="s">
        <v>11</v>
      </c>
      <c r="F406">
        <v>8224.524</v>
      </c>
      <c r="G406">
        <v>18</v>
      </c>
      <c r="L406" t="s">
        <v>1237</v>
      </c>
      <c r="O406" t="s">
        <v>1238</v>
      </c>
    </row>
    <row r="407" spans="1:15" x14ac:dyDescent="0.25">
      <c r="A407" t="s">
        <v>18</v>
      </c>
      <c r="B407" t="s">
        <v>1237</v>
      </c>
      <c r="C407" t="s">
        <v>1239</v>
      </c>
      <c r="D407" t="s">
        <v>20</v>
      </c>
      <c r="E407" t="s">
        <v>11</v>
      </c>
      <c r="F407">
        <v>8811.99</v>
      </c>
      <c r="G407">
        <v>18</v>
      </c>
      <c r="L407" t="s">
        <v>1240</v>
      </c>
      <c r="O407" t="s">
        <v>1241</v>
      </c>
    </row>
    <row r="408" spans="1:15" x14ac:dyDescent="0.25">
      <c r="A408" t="s">
        <v>18</v>
      </c>
      <c r="B408" t="s">
        <v>1240</v>
      </c>
      <c r="C408" t="s">
        <v>1242</v>
      </c>
      <c r="D408" t="s">
        <v>20</v>
      </c>
      <c r="E408" t="s">
        <v>11</v>
      </c>
      <c r="F408">
        <v>11553.497999999998</v>
      </c>
      <c r="G408">
        <v>18</v>
      </c>
      <c r="L408" t="s">
        <v>1243</v>
      </c>
      <c r="O408" t="s">
        <v>1244</v>
      </c>
    </row>
    <row r="409" spans="1:15" x14ac:dyDescent="0.25">
      <c r="A409" t="s">
        <v>18</v>
      </c>
      <c r="B409" t="s">
        <v>1243</v>
      </c>
      <c r="C409" t="s">
        <v>1245</v>
      </c>
      <c r="D409" t="s">
        <v>20</v>
      </c>
      <c r="E409" t="s">
        <v>11</v>
      </c>
      <c r="F409">
        <v>9268.908</v>
      </c>
      <c r="G409">
        <v>18</v>
      </c>
      <c r="L409" t="s">
        <v>1246</v>
      </c>
      <c r="O409" t="s">
        <v>1247</v>
      </c>
    </row>
    <row r="410" spans="1:15" x14ac:dyDescent="0.25">
      <c r="A410" t="s">
        <v>18</v>
      </c>
      <c r="B410" t="s">
        <v>1246</v>
      </c>
      <c r="C410" t="s">
        <v>1248</v>
      </c>
      <c r="D410" t="s">
        <v>20</v>
      </c>
      <c r="E410" t="s">
        <v>11</v>
      </c>
      <c r="F410">
        <v>11749.320000000002</v>
      </c>
      <c r="G410">
        <v>18</v>
      </c>
      <c r="L410" t="s">
        <v>1249</v>
      </c>
      <c r="O410" t="s">
        <v>1250</v>
      </c>
    </row>
    <row r="411" spans="1:15" x14ac:dyDescent="0.25">
      <c r="A411" t="s">
        <v>18</v>
      </c>
      <c r="B411" t="s">
        <v>1249</v>
      </c>
      <c r="C411" t="s">
        <v>1251</v>
      </c>
      <c r="D411" t="s">
        <v>20</v>
      </c>
      <c r="E411" t="s">
        <v>11</v>
      </c>
      <c r="F411">
        <v>11292.402</v>
      </c>
      <c r="G411">
        <v>18</v>
      </c>
      <c r="L411" t="s">
        <v>1252</v>
      </c>
      <c r="O411" t="s">
        <v>1253</v>
      </c>
    </row>
    <row r="412" spans="1:15" x14ac:dyDescent="0.25">
      <c r="A412" t="s">
        <v>18</v>
      </c>
      <c r="B412" t="s">
        <v>1252</v>
      </c>
      <c r="C412" t="s">
        <v>1254</v>
      </c>
      <c r="D412" t="s">
        <v>20</v>
      </c>
      <c r="E412" t="s">
        <v>11</v>
      </c>
      <c r="F412">
        <v>13185.347999999998</v>
      </c>
      <c r="G412">
        <v>18</v>
      </c>
      <c r="L412" t="s">
        <v>1255</v>
      </c>
      <c r="O412" t="s">
        <v>1256</v>
      </c>
    </row>
    <row r="413" spans="1:15" x14ac:dyDescent="0.25">
      <c r="A413" t="s">
        <v>18</v>
      </c>
      <c r="B413" t="s">
        <v>1255</v>
      </c>
      <c r="C413" t="s">
        <v>1257</v>
      </c>
      <c r="D413" t="s">
        <v>20</v>
      </c>
      <c r="E413" t="s">
        <v>11</v>
      </c>
      <c r="F413">
        <v>6788.495999999999</v>
      </c>
      <c r="G413">
        <v>18</v>
      </c>
      <c r="L413" t="s">
        <v>1258</v>
      </c>
      <c r="O413" t="s">
        <v>1259</v>
      </c>
    </row>
    <row r="414" spans="1:15" x14ac:dyDescent="0.25">
      <c r="A414" t="s">
        <v>18</v>
      </c>
      <c r="B414" t="s">
        <v>1258</v>
      </c>
      <c r="C414" t="s">
        <v>1260</v>
      </c>
      <c r="D414" t="s">
        <v>20</v>
      </c>
      <c r="E414" t="s">
        <v>11</v>
      </c>
      <c r="F414">
        <v>39360.221999999994</v>
      </c>
      <c r="G414">
        <v>18</v>
      </c>
      <c r="L414" t="s">
        <v>1261</v>
      </c>
      <c r="O414" t="s">
        <v>1262</v>
      </c>
    </row>
    <row r="415" spans="1:15" x14ac:dyDescent="0.25">
      <c r="A415" t="s">
        <v>18</v>
      </c>
      <c r="B415" t="s">
        <v>1261</v>
      </c>
      <c r="C415" t="s">
        <v>1263</v>
      </c>
      <c r="D415" t="s">
        <v>20</v>
      </c>
      <c r="E415" t="s">
        <v>11</v>
      </c>
      <c r="F415">
        <v>13315.895999999999</v>
      </c>
      <c r="G415">
        <v>18</v>
      </c>
      <c r="L415" t="s">
        <v>1264</v>
      </c>
      <c r="O415" t="s">
        <v>1265</v>
      </c>
    </row>
    <row r="416" spans="1:15" x14ac:dyDescent="0.25">
      <c r="A416" t="s">
        <v>18</v>
      </c>
      <c r="B416" t="s">
        <v>1264</v>
      </c>
      <c r="C416" t="s">
        <v>1266</v>
      </c>
      <c r="D416" t="s">
        <v>20</v>
      </c>
      <c r="E416" t="s">
        <v>11</v>
      </c>
      <c r="F416">
        <v>8224.524</v>
      </c>
      <c r="G416">
        <v>18</v>
      </c>
      <c r="L416" t="s">
        <v>1267</v>
      </c>
      <c r="O416" t="s">
        <v>1268</v>
      </c>
    </row>
    <row r="417" spans="1:15" x14ac:dyDescent="0.25">
      <c r="A417" t="s">
        <v>18</v>
      </c>
      <c r="B417" t="s">
        <v>1267</v>
      </c>
      <c r="C417" t="s">
        <v>1269</v>
      </c>
      <c r="D417" t="s">
        <v>20</v>
      </c>
      <c r="E417" t="s">
        <v>11</v>
      </c>
      <c r="F417">
        <v>10052.195999999998</v>
      </c>
      <c r="G417">
        <v>18</v>
      </c>
      <c r="L417" t="s">
        <v>1270</v>
      </c>
      <c r="O417" t="s">
        <v>1271</v>
      </c>
    </row>
    <row r="418" spans="1:15" x14ac:dyDescent="0.25">
      <c r="A418" t="s">
        <v>18</v>
      </c>
      <c r="B418" t="s">
        <v>1270</v>
      </c>
      <c r="C418" t="s">
        <v>1272</v>
      </c>
      <c r="D418" t="s">
        <v>20</v>
      </c>
      <c r="E418" t="s">
        <v>11</v>
      </c>
      <c r="F418">
        <v>10443.84</v>
      </c>
      <c r="G418">
        <v>18</v>
      </c>
      <c r="L418" t="s">
        <v>1273</v>
      </c>
      <c r="O418" t="s">
        <v>1274</v>
      </c>
    </row>
    <row r="419" spans="1:15" x14ac:dyDescent="0.25">
      <c r="A419" t="s">
        <v>18</v>
      </c>
      <c r="B419" t="s">
        <v>1273</v>
      </c>
      <c r="C419" t="s">
        <v>1275</v>
      </c>
      <c r="D419" t="s">
        <v>20</v>
      </c>
      <c r="E419" t="s">
        <v>11</v>
      </c>
      <c r="F419">
        <v>9073.086</v>
      </c>
      <c r="G419">
        <v>18</v>
      </c>
      <c r="L419" t="s">
        <v>1276</v>
      </c>
      <c r="O419" t="s">
        <v>1277</v>
      </c>
    </row>
    <row r="420" spans="1:15" x14ac:dyDescent="0.25">
      <c r="A420" t="s">
        <v>18</v>
      </c>
      <c r="B420" t="s">
        <v>1276</v>
      </c>
      <c r="C420" t="s">
        <v>1278</v>
      </c>
      <c r="D420" t="s">
        <v>20</v>
      </c>
      <c r="E420" t="s">
        <v>11</v>
      </c>
      <c r="F420">
        <v>3198.426</v>
      </c>
      <c r="G420">
        <v>18</v>
      </c>
      <c r="L420" t="s">
        <v>1279</v>
      </c>
      <c r="O420" t="s">
        <v>1280</v>
      </c>
    </row>
    <row r="421" spans="1:15" x14ac:dyDescent="0.25">
      <c r="A421" t="s">
        <v>18</v>
      </c>
      <c r="B421" t="s">
        <v>1279</v>
      </c>
      <c r="C421" t="s">
        <v>1281</v>
      </c>
      <c r="D421" t="s">
        <v>20</v>
      </c>
      <c r="E421" t="s">
        <v>11</v>
      </c>
      <c r="F421">
        <v>3590.0699999999997</v>
      </c>
      <c r="G421">
        <v>18</v>
      </c>
      <c r="L421" t="s">
        <v>1282</v>
      </c>
      <c r="O421" t="s">
        <v>1283</v>
      </c>
    </row>
    <row r="422" spans="1:15" x14ac:dyDescent="0.25">
      <c r="A422" t="s">
        <v>18</v>
      </c>
      <c r="B422" t="s">
        <v>1282</v>
      </c>
      <c r="C422" t="s">
        <v>1284</v>
      </c>
      <c r="D422" t="s">
        <v>20</v>
      </c>
      <c r="E422" t="s">
        <v>11</v>
      </c>
      <c r="F422">
        <v>4046.988</v>
      </c>
      <c r="G422">
        <v>18</v>
      </c>
      <c r="L422" t="s">
        <v>1285</v>
      </c>
      <c r="O422" t="s">
        <v>1286</v>
      </c>
    </row>
    <row r="423" spans="1:15" x14ac:dyDescent="0.25">
      <c r="A423" t="s">
        <v>18</v>
      </c>
      <c r="B423" t="s">
        <v>1285</v>
      </c>
      <c r="C423" t="s">
        <v>1287</v>
      </c>
      <c r="D423" t="s">
        <v>20</v>
      </c>
      <c r="E423" t="s">
        <v>11</v>
      </c>
      <c r="F423">
        <v>5221.92</v>
      </c>
      <c r="G423">
        <v>18</v>
      </c>
      <c r="L423" t="s">
        <v>1288</v>
      </c>
      <c r="O423" t="s">
        <v>1289</v>
      </c>
    </row>
    <row r="424" spans="1:15" x14ac:dyDescent="0.25">
      <c r="A424" t="s">
        <v>18</v>
      </c>
      <c r="B424" t="s">
        <v>1288</v>
      </c>
      <c r="C424" t="s">
        <v>1290</v>
      </c>
      <c r="D424" t="s">
        <v>20</v>
      </c>
      <c r="E424" t="s">
        <v>11</v>
      </c>
      <c r="F424">
        <v>10770.210000000001</v>
      </c>
      <c r="G424">
        <v>18</v>
      </c>
      <c r="L424" t="s">
        <v>1291</v>
      </c>
      <c r="O424" t="s">
        <v>1292</v>
      </c>
    </row>
    <row r="425" spans="1:15" x14ac:dyDescent="0.25">
      <c r="A425" t="s">
        <v>18</v>
      </c>
      <c r="B425" t="s">
        <v>1291</v>
      </c>
      <c r="C425" t="s">
        <v>1293</v>
      </c>
      <c r="D425" t="s">
        <v>20</v>
      </c>
      <c r="E425" t="s">
        <v>11</v>
      </c>
      <c r="F425">
        <v>7767.605999999999</v>
      </c>
      <c r="G425">
        <v>18</v>
      </c>
      <c r="L425" t="s">
        <v>1294</v>
      </c>
      <c r="O425" t="s">
        <v>1295</v>
      </c>
    </row>
    <row r="426" spans="1:15" x14ac:dyDescent="0.25">
      <c r="A426" t="s">
        <v>18</v>
      </c>
      <c r="B426" t="s">
        <v>1294</v>
      </c>
      <c r="C426" t="s">
        <v>1296</v>
      </c>
      <c r="D426" t="s">
        <v>20</v>
      </c>
      <c r="E426" t="s">
        <v>11</v>
      </c>
      <c r="F426">
        <v>4373.358</v>
      </c>
      <c r="G426">
        <v>18</v>
      </c>
      <c r="L426" t="s">
        <v>1297</v>
      </c>
      <c r="O426" t="s">
        <v>1298</v>
      </c>
    </row>
    <row r="427" spans="1:15" x14ac:dyDescent="0.25">
      <c r="A427" t="s">
        <v>18</v>
      </c>
      <c r="B427" t="s">
        <v>1297</v>
      </c>
      <c r="C427" t="s">
        <v>1299</v>
      </c>
      <c r="D427" t="s">
        <v>20</v>
      </c>
      <c r="E427" t="s">
        <v>11</v>
      </c>
      <c r="F427">
        <v>8028.701999999999</v>
      </c>
      <c r="G427">
        <v>18</v>
      </c>
      <c r="L427" t="s">
        <v>1300</v>
      </c>
      <c r="O427" t="s">
        <v>1301</v>
      </c>
    </row>
    <row r="428" spans="1:15" x14ac:dyDescent="0.25">
      <c r="A428" t="s">
        <v>18</v>
      </c>
      <c r="B428" t="s">
        <v>1300</v>
      </c>
      <c r="C428" t="s">
        <v>1302</v>
      </c>
      <c r="D428" t="s">
        <v>20</v>
      </c>
      <c r="E428" t="s">
        <v>11</v>
      </c>
      <c r="F428">
        <v>10639.661999999998</v>
      </c>
      <c r="G428">
        <v>18</v>
      </c>
      <c r="L428" t="s">
        <v>1303</v>
      </c>
      <c r="O428" t="s">
        <v>1304</v>
      </c>
    </row>
    <row r="429" spans="1:15" x14ac:dyDescent="0.25">
      <c r="A429" t="s">
        <v>18</v>
      </c>
      <c r="B429" t="s">
        <v>1303</v>
      </c>
      <c r="C429" t="s">
        <v>1305</v>
      </c>
      <c r="D429" t="s">
        <v>20</v>
      </c>
      <c r="E429" t="s">
        <v>11</v>
      </c>
      <c r="F429">
        <v>4765.0019999999995</v>
      </c>
      <c r="G429">
        <v>18</v>
      </c>
      <c r="L429" t="s">
        <v>1306</v>
      </c>
      <c r="O429" t="s">
        <v>1307</v>
      </c>
    </row>
    <row r="430" spans="1:15" x14ac:dyDescent="0.25">
      <c r="A430" t="s">
        <v>18</v>
      </c>
      <c r="B430" t="s">
        <v>1306</v>
      </c>
      <c r="C430" t="s">
        <v>1308</v>
      </c>
      <c r="D430" t="s">
        <v>20</v>
      </c>
      <c r="E430" t="s">
        <v>11</v>
      </c>
      <c r="F430">
        <v>7114.866</v>
      </c>
      <c r="G430">
        <v>18</v>
      </c>
      <c r="L430" t="s">
        <v>1309</v>
      </c>
      <c r="O430" t="s">
        <v>1310</v>
      </c>
    </row>
    <row r="431" spans="1:15" x14ac:dyDescent="0.25">
      <c r="A431" t="s">
        <v>18</v>
      </c>
      <c r="B431" t="s">
        <v>1309</v>
      </c>
      <c r="C431" t="s">
        <v>1311</v>
      </c>
      <c r="D431" t="s">
        <v>20</v>
      </c>
      <c r="E431" t="s">
        <v>11</v>
      </c>
      <c r="F431">
        <v>4765.0019999999995</v>
      </c>
      <c r="G431">
        <v>18</v>
      </c>
      <c r="L431" t="s">
        <v>1312</v>
      </c>
      <c r="O431" t="s">
        <v>1313</v>
      </c>
    </row>
    <row r="432" spans="1:15" x14ac:dyDescent="0.25">
      <c r="A432" t="s">
        <v>18</v>
      </c>
      <c r="B432" t="s">
        <v>1312</v>
      </c>
      <c r="C432" t="s">
        <v>1314</v>
      </c>
      <c r="D432" t="s">
        <v>20</v>
      </c>
      <c r="E432" t="s">
        <v>11</v>
      </c>
      <c r="F432">
        <v>36031.248</v>
      </c>
      <c r="G432">
        <v>18</v>
      </c>
      <c r="L432" t="s">
        <v>1315</v>
      </c>
      <c r="O432" t="s">
        <v>1316</v>
      </c>
    </row>
    <row r="433" spans="1:15" x14ac:dyDescent="0.25">
      <c r="A433" t="s">
        <v>18</v>
      </c>
      <c r="B433" t="s">
        <v>1315</v>
      </c>
      <c r="C433" t="s">
        <v>1317</v>
      </c>
      <c r="D433" t="s">
        <v>20</v>
      </c>
      <c r="E433" t="s">
        <v>11</v>
      </c>
      <c r="F433">
        <v>5221.92</v>
      </c>
      <c r="G433">
        <v>18</v>
      </c>
      <c r="L433" t="s">
        <v>1318</v>
      </c>
      <c r="O433" t="s">
        <v>1319</v>
      </c>
    </row>
    <row r="434" spans="1:15" x14ac:dyDescent="0.25">
      <c r="A434" t="s">
        <v>18</v>
      </c>
      <c r="B434" t="s">
        <v>1318</v>
      </c>
      <c r="C434" t="s">
        <v>1320</v>
      </c>
      <c r="D434" t="s">
        <v>20</v>
      </c>
      <c r="E434" t="s">
        <v>11</v>
      </c>
      <c r="F434">
        <v>4503.906</v>
      </c>
      <c r="G434">
        <v>18</v>
      </c>
      <c r="L434" t="s">
        <v>1321</v>
      </c>
      <c r="O434" t="s">
        <v>1322</v>
      </c>
    </row>
    <row r="435" spans="1:15" x14ac:dyDescent="0.25">
      <c r="A435" t="s">
        <v>18</v>
      </c>
      <c r="B435" t="s">
        <v>1321</v>
      </c>
      <c r="C435" t="s">
        <v>1323</v>
      </c>
      <c r="D435" t="s">
        <v>20</v>
      </c>
      <c r="E435" t="s">
        <v>11</v>
      </c>
      <c r="F435">
        <v>2284.59</v>
      </c>
      <c r="G435">
        <v>18</v>
      </c>
      <c r="L435" t="s">
        <v>1324</v>
      </c>
      <c r="O435" t="s">
        <v>1325</v>
      </c>
    </row>
    <row r="436" spans="1:15" x14ac:dyDescent="0.25">
      <c r="A436" t="s">
        <v>18</v>
      </c>
      <c r="B436" t="s">
        <v>1324</v>
      </c>
      <c r="C436" t="s">
        <v>1326</v>
      </c>
      <c r="D436" t="s">
        <v>20</v>
      </c>
      <c r="E436" t="s">
        <v>11</v>
      </c>
      <c r="F436">
        <v>4373.358</v>
      </c>
      <c r="G436">
        <v>18</v>
      </c>
      <c r="L436" t="s">
        <v>1327</v>
      </c>
      <c r="O436" t="s">
        <v>1328</v>
      </c>
    </row>
    <row r="437" spans="1:15" x14ac:dyDescent="0.25">
      <c r="A437" t="s">
        <v>18</v>
      </c>
      <c r="B437" t="s">
        <v>1327</v>
      </c>
      <c r="C437" t="s">
        <v>1329</v>
      </c>
      <c r="D437" t="s">
        <v>20</v>
      </c>
      <c r="E437" t="s">
        <v>11</v>
      </c>
      <c r="F437">
        <v>5287.193999999999</v>
      </c>
      <c r="G437">
        <v>18</v>
      </c>
      <c r="L437" t="s">
        <v>1330</v>
      </c>
      <c r="O437" t="s">
        <v>1331</v>
      </c>
    </row>
    <row r="438" spans="1:15" x14ac:dyDescent="0.25">
      <c r="A438" t="s">
        <v>18</v>
      </c>
      <c r="B438" t="s">
        <v>1330</v>
      </c>
      <c r="C438" t="s">
        <v>1332</v>
      </c>
      <c r="D438" t="s">
        <v>20</v>
      </c>
      <c r="E438" t="s">
        <v>11</v>
      </c>
      <c r="F438">
        <v>9399.455999999998</v>
      </c>
      <c r="G438">
        <v>18</v>
      </c>
      <c r="L438" t="s">
        <v>1333</v>
      </c>
      <c r="O438" t="s">
        <v>1334</v>
      </c>
    </row>
    <row r="439" spans="1:15" x14ac:dyDescent="0.25">
      <c r="A439" t="s">
        <v>18</v>
      </c>
      <c r="B439" t="s">
        <v>1333</v>
      </c>
      <c r="C439" t="s">
        <v>1335</v>
      </c>
      <c r="D439" t="s">
        <v>20</v>
      </c>
      <c r="E439" t="s">
        <v>11</v>
      </c>
      <c r="F439">
        <v>6527.4</v>
      </c>
      <c r="G439">
        <v>18</v>
      </c>
      <c r="L439" t="s">
        <v>1336</v>
      </c>
      <c r="O439" t="s">
        <v>1337</v>
      </c>
    </row>
    <row r="440" spans="1:15" x14ac:dyDescent="0.25">
      <c r="A440" t="s">
        <v>18</v>
      </c>
      <c r="B440" t="s">
        <v>1336</v>
      </c>
      <c r="C440" t="s">
        <v>1338</v>
      </c>
      <c r="D440" t="s">
        <v>20</v>
      </c>
      <c r="E440" t="s">
        <v>11</v>
      </c>
      <c r="F440">
        <v>4830.276</v>
      </c>
      <c r="G440">
        <v>18</v>
      </c>
      <c r="L440" t="s">
        <v>1339</v>
      </c>
      <c r="O440" t="s">
        <v>1340</v>
      </c>
    </row>
    <row r="441" spans="1:15" x14ac:dyDescent="0.25">
      <c r="A441" t="s">
        <v>18</v>
      </c>
      <c r="B441" t="s">
        <v>1339</v>
      </c>
      <c r="C441" t="s">
        <v>1341</v>
      </c>
      <c r="D441" t="s">
        <v>20</v>
      </c>
      <c r="E441" t="s">
        <v>11</v>
      </c>
      <c r="F441">
        <v>9268.908</v>
      </c>
      <c r="G441">
        <v>18</v>
      </c>
      <c r="L441" t="s">
        <v>1342</v>
      </c>
      <c r="O441" t="s">
        <v>1343</v>
      </c>
    </row>
    <row r="442" spans="1:15" x14ac:dyDescent="0.25">
      <c r="A442" t="s">
        <v>18</v>
      </c>
      <c r="B442" t="s">
        <v>1342</v>
      </c>
      <c r="C442" t="s">
        <v>1344</v>
      </c>
      <c r="D442" t="s">
        <v>20</v>
      </c>
      <c r="E442" t="s">
        <v>11</v>
      </c>
      <c r="F442">
        <v>9595.278</v>
      </c>
      <c r="G442">
        <v>18</v>
      </c>
      <c r="L442" t="s">
        <v>1345</v>
      </c>
      <c r="O442" t="s">
        <v>1346</v>
      </c>
    </row>
    <row r="443" spans="1:15" x14ac:dyDescent="0.25">
      <c r="A443" t="s">
        <v>18</v>
      </c>
      <c r="B443" t="s">
        <v>1345</v>
      </c>
      <c r="C443" t="s">
        <v>1347</v>
      </c>
      <c r="D443" t="s">
        <v>20</v>
      </c>
      <c r="E443" t="s">
        <v>11</v>
      </c>
      <c r="F443">
        <v>5417.742</v>
      </c>
      <c r="G443">
        <v>18</v>
      </c>
      <c r="L443" t="s">
        <v>1348</v>
      </c>
      <c r="O443" t="s">
        <v>1349</v>
      </c>
    </row>
    <row r="444" spans="1:15" x14ac:dyDescent="0.25">
      <c r="A444" t="s">
        <v>18</v>
      </c>
      <c r="B444" t="s">
        <v>1348</v>
      </c>
      <c r="C444" t="s">
        <v>1350</v>
      </c>
      <c r="D444" t="s">
        <v>20</v>
      </c>
      <c r="E444" t="s">
        <v>11</v>
      </c>
      <c r="F444">
        <v>5417.742</v>
      </c>
      <c r="G444">
        <v>18</v>
      </c>
      <c r="L444" t="s">
        <v>1351</v>
      </c>
      <c r="O444" t="s">
        <v>1352</v>
      </c>
    </row>
    <row r="445" spans="1:15" x14ac:dyDescent="0.25">
      <c r="A445" t="s">
        <v>18</v>
      </c>
      <c r="B445" t="s">
        <v>1351</v>
      </c>
      <c r="C445" t="s">
        <v>1353</v>
      </c>
      <c r="D445" t="s">
        <v>20</v>
      </c>
      <c r="E445" t="s">
        <v>11</v>
      </c>
      <c r="F445">
        <v>5417.742</v>
      </c>
      <c r="G445">
        <v>18</v>
      </c>
      <c r="L445" t="s">
        <v>1354</v>
      </c>
      <c r="O445" t="s">
        <v>1355</v>
      </c>
    </row>
    <row r="446" spans="1:15" x14ac:dyDescent="0.25">
      <c r="A446" t="s">
        <v>18</v>
      </c>
      <c r="B446" t="s">
        <v>1354</v>
      </c>
      <c r="C446" t="s">
        <v>1356</v>
      </c>
      <c r="D446" t="s">
        <v>20</v>
      </c>
      <c r="E446" t="s">
        <v>11</v>
      </c>
      <c r="F446">
        <v>8877.264</v>
      </c>
      <c r="G446">
        <v>18</v>
      </c>
      <c r="L446" t="s">
        <v>1357</v>
      </c>
      <c r="O446" t="s">
        <v>1358</v>
      </c>
    </row>
    <row r="447" spans="1:15" x14ac:dyDescent="0.25">
      <c r="A447" t="s">
        <v>18</v>
      </c>
      <c r="B447" t="s">
        <v>1357</v>
      </c>
      <c r="C447" t="s">
        <v>1359</v>
      </c>
      <c r="D447" t="s">
        <v>20</v>
      </c>
      <c r="E447" t="s">
        <v>11</v>
      </c>
      <c r="F447">
        <v>9268.908</v>
      </c>
      <c r="G447">
        <v>18</v>
      </c>
      <c r="L447" t="s">
        <v>1360</v>
      </c>
      <c r="O447" t="s">
        <v>1361</v>
      </c>
    </row>
    <row r="448" spans="1:15" x14ac:dyDescent="0.25">
      <c r="A448" t="s">
        <v>18</v>
      </c>
      <c r="B448" t="s">
        <v>1360</v>
      </c>
      <c r="C448" t="s">
        <v>1362</v>
      </c>
      <c r="D448" t="s">
        <v>20</v>
      </c>
      <c r="E448" t="s">
        <v>11</v>
      </c>
      <c r="F448">
        <v>13120.074</v>
      </c>
      <c r="G448">
        <v>18</v>
      </c>
      <c r="L448" t="s">
        <v>1363</v>
      </c>
      <c r="O448" t="s">
        <v>1364</v>
      </c>
    </row>
    <row r="449" spans="1:15" x14ac:dyDescent="0.25">
      <c r="A449" t="s">
        <v>18</v>
      </c>
      <c r="B449" t="s">
        <v>1363</v>
      </c>
      <c r="C449" t="s">
        <v>1365</v>
      </c>
      <c r="D449" t="s">
        <v>20</v>
      </c>
      <c r="E449" t="s">
        <v>11</v>
      </c>
      <c r="F449">
        <v>16514.322</v>
      </c>
      <c r="G449">
        <v>18</v>
      </c>
      <c r="L449" t="s">
        <v>1366</v>
      </c>
      <c r="O449" t="s">
        <v>1367</v>
      </c>
    </row>
    <row r="450" spans="1:15" x14ac:dyDescent="0.25">
      <c r="A450" t="s">
        <v>18</v>
      </c>
      <c r="B450" t="s">
        <v>1366</v>
      </c>
      <c r="C450" t="s">
        <v>1368</v>
      </c>
      <c r="D450" t="s">
        <v>20</v>
      </c>
      <c r="E450" t="s">
        <v>11</v>
      </c>
      <c r="F450">
        <v>13381.17</v>
      </c>
      <c r="G450">
        <v>18</v>
      </c>
      <c r="L450" t="s">
        <v>1369</v>
      </c>
      <c r="O450" t="s">
        <v>1370</v>
      </c>
    </row>
    <row r="451" spans="1:15" x14ac:dyDescent="0.25">
      <c r="A451" t="s">
        <v>18</v>
      </c>
      <c r="B451" t="s">
        <v>1369</v>
      </c>
      <c r="C451" t="s">
        <v>1371</v>
      </c>
      <c r="D451" t="s">
        <v>20</v>
      </c>
      <c r="E451" t="s">
        <v>11</v>
      </c>
      <c r="F451">
        <v>15469.937999999998</v>
      </c>
      <c r="G451">
        <v>18</v>
      </c>
      <c r="L451" t="s">
        <v>1372</v>
      </c>
      <c r="O451" t="s">
        <v>1373</v>
      </c>
    </row>
    <row r="452" spans="1:15" x14ac:dyDescent="0.25">
      <c r="A452" t="s">
        <v>18</v>
      </c>
      <c r="B452" t="s">
        <v>1372</v>
      </c>
      <c r="C452" t="s">
        <v>1374</v>
      </c>
      <c r="D452" t="s">
        <v>20</v>
      </c>
      <c r="E452" t="s">
        <v>11</v>
      </c>
      <c r="F452">
        <v>6984.318</v>
      </c>
      <c r="G452">
        <v>18</v>
      </c>
      <c r="L452" t="s">
        <v>1375</v>
      </c>
      <c r="O452" t="s">
        <v>1376</v>
      </c>
    </row>
    <row r="453" spans="1:15" x14ac:dyDescent="0.25">
      <c r="A453" t="s">
        <v>18</v>
      </c>
      <c r="B453" t="s">
        <v>1375</v>
      </c>
      <c r="C453" t="s">
        <v>1377</v>
      </c>
      <c r="D453" t="s">
        <v>20</v>
      </c>
      <c r="E453" t="s">
        <v>11</v>
      </c>
      <c r="F453">
        <v>6984.318</v>
      </c>
      <c r="G453">
        <v>18</v>
      </c>
      <c r="L453" t="s">
        <v>1378</v>
      </c>
      <c r="O453" t="s">
        <v>1379</v>
      </c>
    </row>
    <row r="454" spans="1:15" x14ac:dyDescent="0.25">
      <c r="A454" t="s">
        <v>18</v>
      </c>
      <c r="B454" t="s">
        <v>1378</v>
      </c>
      <c r="C454" t="s">
        <v>1380</v>
      </c>
      <c r="D454" t="s">
        <v>20</v>
      </c>
      <c r="E454" t="s">
        <v>11</v>
      </c>
      <c r="F454">
        <v>6984.318</v>
      </c>
      <c r="G454">
        <v>18</v>
      </c>
      <c r="L454" t="s">
        <v>1381</v>
      </c>
      <c r="O454" t="s">
        <v>1382</v>
      </c>
    </row>
    <row r="455" spans="1:15" x14ac:dyDescent="0.25">
      <c r="A455" t="s">
        <v>18</v>
      </c>
      <c r="B455" t="s">
        <v>1381</v>
      </c>
      <c r="C455" t="s">
        <v>1383</v>
      </c>
      <c r="D455" t="s">
        <v>20</v>
      </c>
      <c r="E455" t="s">
        <v>11</v>
      </c>
      <c r="F455">
        <v>6984.318</v>
      </c>
      <c r="G455">
        <v>18</v>
      </c>
      <c r="L455" t="s">
        <v>1384</v>
      </c>
      <c r="O455" t="s">
        <v>1385</v>
      </c>
    </row>
    <row r="456" spans="1:15" x14ac:dyDescent="0.25">
      <c r="A456" t="s">
        <v>18</v>
      </c>
      <c r="B456" t="s">
        <v>1384</v>
      </c>
      <c r="C456" t="s">
        <v>1386</v>
      </c>
      <c r="D456" t="s">
        <v>20</v>
      </c>
      <c r="E456" t="s">
        <v>11</v>
      </c>
      <c r="F456">
        <v>6984.318</v>
      </c>
      <c r="G456">
        <v>18</v>
      </c>
      <c r="L456" t="s">
        <v>1387</v>
      </c>
      <c r="O456" t="s">
        <v>1388</v>
      </c>
    </row>
    <row r="457" spans="1:15" x14ac:dyDescent="0.25">
      <c r="A457" t="s">
        <v>18</v>
      </c>
      <c r="B457" t="s">
        <v>1387</v>
      </c>
      <c r="C457" t="s">
        <v>1389</v>
      </c>
      <c r="D457" t="s">
        <v>20</v>
      </c>
      <c r="E457" t="s">
        <v>11</v>
      </c>
      <c r="F457">
        <v>6984.318</v>
      </c>
      <c r="G457">
        <v>18</v>
      </c>
      <c r="L457" t="s">
        <v>1390</v>
      </c>
      <c r="O457" t="s">
        <v>1391</v>
      </c>
    </row>
    <row r="458" spans="1:15" x14ac:dyDescent="0.25">
      <c r="A458" t="s">
        <v>18</v>
      </c>
      <c r="B458" t="s">
        <v>1390</v>
      </c>
      <c r="C458" t="s">
        <v>1392</v>
      </c>
      <c r="D458" t="s">
        <v>20</v>
      </c>
      <c r="E458" t="s">
        <v>11</v>
      </c>
      <c r="F458">
        <v>6984.318</v>
      </c>
      <c r="G458">
        <v>18</v>
      </c>
      <c r="L458" t="s">
        <v>1393</v>
      </c>
      <c r="O458" t="s">
        <v>1394</v>
      </c>
    </row>
    <row r="459" spans="1:15" x14ac:dyDescent="0.25">
      <c r="A459" t="s">
        <v>18</v>
      </c>
      <c r="B459" t="s">
        <v>1393</v>
      </c>
      <c r="C459" t="s">
        <v>1395</v>
      </c>
      <c r="D459" t="s">
        <v>20</v>
      </c>
      <c r="E459" t="s">
        <v>11</v>
      </c>
      <c r="F459">
        <v>6984.318</v>
      </c>
      <c r="G459">
        <v>18</v>
      </c>
      <c r="L459" t="s">
        <v>1396</v>
      </c>
      <c r="O459" t="s">
        <v>1397</v>
      </c>
    </row>
    <row r="460" spans="1:15" x14ac:dyDescent="0.25">
      <c r="A460" t="s">
        <v>18</v>
      </c>
      <c r="B460" t="s">
        <v>1396</v>
      </c>
      <c r="C460" t="s">
        <v>1398</v>
      </c>
      <c r="D460" t="s">
        <v>20</v>
      </c>
      <c r="E460" t="s">
        <v>11</v>
      </c>
      <c r="F460">
        <v>6984.318</v>
      </c>
      <c r="G460">
        <v>18</v>
      </c>
      <c r="L460" t="s">
        <v>1399</v>
      </c>
      <c r="O460" t="s">
        <v>1400</v>
      </c>
    </row>
    <row r="461" spans="1:15" x14ac:dyDescent="0.25">
      <c r="A461" t="s">
        <v>18</v>
      </c>
      <c r="B461" t="s">
        <v>1399</v>
      </c>
      <c r="C461" t="s">
        <v>1401</v>
      </c>
      <c r="D461" t="s">
        <v>20</v>
      </c>
      <c r="E461" t="s">
        <v>11</v>
      </c>
      <c r="F461">
        <v>4503.906</v>
      </c>
      <c r="G461">
        <v>18</v>
      </c>
      <c r="L461" t="s">
        <v>1402</v>
      </c>
      <c r="O461" t="s">
        <v>1403</v>
      </c>
    </row>
    <row r="462" spans="1:15" x14ac:dyDescent="0.25">
      <c r="A462" t="s">
        <v>18</v>
      </c>
      <c r="B462" t="s">
        <v>1402</v>
      </c>
      <c r="C462" t="s">
        <v>1404</v>
      </c>
      <c r="D462" t="s">
        <v>20</v>
      </c>
      <c r="E462" t="s">
        <v>11</v>
      </c>
      <c r="F462">
        <v>5352.468</v>
      </c>
      <c r="G462">
        <v>18</v>
      </c>
      <c r="L462" t="s">
        <v>1405</v>
      </c>
      <c r="O462" t="s">
        <v>1406</v>
      </c>
    </row>
    <row r="463" spans="1:15" x14ac:dyDescent="0.25">
      <c r="A463" t="s">
        <v>18</v>
      </c>
      <c r="B463" t="s">
        <v>1405</v>
      </c>
      <c r="C463" t="s">
        <v>1407</v>
      </c>
      <c r="D463" t="s">
        <v>20</v>
      </c>
      <c r="E463" t="s">
        <v>11</v>
      </c>
      <c r="F463">
        <v>7832.88</v>
      </c>
      <c r="G463">
        <v>18</v>
      </c>
      <c r="L463" t="s">
        <v>1408</v>
      </c>
      <c r="O463" t="s">
        <v>1409</v>
      </c>
    </row>
    <row r="464" spans="1:15" x14ac:dyDescent="0.25">
      <c r="A464" t="s">
        <v>18</v>
      </c>
      <c r="B464" t="s">
        <v>1408</v>
      </c>
      <c r="C464" t="s">
        <v>1410</v>
      </c>
      <c r="D464" t="s">
        <v>20</v>
      </c>
      <c r="E464" t="s">
        <v>11</v>
      </c>
      <c r="F464">
        <v>10770.210000000001</v>
      </c>
      <c r="G464">
        <v>18</v>
      </c>
      <c r="L464" t="s">
        <v>1411</v>
      </c>
      <c r="O464" t="s">
        <v>1412</v>
      </c>
    </row>
    <row r="465" spans="1:15" x14ac:dyDescent="0.25">
      <c r="A465" t="s">
        <v>18</v>
      </c>
      <c r="B465" t="s">
        <v>1411</v>
      </c>
      <c r="C465" t="s">
        <v>1413</v>
      </c>
      <c r="D465" t="s">
        <v>20</v>
      </c>
      <c r="E465" t="s">
        <v>11</v>
      </c>
      <c r="F465">
        <v>11618.771999999999</v>
      </c>
      <c r="G465">
        <v>18</v>
      </c>
      <c r="L465" t="s">
        <v>1414</v>
      </c>
      <c r="O465" t="s">
        <v>1415</v>
      </c>
    </row>
    <row r="466" spans="1:15" x14ac:dyDescent="0.25">
      <c r="A466" t="s">
        <v>18</v>
      </c>
      <c r="B466" t="s">
        <v>1414</v>
      </c>
      <c r="C466" t="s">
        <v>1416</v>
      </c>
      <c r="D466" t="s">
        <v>20</v>
      </c>
      <c r="E466" t="s">
        <v>11</v>
      </c>
      <c r="F466">
        <v>10378.565999999999</v>
      </c>
      <c r="G466">
        <v>18</v>
      </c>
      <c r="L466" t="s">
        <v>1417</v>
      </c>
      <c r="O466" t="s">
        <v>1418</v>
      </c>
    </row>
    <row r="467" spans="1:15" x14ac:dyDescent="0.25">
      <c r="A467" t="s">
        <v>18</v>
      </c>
      <c r="B467" t="s">
        <v>1417</v>
      </c>
      <c r="C467" t="s">
        <v>1419</v>
      </c>
      <c r="D467" t="s">
        <v>20</v>
      </c>
      <c r="E467" t="s">
        <v>11</v>
      </c>
      <c r="F467">
        <v>13838.087999999998</v>
      </c>
      <c r="G467">
        <v>18</v>
      </c>
      <c r="L467" t="s">
        <v>1420</v>
      </c>
      <c r="O467" t="s">
        <v>1421</v>
      </c>
    </row>
    <row r="468" spans="1:15" x14ac:dyDescent="0.25">
      <c r="A468" t="s">
        <v>18</v>
      </c>
      <c r="B468" t="s">
        <v>1420</v>
      </c>
      <c r="C468" t="s">
        <v>1422</v>
      </c>
      <c r="D468" t="s">
        <v>20</v>
      </c>
      <c r="E468" t="s">
        <v>11</v>
      </c>
      <c r="F468">
        <v>5613.563999999999</v>
      </c>
      <c r="G468">
        <v>18</v>
      </c>
      <c r="L468" t="s">
        <v>1423</v>
      </c>
      <c r="O468" t="s">
        <v>1424</v>
      </c>
    </row>
    <row r="469" spans="1:15" x14ac:dyDescent="0.25">
      <c r="A469" t="s">
        <v>18</v>
      </c>
      <c r="B469" t="s">
        <v>1423</v>
      </c>
      <c r="C469" t="s">
        <v>1425</v>
      </c>
      <c r="D469" t="s">
        <v>20</v>
      </c>
      <c r="E469" t="s">
        <v>11</v>
      </c>
      <c r="F469">
        <v>5417.742</v>
      </c>
      <c r="G469">
        <v>18</v>
      </c>
      <c r="L469" t="s">
        <v>1426</v>
      </c>
      <c r="O469" t="s">
        <v>1427</v>
      </c>
    </row>
    <row r="470" spans="1:15" x14ac:dyDescent="0.25">
      <c r="A470" t="s">
        <v>18</v>
      </c>
      <c r="B470" t="s">
        <v>1426</v>
      </c>
      <c r="C470" t="s">
        <v>1428</v>
      </c>
      <c r="D470" t="s">
        <v>20</v>
      </c>
      <c r="E470" t="s">
        <v>11</v>
      </c>
      <c r="F470">
        <v>7114.866</v>
      </c>
      <c r="G470">
        <v>18</v>
      </c>
      <c r="L470" t="s">
        <v>1429</v>
      </c>
      <c r="O470" t="s">
        <v>1430</v>
      </c>
    </row>
    <row r="471" spans="1:15" x14ac:dyDescent="0.25">
      <c r="A471" t="s">
        <v>18</v>
      </c>
      <c r="B471" t="s">
        <v>1429</v>
      </c>
      <c r="C471" t="s">
        <v>1431</v>
      </c>
      <c r="D471" t="s">
        <v>20</v>
      </c>
      <c r="E471" t="s">
        <v>11</v>
      </c>
      <c r="F471">
        <v>6396.852</v>
      </c>
      <c r="G471">
        <v>18</v>
      </c>
      <c r="L471" t="s">
        <v>1432</v>
      </c>
      <c r="O471" t="s">
        <v>1433</v>
      </c>
    </row>
    <row r="472" spans="1:15" x14ac:dyDescent="0.25">
      <c r="A472" t="s">
        <v>18</v>
      </c>
      <c r="B472" t="s">
        <v>1432</v>
      </c>
      <c r="C472" t="s">
        <v>1434</v>
      </c>
      <c r="D472" t="s">
        <v>20</v>
      </c>
      <c r="E472" t="s">
        <v>11</v>
      </c>
      <c r="F472">
        <v>8811.99</v>
      </c>
      <c r="G472">
        <v>18</v>
      </c>
      <c r="L472" t="s">
        <v>1435</v>
      </c>
      <c r="O472" t="s">
        <v>1436</v>
      </c>
    </row>
    <row r="473" spans="1:15" x14ac:dyDescent="0.25">
      <c r="A473" t="s">
        <v>18</v>
      </c>
      <c r="B473" t="s">
        <v>1435</v>
      </c>
      <c r="C473" t="s">
        <v>1437</v>
      </c>
      <c r="D473" t="s">
        <v>20</v>
      </c>
      <c r="E473" t="s">
        <v>11</v>
      </c>
      <c r="F473">
        <v>6788.495999999999</v>
      </c>
      <c r="G473">
        <v>18</v>
      </c>
      <c r="L473" t="s">
        <v>1438</v>
      </c>
      <c r="O473" t="s">
        <v>1439</v>
      </c>
    </row>
    <row r="474" spans="1:15" x14ac:dyDescent="0.25">
      <c r="A474" t="s">
        <v>18</v>
      </c>
      <c r="B474" t="s">
        <v>1438</v>
      </c>
      <c r="C474" t="s">
        <v>1440</v>
      </c>
      <c r="D474" t="s">
        <v>20</v>
      </c>
      <c r="E474" t="s">
        <v>11</v>
      </c>
      <c r="F474">
        <v>8485.619999999999</v>
      </c>
      <c r="G474">
        <v>18</v>
      </c>
      <c r="L474" t="s">
        <v>1441</v>
      </c>
      <c r="O474" t="s">
        <v>1442</v>
      </c>
    </row>
    <row r="475" spans="1:15" x14ac:dyDescent="0.25">
      <c r="A475" t="s">
        <v>18</v>
      </c>
      <c r="B475" t="s">
        <v>1441</v>
      </c>
      <c r="C475" t="s">
        <v>1443</v>
      </c>
      <c r="D475" t="s">
        <v>20</v>
      </c>
      <c r="E475" t="s">
        <v>11</v>
      </c>
      <c r="F475">
        <v>4569.18</v>
      </c>
      <c r="G475">
        <v>18</v>
      </c>
      <c r="L475" t="s">
        <v>1444</v>
      </c>
      <c r="O475" t="s">
        <v>1445</v>
      </c>
    </row>
    <row r="476" spans="1:15" x14ac:dyDescent="0.25">
      <c r="A476" t="s">
        <v>18</v>
      </c>
      <c r="B476" t="s">
        <v>1444</v>
      </c>
      <c r="C476" t="s">
        <v>1446</v>
      </c>
      <c r="D476" t="s">
        <v>20</v>
      </c>
      <c r="E476" t="s">
        <v>11</v>
      </c>
      <c r="F476">
        <v>2741.508</v>
      </c>
      <c r="G476">
        <v>18</v>
      </c>
      <c r="L476" t="s">
        <v>1447</v>
      </c>
      <c r="O476" t="s">
        <v>1448</v>
      </c>
    </row>
    <row r="477" spans="1:15" x14ac:dyDescent="0.25">
      <c r="A477" t="s">
        <v>18</v>
      </c>
      <c r="B477" t="s">
        <v>1447</v>
      </c>
      <c r="C477" t="s">
        <v>1449</v>
      </c>
      <c r="D477" t="s">
        <v>20</v>
      </c>
      <c r="E477" t="s">
        <v>11</v>
      </c>
      <c r="F477">
        <v>4960.8240000000005</v>
      </c>
      <c r="G477">
        <v>18</v>
      </c>
      <c r="L477" t="s">
        <v>1450</v>
      </c>
      <c r="O477" t="s">
        <v>1451</v>
      </c>
    </row>
    <row r="478" spans="1:15" x14ac:dyDescent="0.25">
      <c r="A478" t="s">
        <v>18</v>
      </c>
      <c r="B478" t="s">
        <v>1450</v>
      </c>
      <c r="C478" t="s">
        <v>1452</v>
      </c>
      <c r="D478" t="s">
        <v>20</v>
      </c>
      <c r="E478" t="s">
        <v>11</v>
      </c>
      <c r="F478">
        <v>3785.892</v>
      </c>
      <c r="G478">
        <v>18</v>
      </c>
      <c r="L478" t="s">
        <v>1453</v>
      </c>
      <c r="O478" t="s">
        <v>1454</v>
      </c>
    </row>
    <row r="479" spans="1:15" x14ac:dyDescent="0.25">
      <c r="A479" t="s">
        <v>18</v>
      </c>
      <c r="B479" t="s">
        <v>1453</v>
      </c>
      <c r="C479" t="s">
        <v>1455</v>
      </c>
      <c r="D479" t="s">
        <v>20</v>
      </c>
      <c r="E479" t="s">
        <v>11</v>
      </c>
      <c r="F479">
        <v>4634.454</v>
      </c>
      <c r="G479">
        <v>18</v>
      </c>
      <c r="L479" t="s">
        <v>1456</v>
      </c>
      <c r="O479" t="s">
        <v>1457</v>
      </c>
    </row>
    <row r="480" spans="1:15" x14ac:dyDescent="0.25">
      <c r="A480" t="s">
        <v>18</v>
      </c>
      <c r="B480" t="s">
        <v>1456</v>
      </c>
      <c r="C480" t="s">
        <v>1458</v>
      </c>
      <c r="D480" t="s">
        <v>20</v>
      </c>
      <c r="E480" t="s">
        <v>11</v>
      </c>
      <c r="F480">
        <v>2741.508</v>
      </c>
      <c r="G480">
        <v>18</v>
      </c>
      <c r="L480" t="s">
        <v>1459</v>
      </c>
      <c r="O480" t="s">
        <v>1460</v>
      </c>
    </row>
    <row r="481" spans="1:15" x14ac:dyDescent="0.25">
      <c r="A481" t="s">
        <v>18</v>
      </c>
      <c r="B481" t="s">
        <v>1459</v>
      </c>
      <c r="C481" t="s">
        <v>1461</v>
      </c>
      <c r="D481" t="s">
        <v>20</v>
      </c>
      <c r="E481" t="s">
        <v>11</v>
      </c>
      <c r="F481">
        <v>4242.8099999999995</v>
      </c>
      <c r="G481">
        <v>18</v>
      </c>
      <c r="L481" t="s">
        <v>1462</v>
      </c>
      <c r="O481" t="s">
        <v>1463</v>
      </c>
    </row>
    <row r="482" spans="1:15" x14ac:dyDescent="0.25">
      <c r="A482" t="s">
        <v>18</v>
      </c>
      <c r="B482" t="s">
        <v>1462</v>
      </c>
      <c r="C482" t="s">
        <v>1464</v>
      </c>
      <c r="D482" t="s">
        <v>20</v>
      </c>
      <c r="E482" t="s">
        <v>11</v>
      </c>
      <c r="F482">
        <v>5939.933999999999</v>
      </c>
      <c r="G482">
        <v>18</v>
      </c>
      <c r="L482" t="s">
        <v>1465</v>
      </c>
      <c r="O482" t="s">
        <v>1466</v>
      </c>
    </row>
    <row r="483" spans="1:15" x14ac:dyDescent="0.25">
      <c r="A483" t="s">
        <v>18</v>
      </c>
      <c r="B483" t="s">
        <v>1465</v>
      </c>
      <c r="C483" t="s">
        <v>1467</v>
      </c>
      <c r="D483" t="s">
        <v>20</v>
      </c>
      <c r="E483" t="s">
        <v>11</v>
      </c>
      <c r="F483">
        <v>8877.264</v>
      </c>
      <c r="G483">
        <v>18</v>
      </c>
      <c r="L483" t="s">
        <v>1468</v>
      </c>
      <c r="O483" t="s">
        <v>1469</v>
      </c>
    </row>
    <row r="484" spans="1:15" x14ac:dyDescent="0.25">
      <c r="A484" t="s">
        <v>18</v>
      </c>
      <c r="B484" t="s">
        <v>1468</v>
      </c>
      <c r="C484" t="s">
        <v>1470</v>
      </c>
      <c r="D484" t="s">
        <v>20</v>
      </c>
      <c r="E484" t="s">
        <v>11</v>
      </c>
      <c r="F484">
        <v>6984.318</v>
      </c>
      <c r="G484">
        <v>18</v>
      </c>
      <c r="L484" t="s">
        <v>1471</v>
      </c>
      <c r="O484" t="s">
        <v>1472</v>
      </c>
    </row>
    <row r="485" spans="1:15" x14ac:dyDescent="0.25">
      <c r="A485" t="s">
        <v>18</v>
      </c>
      <c r="B485" t="s">
        <v>1471</v>
      </c>
      <c r="C485" t="s">
        <v>1473</v>
      </c>
      <c r="D485" t="s">
        <v>20</v>
      </c>
      <c r="E485" t="s">
        <v>11</v>
      </c>
      <c r="F485">
        <v>8093.976</v>
      </c>
      <c r="G485">
        <v>18</v>
      </c>
      <c r="L485" t="s">
        <v>1474</v>
      </c>
      <c r="O485" t="s">
        <v>1475</v>
      </c>
    </row>
    <row r="486" spans="1:15" x14ac:dyDescent="0.25">
      <c r="A486" t="s">
        <v>18</v>
      </c>
      <c r="B486" t="s">
        <v>1474</v>
      </c>
      <c r="C486" t="s">
        <v>1476</v>
      </c>
      <c r="D486" t="s">
        <v>20</v>
      </c>
      <c r="E486" t="s">
        <v>11</v>
      </c>
      <c r="F486">
        <v>6527.4</v>
      </c>
      <c r="G486">
        <v>18</v>
      </c>
      <c r="L486" t="s">
        <v>1477</v>
      </c>
      <c r="O486" t="s">
        <v>1478</v>
      </c>
    </row>
    <row r="487" spans="1:15" x14ac:dyDescent="0.25">
      <c r="A487" t="s">
        <v>18</v>
      </c>
      <c r="B487" t="s">
        <v>1477</v>
      </c>
      <c r="C487" t="s">
        <v>1479</v>
      </c>
      <c r="D487" t="s">
        <v>20</v>
      </c>
      <c r="E487" t="s">
        <v>11</v>
      </c>
      <c r="F487">
        <v>5613.563999999999</v>
      </c>
      <c r="G487">
        <v>18</v>
      </c>
      <c r="L487" t="s">
        <v>1480</v>
      </c>
      <c r="O487" t="s">
        <v>1481</v>
      </c>
    </row>
    <row r="488" spans="1:15" x14ac:dyDescent="0.25">
      <c r="A488" t="s">
        <v>18</v>
      </c>
      <c r="B488" t="s">
        <v>1480</v>
      </c>
      <c r="C488" t="s">
        <v>1482</v>
      </c>
      <c r="D488" t="s">
        <v>20</v>
      </c>
      <c r="E488" t="s">
        <v>11</v>
      </c>
      <c r="F488">
        <v>6527.4</v>
      </c>
      <c r="G488">
        <v>18</v>
      </c>
      <c r="L488" t="s">
        <v>1483</v>
      </c>
      <c r="O488" t="s">
        <v>1484</v>
      </c>
    </row>
    <row r="489" spans="1:15" x14ac:dyDescent="0.25">
      <c r="A489" t="s">
        <v>18</v>
      </c>
      <c r="B489" t="s">
        <v>1483</v>
      </c>
      <c r="C489" t="s">
        <v>1464</v>
      </c>
      <c r="D489" t="s">
        <v>20</v>
      </c>
      <c r="E489" t="s">
        <v>11</v>
      </c>
      <c r="F489">
        <v>5026.097999999999</v>
      </c>
      <c r="G489">
        <v>18</v>
      </c>
      <c r="L489" t="s">
        <v>1485</v>
      </c>
      <c r="O489" t="s">
        <v>1486</v>
      </c>
    </row>
    <row r="490" spans="1:15" x14ac:dyDescent="0.25">
      <c r="A490" t="s">
        <v>18</v>
      </c>
      <c r="B490" t="s">
        <v>1485</v>
      </c>
      <c r="C490" t="s">
        <v>1467</v>
      </c>
      <c r="D490" t="s">
        <v>20</v>
      </c>
      <c r="E490" t="s">
        <v>11</v>
      </c>
      <c r="F490">
        <v>6723.222000000001</v>
      </c>
      <c r="G490">
        <v>18</v>
      </c>
      <c r="L490" t="s">
        <v>1487</v>
      </c>
      <c r="O490" t="s">
        <v>1488</v>
      </c>
    </row>
    <row r="491" spans="1:15" x14ac:dyDescent="0.25">
      <c r="A491" t="s">
        <v>18</v>
      </c>
      <c r="B491" t="s">
        <v>1487</v>
      </c>
      <c r="C491" t="s">
        <v>1470</v>
      </c>
      <c r="D491" t="s">
        <v>20</v>
      </c>
      <c r="E491" t="s">
        <v>11</v>
      </c>
      <c r="F491">
        <v>7049.592000000001</v>
      </c>
      <c r="G491">
        <v>18</v>
      </c>
      <c r="L491" t="s">
        <v>1489</v>
      </c>
      <c r="O491" t="s">
        <v>1490</v>
      </c>
    </row>
    <row r="492" spans="1:15" x14ac:dyDescent="0.25">
      <c r="A492" t="s">
        <v>18</v>
      </c>
      <c r="B492" t="s">
        <v>1489</v>
      </c>
      <c r="C492" t="s">
        <v>1473</v>
      </c>
      <c r="D492" t="s">
        <v>20</v>
      </c>
      <c r="E492" t="s">
        <v>11</v>
      </c>
      <c r="F492">
        <v>5548.29</v>
      </c>
      <c r="G492">
        <v>18</v>
      </c>
      <c r="L492" t="s">
        <v>1491</v>
      </c>
      <c r="O492" t="s">
        <v>1492</v>
      </c>
    </row>
    <row r="493" spans="1:15" x14ac:dyDescent="0.25">
      <c r="A493" t="s">
        <v>18</v>
      </c>
      <c r="B493" t="s">
        <v>1491</v>
      </c>
      <c r="C493" t="s">
        <v>1476</v>
      </c>
      <c r="D493" t="s">
        <v>20</v>
      </c>
      <c r="E493" t="s">
        <v>11</v>
      </c>
      <c r="F493">
        <v>6135.755999999999</v>
      </c>
      <c r="G493">
        <v>18</v>
      </c>
      <c r="L493" t="s">
        <v>1493</v>
      </c>
      <c r="O493" t="s">
        <v>1494</v>
      </c>
    </row>
    <row r="494" spans="1:15" x14ac:dyDescent="0.25">
      <c r="A494" t="s">
        <v>18</v>
      </c>
      <c r="B494" t="s">
        <v>1493</v>
      </c>
      <c r="C494" t="s">
        <v>1479</v>
      </c>
      <c r="D494" t="s">
        <v>20</v>
      </c>
      <c r="E494" t="s">
        <v>11</v>
      </c>
      <c r="F494">
        <v>7375.962</v>
      </c>
      <c r="G494">
        <v>18</v>
      </c>
      <c r="L494" t="s">
        <v>1495</v>
      </c>
      <c r="O494" t="s">
        <v>1496</v>
      </c>
    </row>
    <row r="495" spans="1:15" x14ac:dyDescent="0.25">
      <c r="A495" t="s">
        <v>18</v>
      </c>
      <c r="B495" t="s">
        <v>1495</v>
      </c>
      <c r="C495" t="s">
        <v>1497</v>
      </c>
      <c r="D495" t="s">
        <v>20</v>
      </c>
      <c r="E495" t="s">
        <v>11</v>
      </c>
      <c r="F495">
        <v>10639.661999999998</v>
      </c>
      <c r="G495">
        <v>18</v>
      </c>
      <c r="L495" t="s">
        <v>1498</v>
      </c>
      <c r="O495" t="s">
        <v>1499</v>
      </c>
    </row>
    <row r="496" spans="1:15" x14ac:dyDescent="0.25">
      <c r="A496" t="s">
        <v>18</v>
      </c>
      <c r="B496" t="s">
        <v>1498</v>
      </c>
      <c r="C496" t="s">
        <v>1500</v>
      </c>
      <c r="D496" t="s">
        <v>20</v>
      </c>
      <c r="E496" t="s">
        <v>11</v>
      </c>
      <c r="F496">
        <v>4765.0019999999995</v>
      </c>
      <c r="G496">
        <v>18</v>
      </c>
      <c r="L496" t="s">
        <v>1501</v>
      </c>
      <c r="O496" t="s">
        <v>1502</v>
      </c>
    </row>
    <row r="497" spans="1:15" x14ac:dyDescent="0.25">
      <c r="A497" t="s">
        <v>18</v>
      </c>
      <c r="B497" t="s">
        <v>1501</v>
      </c>
      <c r="C497" t="s">
        <v>1503</v>
      </c>
      <c r="D497" t="s">
        <v>20</v>
      </c>
      <c r="E497" t="s">
        <v>11</v>
      </c>
      <c r="F497">
        <v>4242.8099999999995</v>
      </c>
      <c r="G497">
        <v>18</v>
      </c>
      <c r="L497" t="s">
        <v>1504</v>
      </c>
      <c r="O497" t="s">
        <v>1505</v>
      </c>
    </row>
    <row r="498" spans="1:15" x14ac:dyDescent="0.25">
      <c r="A498" t="s">
        <v>18</v>
      </c>
      <c r="B498" t="s">
        <v>1504</v>
      </c>
      <c r="C498" t="s">
        <v>1506</v>
      </c>
      <c r="D498" t="s">
        <v>20</v>
      </c>
      <c r="E498" t="s">
        <v>11</v>
      </c>
      <c r="F498">
        <v>4242.8099999999995</v>
      </c>
      <c r="G498">
        <v>18</v>
      </c>
      <c r="L498" t="s">
        <v>1507</v>
      </c>
      <c r="O498" t="s">
        <v>1508</v>
      </c>
    </row>
    <row r="499" spans="1:15" x14ac:dyDescent="0.25">
      <c r="A499" t="s">
        <v>18</v>
      </c>
      <c r="B499" t="s">
        <v>1507</v>
      </c>
      <c r="C499" t="s">
        <v>1509</v>
      </c>
      <c r="D499" t="s">
        <v>20</v>
      </c>
      <c r="E499" t="s">
        <v>11</v>
      </c>
      <c r="F499">
        <v>4242.8099999999995</v>
      </c>
      <c r="G499">
        <v>18</v>
      </c>
      <c r="L499" t="s">
        <v>1510</v>
      </c>
      <c r="O499" t="s">
        <v>1511</v>
      </c>
    </row>
    <row r="500" spans="1:15" x14ac:dyDescent="0.25">
      <c r="A500" t="s">
        <v>18</v>
      </c>
      <c r="B500" t="s">
        <v>1510</v>
      </c>
      <c r="C500" t="s">
        <v>1512</v>
      </c>
      <c r="D500" t="s">
        <v>20</v>
      </c>
      <c r="E500" t="s">
        <v>11</v>
      </c>
      <c r="F500">
        <v>3851.166</v>
      </c>
      <c r="G500">
        <v>18</v>
      </c>
      <c r="L500" t="s">
        <v>1513</v>
      </c>
      <c r="O500" t="s">
        <v>1514</v>
      </c>
    </row>
    <row r="501" spans="1:15" x14ac:dyDescent="0.25">
      <c r="A501" t="s">
        <v>18</v>
      </c>
      <c r="B501" t="s">
        <v>1513</v>
      </c>
      <c r="C501" t="s">
        <v>1515</v>
      </c>
      <c r="D501" t="s">
        <v>20</v>
      </c>
      <c r="E501" t="s">
        <v>11</v>
      </c>
      <c r="F501">
        <v>3851.166</v>
      </c>
      <c r="G501">
        <v>18</v>
      </c>
      <c r="L501" t="s">
        <v>1516</v>
      </c>
      <c r="O501" t="s">
        <v>1517</v>
      </c>
    </row>
    <row r="502" spans="1:15" x14ac:dyDescent="0.25">
      <c r="A502" t="s">
        <v>18</v>
      </c>
      <c r="B502" t="s">
        <v>1516</v>
      </c>
      <c r="C502" t="s">
        <v>1518</v>
      </c>
      <c r="D502" t="s">
        <v>20</v>
      </c>
      <c r="E502" t="s">
        <v>11</v>
      </c>
      <c r="F502">
        <v>3851.166</v>
      </c>
      <c r="G502">
        <v>18</v>
      </c>
      <c r="L502" t="s">
        <v>1519</v>
      </c>
      <c r="O502" t="s">
        <v>1520</v>
      </c>
    </row>
    <row r="503" spans="1:15" x14ac:dyDescent="0.25">
      <c r="A503" t="s">
        <v>18</v>
      </c>
      <c r="B503" t="s">
        <v>1519</v>
      </c>
      <c r="C503" t="s">
        <v>1521</v>
      </c>
      <c r="D503" t="s">
        <v>20</v>
      </c>
      <c r="E503" t="s">
        <v>11</v>
      </c>
      <c r="F503">
        <v>3851.166</v>
      </c>
      <c r="G503">
        <v>18</v>
      </c>
      <c r="L503" t="s">
        <v>1522</v>
      </c>
      <c r="O503" t="s">
        <v>1523</v>
      </c>
    </row>
    <row r="504" spans="1:15" x14ac:dyDescent="0.25">
      <c r="A504" t="s">
        <v>18</v>
      </c>
      <c r="B504" t="s">
        <v>1522</v>
      </c>
      <c r="C504" t="s">
        <v>1524</v>
      </c>
      <c r="D504" t="s">
        <v>20</v>
      </c>
      <c r="E504" t="s">
        <v>11</v>
      </c>
      <c r="F504">
        <v>3851.166</v>
      </c>
      <c r="G504">
        <v>18</v>
      </c>
      <c r="L504" t="s">
        <v>1525</v>
      </c>
      <c r="O504" t="s">
        <v>1526</v>
      </c>
    </row>
    <row r="505" spans="1:15" x14ac:dyDescent="0.25">
      <c r="A505" t="s">
        <v>18</v>
      </c>
      <c r="B505" t="s">
        <v>1525</v>
      </c>
      <c r="C505" t="s">
        <v>1527</v>
      </c>
      <c r="D505" t="s">
        <v>20</v>
      </c>
      <c r="E505" t="s">
        <v>11</v>
      </c>
      <c r="F505">
        <v>3851.166</v>
      </c>
      <c r="G505">
        <v>18</v>
      </c>
      <c r="L505" t="s">
        <v>1528</v>
      </c>
      <c r="O505" t="s">
        <v>1529</v>
      </c>
    </row>
    <row r="506" spans="1:15" x14ac:dyDescent="0.25">
      <c r="A506" t="s">
        <v>18</v>
      </c>
      <c r="B506" t="s">
        <v>1528</v>
      </c>
      <c r="C506" t="s">
        <v>1530</v>
      </c>
      <c r="D506" t="s">
        <v>20</v>
      </c>
      <c r="E506" t="s">
        <v>11</v>
      </c>
      <c r="F506">
        <v>3263.7</v>
      </c>
      <c r="G506">
        <v>18</v>
      </c>
      <c r="L506" t="s">
        <v>1531</v>
      </c>
      <c r="O506" t="s">
        <v>1532</v>
      </c>
    </row>
    <row r="507" spans="1:15" x14ac:dyDescent="0.25">
      <c r="A507" t="s">
        <v>18</v>
      </c>
      <c r="B507" t="s">
        <v>1531</v>
      </c>
      <c r="C507" t="s">
        <v>1533</v>
      </c>
      <c r="D507" t="s">
        <v>20</v>
      </c>
      <c r="E507" t="s">
        <v>11</v>
      </c>
      <c r="F507">
        <v>6919.043999999999</v>
      </c>
      <c r="G507">
        <v>18</v>
      </c>
      <c r="L507" t="s">
        <v>1534</v>
      </c>
      <c r="O507" t="s">
        <v>1535</v>
      </c>
    </row>
    <row r="508" spans="1:15" x14ac:dyDescent="0.25">
      <c r="A508" t="s">
        <v>18</v>
      </c>
      <c r="B508" t="s">
        <v>1534</v>
      </c>
      <c r="C508" t="s">
        <v>1536</v>
      </c>
      <c r="D508" t="s">
        <v>20</v>
      </c>
      <c r="E508" t="s">
        <v>11</v>
      </c>
      <c r="F508">
        <v>7245.414</v>
      </c>
      <c r="G508">
        <v>18</v>
      </c>
      <c r="L508" t="s">
        <v>1537</v>
      </c>
      <c r="O508" t="s">
        <v>1538</v>
      </c>
    </row>
    <row r="509" spans="1:15" x14ac:dyDescent="0.25">
      <c r="A509" t="s">
        <v>18</v>
      </c>
      <c r="B509" t="s">
        <v>1537</v>
      </c>
      <c r="C509" t="s">
        <v>1539</v>
      </c>
      <c r="D509" t="s">
        <v>20</v>
      </c>
      <c r="E509" t="s">
        <v>11</v>
      </c>
      <c r="F509">
        <v>4373.358</v>
      </c>
      <c r="G509">
        <v>18</v>
      </c>
      <c r="L509" t="s">
        <v>1540</v>
      </c>
      <c r="O509" t="s">
        <v>1541</v>
      </c>
    </row>
    <row r="510" spans="1:15" x14ac:dyDescent="0.25">
      <c r="A510" t="s">
        <v>18</v>
      </c>
      <c r="B510" t="s">
        <v>1540</v>
      </c>
      <c r="C510" t="s">
        <v>1542</v>
      </c>
      <c r="D510" t="s">
        <v>20</v>
      </c>
      <c r="E510" t="s">
        <v>11</v>
      </c>
      <c r="F510">
        <v>8224.524</v>
      </c>
      <c r="G510">
        <v>18</v>
      </c>
      <c r="L510" t="s">
        <v>1543</v>
      </c>
      <c r="O510" t="s">
        <v>1544</v>
      </c>
    </row>
    <row r="511" spans="1:15" x14ac:dyDescent="0.25">
      <c r="A511" t="s">
        <v>18</v>
      </c>
      <c r="B511" t="s">
        <v>1543</v>
      </c>
      <c r="C511" t="s">
        <v>1545</v>
      </c>
      <c r="D511" t="s">
        <v>20</v>
      </c>
      <c r="E511" t="s">
        <v>11</v>
      </c>
      <c r="F511">
        <v>9921.648000000001</v>
      </c>
      <c r="G511">
        <v>18</v>
      </c>
      <c r="L511" t="s">
        <v>1546</v>
      </c>
      <c r="O511" t="s">
        <v>1547</v>
      </c>
    </row>
    <row r="512" spans="1:15" x14ac:dyDescent="0.25">
      <c r="A512" t="s">
        <v>18</v>
      </c>
      <c r="B512" t="s">
        <v>1546</v>
      </c>
      <c r="C512" t="s">
        <v>1548</v>
      </c>
      <c r="D512" t="s">
        <v>20</v>
      </c>
      <c r="E512" t="s">
        <v>11</v>
      </c>
      <c r="F512">
        <v>6592.673999999999</v>
      </c>
      <c r="G512">
        <v>18</v>
      </c>
      <c r="L512" t="s">
        <v>1549</v>
      </c>
      <c r="O512" t="s">
        <v>1550</v>
      </c>
    </row>
    <row r="513" spans="1:15" x14ac:dyDescent="0.25">
      <c r="A513" t="s">
        <v>18</v>
      </c>
      <c r="B513" t="s">
        <v>1549</v>
      </c>
      <c r="C513" t="s">
        <v>1551</v>
      </c>
      <c r="D513" t="s">
        <v>20</v>
      </c>
      <c r="E513" t="s">
        <v>11</v>
      </c>
      <c r="F513">
        <v>1697.1239999999998</v>
      </c>
      <c r="G513">
        <v>18</v>
      </c>
      <c r="L513" t="s">
        <v>1552</v>
      </c>
      <c r="O513" t="s">
        <v>1553</v>
      </c>
    </row>
    <row r="514" spans="1:15" x14ac:dyDescent="0.25">
      <c r="A514" t="s">
        <v>18</v>
      </c>
      <c r="B514" t="s">
        <v>1552</v>
      </c>
      <c r="C514" t="s">
        <v>1554</v>
      </c>
      <c r="D514" t="s">
        <v>20</v>
      </c>
      <c r="E514" t="s">
        <v>11</v>
      </c>
      <c r="F514">
        <v>7375.962</v>
      </c>
      <c r="G514">
        <v>18</v>
      </c>
      <c r="L514" t="s">
        <v>1555</v>
      </c>
      <c r="O514" t="s">
        <v>1556</v>
      </c>
    </row>
    <row r="515" spans="1:15" x14ac:dyDescent="0.25">
      <c r="A515" t="s">
        <v>18</v>
      </c>
      <c r="B515" t="s">
        <v>1555</v>
      </c>
      <c r="C515" t="s">
        <v>1557</v>
      </c>
      <c r="D515" t="s">
        <v>20</v>
      </c>
      <c r="E515" t="s">
        <v>11</v>
      </c>
      <c r="F515">
        <v>8093.976</v>
      </c>
      <c r="G515">
        <v>18</v>
      </c>
      <c r="L515" t="s">
        <v>1558</v>
      </c>
      <c r="O515" t="s">
        <v>1559</v>
      </c>
    </row>
    <row r="516" spans="1:15" x14ac:dyDescent="0.25">
      <c r="A516" t="s">
        <v>18</v>
      </c>
      <c r="B516" t="s">
        <v>1558</v>
      </c>
      <c r="C516" t="s">
        <v>1560</v>
      </c>
      <c r="D516" t="s">
        <v>20</v>
      </c>
      <c r="E516" t="s">
        <v>11</v>
      </c>
      <c r="F516">
        <v>9986.921999999999</v>
      </c>
      <c r="G516">
        <v>18</v>
      </c>
      <c r="L516" t="s">
        <v>1561</v>
      </c>
      <c r="O516" t="s">
        <v>1562</v>
      </c>
    </row>
    <row r="517" spans="1:15" x14ac:dyDescent="0.25">
      <c r="A517" t="s">
        <v>18</v>
      </c>
      <c r="B517" t="s">
        <v>1561</v>
      </c>
      <c r="C517" t="s">
        <v>1563</v>
      </c>
      <c r="D517" t="s">
        <v>20</v>
      </c>
      <c r="E517" t="s">
        <v>11</v>
      </c>
      <c r="F517">
        <v>4895.55</v>
      </c>
      <c r="G517">
        <v>18</v>
      </c>
      <c r="L517" t="s">
        <v>1564</v>
      </c>
      <c r="O517" t="s">
        <v>1565</v>
      </c>
    </row>
    <row r="518" spans="1:15" x14ac:dyDescent="0.25">
      <c r="A518" t="s">
        <v>18</v>
      </c>
      <c r="B518" t="s">
        <v>1564</v>
      </c>
      <c r="C518" t="s">
        <v>1566</v>
      </c>
      <c r="D518" t="s">
        <v>20</v>
      </c>
      <c r="E518" t="s">
        <v>11</v>
      </c>
      <c r="F518">
        <v>5678.838</v>
      </c>
      <c r="G518">
        <v>18</v>
      </c>
      <c r="L518" t="s">
        <v>1567</v>
      </c>
      <c r="O518" t="s">
        <v>1568</v>
      </c>
    </row>
    <row r="519" spans="1:15" x14ac:dyDescent="0.25">
      <c r="A519" t="s">
        <v>18</v>
      </c>
      <c r="B519" t="s">
        <v>1567</v>
      </c>
      <c r="C519" t="s">
        <v>1569</v>
      </c>
      <c r="D519" t="s">
        <v>20</v>
      </c>
      <c r="E519" t="s">
        <v>11</v>
      </c>
      <c r="F519">
        <v>6396.852</v>
      </c>
      <c r="G519">
        <v>18</v>
      </c>
      <c r="L519" t="s">
        <v>1570</v>
      </c>
      <c r="O519" t="s">
        <v>1571</v>
      </c>
    </row>
    <row r="520" spans="1:15" x14ac:dyDescent="0.25">
      <c r="A520" t="s">
        <v>18</v>
      </c>
      <c r="B520" t="s">
        <v>1570</v>
      </c>
      <c r="C520" t="s">
        <v>1572</v>
      </c>
      <c r="D520" t="s">
        <v>20</v>
      </c>
      <c r="E520" t="s">
        <v>11</v>
      </c>
      <c r="F520">
        <v>8355.072</v>
      </c>
      <c r="G520">
        <v>18</v>
      </c>
      <c r="L520" t="s">
        <v>1573</v>
      </c>
      <c r="O520" t="s">
        <v>1574</v>
      </c>
    </row>
    <row r="521" spans="1:15" x14ac:dyDescent="0.25">
      <c r="A521" t="s">
        <v>18</v>
      </c>
      <c r="B521" t="s">
        <v>1573</v>
      </c>
      <c r="C521" t="s">
        <v>1575</v>
      </c>
      <c r="D521" t="s">
        <v>20</v>
      </c>
      <c r="E521" t="s">
        <v>11</v>
      </c>
      <c r="F521">
        <v>8355.072</v>
      </c>
      <c r="G521">
        <v>18</v>
      </c>
      <c r="L521" t="s">
        <v>1576</v>
      </c>
      <c r="O521" t="s">
        <v>1577</v>
      </c>
    </row>
    <row r="522" spans="1:15" x14ac:dyDescent="0.25">
      <c r="A522" t="s">
        <v>18</v>
      </c>
      <c r="B522" t="s">
        <v>1576</v>
      </c>
      <c r="C522" t="s">
        <v>1578</v>
      </c>
      <c r="D522" t="s">
        <v>20</v>
      </c>
      <c r="E522" t="s">
        <v>11</v>
      </c>
      <c r="F522">
        <v>7767.605999999999</v>
      </c>
      <c r="G522">
        <v>18</v>
      </c>
      <c r="L522" t="s">
        <v>1579</v>
      </c>
      <c r="O522" t="s">
        <v>1580</v>
      </c>
    </row>
    <row r="523" spans="1:15" x14ac:dyDescent="0.25">
      <c r="A523" t="s">
        <v>18</v>
      </c>
      <c r="B523" t="s">
        <v>1579</v>
      </c>
      <c r="C523" t="s">
        <v>1581</v>
      </c>
      <c r="D523" t="s">
        <v>20</v>
      </c>
      <c r="E523" t="s">
        <v>11</v>
      </c>
      <c r="F523">
        <v>10704.936</v>
      </c>
      <c r="G523">
        <v>18</v>
      </c>
      <c r="L523" t="s">
        <v>1582</v>
      </c>
      <c r="O523" t="s">
        <v>1583</v>
      </c>
    </row>
    <row r="524" spans="1:15" x14ac:dyDescent="0.25">
      <c r="A524" t="s">
        <v>18</v>
      </c>
      <c r="B524" t="s">
        <v>1582</v>
      </c>
      <c r="C524" t="s">
        <v>1584</v>
      </c>
      <c r="D524" t="s">
        <v>20</v>
      </c>
      <c r="E524" t="s">
        <v>11</v>
      </c>
      <c r="F524">
        <v>6135.755999999999</v>
      </c>
      <c r="G524">
        <v>18</v>
      </c>
      <c r="L524" t="s">
        <v>1585</v>
      </c>
      <c r="O524" t="s">
        <v>1586</v>
      </c>
    </row>
    <row r="525" spans="1:15" x14ac:dyDescent="0.25">
      <c r="A525" t="s">
        <v>18</v>
      </c>
      <c r="B525" t="s">
        <v>1585</v>
      </c>
      <c r="C525" t="s">
        <v>1587</v>
      </c>
      <c r="D525" t="s">
        <v>20</v>
      </c>
      <c r="E525" t="s">
        <v>11</v>
      </c>
      <c r="F525">
        <v>6201.030000000001</v>
      </c>
      <c r="G525">
        <v>18</v>
      </c>
      <c r="L525" t="s">
        <v>1588</v>
      </c>
      <c r="O525" t="s">
        <v>1589</v>
      </c>
    </row>
    <row r="526" spans="1:15" x14ac:dyDescent="0.25">
      <c r="A526" t="s">
        <v>18</v>
      </c>
      <c r="B526" t="s">
        <v>1588</v>
      </c>
      <c r="C526" t="s">
        <v>1590</v>
      </c>
      <c r="D526" t="s">
        <v>20</v>
      </c>
      <c r="E526" t="s">
        <v>11</v>
      </c>
      <c r="F526">
        <v>6201.030000000001</v>
      </c>
      <c r="G526">
        <v>18</v>
      </c>
      <c r="L526" t="s">
        <v>1591</v>
      </c>
      <c r="O526" t="s">
        <v>1592</v>
      </c>
    </row>
    <row r="527" spans="1:15" x14ac:dyDescent="0.25">
      <c r="A527" t="s">
        <v>18</v>
      </c>
      <c r="B527" t="s">
        <v>1591</v>
      </c>
      <c r="C527" t="s">
        <v>1593</v>
      </c>
      <c r="D527" t="s">
        <v>20</v>
      </c>
      <c r="E527" t="s">
        <v>11</v>
      </c>
      <c r="F527">
        <v>6201.030000000001</v>
      </c>
      <c r="G527">
        <v>18</v>
      </c>
      <c r="L527" t="s">
        <v>1594</v>
      </c>
      <c r="O527" t="s">
        <v>1595</v>
      </c>
    </row>
    <row r="528" spans="1:15" x14ac:dyDescent="0.25">
      <c r="A528" t="s">
        <v>18</v>
      </c>
      <c r="B528" t="s">
        <v>1594</v>
      </c>
      <c r="C528" t="s">
        <v>1596</v>
      </c>
      <c r="D528" t="s">
        <v>20</v>
      </c>
      <c r="E528" t="s">
        <v>11</v>
      </c>
      <c r="F528">
        <v>4438.632</v>
      </c>
      <c r="G528">
        <v>18</v>
      </c>
      <c r="L528" t="s">
        <v>1597</v>
      </c>
      <c r="O528" t="s">
        <v>1598</v>
      </c>
    </row>
    <row r="529" spans="1:15" x14ac:dyDescent="0.25">
      <c r="A529" t="s">
        <v>18</v>
      </c>
      <c r="B529" t="s">
        <v>1597</v>
      </c>
      <c r="C529" t="s">
        <v>1599</v>
      </c>
      <c r="D529" t="s">
        <v>20</v>
      </c>
      <c r="E529" t="s">
        <v>11</v>
      </c>
      <c r="F529">
        <v>2613.995999999999</v>
      </c>
      <c r="G529">
        <v>18</v>
      </c>
      <c r="L529" t="s">
        <v>1600</v>
      </c>
      <c r="O529" t="s">
        <v>1601</v>
      </c>
    </row>
    <row r="530" spans="1:15" x14ac:dyDescent="0.25">
      <c r="A530" t="s">
        <v>18</v>
      </c>
      <c r="B530" t="s">
        <v>1600</v>
      </c>
      <c r="C530" t="s">
        <v>1602</v>
      </c>
      <c r="D530" t="s">
        <v>20</v>
      </c>
      <c r="E530" t="s">
        <v>11</v>
      </c>
      <c r="F530">
        <v>4830.276</v>
      </c>
      <c r="G530">
        <v>18</v>
      </c>
      <c r="L530" t="s">
        <v>1603</v>
      </c>
      <c r="O530" t="s">
        <v>1604</v>
      </c>
    </row>
    <row r="531" spans="1:15" x14ac:dyDescent="0.25">
      <c r="A531" t="s">
        <v>18</v>
      </c>
      <c r="B531" t="s">
        <v>1603</v>
      </c>
      <c r="C531" t="s">
        <v>1605</v>
      </c>
      <c r="D531" t="s">
        <v>20</v>
      </c>
      <c r="E531" t="s">
        <v>11</v>
      </c>
      <c r="F531">
        <v>4112.262</v>
      </c>
      <c r="G531">
        <v>18</v>
      </c>
      <c r="L531" t="s">
        <v>1606</v>
      </c>
      <c r="O531" t="s">
        <v>1607</v>
      </c>
    </row>
    <row r="532" spans="1:15" x14ac:dyDescent="0.25">
      <c r="A532" t="s">
        <v>18</v>
      </c>
      <c r="B532" t="s">
        <v>1606</v>
      </c>
      <c r="C532" t="s">
        <v>1608</v>
      </c>
      <c r="D532" t="s">
        <v>20</v>
      </c>
      <c r="E532" t="s">
        <v>11</v>
      </c>
      <c r="F532">
        <v>11422.95</v>
      </c>
      <c r="G532">
        <v>18</v>
      </c>
      <c r="L532" t="s">
        <v>1609</v>
      </c>
      <c r="O532" t="s">
        <v>1610</v>
      </c>
    </row>
    <row r="533" spans="1:15" x14ac:dyDescent="0.25">
      <c r="A533" t="s">
        <v>18</v>
      </c>
      <c r="B533" t="s">
        <v>1609</v>
      </c>
      <c r="C533" t="s">
        <v>1611</v>
      </c>
      <c r="D533" t="s">
        <v>20</v>
      </c>
      <c r="E533" t="s">
        <v>11</v>
      </c>
      <c r="F533">
        <v>3851.166</v>
      </c>
      <c r="G533">
        <v>18</v>
      </c>
      <c r="L533" t="s">
        <v>1612</v>
      </c>
      <c r="O533" t="s">
        <v>1613</v>
      </c>
    </row>
    <row r="534" spans="1:15" x14ac:dyDescent="0.25">
      <c r="A534" t="s">
        <v>18</v>
      </c>
      <c r="B534" t="s">
        <v>1612</v>
      </c>
      <c r="C534" t="s">
        <v>1614</v>
      </c>
      <c r="D534" t="s">
        <v>20</v>
      </c>
      <c r="E534" t="s">
        <v>11</v>
      </c>
      <c r="F534">
        <v>4242.8099999999995</v>
      </c>
      <c r="G534">
        <v>18</v>
      </c>
      <c r="L534" t="s">
        <v>1615</v>
      </c>
      <c r="O534" t="s">
        <v>1616</v>
      </c>
    </row>
    <row r="535" spans="1:15" x14ac:dyDescent="0.25">
      <c r="A535" t="s">
        <v>18</v>
      </c>
      <c r="B535" t="s">
        <v>1615</v>
      </c>
      <c r="C535" t="s">
        <v>1617</v>
      </c>
      <c r="D535" t="s">
        <v>20</v>
      </c>
      <c r="E535" t="s">
        <v>11</v>
      </c>
      <c r="F535">
        <v>4242.8099999999995</v>
      </c>
      <c r="G535">
        <v>18</v>
      </c>
      <c r="L535" t="s">
        <v>1618</v>
      </c>
      <c r="O535" t="s">
        <v>1619</v>
      </c>
    </row>
    <row r="536" spans="1:15" x14ac:dyDescent="0.25">
      <c r="A536" t="s">
        <v>18</v>
      </c>
      <c r="B536" t="s">
        <v>1618</v>
      </c>
      <c r="C536" t="s">
        <v>1620</v>
      </c>
      <c r="D536" t="s">
        <v>20</v>
      </c>
      <c r="E536" t="s">
        <v>11</v>
      </c>
      <c r="F536">
        <v>4242.8099999999995</v>
      </c>
      <c r="G536">
        <v>18</v>
      </c>
      <c r="L536" t="s">
        <v>1621</v>
      </c>
      <c r="O536" t="s">
        <v>1622</v>
      </c>
    </row>
    <row r="537" spans="1:15" x14ac:dyDescent="0.25">
      <c r="A537" t="s">
        <v>18</v>
      </c>
      <c r="B537" t="s">
        <v>1621</v>
      </c>
      <c r="C537" t="s">
        <v>1623</v>
      </c>
      <c r="D537" t="s">
        <v>20</v>
      </c>
      <c r="E537" t="s">
        <v>11</v>
      </c>
      <c r="F537">
        <v>5809.3859999999995</v>
      </c>
      <c r="G537">
        <v>18</v>
      </c>
      <c r="L537" t="s">
        <v>1624</v>
      </c>
      <c r="O537" t="s">
        <v>1625</v>
      </c>
    </row>
    <row r="538" spans="1:15" x14ac:dyDescent="0.25">
      <c r="A538" t="s">
        <v>18</v>
      </c>
      <c r="B538" t="s">
        <v>1624</v>
      </c>
      <c r="C538" t="s">
        <v>1626</v>
      </c>
      <c r="D538" t="s">
        <v>20</v>
      </c>
      <c r="E538" t="s">
        <v>11</v>
      </c>
      <c r="F538">
        <v>4699.727999999999</v>
      </c>
      <c r="G538">
        <v>18</v>
      </c>
      <c r="L538" t="s">
        <v>1627</v>
      </c>
      <c r="O538" t="s">
        <v>1628</v>
      </c>
    </row>
    <row r="539" spans="1:15" x14ac:dyDescent="0.25">
      <c r="A539" t="s">
        <v>18</v>
      </c>
      <c r="B539" t="s">
        <v>1627</v>
      </c>
      <c r="C539" t="s">
        <v>1629</v>
      </c>
      <c r="D539" t="s">
        <v>20</v>
      </c>
      <c r="E539" t="s">
        <v>11</v>
      </c>
      <c r="F539">
        <v>4177.536</v>
      </c>
      <c r="G539">
        <v>18</v>
      </c>
      <c r="L539" t="s">
        <v>1630</v>
      </c>
      <c r="O539" t="s">
        <v>1631</v>
      </c>
    </row>
    <row r="540" spans="1:15" x14ac:dyDescent="0.25">
      <c r="A540" t="s">
        <v>18</v>
      </c>
      <c r="B540" t="s">
        <v>1630</v>
      </c>
      <c r="C540" t="s">
        <v>1632</v>
      </c>
      <c r="D540" t="s">
        <v>20</v>
      </c>
      <c r="E540" t="s">
        <v>11</v>
      </c>
      <c r="F540">
        <v>3067.8779999999997</v>
      </c>
      <c r="G540">
        <v>18</v>
      </c>
      <c r="L540" t="s">
        <v>1633</v>
      </c>
      <c r="O540" t="s">
        <v>1634</v>
      </c>
    </row>
    <row r="541" spans="1:15" x14ac:dyDescent="0.25">
      <c r="A541" t="s">
        <v>18</v>
      </c>
      <c r="B541" t="s">
        <v>1633</v>
      </c>
      <c r="C541" t="s">
        <v>1635</v>
      </c>
      <c r="D541" t="s">
        <v>20</v>
      </c>
      <c r="E541" t="s">
        <v>11</v>
      </c>
      <c r="F541">
        <v>4242.8099999999995</v>
      </c>
      <c r="G541">
        <v>18</v>
      </c>
      <c r="L541" t="s">
        <v>1636</v>
      </c>
      <c r="O541" t="s">
        <v>1637</v>
      </c>
    </row>
    <row r="542" spans="1:15" x14ac:dyDescent="0.25">
      <c r="A542" t="s">
        <v>18</v>
      </c>
      <c r="B542" t="s">
        <v>1636</v>
      </c>
      <c r="C542" t="s">
        <v>1638</v>
      </c>
      <c r="D542" t="s">
        <v>20</v>
      </c>
      <c r="E542" t="s">
        <v>11</v>
      </c>
      <c r="F542">
        <v>4112.262</v>
      </c>
      <c r="G542">
        <v>18</v>
      </c>
      <c r="L542" t="s">
        <v>1639</v>
      </c>
      <c r="O542" t="s">
        <v>1640</v>
      </c>
    </row>
    <row r="543" spans="1:15" x14ac:dyDescent="0.25">
      <c r="A543" t="s">
        <v>18</v>
      </c>
      <c r="B543" t="s">
        <v>1639</v>
      </c>
      <c r="C543" t="s">
        <v>1641</v>
      </c>
      <c r="D543" t="s">
        <v>20</v>
      </c>
      <c r="E543" t="s">
        <v>11</v>
      </c>
      <c r="F543">
        <v>6527.4</v>
      </c>
      <c r="G543">
        <v>18</v>
      </c>
      <c r="L543" t="s">
        <v>1642</v>
      </c>
      <c r="O543" t="s">
        <v>1643</v>
      </c>
    </row>
    <row r="544" spans="1:15" x14ac:dyDescent="0.25">
      <c r="A544" t="s">
        <v>18</v>
      </c>
      <c r="B544" t="s">
        <v>1642</v>
      </c>
      <c r="C544" t="s">
        <v>1644</v>
      </c>
      <c r="D544" t="s">
        <v>20</v>
      </c>
      <c r="E544" t="s">
        <v>11</v>
      </c>
      <c r="F544">
        <v>5678.838</v>
      </c>
      <c r="G544">
        <v>18</v>
      </c>
      <c r="L544" t="s">
        <v>1645</v>
      </c>
      <c r="O544" t="s">
        <v>1646</v>
      </c>
    </row>
    <row r="545" spans="1:15" x14ac:dyDescent="0.25">
      <c r="A545" t="s">
        <v>18</v>
      </c>
      <c r="B545" t="s">
        <v>1645</v>
      </c>
      <c r="C545" t="s">
        <v>1647</v>
      </c>
      <c r="D545" t="s">
        <v>20</v>
      </c>
      <c r="E545" t="s">
        <v>11</v>
      </c>
      <c r="F545">
        <v>6070.482</v>
      </c>
      <c r="G545">
        <v>18</v>
      </c>
      <c r="L545" t="s">
        <v>1648</v>
      </c>
      <c r="O545" t="s">
        <v>1649</v>
      </c>
    </row>
    <row r="546" spans="1:15" x14ac:dyDescent="0.25">
      <c r="A546" t="s">
        <v>18</v>
      </c>
      <c r="B546" t="s">
        <v>1648</v>
      </c>
      <c r="C546" t="s">
        <v>1650</v>
      </c>
      <c r="D546" t="s">
        <v>20</v>
      </c>
      <c r="E546" t="s">
        <v>11</v>
      </c>
      <c r="F546">
        <v>5809.3859999999995</v>
      </c>
      <c r="G546">
        <v>18</v>
      </c>
      <c r="L546" t="s">
        <v>1651</v>
      </c>
      <c r="O546" t="s">
        <v>1652</v>
      </c>
    </row>
    <row r="547" spans="1:15" x14ac:dyDescent="0.25">
      <c r="A547" t="s">
        <v>18</v>
      </c>
      <c r="B547" t="s">
        <v>1651</v>
      </c>
      <c r="C547" t="s">
        <v>1653</v>
      </c>
      <c r="D547" t="s">
        <v>20</v>
      </c>
      <c r="E547" t="s">
        <v>11</v>
      </c>
      <c r="F547">
        <v>848.5619999999999</v>
      </c>
      <c r="G547">
        <v>18</v>
      </c>
      <c r="L547" t="s">
        <v>1654</v>
      </c>
      <c r="O547" t="s">
        <v>1655</v>
      </c>
    </row>
    <row r="548" spans="1:15" x14ac:dyDescent="0.25">
      <c r="A548" t="s">
        <v>18</v>
      </c>
      <c r="B548" t="s">
        <v>1654</v>
      </c>
      <c r="C548" t="s">
        <v>1656</v>
      </c>
      <c r="D548" t="s">
        <v>20</v>
      </c>
      <c r="E548" t="s">
        <v>11</v>
      </c>
      <c r="F548">
        <v>848.5619999999999</v>
      </c>
      <c r="G548">
        <v>18</v>
      </c>
      <c r="L548" t="s">
        <v>1657</v>
      </c>
      <c r="O548" t="s">
        <v>1658</v>
      </c>
    </row>
    <row r="549" spans="1:15" x14ac:dyDescent="0.25">
      <c r="A549" t="s">
        <v>18</v>
      </c>
      <c r="B549" t="s">
        <v>1657</v>
      </c>
      <c r="C549" t="s">
        <v>1659</v>
      </c>
      <c r="D549" t="s">
        <v>20</v>
      </c>
      <c r="E549" t="s">
        <v>11</v>
      </c>
      <c r="F549">
        <v>848.5619999999999</v>
      </c>
      <c r="G549">
        <v>18</v>
      </c>
      <c r="L549" t="s">
        <v>1660</v>
      </c>
      <c r="O549" t="s">
        <v>1661</v>
      </c>
    </row>
    <row r="550" spans="1:15" x14ac:dyDescent="0.25">
      <c r="A550" t="s">
        <v>18</v>
      </c>
      <c r="B550" t="s">
        <v>1660</v>
      </c>
      <c r="C550" t="s">
        <v>1662</v>
      </c>
      <c r="D550" t="s">
        <v>20</v>
      </c>
      <c r="E550" t="s">
        <v>11</v>
      </c>
      <c r="F550">
        <v>848.5619999999999</v>
      </c>
      <c r="G550">
        <v>18</v>
      </c>
      <c r="L550" t="s">
        <v>1663</v>
      </c>
      <c r="O550" t="s">
        <v>1664</v>
      </c>
    </row>
    <row r="551" spans="1:15" x14ac:dyDescent="0.25">
      <c r="A551" t="s">
        <v>18</v>
      </c>
      <c r="B551" t="s">
        <v>1663</v>
      </c>
      <c r="C551" t="s">
        <v>1665</v>
      </c>
      <c r="D551" t="s">
        <v>20</v>
      </c>
      <c r="E551" t="s">
        <v>11</v>
      </c>
      <c r="F551">
        <v>11879.867999999999</v>
      </c>
      <c r="G551">
        <v>18</v>
      </c>
      <c r="L551" t="s">
        <v>1666</v>
      </c>
      <c r="O551" t="s">
        <v>1667</v>
      </c>
    </row>
    <row r="552" spans="1:15" x14ac:dyDescent="0.25">
      <c r="A552" t="s">
        <v>18</v>
      </c>
      <c r="B552" t="s">
        <v>1666</v>
      </c>
      <c r="C552" t="s">
        <v>1668</v>
      </c>
      <c r="D552" t="s">
        <v>20</v>
      </c>
      <c r="E552" t="s">
        <v>11</v>
      </c>
      <c r="F552">
        <v>6984.318</v>
      </c>
      <c r="G552">
        <v>18</v>
      </c>
      <c r="L552" t="s">
        <v>1669</v>
      </c>
      <c r="O552" t="s">
        <v>1670</v>
      </c>
    </row>
    <row r="553" spans="1:15" x14ac:dyDescent="0.25">
      <c r="A553" t="s">
        <v>18</v>
      </c>
      <c r="B553" t="s">
        <v>1669</v>
      </c>
      <c r="C553" t="s">
        <v>1671</v>
      </c>
      <c r="D553" t="s">
        <v>20</v>
      </c>
      <c r="E553" t="s">
        <v>11</v>
      </c>
      <c r="F553">
        <v>979.11</v>
      </c>
      <c r="G553">
        <v>18</v>
      </c>
      <c r="L553" t="s">
        <v>1672</v>
      </c>
      <c r="O553" t="s">
        <v>1673</v>
      </c>
    </row>
    <row r="554" spans="1:15" x14ac:dyDescent="0.25">
      <c r="A554" t="s">
        <v>18</v>
      </c>
      <c r="B554" t="s">
        <v>1672</v>
      </c>
      <c r="C554" t="s">
        <v>1674</v>
      </c>
      <c r="D554" t="s">
        <v>20</v>
      </c>
      <c r="E554" t="s">
        <v>11</v>
      </c>
      <c r="F554">
        <v>848.5619999999999</v>
      </c>
      <c r="G554">
        <v>18</v>
      </c>
      <c r="L554" t="s">
        <v>1675</v>
      </c>
      <c r="O554" t="s">
        <v>1676</v>
      </c>
    </row>
    <row r="555" spans="1:15" x14ac:dyDescent="0.25">
      <c r="A555" t="s">
        <v>18</v>
      </c>
      <c r="B555" t="s">
        <v>1675</v>
      </c>
      <c r="C555" t="s">
        <v>1677</v>
      </c>
      <c r="D555" t="s">
        <v>20</v>
      </c>
      <c r="E555" t="s">
        <v>11</v>
      </c>
      <c r="F555">
        <v>9399.455999999998</v>
      </c>
      <c r="G555">
        <v>18</v>
      </c>
      <c r="L555" t="s">
        <v>1678</v>
      </c>
      <c r="O555" t="s">
        <v>1679</v>
      </c>
    </row>
    <row r="556" spans="1:15" x14ac:dyDescent="0.25">
      <c r="A556" t="s">
        <v>18</v>
      </c>
      <c r="B556" t="s">
        <v>1678</v>
      </c>
      <c r="C556" t="s">
        <v>1680</v>
      </c>
      <c r="D556" t="s">
        <v>20</v>
      </c>
      <c r="E556" t="s">
        <v>11</v>
      </c>
      <c r="F556">
        <v>10639.661999999998</v>
      </c>
      <c r="G556">
        <v>18</v>
      </c>
      <c r="L556" t="s">
        <v>1681</v>
      </c>
      <c r="O556" t="s">
        <v>1682</v>
      </c>
    </row>
    <row r="557" spans="1:15" x14ac:dyDescent="0.25">
      <c r="A557" t="s">
        <v>18</v>
      </c>
      <c r="B557" t="s">
        <v>1681</v>
      </c>
      <c r="C557" t="s">
        <v>1683</v>
      </c>
      <c r="D557" t="s">
        <v>20</v>
      </c>
      <c r="E557" t="s">
        <v>11</v>
      </c>
      <c r="F557">
        <v>4699.727999999999</v>
      </c>
      <c r="G557">
        <v>18</v>
      </c>
      <c r="L557" t="s">
        <v>1684</v>
      </c>
      <c r="O557" t="s">
        <v>1685</v>
      </c>
    </row>
    <row r="558" spans="1:15" x14ac:dyDescent="0.25">
      <c r="A558" t="s">
        <v>18</v>
      </c>
      <c r="B558" t="s">
        <v>1684</v>
      </c>
      <c r="C558" t="s">
        <v>1686</v>
      </c>
      <c r="D558" t="s">
        <v>20</v>
      </c>
      <c r="E558" t="s">
        <v>11</v>
      </c>
      <c r="F558">
        <v>9791.1</v>
      </c>
      <c r="G558">
        <v>18</v>
      </c>
      <c r="L558" t="s">
        <v>1687</v>
      </c>
      <c r="O558" t="s">
        <v>1688</v>
      </c>
    </row>
    <row r="559" spans="1:15" x14ac:dyDescent="0.25">
      <c r="A559" t="s">
        <v>18</v>
      </c>
      <c r="B559" t="s">
        <v>1687</v>
      </c>
      <c r="C559" t="s">
        <v>1689</v>
      </c>
      <c r="D559" t="s">
        <v>20</v>
      </c>
      <c r="E559" t="s">
        <v>11</v>
      </c>
      <c r="F559">
        <v>10182.743999999999</v>
      </c>
      <c r="G559">
        <v>18</v>
      </c>
      <c r="L559" t="s">
        <v>1690</v>
      </c>
      <c r="O559" t="s">
        <v>1691</v>
      </c>
    </row>
    <row r="560" spans="1:15" x14ac:dyDescent="0.25">
      <c r="A560" t="s">
        <v>18</v>
      </c>
      <c r="B560" t="s">
        <v>1690</v>
      </c>
      <c r="C560" t="s">
        <v>1692</v>
      </c>
      <c r="D560" t="s">
        <v>20</v>
      </c>
      <c r="E560" t="s">
        <v>11</v>
      </c>
      <c r="F560">
        <v>11096.58</v>
      </c>
      <c r="G560">
        <v>18</v>
      </c>
      <c r="L560" t="s">
        <v>1693</v>
      </c>
      <c r="O560" t="s">
        <v>1694</v>
      </c>
    </row>
    <row r="561" spans="1:15" x14ac:dyDescent="0.25">
      <c r="A561" t="s">
        <v>18</v>
      </c>
      <c r="B561" t="s">
        <v>1693</v>
      </c>
      <c r="C561" t="s">
        <v>1695</v>
      </c>
      <c r="D561" t="s">
        <v>20</v>
      </c>
      <c r="E561" t="s">
        <v>11</v>
      </c>
      <c r="F561">
        <v>4634.454</v>
      </c>
      <c r="G561">
        <v>18</v>
      </c>
      <c r="L561" t="s">
        <v>1696</v>
      </c>
      <c r="O561" t="s">
        <v>1697</v>
      </c>
    </row>
    <row r="562" spans="1:15" x14ac:dyDescent="0.25">
      <c r="A562" t="s">
        <v>18</v>
      </c>
      <c r="B562" t="s">
        <v>1696</v>
      </c>
      <c r="C562" t="s">
        <v>1698</v>
      </c>
      <c r="D562" t="s">
        <v>20</v>
      </c>
      <c r="E562" t="s">
        <v>11</v>
      </c>
      <c r="F562">
        <v>5036.723999999999</v>
      </c>
      <c r="G562">
        <v>18</v>
      </c>
      <c r="L562" t="s">
        <v>1699</v>
      </c>
      <c r="O562" t="s">
        <v>1700</v>
      </c>
    </row>
    <row r="563" spans="1:15" x14ac:dyDescent="0.25">
      <c r="A563" t="s">
        <v>18</v>
      </c>
      <c r="B563" t="s">
        <v>1699</v>
      </c>
      <c r="C563" t="s">
        <v>1701</v>
      </c>
      <c r="D563" t="s">
        <v>20</v>
      </c>
      <c r="E563" t="s">
        <v>11</v>
      </c>
      <c r="F563">
        <v>4830.276</v>
      </c>
      <c r="G563">
        <v>18</v>
      </c>
      <c r="L563" t="s">
        <v>1702</v>
      </c>
      <c r="O563" t="s">
        <v>1703</v>
      </c>
    </row>
    <row r="564" spans="1:15" x14ac:dyDescent="0.25">
      <c r="A564" t="s">
        <v>18</v>
      </c>
      <c r="B564" t="s">
        <v>1702</v>
      </c>
      <c r="C564" t="s">
        <v>1704</v>
      </c>
      <c r="D564" t="s">
        <v>20</v>
      </c>
      <c r="E564" t="s">
        <v>11</v>
      </c>
      <c r="F564">
        <v>3981.714</v>
      </c>
      <c r="G564">
        <v>18</v>
      </c>
      <c r="L564" t="s">
        <v>1705</v>
      </c>
      <c r="O564" t="s">
        <v>1706</v>
      </c>
    </row>
    <row r="565" spans="1:15" x14ac:dyDescent="0.25">
      <c r="A565" t="s">
        <v>18</v>
      </c>
      <c r="B565" t="s">
        <v>1705</v>
      </c>
      <c r="C565" t="s">
        <v>1707</v>
      </c>
      <c r="D565" t="s">
        <v>20</v>
      </c>
      <c r="E565" t="s">
        <v>11</v>
      </c>
      <c r="F565">
        <v>7245.414</v>
      </c>
      <c r="G565">
        <v>18</v>
      </c>
      <c r="L565" t="s">
        <v>1708</v>
      </c>
      <c r="O565" t="s">
        <v>1709</v>
      </c>
    </row>
    <row r="566" spans="1:15" x14ac:dyDescent="0.25">
      <c r="A566" t="s">
        <v>18</v>
      </c>
      <c r="B566" t="s">
        <v>1708</v>
      </c>
      <c r="C566" t="s">
        <v>1710</v>
      </c>
      <c r="D566" t="s">
        <v>20</v>
      </c>
      <c r="E566" t="s">
        <v>11</v>
      </c>
      <c r="F566">
        <v>7506.51</v>
      </c>
      <c r="G566">
        <v>18</v>
      </c>
      <c r="L566" t="s">
        <v>1711</v>
      </c>
      <c r="O566" t="s">
        <v>1712</v>
      </c>
    </row>
    <row r="567" spans="1:15" x14ac:dyDescent="0.25">
      <c r="A567" t="s">
        <v>18</v>
      </c>
      <c r="B567" t="s">
        <v>1711</v>
      </c>
      <c r="C567" t="s">
        <v>1713</v>
      </c>
      <c r="D567" t="s">
        <v>20</v>
      </c>
      <c r="E567" t="s">
        <v>11</v>
      </c>
      <c r="F567">
        <v>4242.8099999999995</v>
      </c>
      <c r="G567">
        <v>18</v>
      </c>
      <c r="L567" t="s">
        <v>1714</v>
      </c>
      <c r="O567" t="s">
        <v>1715</v>
      </c>
    </row>
    <row r="568" spans="1:15" x14ac:dyDescent="0.25">
      <c r="A568" t="s">
        <v>18</v>
      </c>
      <c r="B568" t="s">
        <v>1714</v>
      </c>
      <c r="C568" t="s">
        <v>1716</v>
      </c>
      <c r="D568" t="s">
        <v>20</v>
      </c>
      <c r="E568" t="s">
        <v>11</v>
      </c>
      <c r="F568">
        <v>5613.563999999999</v>
      </c>
      <c r="G568">
        <v>18</v>
      </c>
      <c r="L568" t="s">
        <v>1717</v>
      </c>
      <c r="O568" t="s">
        <v>1718</v>
      </c>
    </row>
    <row r="569" spans="1:15" x14ac:dyDescent="0.25">
      <c r="A569" t="s">
        <v>18</v>
      </c>
      <c r="B569" t="s">
        <v>1717</v>
      </c>
      <c r="C569" t="s">
        <v>783</v>
      </c>
      <c r="D569" t="s">
        <v>20</v>
      </c>
      <c r="E569" t="s">
        <v>11</v>
      </c>
      <c r="F569">
        <v>4308.084</v>
      </c>
      <c r="G569">
        <v>18</v>
      </c>
      <c r="L569" t="s">
        <v>1719</v>
      </c>
      <c r="O569" t="s">
        <v>1720</v>
      </c>
    </row>
    <row r="570" spans="1:15" x14ac:dyDescent="0.25">
      <c r="A570" t="s">
        <v>18</v>
      </c>
      <c r="B570" t="s">
        <v>1719</v>
      </c>
      <c r="C570" t="s">
        <v>1721</v>
      </c>
      <c r="D570" t="s">
        <v>20</v>
      </c>
      <c r="E570" t="s">
        <v>11</v>
      </c>
      <c r="F570">
        <v>6005.208</v>
      </c>
      <c r="G570">
        <v>18</v>
      </c>
      <c r="L570" t="s">
        <v>1722</v>
      </c>
      <c r="O570" t="s">
        <v>1723</v>
      </c>
    </row>
    <row r="571" spans="1:15" x14ac:dyDescent="0.25">
      <c r="A571" t="s">
        <v>18</v>
      </c>
      <c r="B571" t="s">
        <v>1722</v>
      </c>
      <c r="C571" t="s">
        <v>1724</v>
      </c>
      <c r="D571" t="s">
        <v>20</v>
      </c>
      <c r="E571" t="s">
        <v>11</v>
      </c>
      <c r="F571">
        <v>2741.508</v>
      </c>
      <c r="G571">
        <v>18</v>
      </c>
      <c r="L571" t="s">
        <v>1725</v>
      </c>
      <c r="O571" t="s">
        <v>1726</v>
      </c>
    </row>
    <row r="572" spans="1:15" x14ac:dyDescent="0.25">
      <c r="A572" t="s">
        <v>18</v>
      </c>
      <c r="B572" t="s">
        <v>1725</v>
      </c>
      <c r="C572" t="s">
        <v>1727</v>
      </c>
      <c r="D572" t="s">
        <v>20</v>
      </c>
      <c r="E572" t="s">
        <v>11</v>
      </c>
      <c r="F572">
        <v>4373.358</v>
      </c>
      <c r="G572">
        <v>18</v>
      </c>
      <c r="L572" t="s">
        <v>1728</v>
      </c>
      <c r="O572" t="s">
        <v>1729</v>
      </c>
    </row>
    <row r="573" spans="1:15" x14ac:dyDescent="0.25">
      <c r="A573" t="s">
        <v>18</v>
      </c>
      <c r="B573" t="s">
        <v>1728</v>
      </c>
      <c r="C573" t="s">
        <v>1730</v>
      </c>
      <c r="D573" t="s">
        <v>20</v>
      </c>
      <c r="E573" t="s">
        <v>11</v>
      </c>
      <c r="F573">
        <v>4112.262</v>
      </c>
      <c r="G573">
        <v>18</v>
      </c>
      <c r="L573" t="s">
        <v>1731</v>
      </c>
      <c r="O573" t="s">
        <v>1732</v>
      </c>
    </row>
    <row r="574" spans="1:15" x14ac:dyDescent="0.25">
      <c r="A574" t="s">
        <v>18</v>
      </c>
      <c r="B574" t="s">
        <v>1731</v>
      </c>
      <c r="C574" t="s">
        <v>1733</v>
      </c>
      <c r="D574" t="s">
        <v>20</v>
      </c>
      <c r="E574" t="s">
        <v>11</v>
      </c>
      <c r="F574">
        <v>6331.5779999999995</v>
      </c>
      <c r="G574">
        <v>18</v>
      </c>
      <c r="L574" t="s">
        <v>1734</v>
      </c>
      <c r="O574" t="s">
        <v>1735</v>
      </c>
    </row>
    <row r="575" spans="1:15" x14ac:dyDescent="0.25">
      <c r="A575" t="s">
        <v>18</v>
      </c>
      <c r="B575" t="s">
        <v>1734</v>
      </c>
      <c r="C575" t="s">
        <v>1736</v>
      </c>
      <c r="D575" t="s">
        <v>20</v>
      </c>
      <c r="E575" t="s">
        <v>11</v>
      </c>
      <c r="F575">
        <v>456.918</v>
      </c>
      <c r="G575">
        <v>18</v>
      </c>
      <c r="L575" t="s">
        <v>1737</v>
      </c>
      <c r="O575" t="s">
        <v>1738</v>
      </c>
    </row>
    <row r="576" spans="1:15" x14ac:dyDescent="0.25">
      <c r="A576" t="s">
        <v>18</v>
      </c>
      <c r="B576" t="s">
        <v>1737</v>
      </c>
      <c r="C576" t="s">
        <v>1739</v>
      </c>
      <c r="D576" t="s">
        <v>20</v>
      </c>
      <c r="E576" t="s">
        <v>11</v>
      </c>
      <c r="F576">
        <v>848.5619999999999</v>
      </c>
      <c r="G576">
        <v>18</v>
      </c>
      <c r="L576" t="s">
        <v>1740</v>
      </c>
      <c r="O576" t="s">
        <v>1741</v>
      </c>
    </row>
    <row r="577" spans="1:15" x14ac:dyDescent="0.25">
      <c r="A577" t="s">
        <v>18</v>
      </c>
      <c r="B577" t="s">
        <v>1740</v>
      </c>
      <c r="C577" t="s">
        <v>1742</v>
      </c>
      <c r="D577" t="s">
        <v>20</v>
      </c>
      <c r="E577" t="s">
        <v>11</v>
      </c>
      <c r="F577">
        <v>2284.59</v>
      </c>
      <c r="G577">
        <v>18</v>
      </c>
      <c r="L577" t="s">
        <v>1743</v>
      </c>
      <c r="O577" t="s">
        <v>1744</v>
      </c>
    </row>
    <row r="578" spans="1:15" x14ac:dyDescent="0.25">
      <c r="A578" t="s">
        <v>18</v>
      </c>
      <c r="B578" t="s">
        <v>1743</v>
      </c>
      <c r="C578" t="s">
        <v>1745</v>
      </c>
      <c r="D578" t="s">
        <v>20</v>
      </c>
      <c r="E578" t="s">
        <v>11</v>
      </c>
      <c r="F578">
        <v>2219.316</v>
      </c>
      <c r="G578">
        <v>18</v>
      </c>
      <c r="L578" t="s">
        <v>1746</v>
      </c>
      <c r="O578" t="s">
        <v>1747</v>
      </c>
    </row>
    <row r="579" spans="1:15" x14ac:dyDescent="0.25">
      <c r="A579" t="s">
        <v>18</v>
      </c>
      <c r="B579" t="s">
        <v>1746</v>
      </c>
      <c r="C579" t="s">
        <v>1748</v>
      </c>
      <c r="D579" t="s">
        <v>20</v>
      </c>
      <c r="E579" t="s">
        <v>11</v>
      </c>
      <c r="F579">
        <v>8942.538</v>
      </c>
      <c r="G579">
        <v>18</v>
      </c>
      <c r="L579" t="s">
        <v>1749</v>
      </c>
      <c r="O579" t="s">
        <v>1750</v>
      </c>
    </row>
    <row r="580" spans="1:15" x14ac:dyDescent="0.25">
      <c r="A580" t="s">
        <v>18</v>
      </c>
      <c r="B580" t="s">
        <v>1749</v>
      </c>
      <c r="C580" t="s">
        <v>1751</v>
      </c>
      <c r="D580" t="s">
        <v>20</v>
      </c>
      <c r="E580" t="s">
        <v>11</v>
      </c>
      <c r="F580">
        <v>4503.906</v>
      </c>
      <c r="G580">
        <v>18</v>
      </c>
      <c r="L580" t="s">
        <v>1752</v>
      </c>
      <c r="O580" t="s">
        <v>1753</v>
      </c>
    </row>
    <row r="581" spans="1:15" x14ac:dyDescent="0.25">
      <c r="A581" t="s">
        <v>18</v>
      </c>
      <c r="B581" t="s">
        <v>1752</v>
      </c>
      <c r="C581" t="s">
        <v>1754</v>
      </c>
      <c r="D581" t="s">
        <v>20</v>
      </c>
      <c r="E581" t="s">
        <v>11</v>
      </c>
      <c r="F581">
        <v>4503.906</v>
      </c>
      <c r="G581">
        <v>18</v>
      </c>
      <c r="L581" t="s">
        <v>1755</v>
      </c>
      <c r="O581" t="s">
        <v>1756</v>
      </c>
    </row>
    <row r="582" spans="1:15" x14ac:dyDescent="0.25">
      <c r="A582" t="s">
        <v>18</v>
      </c>
      <c r="B582" t="s">
        <v>1755</v>
      </c>
      <c r="C582" t="s">
        <v>1757</v>
      </c>
      <c r="D582" t="s">
        <v>20</v>
      </c>
      <c r="E582" t="s">
        <v>11</v>
      </c>
      <c r="F582">
        <v>3851.166</v>
      </c>
      <c r="G582">
        <v>18</v>
      </c>
      <c r="L582" t="s">
        <v>1758</v>
      </c>
      <c r="O582" t="s">
        <v>1759</v>
      </c>
    </row>
    <row r="583" spans="1:15" x14ac:dyDescent="0.25">
      <c r="A583" t="s">
        <v>18</v>
      </c>
      <c r="B583" t="s">
        <v>1758</v>
      </c>
      <c r="C583" t="s">
        <v>1760</v>
      </c>
      <c r="D583" t="s">
        <v>20</v>
      </c>
      <c r="E583" t="s">
        <v>11</v>
      </c>
      <c r="F583">
        <v>3851.166</v>
      </c>
      <c r="G583">
        <v>18</v>
      </c>
      <c r="L583" t="s">
        <v>1761</v>
      </c>
      <c r="O583" t="s">
        <v>1762</v>
      </c>
    </row>
    <row r="584" spans="1:15" x14ac:dyDescent="0.25">
      <c r="A584" t="s">
        <v>18</v>
      </c>
      <c r="B584" t="s">
        <v>1761</v>
      </c>
      <c r="C584" t="s">
        <v>1763</v>
      </c>
      <c r="D584" t="s">
        <v>20</v>
      </c>
      <c r="E584" t="s">
        <v>11</v>
      </c>
      <c r="F584">
        <v>9138.36</v>
      </c>
      <c r="G584">
        <v>18</v>
      </c>
      <c r="L584" t="s">
        <v>1764</v>
      </c>
      <c r="O584" t="s">
        <v>1765</v>
      </c>
    </row>
    <row r="585" spans="1:15" x14ac:dyDescent="0.25">
      <c r="A585" t="s">
        <v>18</v>
      </c>
      <c r="B585" t="s">
        <v>1764</v>
      </c>
      <c r="C585" t="s">
        <v>1766</v>
      </c>
      <c r="D585" t="s">
        <v>20</v>
      </c>
      <c r="E585" t="s">
        <v>11</v>
      </c>
      <c r="F585">
        <v>9138.36</v>
      </c>
      <c r="G585">
        <v>18</v>
      </c>
      <c r="L585" t="s">
        <v>1767</v>
      </c>
      <c r="O585" t="s">
        <v>1768</v>
      </c>
    </row>
    <row r="586" spans="1:15" x14ac:dyDescent="0.25">
      <c r="A586" t="s">
        <v>18</v>
      </c>
      <c r="B586" t="s">
        <v>1767</v>
      </c>
      <c r="C586" t="s">
        <v>1769</v>
      </c>
      <c r="D586" t="s">
        <v>20</v>
      </c>
      <c r="E586" t="s">
        <v>11</v>
      </c>
      <c r="F586">
        <v>9791.1</v>
      </c>
      <c r="G586">
        <v>18</v>
      </c>
      <c r="L586" t="s">
        <v>1770</v>
      </c>
      <c r="O586" t="s">
        <v>1771</v>
      </c>
    </row>
    <row r="587" spans="1:15" x14ac:dyDescent="0.25">
      <c r="A587" t="s">
        <v>18</v>
      </c>
      <c r="B587" t="s">
        <v>1770</v>
      </c>
      <c r="C587" t="s">
        <v>1772</v>
      </c>
      <c r="D587" t="s">
        <v>20</v>
      </c>
      <c r="E587" t="s">
        <v>11</v>
      </c>
      <c r="F587">
        <v>9791.1</v>
      </c>
      <c r="G587">
        <v>18</v>
      </c>
      <c r="L587" t="s">
        <v>1773</v>
      </c>
      <c r="O587" t="s">
        <v>1774</v>
      </c>
    </row>
    <row r="588" spans="1:15" x14ac:dyDescent="0.25">
      <c r="A588" t="s">
        <v>18</v>
      </c>
      <c r="B588" t="s">
        <v>1773</v>
      </c>
      <c r="C588" t="s">
        <v>1775</v>
      </c>
      <c r="D588" t="s">
        <v>20</v>
      </c>
      <c r="E588" t="s">
        <v>11</v>
      </c>
      <c r="F588">
        <v>9334.181999999999</v>
      </c>
      <c r="G588">
        <v>18</v>
      </c>
      <c r="L588" t="s">
        <v>1776</v>
      </c>
      <c r="O588" t="s">
        <v>1777</v>
      </c>
    </row>
    <row r="589" spans="1:15" x14ac:dyDescent="0.25">
      <c r="A589" t="s">
        <v>18</v>
      </c>
      <c r="B589" t="s">
        <v>1776</v>
      </c>
      <c r="C589" t="s">
        <v>1778</v>
      </c>
      <c r="D589" t="s">
        <v>20</v>
      </c>
      <c r="E589" t="s">
        <v>11</v>
      </c>
      <c r="F589">
        <v>5548.29</v>
      </c>
      <c r="G589">
        <v>18</v>
      </c>
      <c r="L589" t="s">
        <v>1779</v>
      </c>
      <c r="O589" t="s">
        <v>1780</v>
      </c>
    </row>
    <row r="590" spans="1:15" x14ac:dyDescent="0.25">
      <c r="A590" t="s">
        <v>18</v>
      </c>
      <c r="B590" t="s">
        <v>1779</v>
      </c>
      <c r="C590" t="s">
        <v>1781</v>
      </c>
      <c r="D590" t="s">
        <v>20</v>
      </c>
      <c r="E590" t="s">
        <v>11</v>
      </c>
      <c r="F590">
        <v>10770.210000000001</v>
      </c>
      <c r="G590">
        <v>18</v>
      </c>
      <c r="L590" t="s">
        <v>1782</v>
      </c>
      <c r="O590" t="s">
        <v>1783</v>
      </c>
    </row>
    <row r="591" spans="1:15" x14ac:dyDescent="0.25">
      <c r="A591" t="s">
        <v>18</v>
      </c>
      <c r="B591" t="s">
        <v>1782</v>
      </c>
      <c r="C591" t="s">
        <v>1784</v>
      </c>
      <c r="D591" t="s">
        <v>20</v>
      </c>
      <c r="E591" t="s">
        <v>11</v>
      </c>
      <c r="F591">
        <v>9203.633999999998</v>
      </c>
      <c r="G591">
        <v>18</v>
      </c>
      <c r="L591" t="s">
        <v>1785</v>
      </c>
      <c r="O591" t="s">
        <v>1786</v>
      </c>
    </row>
    <row r="592" spans="1:15" x14ac:dyDescent="0.25">
      <c r="A592" t="s">
        <v>18</v>
      </c>
      <c r="B592" t="s">
        <v>1785</v>
      </c>
      <c r="C592" t="s">
        <v>1787</v>
      </c>
      <c r="D592" t="s">
        <v>20</v>
      </c>
      <c r="E592" t="s">
        <v>11</v>
      </c>
      <c r="F592">
        <v>3981.714</v>
      </c>
      <c r="G592">
        <v>18</v>
      </c>
      <c r="L592" t="s">
        <v>1788</v>
      </c>
      <c r="O592" t="s">
        <v>1789</v>
      </c>
    </row>
    <row r="593" spans="1:15" x14ac:dyDescent="0.25">
      <c r="A593" t="s">
        <v>18</v>
      </c>
      <c r="B593" t="s">
        <v>1788</v>
      </c>
      <c r="C593" t="s">
        <v>1790</v>
      </c>
      <c r="D593" t="s">
        <v>20</v>
      </c>
      <c r="E593" t="s">
        <v>11</v>
      </c>
      <c r="F593">
        <v>5291.748</v>
      </c>
      <c r="G593">
        <v>18</v>
      </c>
      <c r="L593" t="s">
        <v>1791</v>
      </c>
      <c r="O593" t="s">
        <v>1792</v>
      </c>
    </row>
    <row r="594" spans="1:15" x14ac:dyDescent="0.25">
      <c r="A594" t="s">
        <v>18</v>
      </c>
      <c r="B594" t="s">
        <v>1791</v>
      </c>
      <c r="C594" t="s">
        <v>1793</v>
      </c>
      <c r="D594" t="s">
        <v>20</v>
      </c>
      <c r="E594" t="s">
        <v>11</v>
      </c>
      <c r="F594">
        <v>6266.303999999999</v>
      </c>
      <c r="G594">
        <v>18</v>
      </c>
      <c r="L594" t="s">
        <v>1794</v>
      </c>
      <c r="O594" t="s">
        <v>1795</v>
      </c>
    </row>
    <row r="595" spans="1:15" x14ac:dyDescent="0.25">
      <c r="A595" t="s">
        <v>18</v>
      </c>
      <c r="B595" t="s">
        <v>1794</v>
      </c>
      <c r="C595" t="s">
        <v>1796</v>
      </c>
      <c r="D595" t="s">
        <v>20</v>
      </c>
      <c r="E595" t="s">
        <v>11</v>
      </c>
      <c r="F595">
        <v>11879.867999999999</v>
      </c>
      <c r="G595">
        <v>18</v>
      </c>
      <c r="L595" t="s">
        <v>1797</v>
      </c>
      <c r="O595" t="s">
        <v>1798</v>
      </c>
    </row>
    <row r="596" spans="1:15" x14ac:dyDescent="0.25">
      <c r="A596" t="s">
        <v>18</v>
      </c>
      <c r="B596" t="s">
        <v>1797</v>
      </c>
      <c r="C596" t="s">
        <v>1796</v>
      </c>
      <c r="D596" t="s">
        <v>20</v>
      </c>
      <c r="E596" t="s">
        <v>11</v>
      </c>
      <c r="F596">
        <v>11553.497999999998</v>
      </c>
      <c r="G596">
        <v>18</v>
      </c>
      <c r="L596" t="s">
        <v>1799</v>
      </c>
      <c r="O596" t="s">
        <v>1800</v>
      </c>
    </row>
    <row r="597" spans="1:15" x14ac:dyDescent="0.25">
      <c r="A597" t="s">
        <v>18</v>
      </c>
      <c r="B597" t="s">
        <v>1799</v>
      </c>
      <c r="C597" t="s">
        <v>1801</v>
      </c>
      <c r="D597" t="s">
        <v>20</v>
      </c>
      <c r="E597" t="s">
        <v>11</v>
      </c>
      <c r="F597">
        <v>2806.7819999999997</v>
      </c>
      <c r="G597">
        <v>18</v>
      </c>
      <c r="L597" t="s">
        <v>1802</v>
      </c>
      <c r="O597" t="s">
        <v>1803</v>
      </c>
    </row>
    <row r="598" spans="1:15" x14ac:dyDescent="0.25">
      <c r="A598" t="s">
        <v>18</v>
      </c>
      <c r="B598" t="s">
        <v>1802</v>
      </c>
      <c r="C598" t="s">
        <v>1804</v>
      </c>
      <c r="D598" t="s">
        <v>20</v>
      </c>
      <c r="E598" t="s">
        <v>11</v>
      </c>
      <c r="F598">
        <v>2806.7819999999997</v>
      </c>
      <c r="G598">
        <v>18</v>
      </c>
      <c r="L598" t="s">
        <v>1805</v>
      </c>
      <c r="O598" t="s">
        <v>1806</v>
      </c>
    </row>
    <row r="599" spans="1:15" x14ac:dyDescent="0.25">
      <c r="A599" t="s">
        <v>18</v>
      </c>
      <c r="B599" t="s">
        <v>1805</v>
      </c>
      <c r="C599" t="s">
        <v>1807</v>
      </c>
      <c r="D599" t="s">
        <v>20</v>
      </c>
      <c r="E599" t="s">
        <v>11</v>
      </c>
      <c r="F599">
        <v>2937.3300000000004</v>
      </c>
      <c r="G599">
        <v>18</v>
      </c>
      <c r="L599" t="s">
        <v>1808</v>
      </c>
      <c r="O599" t="s">
        <v>1809</v>
      </c>
    </row>
    <row r="600" spans="1:15" x14ac:dyDescent="0.25">
      <c r="A600" t="s">
        <v>18</v>
      </c>
      <c r="B600" t="s">
        <v>1808</v>
      </c>
      <c r="C600" t="s">
        <v>1810</v>
      </c>
      <c r="D600" t="s">
        <v>20</v>
      </c>
      <c r="E600" t="s">
        <v>11</v>
      </c>
      <c r="F600">
        <v>2415.138</v>
      </c>
      <c r="G600">
        <v>18</v>
      </c>
      <c r="L600" t="s">
        <v>1811</v>
      </c>
      <c r="O600" t="s">
        <v>1812</v>
      </c>
    </row>
    <row r="601" spans="1:15" x14ac:dyDescent="0.25">
      <c r="A601" t="s">
        <v>18</v>
      </c>
      <c r="B601" t="s">
        <v>1811</v>
      </c>
      <c r="C601" t="s">
        <v>1813</v>
      </c>
      <c r="D601" t="s">
        <v>20</v>
      </c>
      <c r="E601" t="s">
        <v>11</v>
      </c>
      <c r="F601">
        <v>3981.714</v>
      </c>
      <c r="G601">
        <v>18</v>
      </c>
      <c r="L601" t="s">
        <v>1814</v>
      </c>
      <c r="O601" t="s">
        <v>1815</v>
      </c>
    </row>
    <row r="602" spans="1:15" x14ac:dyDescent="0.25">
      <c r="A602" t="s">
        <v>18</v>
      </c>
      <c r="B602" t="s">
        <v>1814</v>
      </c>
      <c r="C602" t="s">
        <v>1816</v>
      </c>
      <c r="D602" t="s">
        <v>20</v>
      </c>
      <c r="E602" t="s">
        <v>11</v>
      </c>
      <c r="F602">
        <v>2610.96</v>
      </c>
      <c r="G602">
        <v>18</v>
      </c>
      <c r="L602" t="s">
        <v>1817</v>
      </c>
      <c r="O602" t="s">
        <v>1818</v>
      </c>
    </row>
    <row r="603" spans="1:15" x14ac:dyDescent="0.25">
      <c r="A603" t="s">
        <v>18</v>
      </c>
      <c r="B603" t="s">
        <v>1817</v>
      </c>
      <c r="C603" t="s">
        <v>1819</v>
      </c>
      <c r="D603" t="s">
        <v>20</v>
      </c>
      <c r="E603" t="s">
        <v>11</v>
      </c>
      <c r="F603">
        <v>6266.303999999999</v>
      </c>
      <c r="G603">
        <v>18</v>
      </c>
      <c r="L603" t="s">
        <v>1820</v>
      </c>
      <c r="O603" t="s">
        <v>1821</v>
      </c>
    </row>
    <row r="604" spans="1:15" x14ac:dyDescent="0.25">
      <c r="A604" t="s">
        <v>18</v>
      </c>
      <c r="B604" t="s">
        <v>1820</v>
      </c>
      <c r="C604" t="s">
        <v>1822</v>
      </c>
      <c r="D604" t="s">
        <v>20</v>
      </c>
      <c r="E604" t="s">
        <v>11</v>
      </c>
      <c r="F604">
        <v>5483.016</v>
      </c>
      <c r="G604">
        <v>18</v>
      </c>
      <c r="L604" t="s">
        <v>1823</v>
      </c>
      <c r="O604" t="s">
        <v>1824</v>
      </c>
    </row>
    <row r="605" spans="1:15" x14ac:dyDescent="0.25">
      <c r="A605" t="s">
        <v>18</v>
      </c>
      <c r="B605" t="s">
        <v>1823</v>
      </c>
      <c r="C605" t="s">
        <v>1825</v>
      </c>
      <c r="D605" t="s">
        <v>20</v>
      </c>
      <c r="E605" t="s">
        <v>11</v>
      </c>
      <c r="F605">
        <v>6331.5779999999995</v>
      </c>
      <c r="G605">
        <v>18</v>
      </c>
      <c r="L605" t="s">
        <v>1826</v>
      </c>
      <c r="O605" t="s">
        <v>1827</v>
      </c>
    </row>
    <row r="606" spans="1:15" x14ac:dyDescent="0.25">
      <c r="A606" t="s">
        <v>18</v>
      </c>
      <c r="B606" t="s">
        <v>1826</v>
      </c>
      <c r="C606" t="s">
        <v>1828</v>
      </c>
      <c r="D606" t="s">
        <v>20</v>
      </c>
      <c r="E606" t="s">
        <v>11</v>
      </c>
      <c r="F606">
        <v>6723.222000000001</v>
      </c>
      <c r="G606">
        <v>18</v>
      </c>
      <c r="L606" t="s">
        <v>1829</v>
      </c>
      <c r="O606" t="s">
        <v>1830</v>
      </c>
    </row>
    <row r="607" spans="1:15" x14ac:dyDescent="0.25">
      <c r="A607" t="s">
        <v>18</v>
      </c>
      <c r="B607" t="s">
        <v>1829</v>
      </c>
      <c r="C607" t="s">
        <v>1831</v>
      </c>
      <c r="D607" t="s">
        <v>20</v>
      </c>
      <c r="E607" t="s">
        <v>11</v>
      </c>
      <c r="F607">
        <v>6657.947999999999</v>
      </c>
      <c r="G607">
        <v>18</v>
      </c>
      <c r="L607" t="s">
        <v>1832</v>
      </c>
      <c r="O607" t="s">
        <v>1833</v>
      </c>
    </row>
    <row r="608" spans="1:15" x14ac:dyDescent="0.25">
      <c r="A608" t="s">
        <v>18</v>
      </c>
      <c r="B608" t="s">
        <v>1832</v>
      </c>
      <c r="C608" t="s">
        <v>1834</v>
      </c>
      <c r="D608" t="s">
        <v>20</v>
      </c>
      <c r="E608" t="s">
        <v>11</v>
      </c>
      <c r="F608">
        <v>4569.18</v>
      </c>
      <c r="G608">
        <v>18</v>
      </c>
      <c r="L608" t="s">
        <v>1835</v>
      </c>
      <c r="O608" t="s">
        <v>1836</v>
      </c>
    </row>
    <row r="609" spans="1:15" x14ac:dyDescent="0.25">
      <c r="A609" t="s">
        <v>18</v>
      </c>
      <c r="B609" t="s">
        <v>1835</v>
      </c>
      <c r="C609" t="s">
        <v>1837</v>
      </c>
      <c r="D609" t="s">
        <v>20</v>
      </c>
      <c r="E609" t="s">
        <v>11</v>
      </c>
      <c r="F609">
        <v>4765.0019999999995</v>
      </c>
      <c r="G609">
        <v>18</v>
      </c>
      <c r="L609" t="s">
        <v>1838</v>
      </c>
      <c r="O609" t="s">
        <v>1839</v>
      </c>
    </row>
    <row r="610" spans="1:15" x14ac:dyDescent="0.25">
      <c r="A610" t="s">
        <v>18</v>
      </c>
      <c r="B610" t="s">
        <v>1838</v>
      </c>
      <c r="C610" t="s">
        <v>1840</v>
      </c>
      <c r="D610" t="s">
        <v>20</v>
      </c>
      <c r="E610" t="s">
        <v>11</v>
      </c>
      <c r="F610">
        <v>10378.565999999999</v>
      </c>
      <c r="G610">
        <v>18</v>
      </c>
      <c r="L610" t="s">
        <v>1841</v>
      </c>
      <c r="O610" t="s">
        <v>1842</v>
      </c>
    </row>
    <row r="611" spans="1:15" x14ac:dyDescent="0.25">
      <c r="A611" t="s">
        <v>18</v>
      </c>
      <c r="B611" t="s">
        <v>1841</v>
      </c>
      <c r="C611" t="s">
        <v>1843</v>
      </c>
      <c r="D611" t="s">
        <v>20</v>
      </c>
      <c r="E611" t="s">
        <v>11</v>
      </c>
      <c r="F611">
        <v>3263.7</v>
      </c>
      <c r="G611">
        <v>18</v>
      </c>
      <c r="L611" t="s">
        <v>1844</v>
      </c>
      <c r="O611" t="s">
        <v>1845</v>
      </c>
    </row>
    <row r="612" spans="1:15" x14ac:dyDescent="0.25">
      <c r="A612" t="s">
        <v>18</v>
      </c>
      <c r="B612" t="s">
        <v>1844</v>
      </c>
      <c r="C612" t="s">
        <v>1846</v>
      </c>
      <c r="D612" t="s">
        <v>20</v>
      </c>
      <c r="E612" t="s">
        <v>11</v>
      </c>
      <c r="F612">
        <v>2610.96</v>
      </c>
      <c r="G612">
        <v>18</v>
      </c>
      <c r="L612" t="s">
        <v>1847</v>
      </c>
      <c r="O612" t="s">
        <v>1848</v>
      </c>
    </row>
    <row r="613" spans="1:15" x14ac:dyDescent="0.25">
      <c r="A613" t="s">
        <v>18</v>
      </c>
      <c r="B613" t="s">
        <v>1847</v>
      </c>
      <c r="C613" t="s">
        <v>1849</v>
      </c>
      <c r="D613" t="s">
        <v>20</v>
      </c>
      <c r="E613" t="s">
        <v>11</v>
      </c>
      <c r="F613">
        <v>2872.056</v>
      </c>
      <c r="G613">
        <v>18</v>
      </c>
      <c r="L613" t="s">
        <v>1850</v>
      </c>
      <c r="O613" t="s">
        <v>1851</v>
      </c>
    </row>
    <row r="614" spans="1:15" x14ac:dyDescent="0.25">
      <c r="A614" t="s">
        <v>18</v>
      </c>
      <c r="B614" t="s">
        <v>1850</v>
      </c>
      <c r="C614" t="s">
        <v>1852</v>
      </c>
      <c r="D614" t="s">
        <v>20</v>
      </c>
      <c r="E614" t="s">
        <v>11</v>
      </c>
      <c r="F614">
        <v>2480.4120000000003</v>
      </c>
      <c r="G614">
        <v>18</v>
      </c>
      <c r="L614" t="s">
        <v>1853</v>
      </c>
      <c r="O614" t="s">
        <v>1854</v>
      </c>
    </row>
    <row r="615" spans="1:15" x14ac:dyDescent="0.25">
      <c r="A615" t="s">
        <v>18</v>
      </c>
      <c r="B615" t="s">
        <v>1853</v>
      </c>
      <c r="C615" t="s">
        <v>1855</v>
      </c>
      <c r="D615" t="s">
        <v>20</v>
      </c>
      <c r="E615" t="s">
        <v>11</v>
      </c>
      <c r="F615">
        <v>3198.426</v>
      </c>
      <c r="G615">
        <v>18</v>
      </c>
      <c r="L615" t="s">
        <v>1856</v>
      </c>
      <c r="O615" t="s">
        <v>1857</v>
      </c>
    </row>
    <row r="616" spans="1:15" x14ac:dyDescent="0.25">
      <c r="A616" t="s">
        <v>18</v>
      </c>
      <c r="B616" t="s">
        <v>1856</v>
      </c>
      <c r="C616" t="s">
        <v>1858</v>
      </c>
      <c r="D616" t="s">
        <v>20</v>
      </c>
      <c r="E616" t="s">
        <v>11</v>
      </c>
      <c r="F616">
        <v>3263.7</v>
      </c>
      <c r="G616">
        <v>18</v>
      </c>
      <c r="L616" t="s">
        <v>1859</v>
      </c>
      <c r="O616" t="s">
        <v>1860</v>
      </c>
    </row>
    <row r="617" spans="1:15" x14ac:dyDescent="0.25">
      <c r="A617" t="s">
        <v>18</v>
      </c>
      <c r="B617" t="s">
        <v>1859</v>
      </c>
      <c r="C617" t="s">
        <v>1861</v>
      </c>
      <c r="D617" t="s">
        <v>20</v>
      </c>
      <c r="E617" t="s">
        <v>11</v>
      </c>
      <c r="F617">
        <v>8355.072</v>
      </c>
      <c r="G617">
        <v>18</v>
      </c>
      <c r="L617" t="s">
        <v>1862</v>
      </c>
      <c r="O617" t="s">
        <v>1863</v>
      </c>
    </row>
    <row r="618" spans="1:15" x14ac:dyDescent="0.25">
      <c r="A618" t="s">
        <v>18</v>
      </c>
      <c r="B618" t="s">
        <v>1862</v>
      </c>
      <c r="C618" t="s">
        <v>1864</v>
      </c>
      <c r="D618" t="s">
        <v>20</v>
      </c>
      <c r="E618" t="s">
        <v>11</v>
      </c>
      <c r="F618">
        <v>5744.112</v>
      </c>
      <c r="G618">
        <v>18</v>
      </c>
      <c r="L618" t="s">
        <v>1865</v>
      </c>
      <c r="O618" t="s">
        <v>1866</v>
      </c>
    </row>
    <row r="619" spans="1:15" x14ac:dyDescent="0.25">
      <c r="A619" t="s">
        <v>18</v>
      </c>
      <c r="B619" t="s">
        <v>1865</v>
      </c>
      <c r="C619" t="s">
        <v>1867</v>
      </c>
      <c r="D619" t="s">
        <v>20</v>
      </c>
      <c r="E619" t="s">
        <v>11</v>
      </c>
      <c r="F619">
        <v>3067.8779999999997</v>
      </c>
      <c r="G619">
        <v>18</v>
      </c>
      <c r="L619" t="s">
        <v>1868</v>
      </c>
      <c r="O619" t="s">
        <v>1869</v>
      </c>
    </row>
    <row r="620" spans="1:15" x14ac:dyDescent="0.25">
      <c r="A620" t="s">
        <v>18</v>
      </c>
      <c r="B620" t="s">
        <v>1868</v>
      </c>
      <c r="C620" t="s">
        <v>1870</v>
      </c>
      <c r="D620" t="s">
        <v>20</v>
      </c>
      <c r="E620" t="s">
        <v>11</v>
      </c>
      <c r="F620">
        <v>9464.73</v>
      </c>
      <c r="G620">
        <v>18</v>
      </c>
      <c r="L620" t="s">
        <v>1871</v>
      </c>
      <c r="O620" t="s">
        <v>1872</v>
      </c>
    </row>
    <row r="621" spans="1:15" x14ac:dyDescent="0.25">
      <c r="A621" t="s">
        <v>18</v>
      </c>
      <c r="B621" t="s">
        <v>1871</v>
      </c>
      <c r="C621" t="s">
        <v>1873</v>
      </c>
      <c r="D621" t="s">
        <v>20</v>
      </c>
      <c r="E621" t="s">
        <v>11</v>
      </c>
      <c r="F621">
        <v>9464.73</v>
      </c>
      <c r="G621">
        <v>18</v>
      </c>
      <c r="L621" t="s">
        <v>1874</v>
      </c>
      <c r="O621" t="s">
        <v>1875</v>
      </c>
    </row>
    <row r="622" spans="1:15" x14ac:dyDescent="0.25">
      <c r="A622" t="s">
        <v>18</v>
      </c>
      <c r="B622" t="s">
        <v>1874</v>
      </c>
      <c r="C622" t="s">
        <v>1876</v>
      </c>
      <c r="D622" t="s">
        <v>20</v>
      </c>
      <c r="E622" t="s">
        <v>11</v>
      </c>
      <c r="F622">
        <v>6919.043999999999</v>
      </c>
      <c r="G622">
        <v>18</v>
      </c>
      <c r="L622" t="s">
        <v>1877</v>
      </c>
      <c r="O622" t="s">
        <v>1878</v>
      </c>
    </row>
    <row r="623" spans="1:15" x14ac:dyDescent="0.25">
      <c r="A623" t="s">
        <v>18</v>
      </c>
      <c r="B623" t="s">
        <v>1877</v>
      </c>
      <c r="C623" t="s">
        <v>1879</v>
      </c>
      <c r="D623" t="s">
        <v>20</v>
      </c>
      <c r="E623" t="s">
        <v>11</v>
      </c>
      <c r="F623">
        <v>5678.838</v>
      </c>
      <c r="G623">
        <v>18</v>
      </c>
      <c r="L623" t="s">
        <v>1880</v>
      </c>
      <c r="O623" t="s">
        <v>1881</v>
      </c>
    </row>
    <row r="624" spans="1:15" x14ac:dyDescent="0.25">
      <c r="A624" t="s">
        <v>18</v>
      </c>
      <c r="B624" t="s">
        <v>1880</v>
      </c>
      <c r="C624" t="s">
        <v>1882</v>
      </c>
      <c r="D624" t="s">
        <v>20</v>
      </c>
      <c r="E624" t="s">
        <v>11</v>
      </c>
      <c r="F624">
        <v>5613.563999999999</v>
      </c>
      <c r="G624">
        <v>18</v>
      </c>
      <c r="L624" t="s">
        <v>1883</v>
      </c>
      <c r="O624" t="s">
        <v>1884</v>
      </c>
    </row>
    <row r="625" spans="1:15" x14ac:dyDescent="0.25">
      <c r="A625" t="s">
        <v>18</v>
      </c>
      <c r="B625" t="s">
        <v>1883</v>
      </c>
      <c r="C625" t="s">
        <v>1885</v>
      </c>
      <c r="D625" t="s">
        <v>20</v>
      </c>
      <c r="E625" t="s">
        <v>11</v>
      </c>
      <c r="F625">
        <v>4438.632</v>
      </c>
      <c r="G625">
        <v>18</v>
      </c>
      <c r="L625" t="s">
        <v>1886</v>
      </c>
      <c r="O625" t="s">
        <v>1887</v>
      </c>
    </row>
    <row r="626" spans="1:15" x14ac:dyDescent="0.25">
      <c r="A626" t="s">
        <v>18</v>
      </c>
      <c r="B626" t="s">
        <v>1886</v>
      </c>
      <c r="C626" t="s">
        <v>1888</v>
      </c>
      <c r="D626" t="s">
        <v>20</v>
      </c>
      <c r="E626" t="s">
        <v>11</v>
      </c>
      <c r="F626">
        <v>5613.563999999999</v>
      </c>
      <c r="G626">
        <v>18</v>
      </c>
      <c r="L626" t="s">
        <v>1889</v>
      </c>
      <c r="O626" t="s">
        <v>1890</v>
      </c>
    </row>
    <row r="627" spans="1:15" x14ac:dyDescent="0.25">
      <c r="A627" t="s">
        <v>18</v>
      </c>
      <c r="B627" t="s">
        <v>1889</v>
      </c>
      <c r="C627" t="s">
        <v>1891</v>
      </c>
      <c r="D627" t="s">
        <v>20</v>
      </c>
      <c r="E627" t="s">
        <v>11</v>
      </c>
      <c r="F627">
        <v>4046.988</v>
      </c>
      <c r="G627">
        <v>18</v>
      </c>
      <c r="L627" t="s">
        <v>1892</v>
      </c>
      <c r="O627" t="s">
        <v>1893</v>
      </c>
    </row>
    <row r="628" spans="1:15" x14ac:dyDescent="0.25">
      <c r="A628" t="s">
        <v>18</v>
      </c>
      <c r="B628" t="s">
        <v>1892</v>
      </c>
      <c r="C628" t="s">
        <v>1894</v>
      </c>
      <c r="D628" t="s">
        <v>20</v>
      </c>
      <c r="E628" t="s">
        <v>11</v>
      </c>
      <c r="F628">
        <v>5613.563999999999</v>
      </c>
      <c r="G628">
        <v>18</v>
      </c>
      <c r="L628" t="s">
        <v>1895</v>
      </c>
      <c r="O628" t="s">
        <v>1896</v>
      </c>
    </row>
    <row r="629" spans="1:15" x14ac:dyDescent="0.25">
      <c r="A629" t="s">
        <v>18</v>
      </c>
      <c r="B629" t="s">
        <v>1895</v>
      </c>
      <c r="C629" t="s">
        <v>1897</v>
      </c>
      <c r="D629" t="s">
        <v>20</v>
      </c>
      <c r="E629" t="s">
        <v>11</v>
      </c>
      <c r="F629">
        <v>9660.552</v>
      </c>
      <c r="G629">
        <v>18</v>
      </c>
      <c r="L629" t="s">
        <v>1898</v>
      </c>
      <c r="O629" t="s">
        <v>1899</v>
      </c>
    </row>
    <row r="630" spans="1:15" x14ac:dyDescent="0.25">
      <c r="A630" t="s">
        <v>18</v>
      </c>
      <c r="B630" t="s">
        <v>1898</v>
      </c>
      <c r="C630" t="s">
        <v>1900</v>
      </c>
      <c r="D630" t="s">
        <v>20</v>
      </c>
      <c r="E630" t="s">
        <v>11</v>
      </c>
      <c r="F630">
        <v>6266.303999999999</v>
      </c>
      <c r="G630">
        <v>18</v>
      </c>
      <c r="L630" t="s">
        <v>1901</v>
      </c>
      <c r="O630" t="s">
        <v>1902</v>
      </c>
    </row>
    <row r="631" spans="1:15" x14ac:dyDescent="0.25">
      <c r="A631" t="s">
        <v>18</v>
      </c>
      <c r="B631" t="s">
        <v>1901</v>
      </c>
      <c r="C631" t="s">
        <v>1903</v>
      </c>
      <c r="D631" t="s">
        <v>20</v>
      </c>
      <c r="E631" t="s">
        <v>11</v>
      </c>
      <c r="F631">
        <v>5678.838</v>
      </c>
      <c r="G631">
        <v>18</v>
      </c>
      <c r="L631" t="s">
        <v>1904</v>
      </c>
      <c r="O631" t="s">
        <v>1905</v>
      </c>
    </row>
    <row r="632" spans="1:15" x14ac:dyDescent="0.25">
      <c r="A632" t="s">
        <v>18</v>
      </c>
      <c r="B632" t="s">
        <v>1904</v>
      </c>
      <c r="C632" t="s">
        <v>1906</v>
      </c>
      <c r="D632" t="s">
        <v>20</v>
      </c>
      <c r="E632" t="s">
        <v>11</v>
      </c>
      <c r="F632">
        <v>5678.838</v>
      </c>
      <c r="G632">
        <v>18</v>
      </c>
      <c r="L632" t="s">
        <v>1907</v>
      </c>
      <c r="O632" t="s">
        <v>1908</v>
      </c>
    </row>
    <row r="633" spans="1:15" x14ac:dyDescent="0.25">
      <c r="A633" t="s">
        <v>18</v>
      </c>
      <c r="B633" t="s">
        <v>1907</v>
      </c>
      <c r="C633" t="s">
        <v>1909</v>
      </c>
      <c r="D633" t="s">
        <v>20</v>
      </c>
      <c r="E633" t="s">
        <v>11</v>
      </c>
      <c r="F633">
        <v>5678.838</v>
      </c>
      <c r="G633">
        <v>18</v>
      </c>
      <c r="L633" t="s">
        <v>1910</v>
      </c>
      <c r="O633" t="s">
        <v>1911</v>
      </c>
    </row>
    <row r="634" spans="1:15" x14ac:dyDescent="0.25">
      <c r="A634" t="s">
        <v>18</v>
      </c>
      <c r="B634" t="s">
        <v>1910</v>
      </c>
      <c r="C634" t="s">
        <v>1912</v>
      </c>
      <c r="D634" t="s">
        <v>20</v>
      </c>
      <c r="E634" t="s">
        <v>11</v>
      </c>
      <c r="F634">
        <v>5678.838</v>
      </c>
      <c r="G634">
        <v>18</v>
      </c>
      <c r="L634" t="s">
        <v>1913</v>
      </c>
      <c r="O634" t="s">
        <v>1914</v>
      </c>
    </row>
    <row r="635" spans="1:15" x14ac:dyDescent="0.25">
      <c r="A635" t="s">
        <v>18</v>
      </c>
      <c r="B635" t="s">
        <v>1913</v>
      </c>
      <c r="C635" t="s">
        <v>1915</v>
      </c>
      <c r="D635" t="s">
        <v>20</v>
      </c>
      <c r="E635" t="s">
        <v>11</v>
      </c>
      <c r="F635">
        <v>7571.784</v>
      </c>
      <c r="G635">
        <v>18</v>
      </c>
      <c r="L635" t="s">
        <v>1916</v>
      </c>
      <c r="O635" t="s">
        <v>1917</v>
      </c>
    </row>
    <row r="636" spans="1:15" x14ac:dyDescent="0.25">
      <c r="A636" t="s">
        <v>18</v>
      </c>
      <c r="B636" t="s">
        <v>1916</v>
      </c>
      <c r="C636" t="s">
        <v>1918</v>
      </c>
      <c r="D636" t="s">
        <v>20</v>
      </c>
      <c r="E636" t="s">
        <v>11</v>
      </c>
      <c r="F636">
        <v>3981.714</v>
      </c>
      <c r="G636">
        <v>18</v>
      </c>
      <c r="L636" t="s">
        <v>1919</v>
      </c>
      <c r="O636" t="s">
        <v>1920</v>
      </c>
    </row>
    <row r="637" spans="1:15" x14ac:dyDescent="0.25">
      <c r="A637" t="s">
        <v>18</v>
      </c>
      <c r="B637" t="s">
        <v>1919</v>
      </c>
      <c r="C637" t="s">
        <v>1921</v>
      </c>
      <c r="D637" t="s">
        <v>20</v>
      </c>
      <c r="E637" t="s">
        <v>11</v>
      </c>
      <c r="F637">
        <v>4634.454</v>
      </c>
      <c r="G637">
        <v>18</v>
      </c>
      <c r="L637" t="s">
        <v>1922</v>
      </c>
      <c r="O637" t="s">
        <v>1923</v>
      </c>
    </row>
    <row r="638" spans="1:15" x14ac:dyDescent="0.25">
      <c r="A638" t="s">
        <v>18</v>
      </c>
      <c r="B638" t="s">
        <v>1922</v>
      </c>
      <c r="C638" t="s">
        <v>1924</v>
      </c>
      <c r="D638" t="s">
        <v>20</v>
      </c>
      <c r="E638" t="s">
        <v>11</v>
      </c>
      <c r="F638">
        <v>3916.44</v>
      </c>
      <c r="G638">
        <v>18</v>
      </c>
      <c r="L638" t="s">
        <v>1925</v>
      </c>
      <c r="O638" t="s">
        <v>1926</v>
      </c>
    </row>
    <row r="639" spans="1:15" x14ac:dyDescent="0.25">
      <c r="A639" t="s">
        <v>18</v>
      </c>
      <c r="B639" t="s">
        <v>1925</v>
      </c>
      <c r="C639" t="s">
        <v>1927</v>
      </c>
      <c r="D639" t="s">
        <v>20</v>
      </c>
      <c r="E639" t="s">
        <v>11</v>
      </c>
      <c r="F639">
        <v>2088.768</v>
      </c>
      <c r="G639">
        <v>18</v>
      </c>
      <c r="L639" t="s">
        <v>1928</v>
      </c>
      <c r="O639" t="s">
        <v>1929</v>
      </c>
    </row>
    <row r="640" spans="1:15" x14ac:dyDescent="0.25">
      <c r="A640" t="s">
        <v>18</v>
      </c>
      <c r="B640" t="s">
        <v>1928</v>
      </c>
      <c r="C640" t="s">
        <v>1930</v>
      </c>
      <c r="D640" t="s">
        <v>20</v>
      </c>
      <c r="E640" t="s">
        <v>11</v>
      </c>
      <c r="F640">
        <v>2610.96</v>
      </c>
      <c r="G640">
        <v>18</v>
      </c>
      <c r="L640" t="s">
        <v>1931</v>
      </c>
      <c r="O640" t="s">
        <v>1932</v>
      </c>
    </row>
    <row r="641" spans="1:15" x14ac:dyDescent="0.25">
      <c r="A641" t="s">
        <v>18</v>
      </c>
      <c r="B641" t="s">
        <v>1931</v>
      </c>
      <c r="C641" t="s">
        <v>1933</v>
      </c>
      <c r="D641" t="s">
        <v>20</v>
      </c>
      <c r="E641" t="s">
        <v>11</v>
      </c>
      <c r="F641">
        <v>4634.454</v>
      </c>
      <c r="G641">
        <v>18</v>
      </c>
      <c r="L641" t="s">
        <v>1934</v>
      </c>
      <c r="O641" t="s">
        <v>1935</v>
      </c>
    </row>
    <row r="642" spans="1:15" x14ac:dyDescent="0.25">
      <c r="A642" t="s">
        <v>18</v>
      </c>
      <c r="B642" t="s">
        <v>1934</v>
      </c>
      <c r="C642" t="s">
        <v>1936</v>
      </c>
      <c r="D642" t="s">
        <v>20</v>
      </c>
      <c r="E642" t="s">
        <v>11</v>
      </c>
      <c r="F642">
        <v>4765.0019999999995</v>
      </c>
      <c r="G642">
        <v>18</v>
      </c>
      <c r="L642" t="s">
        <v>1937</v>
      </c>
      <c r="O642" t="s">
        <v>1938</v>
      </c>
    </row>
    <row r="643" spans="1:15" x14ac:dyDescent="0.25">
      <c r="A643" t="s">
        <v>18</v>
      </c>
      <c r="B643" t="s">
        <v>1937</v>
      </c>
      <c r="C643" t="s">
        <v>1939</v>
      </c>
      <c r="D643" t="s">
        <v>20</v>
      </c>
      <c r="E643" t="s">
        <v>11</v>
      </c>
      <c r="F643">
        <v>4765.0019999999995</v>
      </c>
      <c r="G643">
        <v>18</v>
      </c>
      <c r="L643" t="s">
        <v>1940</v>
      </c>
      <c r="O643" t="s">
        <v>1941</v>
      </c>
    </row>
    <row r="644" spans="1:15" x14ac:dyDescent="0.25">
      <c r="A644" t="s">
        <v>18</v>
      </c>
      <c r="B644" t="s">
        <v>1940</v>
      </c>
      <c r="C644" t="s">
        <v>1942</v>
      </c>
      <c r="D644" t="s">
        <v>20</v>
      </c>
      <c r="E644" t="s">
        <v>11</v>
      </c>
      <c r="F644">
        <v>4765.0019999999995</v>
      </c>
      <c r="G644">
        <v>18</v>
      </c>
      <c r="L644" t="s">
        <v>1943</v>
      </c>
      <c r="O644" t="s">
        <v>1944</v>
      </c>
    </row>
    <row r="645" spans="1:15" x14ac:dyDescent="0.25">
      <c r="A645" t="s">
        <v>18</v>
      </c>
      <c r="B645" t="s">
        <v>1943</v>
      </c>
      <c r="C645" t="s">
        <v>1945</v>
      </c>
      <c r="D645" t="s">
        <v>20</v>
      </c>
      <c r="E645" t="s">
        <v>11</v>
      </c>
      <c r="F645">
        <v>4765.0019999999995</v>
      </c>
      <c r="G645">
        <v>18</v>
      </c>
      <c r="L645" t="s">
        <v>1946</v>
      </c>
      <c r="O645" t="s">
        <v>1947</v>
      </c>
    </row>
    <row r="646" spans="1:15" x14ac:dyDescent="0.25">
      <c r="A646" t="s">
        <v>18</v>
      </c>
      <c r="B646" t="s">
        <v>1946</v>
      </c>
      <c r="C646" t="s">
        <v>1948</v>
      </c>
      <c r="D646" t="s">
        <v>20</v>
      </c>
      <c r="E646" t="s">
        <v>11</v>
      </c>
      <c r="F646">
        <v>1501.302</v>
      </c>
      <c r="G646">
        <v>18</v>
      </c>
      <c r="L646" t="s">
        <v>1949</v>
      </c>
      <c r="O646" t="s">
        <v>1950</v>
      </c>
    </row>
    <row r="647" spans="1:15" x14ac:dyDescent="0.25">
      <c r="A647" t="s">
        <v>18</v>
      </c>
      <c r="B647" t="s">
        <v>1949</v>
      </c>
      <c r="C647" t="s">
        <v>1951</v>
      </c>
      <c r="D647" t="s">
        <v>20</v>
      </c>
      <c r="E647" t="s">
        <v>11</v>
      </c>
      <c r="F647">
        <v>3785.892</v>
      </c>
      <c r="G647">
        <v>18</v>
      </c>
      <c r="L647" t="s">
        <v>1952</v>
      </c>
      <c r="O647" t="s">
        <v>1953</v>
      </c>
    </row>
    <row r="648" spans="1:15" x14ac:dyDescent="0.25">
      <c r="A648" t="s">
        <v>18</v>
      </c>
      <c r="B648" t="s">
        <v>1952</v>
      </c>
      <c r="C648" t="s">
        <v>1954</v>
      </c>
      <c r="D648" t="s">
        <v>20</v>
      </c>
      <c r="E648" t="s">
        <v>11</v>
      </c>
      <c r="F648">
        <v>2676.234</v>
      </c>
      <c r="G648">
        <v>18</v>
      </c>
      <c r="L648" t="s">
        <v>1955</v>
      </c>
      <c r="O648" t="s">
        <v>1956</v>
      </c>
    </row>
    <row r="649" spans="1:15" x14ac:dyDescent="0.25">
      <c r="A649" t="s">
        <v>18</v>
      </c>
      <c r="B649" t="s">
        <v>1955</v>
      </c>
      <c r="C649" t="s">
        <v>1957</v>
      </c>
      <c r="D649" t="s">
        <v>20</v>
      </c>
      <c r="E649" t="s">
        <v>11</v>
      </c>
      <c r="F649">
        <v>2937.3300000000004</v>
      </c>
      <c r="G649">
        <v>18</v>
      </c>
      <c r="L649" t="s">
        <v>1958</v>
      </c>
      <c r="O649" t="s">
        <v>1959</v>
      </c>
    </row>
    <row r="650" spans="1:15" x14ac:dyDescent="0.25">
      <c r="A650" t="s">
        <v>18</v>
      </c>
      <c r="B650" t="s">
        <v>1958</v>
      </c>
      <c r="C650" t="s">
        <v>1960</v>
      </c>
      <c r="D650" t="s">
        <v>20</v>
      </c>
      <c r="E650" t="s">
        <v>11</v>
      </c>
      <c r="F650">
        <v>2480.4120000000003</v>
      </c>
      <c r="G650">
        <v>18</v>
      </c>
      <c r="L650" t="s">
        <v>1961</v>
      </c>
      <c r="O650" t="s">
        <v>1962</v>
      </c>
    </row>
    <row r="651" spans="1:15" x14ac:dyDescent="0.25">
      <c r="A651" t="s">
        <v>18</v>
      </c>
      <c r="B651" t="s">
        <v>1961</v>
      </c>
      <c r="C651" t="s">
        <v>1963</v>
      </c>
      <c r="D651" t="s">
        <v>20</v>
      </c>
      <c r="E651" t="s">
        <v>11</v>
      </c>
      <c r="F651">
        <v>2480.4120000000003</v>
      </c>
      <c r="G651">
        <v>18</v>
      </c>
      <c r="L651" t="s">
        <v>1964</v>
      </c>
      <c r="O651" t="s">
        <v>1965</v>
      </c>
    </row>
    <row r="652" spans="1:15" x14ac:dyDescent="0.25">
      <c r="A652" t="s">
        <v>18</v>
      </c>
      <c r="B652" t="s">
        <v>1964</v>
      </c>
      <c r="C652" t="s">
        <v>1966</v>
      </c>
      <c r="D652" t="s">
        <v>20</v>
      </c>
      <c r="E652" t="s">
        <v>11</v>
      </c>
      <c r="F652">
        <v>2415.138</v>
      </c>
      <c r="G652">
        <v>18</v>
      </c>
      <c r="L652" t="s">
        <v>1967</v>
      </c>
      <c r="O652" t="s">
        <v>1968</v>
      </c>
    </row>
    <row r="653" spans="1:15" x14ac:dyDescent="0.25">
      <c r="A653" t="s">
        <v>18</v>
      </c>
      <c r="B653" t="s">
        <v>1967</v>
      </c>
      <c r="C653" t="s">
        <v>1969</v>
      </c>
      <c r="D653" t="s">
        <v>20</v>
      </c>
      <c r="E653" t="s">
        <v>11</v>
      </c>
      <c r="F653">
        <v>1240.2060000000001</v>
      </c>
      <c r="G653">
        <v>18</v>
      </c>
      <c r="L653" t="s">
        <v>1970</v>
      </c>
      <c r="O653" t="s">
        <v>1971</v>
      </c>
    </row>
    <row r="654" spans="1:15" x14ac:dyDescent="0.25">
      <c r="A654" t="s">
        <v>18</v>
      </c>
      <c r="B654" t="s">
        <v>1970</v>
      </c>
      <c r="C654" t="s">
        <v>1972</v>
      </c>
      <c r="D654" t="s">
        <v>20</v>
      </c>
      <c r="E654" t="s">
        <v>11</v>
      </c>
      <c r="F654">
        <v>1501.302</v>
      </c>
      <c r="G654">
        <v>18</v>
      </c>
      <c r="L654" t="s">
        <v>1973</v>
      </c>
      <c r="O654" t="s">
        <v>1974</v>
      </c>
    </row>
    <row r="655" spans="1:15" x14ac:dyDescent="0.25">
      <c r="A655" t="s">
        <v>18</v>
      </c>
      <c r="B655" t="s">
        <v>1973</v>
      </c>
      <c r="C655" t="s">
        <v>1975</v>
      </c>
      <c r="D655" t="s">
        <v>20</v>
      </c>
      <c r="E655" t="s">
        <v>11</v>
      </c>
      <c r="F655">
        <v>1566.5759999999998</v>
      </c>
      <c r="G655">
        <v>18</v>
      </c>
      <c r="L655" t="s">
        <v>1976</v>
      </c>
      <c r="O655" t="s">
        <v>1977</v>
      </c>
    </row>
    <row r="656" spans="1:15" x14ac:dyDescent="0.25">
      <c r="A656" t="s">
        <v>18</v>
      </c>
      <c r="B656" t="s">
        <v>1976</v>
      </c>
      <c r="C656" t="s">
        <v>1978</v>
      </c>
      <c r="D656" t="s">
        <v>20</v>
      </c>
      <c r="E656" t="s">
        <v>11</v>
      </c>
      <c r="F656">
        <v>1827.672</v>
      </c>
      <c r="G656">
        <v>18</v>
      </c>
      <c r="L656" t="s">
        <v>1979</v>
      </c>
      <c r="O656" t="s">
        <v>1980</v>
      </c>
    </row>
    <row r="657" spans="1:15" x14ac:dyDescent="0.25">
      <c r="A657" t="s">
        <v>18</v>
      </c>
      <c r="B657" t="s">
        <v>1979</v>
      </c>
      <c r="C657" t="s">
        <v>1981</v>
      </c>
      <c r="D657" t="s">
        <v>20</v>
      </c>
      <c r="E657" t="s">
        <v>11</v>
      </c>
      <c r="F657">
        <v>2154.042</v>
      </c>
      <c r="G657">
        <v>18</v>
      </c>
      <c r="L657" t="s">
        <v>1982</v>
      </c>
      <c r="O657" t="s">
        <v>1983</v>
      </c>
    </row>
    <row r="658" spans="1:15" x14ac:dyDescent="0.25">
      <c r="A658" t="s">
        <v>18</v>
      </c>
      <c r="B658" t="s">
        <v>1982</v>
      </c>
      <c r="C658" t="s">
        <v>1984</v>
      </c>
      <c r="D658" t="s">
        <v>20</v>
      </c>
      <c r="E658" t="s">
        <v>11</v>
      </c>
      <c r="F658">
        <v>1827.672</v>
      </c>
      <c r="G658">
        <v>18</v>
      </c>
      <c r="L658" t="s">
        <v>1985</v>
      </c>
      <c r="O658" t="s">
        <v>1986</v>
      </c>
    </row>
    <row r="659" spans="1:15" x14ac:dyDescent="0.25">
      <c r="A659" t="s">
        <v>18</v>
      </c>
      <c r="B659" t="s">
        <v>1985</v>
      </c>
      <c r="C659" t="s">
        <v>1987</v>
      </c>
      <c r="D659" t="s">
        <v>20</v>
      </c>
      <c r="E659" t="s">
        <v>11</v>
      </c>
      <c r="F659">
        <v>2219.316</v>
      </c>
      <c r="G659">
        <v>18</v>
      </c>
      <c r="L659" t="s">
        <v>1988</v>
      </c>
      <c r="O659" t="s">
        <v>1989</v>
      </c>
    </row>
    <row r="660" spans="1:15" x14ac:dyDescent="0.25">
      <c r="A660" t="s">
        <v>18</v>
      </c>
      <c r="B660" t="s">
        <v>1988</v>
      </c>
      <c r="C660" t="s">
        <v>1990</v>
      </c>
      <c r="D660" t="s">
        <v>20</v>
      </c>
      <c r="E660" t="s">
        <v>11</v>
      </c>
      <c r="F660">
        <v>1109.658</v>
      </c>
      <c r="G660">
        <v>18</v>
      </c>
      <c r="L660" t="s">
        <v>1991</v>
      </c>
      <c r="O660" t="s">
        <v>1992</v>
      </c>
    </row>
    <row r="661" spans="1:15" x14ac:dyDescent="0.25">
      <c r="A661" t="s">
        <v>18</v>
      </c>
      <c r="B661" t="s">
        <v>1991</v>
      </c>
      <c r="C661" t="s">
        <v>1993</v>
      </c>
      <c r="D661" t="s">
        <v>20</v>
      </c>
      <c r="E661" t="s">
        <v>11</v>
      </c>
      <c r="F661">
        <v>1109.658</v>
      </c>
      <c r="G661">
        <v>18</v>
      </c>
      <c r="L661" t="s">
        <v>1994</v>
      </c>
      <c r="O661" t="s">
        <v>1995</v>
      </c>
    </row>
    <row r="662" spans="1:15" x14ac:dyDescent="0.25">
      <c r="A662" t="s">
        <v>18</v>
      </c>
      <c r="B662" t="s">
        <v>1994</v>
      </c>
      <c r="C662" t="s">
        <v>1996</v>
      </c>
      <c r="D662" t="s">
        <v>20</v>
      </c>
      <c r="E662" t="s">
        <v>11</v>
      </c>
      <c r="F662">
        <v>1958.22</v>
      </c>
      <c r="G662">
        <v>18</v>
      </c>
      <c r="L662" t="s">
        <v>1997</v>
      </c>
      <c r="O662" t="s">
        <v>1998</v>
      </c>
    </row>
    <row r="663" spans="1:15" x14ac:dyDescent="0.25">
      <c r="A663" t="s">
        <v>18</v>
      </c>
      <c r="B663" t="s">
        <v>1997</v>
      </c>
      <c r="C663" t="s">
        <v>1999</v>
      </c>
      <c r="D663" t="s">
        <v>20</v>
      </c>
      <c r="E663" t="s">
        <v>11</v>
      </c>
      <c r="F663">
        <v>1436.028</v>
      </c>
      <c r="G663">
        <v>18</v>
      </c>
      <c r="L663" t="s">
        <v>2000</v>
      </c>
      <c r="O663" t="s">
        <v>2001</v>
      </c>
    </row>
    <row r="664" spans="1:15" x14ac:dyDescent="0.25">
      <c r="A664" t="s">
        <v>18</v>
      </c>
      <c r="B664" t="s">
        <v>2000</v>
      </c>
      <c r="C664" t="s">
        <v>2002</v>
      </c>
      <c r="D664" t="s">
        <v>20</v>
      </c>
      <c r="E664" t="s">
        <v>11</v>
      </c>
      <c r="F664">
        <v>1697.1239999999998</v>
      </c>
      <c r="G664">
        <v>18</v>
      </c>
      <c r="L664" t="s">
        <v>2003</v>
      </c>
      <c r="O664" t="s">
        <v>2004</v>
      </c>
    </row>
    <row r="665" spans="1:15" x14ac:dyDescent="0.25">
      <c r="A665" t="s">
        <v>18</v>
      </c>
      <c r="B665" t="s">
        <v>2003</v>
      </c>
      <c r="C665" t="s">
        <v>2005</v>
      </c>
      <c r="D665" t="s">
        <v>20</v>
      </c>
      <c r="E665" t="s">
        <v>11</v>
      </c>
      <c r="F665">
        <v>1631.85</v>
      </c>
      <c r="G665">
        <v>18</v>
      </c>
      <c r="L665" t="s">
        <v>2006</v>
      </c>
      <c r="O665" t="s">
        <v>2007</v>
      </c>
    </row>
    <row r="666" spans="1:15" x14ac:dyDescent="0.25">
      <c r="A666" t="s">
        <v>18</v>
      </c>
      <c r="B666" t="s">
        <v>2006</v>
      </c>
      <c r="C666" t="s">
        <v>2008</v>
      </c>
      <c r="D666" t="s">
        <v>20</v>
      </c>
      <c r="E666" t="s">
        <v>11</v>
      </c>
      <c r="F666">
        <v>1892.946</v>
      </c>
      <c r="G666">
        <v>18</v>
      </c>
      <c r="L666" t="s">
        <v>2009</v>
      </c>
      <c r="O666" t="s">
        <v>2010</v>
      </c>
    </row>
    <row r="667" spans="1:15" x14ac:dyDescent="0.25">
      <c r="A667" t="s">
        <v>18</v>
      </c>
      <c r="B667" t="s">
        <v>2009</v>
      </c>
      <c r="C667" t="s">
        <v>2011</v>
      </c>
      <c r="D667" t="s">
        <v>20</v>
      </c>
      <c r="E667" t="s">
        <v>11</v>
      </c>
      <c r="F667">
        <v>2154.042</v>
      </c>
      <c r="G667">
        <v>18</v>
      </c>
      <c r="L667" t="s">
        <v>2012</v>
      </c>
      <c r="O667" t="s">
        <v>2013</v>
      </c>
    </row>
    <row r="668" spans="1:15" x14ac:dyDescent="0.25">
      <c r="A668" t="s">
        <v>18</v>
      </c>
      <c r="B668" t="s">
        <v>2012</v>
      </c>
      <c r="C668" t="s">
        <v>2014</v>
      </c>
      <c r="D668" t="s">
        <v>20</v>
      </c>
      <c r="E668" t="s">
        <v>11</v>
      </c>
      <c r="F668">
        <v>2284.59</v>
      </c>
      <c r="G668">
        <v>18</v>
      </c>
      <c r="L668" t="s">
        <v>2015</v>
      </c>
      <c r="O668" t="s">
        <v>2016</v>
      </c>
    </row>
    <row r="669" spans="1:15" x14ac:dyDescent="0.25">
      <c r="A669" t="s">
        <v>18</v>
      </c>
      <c r="B669" t="s">
        <v>2015</v>
      </c>
      <c r="C669" t="s">
        <v>2017</v>
      </c>
      <c r="D669" t="s">
        <v>20</v>
      </c>
      <c r="E669" t="s">
        <v>11</v>
      </c>
      <c r="F669">
        <v>7898.1539999999995</v>
      </c>
      <c r="G669">
        <v>18</v>
      </c>
      <c r="L669" t="s">
        <v>2018</v>
      </c>
      <c r="O669" t="s">
        <v>2019</v>
      </c>
    </row>
    <row r="670" spans="1:15" x14ac:dyDescent="0.25">
      <c r="A670" t="s">
        <v>18</v>
      </c>
      <c r="B670" t="s">
        <v>2018</v>
      </c>
      <c r="C670" t="s">
        <v>2020</v>
      </c>
      <c r="D670" t="s">
        <v>20</v>
      </c>
      <c r="E670" t="s">
        <v>11</v>
      </c>
      <c r="F670">
        <v>3002.604</v>
      </c>
      <c r="G670">
        <v>18</v>
      </c>
      <c r="L670" t="s">
        <v>2021</v>
      </c>
      <c r="O670" t="s">
        <v>2022</v>
      </c>
    </row>
    <row r="671" spans="1:15" x14ac:dyDescent="0.25">
      <c r="A671" t="s">
        <v>18</v>
      </c>
      <c r="B671" t="s">
        <v>2021</v>
      </c>
      <c r="C671" t="s">
        <v>2023</v>
      </c>
      <c r="D671" t="s">
        <v>20</v>
      </c>
      <c r="E671" t="s">
        <v>11</v>
      </c>
      <c r="F671">
        <v>3002.604</v>
      </c>
      <c r="G671">
        <v>18</v>
      </c>
      <c r="L671" t="s">
        <v>2024</v>
      </c>
      <c r="O671" t="s">
        <v>2025</v>
      </c>
    </row>
    <row r="672" spans="1:15" x14ac:dyDescent="0.25">
      <c r="A672" t="s">
        <v>18</v>
      </c>
      <c r="B672" t="s">
        <v>2024</v>
      </c>
      <c r="C672" t="s">
        <v>2026</v>
      </c>
      <c r="D672" t="s">
        <v>20</v>
      </c>
      <c r="E672" t="s">
        <v>11</v>
      </c>
      <c r="F672">
        <v>3002.604</v>
      </c>
      <c r="G672">
        <v>18</v>
      </c>
      <c r="L672" t="s">
        <v>2027</v>
      </c>
      <c r="O672" t="s">
        <v>2028</v>
      </c>
    </row>
    <row r="673" spans="1:15" x14ac:dyDescent="0.25">
      <c r="A673" t="s">
        <v>18</v>
      </c>
      <c r="B673" t="s">
        <v>2027</v>
      </c>
      <c r="C673" t="s">
        <v>2029</v>
      </c>
      <c r="D673" t="s">
        <v>20</v>
      </c>
      <c r="E673" t="s">
        <v>11</v>
      </c>
      <c r="F673">
        <v>3002.604</v>
      </c>
      <c r="G673">
        <v>18</v>
      </c>
      <c r="L673" t="s">
        <v>2030</v>
      </c>
      <c r="O673" t="s">
        <v>2031</v>
      </c>
    </row>
    <row r="674" spans="1:15" x14ac:dyDescent="0.25">
      <c r="A674" t="s">
        <v>18</v>
      </c>
      <c r="B674" t="s">
        <v>2030</v>
      </c>
      <c r="C674" t="s">
        <v>2032</v>
      </c>
      <c r="D674" t="s">
        <v>20</v>
      </c>
      <c r="E674" t="s">
        <v>11</v>
      </c>
      <c r="F674">
        <v>3002.604</v>
      </c>
      <c r="G674">
        <v>18</v>
      </c>
      <c r="L674" t="s">
        <v>2033</v>
      </c>
      <c r="O674" t="s">
        <v>2034</v>
      </c>
    </row>
    <row r="675" spans="1:15" x14ac:dyDescent="0.25">
      <c r="A675" t="s">
        <v>18</v>
      </c>
      <c r="B675" t="s">
        <v>2033</v>
      </c>
      <c r="C675" t="s">
        <v>2035</v>
      </c>
      <c r="D675" t="s">
        <v>20</v>
      </c>
      <c r="E675" t="s">
        <v>11</v>
      </c>
      <c r="F675">
        <v>3002.604</v>
      </c>
      <c r="G675">
        <v>18</v>
      </c>
      <c r="L675" t="s">
        <v>2036</v>
      </c>
      <c r="O675" t="s">
        <v>2037</v>
      </c>
    </row>
    <row r="676" spans="1:15" x14ac:dyDescent="0.25">
      <c r="A676" t="s">
        <v>18</v>
      </c>
      <c r="B676" t="s">
        <v>2036</v>
      </c>
      <c r="C676" t="s">
        <v>2038</v>
      </c>
      <c r="D676" t="s">
        <v>20</v>
      </c>
      <c r="E676" t="s">
        <v>11</v>
      </c>
      <c r="F676">
        <v>3002.604</v>
      </c>
      <c r="G676">
        <v>18</v>
      </c>
      <c r="L676" t="s">
        <v>2039</v>
      </c>
      <c r="O676" t="s">
        <v>2040</v>
      </c>
    </row>
    <row r="677" spans="1:15" x14ac:dyDescent="0.25">
      <c r="A677" t="s">
        <v>18</v>
      </c>
      <c r="B677" t="s">
        <v>2039</v>
      </c>
      <c r="C677" t="s">
        <v>2041</v>
      </c>
      <c r="D677" t="s">
        <v>20</v>
      </c>
      <c r="E677" t="s">
        <v>11</v>
      </c>
      <c r="F677">
        <v>3002.604</v>
      </c>
      <c r="G677">
        <v>18</v>
      </c>
      <c r="L677" t="s">
        <v>2042</v>
      </c>
      <c r="O677" t="s">
        <v>2043</v>
      </c>
    </row>
    <row r="678" spans="1:15" x14ac:dyDescent="0.25">
      <c r="A678" t="s">
        <v>18</v>
      </c>
      <c r="B678" t="s">
        <v>2042</v>
      </c>
      <c r="C678" t="s">
        <v>2044</v>
      </c>
      <c r="D678" t="s">
        <v>20</v>
      </c>
      <c r="E678" t="s">
        <v>11</v>
      </c>
      <c r="F678">
        <v>3002.604</v>
      </c>
      <c r="G678">
        <v>18</v>
      </c>
      <c r="L678" t="s">
        <v>2045</v>
      </c>
      <c r="O678" t="s">
        <v>2046</v>
      </c>
    </row>
    <row r="679" spans="1:15" x14ac:dyDescent="0.25">
      <c r="A679" t="s">
        <v>18</v>
      </c>
      <c r="B679" t="s">
        <v>2045</v>
      </c>
      <c r="C679" t="s">
        <v>2047</v>
      </c>
      <c r="D679" t="s">
        <v>20</v>
      </c>
      <c r="E679" t="s">
        <v>11</v>
      </c>
      <c r="F679">
        <v>3002.604</v>
      </c>
      <c r="G679">
        <v>18</v>
      </c>
      <c r="L679" t="s">
        <v>2048</v>
      </c>
      <c r="O679" t="s">
        <v>2049</v>
      </c>
    </row>
    <row r="680" spans="1:15" x14ac:dyDescent="0.25">
      <c r="A680" t="s">
        <v>18</v>
      </c>
      <c r="B680" t="s">
        <v>2048</v>
      </c>
      <c r="C680" t="s">
        <v>2050</v>
      </c>
      <c r="D680" t="s">
        <v>20</v>
      </c>
      <c r="E680" t="s">
        <v>11</v>
      </c>
      <c r="F680">
        <v>3002.604</v>
      </c>
      <c r="G680">
        <v>18</v>
      </c>
      <c r="L680" t="s">
        <v>2051</v>
      </c>
      <c r="O680" t="s">
        <v>2052</v>
      </c>
    </row>
    <row r="681" spans="1:15" x14ac:dyDescent="0.25">
      <c r="A681" t="s">
        <v>18</v>
      </c>
      <c r="B681" t="s">
        <v>2051</v>
      </c>
      <c r="C681" t="s">
        <v>2053</v>
      </c>
      <c r="D681" t="s">
        <v>20</v>
      </c>
      <c r="E681" t="s">
        <v>11</v>
      </c>
      <c r="F681">
        <v>3002.604</v>
      </c>
      <c r="G681">
        <v>18</v>
      </c>
      <c r="L681" t="s">
        <v>2054</v>
      </c>
      <c r="O681" t="s">
        <v>2055</v>
      </c>
    </row>
    <row r="682" spans="1:15" x14ac:dyDescent="0.25">
      <c r="A682" t="s">
        <v>18</v>
      </c>
      <c r="B682" t="s">
        <v>2054</v>
      </c>
      <c r="C682" t="s">
        <v>2056</v>
      </c>
      <c r="D682" t="s">
        <v>20</v>
      </c>
      <c r="E682" t="s">
        <v>11</v>
      </c>
      <c r="F682">
        <v>3002.604</v>
      </c>
      <c r="G682">
        <v>18</v>
      </c>
      <c r="L682" t="s">
        <v>2057</v>
      </c>
      <c r="O682" t="s">
        <v>2058</v>
      </c>
    </row>
    <row r="683" spans="1:15" x14ac:dyDescent="0.25">
      <c r="A683" t="s">
        <v>18</v>
      </c>
      <c r="B683" t="s">
        <v>2057</v>
      </c>
      <c r="C683" t="s">
        <v>2059</v>
      </c>
      <c r="D683" t="s">
        <v>20</v>
      </c>
      <c r="E683" t="s">
        <v>11</v>
      </c>
      <c r="F683">
        <v>3002.604</v>
      </c>
      <c r="G683">
        <v>18</v>
      </c>
      <c r="L683" t="s">
        <v>2060</v>
      </c>
      <c r="O683" t="s">
        <v>2061</v>
      </c>
    </row>
    <row r="684" spans="1:15" x14ac:dyDescent="0.25">
      <c r="A684" t="s">
        <v>18</v>
      </c>
      <c r="B684" t="s">
        <v>2060</v>
      </c>
      <c r="C684" t="s">
        <v>2062</v>
      </c>
      <c r="D684" t="s">
        <v>20</v>
      </c>
      <c r="E684" t="s">
        <v>11</v>
      </c>
      <c r="F684">
        <v>3002.604</v>
      </c>
      <c r="G684">
        <v>18</v>
      </c>
      <c r="L684" t="s">
        <v>2063</v>
      </c>
      <c r="O684" t="s">
        <v>2064</v>
      </c>
    </row>
    <row r="685" spans="1:15" x14ac:dyDescent="0.25">
      <c r="A685" t="s">
        <v>18</v>
      </c>
      <c r="B685" t="s">
        <v>2063</v>
      </c>
      <c r="C685" t="s">
        <v>2065</v>
      </c>
      <c r="D685" t="s">
        <v>20</v>
      </c>
      <c r="E685" t="s">
        <v>11</v>
      </c>
      <c r="F685">
        <v>3002.604</v>
      </c>
      <c r="G685">
        <v>18</v>
      </c>
      <c r="L685" t="s">
        <v>2066</v>
      </c>
      <c r="O685" t="s">
        <v>2067</v>
      </c>
    </row>
    <row r="686" spans="1:15" x14ac:dyDescent="0.25">
      <c r="A686" t="s">
        <v>18</v>
      </c>
      <c r="B686" t="s">
        <v>2066</v>
      </c>
      <c r="C686" t="s">
        <v>2068</v>
      </c>
      <c r="D686" t="s">
        <v>20</v>
      </c>
      <c r="E686" t="s">
        <v>11</v>
      </c>
      <c r="F686">
        <v>4830.276</v>
      </c>
      <c r="G686">
        <v>18</v>
      </c>
      <c r="L686" t="s">
        <v>2069</v>
      </c>
      <c r="O686" t="s">
        <v>2070</v>
      </c>
    </row>
    <row r="687" spans="1:15" x14ac:dyDescent="0.25">
      <c r="A687" t="s">
        <v>18</v>
      </c>
      <c r="B687" t="s">
        <v>2069</v>
      </c>
      <c r="C687" t="s">
        <v>2071</v>
      </c>
      <c r="D687" t="s">
        <v>20</v>
      </c>
      <c r="E687" t="s">
        <v>11</v>
      </c>
      <c r="F687">
        <v>4830.276</v>
      </c>
      <c r="G687">
        <v>18</v>
      </c>
      <c r="L687" t="s">
        <v>2072</v>
      </c>
      <c r="O687" t="s">
        <v>2073</v>
      </c>
    </row>
    <row r="688" spans="1:15" x14ac:dyDescent="0.25">
      <c r="A688" t="s">
        <v>18</v>
      </c>
      <c r="B688" t="s">
        <v>2072</v>
      </c>
      <c r="C688" t="s">
        <v>2074</v>
      </c>
      <c r="D688" t="s">
        <v>20</v>
      </c>
      <c r="E688" t="s">
        <v>11</v>
      </c>
      <c r="F688">
        <v>4830.276</v>
      </c>
      <c r="G688">
        <v>18</v>
      </c>
      <c r="L688" t="s">
        <v>2075</v>
      </c>
      <c r="O688" t="s">
        <v>2076</v>
      </c>
    </row>
    <row r="689" spans="1:15" x14ac:dyDescent="0.25">
      <c r="A689" t="s">
        <v>18</v>
      </c>
      <c r="B689" t="s">
        <v>2075</v>
      </c>
      <c r="C689" t="s">
        <v>2077</v>
      </c>
      <c r="D689" t="s">
        <v>20</v>
      </c>
      <c r="E689" t="s">
        <v>11</v>
      </c>
      <c r="F689">
        <v>4830.276</v>
      </c>
      <c r="G689">
        <v>18</v>
      </c>
      <c r="L689" t="s">
        <v>2078</v>
      </c>
      <c r="O689" t="s">
        <v>2079</v>
      </c>
    </row>
    <row r="690" spans="1:15" x14ac:dyDescent="0.25">
      <c r="A690" t="s">
        <v>18</v>
      </c>
      <c r="B690" t="s">
        <v>2078</v>
      </c>
      <c r="C690" t="s">
        <v>2080</v>
      </c>
      <c r="D690" t="s">
        <v>20</v>
      </c>
      <c r="E690" t="s">
        <v>11</v>
      </c>
      <c r="F690">
        <v>4830.276</v>
      </c>
      <c r="G690">
        <v>18</v>
      </c>
      <c r="L690" t="s">
        <v>2081</v>
      </c>
      <c r="O690" t="s">
        <v>2082</v>
      </c>
    </row>
    <row r="691" spans="1:15" x14ac:dyDescent="0.25">
      <c r="A691" t="s">
        <v>18</v>
      </c>
      <c r="B691" t="s">
        <v>2081</v>
      </c>
      <c r="C691" t="s">
        <v>2083</v>
      </c>
      <c r="D691" t="s">
        <v>20</v>
      </c>
      <c r="E691" t="s">
        <v>11</v>
      </c>
      <c r="F691">
        <v>4830.276</v>
      </c>
      <c r="G691">
        <v>18</v>
      </c>
      <c r="L691" t="s">
        <v>2084</v>
      </c>
      <c r="O691" t="s">
        <v>2085</v>
      </c>
    </row>
    <row r="692" spans="1:15" x14ac:dyDescent="0.25">
      <c r="A692" t="s">
        <v>18</v>
      </c>
      <c r="B692" t="s">
        <v>2084</v>
      </c>
      <c r="C692" t="s">
        <v>2086</v>
      </c>
      <c r="D692" t="s">
        <v>20</v>
      </c>
      <c r="E692" t="s">
        <v>11</v>
      </c>
      <c r="F692">
        <v>3067.8779999999997</v>
      </c>
      <c r="G692">
        <v>18</v>
      </c>
      <c r="L692" t="s">
        <v>2087</v>
      </c>
      <c r="O692" t="s">
        <v>2088</v>
      </c>
    </row>
    <row r="693" spans="1:15" x14ac:dyDescent="0.25">
      <c r="A693" t="s">
        <v>18</v>
      </c>
      <c r="B693" t="s">
        <v>2087</v>
      </c>
      <c r="C693" t="s">
        <v>2089</v>
      </c>
      <c r="D693" t="s">
        <v>20</v>
      </c>
      <c r="E693" t="s">
        <v>11</v>
      </c>
      <c r="F693">
        <v>3067.8779999999997</v>
      </c>
      <c r="G693">
        <v>18</v>
      </c>
      <c r="L693" t="s">
        <v>2090</v>
      </c>
      <c r="O693" t="s">
        <v>2091</v>
      </c>
    </row>
    <row r="694" spans="1:15" x14ac:dyDescent="0.25">
      <c r="A694" t="s">
        <v>18</v>
      </c>
      <c r="B694" t="s">
        <v>2090</v>
      </c>
      <c r="C694" t="s">
        <v>2092</v>
      </c>
      <c r="D694" t="s">
        <v>20</v>
      </c>
      <c r="E694" t="s">
        <v>11</v>
      </c>
      <c r="F694">
        <v>3067.8779999999997</v>
      </c>
      <c r="G694">
        <v>18</v>
      </c>
      <c r="L694" t="s">
        <v>2093</v>
      </c>
      <c r="O694" t="s">
        <v>2094</v>
      </c>
    </row>
    <row r="695" spans="1:15" x14ac:dyDescent="0.25">
      <c r="A695" t="s">
        <v>18</v>
      </c>
      <c r="B695" t="s">
        <v>2093</v>
      </c>
      <c r="C695" t="s">
        <v>2095</v>
      </c>
      <c r="D695" t="s">
        <v>20</v>
      </c>
      <c r="E695" t="s">
        <v>11</v>
      </c>
      <c r="F695">
        <v>3067.8779999999997</v>
      </c>
      <c r="G695">
        <v>18</v>
      </c>
      <c r="L695" t="s">
        <v>2096</v>
      </c>
      <c r="O695" t="s">
        <v>2097</v>
      </c>
    </row>
    <row r="696" spans="1:15" x14ac:dyDescent="0.25">
      <c r="A696" t="s">
        <v>18</v>
      </c>
      <c r="B696" t="s">
        <v>2096</v>
      </c>
      <c r="C696" t="s">
        <v>2098</v>
      </c>
      <c r="D696" t="s">
        <v>20</v>
      </c>
      <c r="E696" t="s">
        <v>11</v>
      </c>
      <c r="F696">
        <v>3067.8779999999997</v>
      </c>
      <c r="G696">
        <v>18</v>
      </c>
      <c r="L696" t="s">
        <v>2099</v>
      </c>
      <c r="O696" t="s">
        <v>2100</v>
      </c>
    </row>
    <row r="697" spans="1:15" x14ac:dyDescent="0.25">
      <c r="A697" t="s">
        <v>18</v>
      </c>
      <c r="B697" t="s">
        <v>2099</v>
      </c>
      <c r="C697" t="s">
        <v>2101</v>
      </c>
      <c r="D697" t="s">
        <v>20</v>
      </c>
      <c r="E697" t="s">
        <v>11</v>
      </c>
      <c r="F697">
        <v>3067.8779999999997</v>
      </c>
      <c r="G697">
        <v>18</v>
      </c>
      <c r="L697" t="s">
        <v>2102</v>
      </c>
      <c r="O697" t="s">
        <v>2103</v>
      </c>
    </row>
    <row r="698" spans="1:15" x14ac:dyDescent="0.25">
      <c r="A698" t="s">
        <v>18</v>
      </c>
      <c r="B698" t="s">
        <v>2102</v>
      </c>
      <c r="C698" t="s">
        <v>2104</v>
      </c>
      <c r="D698" t="s">
        <v>20</v>
      </c>
      <c r="E698" t="s">
        <v>11</v>
      </c>
      <c r="F698">
        <v>3067.8779999999997</v>
      </c>
      <c r="G698">
        <v>18</v>
      </c>
      <c r="L698" t="s">
        <v>2105</v>
      </c>
      <c r="O698" t="s">
        <v>2106</v>
      </c>
    </row>
    <row r="699" spans="1:15" x14ac:dyDescent="0.25">
      <c r="A699" t="s">
        <v>18</v>
      </c>
      <c r="B699" t="s">
        <v>2105</v>
      </c>
      <c r="C699" t="s">
        <v>2107</v>
      </c>
      <c r="D699" t="s">
        <v>20</v>
      </c>
      <c r="E699" t="s">
        <v>11</v>
      </c>
      <c r="F699">
        <v>3067.8779999999997</v>
      </c>
      <c r="G699">
        <v>18</v>
      </c>
      <c r="L699" t="s">
        <v>2108</v>
      </c>
      <c r="O699" t="s">
        <v>2109</v>
      </c>
    </row>
    <row r="700" spans="1:15" x14ac:dyDescent="0.25">
      <c r="A700" t="s">
        <v>18</v>
      </c>
      <c r="B700" t="s">
        <v>2108</v>
      </c>
      <c r="C700" t="s">
        <v>2110</v>
      </c>
      <c r="D700" t="s">
        <v>20</v>
      </c>
      <c r="E700" t="s">
        <v>11</v>
      </c>
      <c r="F700">
        <v>3067.8779999999997</v>
      </c>
      <c r="G700">
        <v>18</v>
      </c>
      <c r="L700" t="s">
        <v>2111</v>
      </c>
      <c r="O700" t="s">
        <v>2112</v>
      </c>
    </row>
    <row r="701" spans="1:15" x14ac:dyDescent="0.25">
      <c r="A701" t="s">
        <v>18</v>
      </c>
      <c r="B701" t="s">
        <v>2111</v>
      </c>
      <c r="C701" t="s">
        <v>2113</v>
      </c>
      <c r="D701" t="s">
        <v>20</v>
      </c>
      <c r="E701" t="s">
        <v>11</v>
      </c>
      <c r="F701">
        <v>3067.8779999999997</v>
      </c>
      <c r="G701">
        <v>18</v>
      </c>
      <c r="L701" t="s">
        <v>2114</v>
      </c>
      <c r="O701" t="s">
        <v>2115</v>
      </c>
    </row>
    <row r="702" spans="1:15" x14ac:dyDescent="0.25">
      <c r="A702" t="s">
        <v>18</v>
      </c>
      <c r="B702" t="s">
        <v>2114</v>
      </c>
      <c r="C702" t="s">
        <v>2116</v>
      </c>
      <c r="D702" t="s">
        <v>20</v>
      </c>
      <c r="E702" t="s">
        <v>11</v>
      </c>
      <c r="F702">
        <v>3067.8779999999997</v>
      </c>
      <c r="G702">
        <v>18</v>
      </c>
      <c r="L702" t="s">
        <v>2117</v>
      </c>
      <c r="O702" t="s">
        <v>2118</v>
      </c>
    </row>
    <row r="703" spans="1:15" x14ac:dyDescent="0.25">
      <c r="A703" t="s">
        <v>18</v>
      </c>
      <c r="B703" t="s">
        <v>2117</v>
      </c>
      <c r="C703" t="s">
        <v>2119</v>
      </c>
      <c r="D703" t="s">
        <v>20</v>
      </c>
      <c r="E703" t="s">
        <v>11</v>
      </c>
      <c r="F703">
        <v>3067.8779999999997</v>
      </c>
      <c r="G703">
        <v>18</v>
      </c>
      <c r="L703" t="s">
        <v>2120</v>
      </c>
      <c r="O703" t="s">
        <v>2121</v>
      </c>
    </row>
    <row r="704" spans="1:15" x14ac:dyDescent="0.25">
      <c r="A704" t="s">
        <v>18</v>
      </c>
      <c r="B704" t="s">
        <v>2120</v>
      </c>
      <c r="C704" t="s">
        <v>2122</v>
      </c>
      <c r="D704" t="s">
        <v>20</v>
      </c>
      <c r="E704" t="s">
        <v>11</v>
      </c>
      <c r="F704">
        <v>4242.8099999999995</v>
      </c>
      <c r="G704">
        <v>18</v>
      </c>
      <c r="L704" t="s">
        <v>2123</v>
      </c>
      <c r="O704" t="s">
        <v>2124</v>
      </c>
    </row>
    <row r="705" spans="1:15" x14ac:dyDescent="0.25">
      <c r="A705" t="s">
        <v>18</v>
      </c>
      <c r="B705" t="s">
        <v>2123</v>
      </c>
      <c r="C705" t="s">
        <v>2125</v>
      </c>
      <c r="D705" t="s">
        <v>20</v>
      </c>
      <c r="E705" t="s">
        <v>11</v>
      </c>
      <c r="F705">
        <v>3916.44</v>
      </c>
      <c r="G705">
        <v>18</v>
      </c>
      <c r="L705" t="s">
        <v>2126</v>
      </c>
      <c r="O705" t="s">
        <v>2127</v>
      </c>
    </row>
    <row r="706" spans="1:15" x14ac:dyDescent="0.25">
      <c r="A706" t="s">
        <v>18</v>
      </c>
      <c r="B706" t="s">
        <v>2126</v>
      </c>
      <c r="C706" t="s">
        <v>2128</v>
      </c>
      <c r="D706" t="s">
        <v>20</v>
      </c>
      <c r="E706" t="s">
        <v>11</v>
      </c>
      <c r="F706">
        <v>1958.22</v>
      </c>
      <c r="G706">
        <v>18</v>
      </c>
      <c r="L706" t="s">
        <v>2129</v>
      </c>
      <c r="O706" t="s">
        <v>2130</v>
      </c>
    </row>
    <row r="707" spans="1:15" x14ac:dyDescent="0.25">
      <c r="A707" t="s">
        <v>18</v>
      </c>
      <c r="B707" t="s">
        <v>2129</v>
      </c>
      <c r="C707" t="s">
        <v>2131</v>
      </c>
      <c r="D707" t="s">
        <v>20</v>
      </c>
      <c r="E707" t="s">
        <v>11</v>
      </c>
      <c r="F707">
        <v>2219.316</v>
      </c>
      <c r="G707">
        <v>18</v>
      </c>
      <c r="L707" t="s">
        <v>2132</v>
      </c>
      <c r="O707" t="s">
        <v>2133</v>
      </c>
    </row>
    <row r="708" spans="1:15" x14ac:dyDescent="0.25">
      <c r="A708" t="s">
        <v>18</v>
      </c>
      <c r="B708" t="s">
        <v>2132</v>
      </c>
      <c r="C708" t="s">
        <v>2134</v>
      </c>
      <c r="D708" t="s">
        <v>20</v>
      </c>
      <c r="E708" t="s">
        <v>11</v>
      </c>
      <c r="F708">
        <v>3263.7</v>
      </c>
      <c r="G708">
        <v>18</v>
      </c>
      <c r="L708" t="s">
        <v>2135</v>
      </c>
      <c r="O708" t="s">
        <v>2136</v>
      </c>
    </row>
    <row r="709" spans="1:15" x14ac:dyDescent="0.25">
      <c r="A709" t="s">
        <v>18</v>
      </c>
      <c r="B709" t="s">
        <v>2135</v>
      </c>
      <c r="C709" t="s">
        <v>2137</v>
      </c>
      <c r="D709" t="s">
        <v>20</v>
      </c>
      <c r="E709" t="s">
        <v>11</v>
      </c>
      <c r="F709">
        <v>2219.316</v>
      </c>
      <c r="G709">
        <v>18</v>
      </c>
      <c r="L709" t="s">
        <v>2138</v>
      </c>
      <c r="O709" t="s">
        <v>2139</v>
      </c>
    </row>
    <row r="710" spans="1:15" x14ac:dyDescent="0.25">
      <c r="A710" t="s">
        <v>18</v>
      </c>
      <c r="B710" t="s">
        <v>2138</v>
      </c>
      <c r="C710" t="s">
        <v>2140</v>
      </c>
      <c r="D710" t="s">
        <v>20</v>
      </c>
      <c r="E710" t="s">
        <v>11</v>
      </c>
      <c r="F710">
        <v>2219.316</v>
      </c>
      <c r="G710">
        <v>18</v>
      </c>
      <c r="L710" t="s">
        <v>2141</v>
      </c>
      <c r="O710" t="s">
        <v>2142</v>
      </c>
    </row>
    <row r="711" spans="1:15" x14ac:dyDescent="0.25">
      <c r="A711" t="s">
        <v>18</v>
      </c>
      <c r="B711" t="s">
        <v>2141</v>
      </c>
      <c r="C711" t="s">
        <v>2143</v>
      </c>
      <c r="D711" t="s">
        <v>20</v>
      </c>
      <c r="E711" t="s">
        <v>11</v>
      </c>
      <c r="F711">
        <v>2872.056</v>
      </c>
      <c r="G711">
        <v>18</v>
      </c>
      <c r="L711" t="s">
        <v>2144</v>
      </c>
      <c r="O711" t="s">
        <v>2145</v>
      </c>
    </row>
    <row r="712" spans="1:15" x14ac:dyDescent="0.25">
      <c r="A712" t="s">
        <v>18</v>
      </c>
      <c r="B712" t="s">
        <v>2144</v>
      </c>
      <c r="C712" t="s">
        <v>2146</v>
      </c>
      <c r="D712" t="s">
        <v>20</v>
      </c>
      <c r="E712" t="s">
        <v>11</v>
      </c>
      <c r="F712">
        <v>2872.056</v>
      </c>
      <c r="G712">
        <v>18</v>
      </c>
      <c r="L712" t="s">
        <v>2147</v>
      </c>
      <c r="O712" t="s">
        <v>2148</v>
      </c>
    </row>
    <row r="713" spans="1:15" x14ac:dyDescent="0.25">
      <c r="A713" t="s">
        <v>18</v>
      </c>
      <c r="B713" t="s">
        <v>2147</v>
      </c>
      <c r="C713" t="s">
        <v>2149</v>
      </c>
      <c r="D713" t="s">
        <v>20</v>
      </c>
      <c r="E713" t="s">
        <v>11</v>
      </c>
      <c r="F713">
        <v>4112.262</v>
      </c>
      <c r="G713">
        <v>18</v>
      </c>
      <c r="L713" t="s">
        <v>2150</v>
      </c>
      <c r="O713" t="s">
        <v>2151</v>
      </c>
    </row>
    <row r="714" spans="1:15" x14ac:dyDescent="0.25">
      <c r="A714" t="s">
        <v>18</v>
      </c>
      <c r="B714" t="s">
        <v>2150</v>
      </c>
      <c r="C714" t="s">
        <v>2152</v>
      </c>
      <c r="D714" t="s">
        <v>20</v>
      </c>
      <c r="E714" t="s">
        <v>11</v>
      </c>
      <c r="F714">
        <v>8093.976</v>
      </c>
      <c r="G714">
        <v>18</v>
      </c>
      <c r="L714" t="s">
        <v>2153</v>
      </c>
      <c r="O714" t="s">
        <v>2154</v>
      </c>
    </row>
    <row r="715" spans="1:15" x14ac:dyDescent="0.25">
      <c r="A715" t="s">
        <v>18</v>
      </c>
      <c r="B715" t="s">
        <v>2153</v>
      </c>
      <c r="C715" t="s">
        <v>2155</v>
      </c>
      <c r="D715" t="s">
        <v>20</v>
      </c>
      <c r="E715" t="s">
        <v>11</v>
      </c>
      <c r="F715">
        <v>456.918</v>
      </c>
      <c r="G715">
        <v>18</v>
      </c>
      <c r="L715" t="s">
        <v>2156</v>
      </c>
      <c r="O715" t="s">
        <v>2157</v>
      </c>
    </row>
    <row r="716" spans="1:15" x14ac:dyDescent="0.25">
      <c r="A716" t="s">
        <v>18</v>
      </c>
      <c r="B716" t="s">
        <v>2156</v>
      </c>
      <c r="C716" t="s">
        <v>2158</v>
      </c>
      <c r="D716" t="s">
        <v>20</v>
      </c>
      <c r="E716" t="s">
        <v>11</v>
      </c>
      <c r="F716">
        <v>195.82199999999997</v>
      </c>
      <c r="G716">
        <v>18</v>
      </c>
      <c r="L716" t="s">
        <v>2159</v>
      </c>
      <c r="O716" t="s">
        <v>2160</v>
      </c>
    </row>
    <row r="717" spans="1:15" x14ac:dyDescent="0.25">
      <c r="A717" t="s">
        <v>18</v>
      </c>
      <c r="B717" t="s">
        <v>2159</v>
      </c>
      <c r="C717" t="s">
        <v>2161</v>
      </c>
      <c r="D717" t="s">
        <v>20</v>
      </c>
      <c r="E717" t="s">
        <v>11</v>
      </c>
      <c r="F717">
        <v>848.5619999999999</v>
      </c>
      <c r="G717">
        <v>18</v>
      </c>
      <c r="L717" t="s">
        <v>2162</v>
      </c>
      <c r="O717" t="s">
        <v>2163</v>
      </c>
    </row>
    <row r="718" spans="1:15" x14ac:dyDescent="0.25">
      <c r="A718" t="s">
        <v>18</v>
      </c>
      <c r="B718" t="s">
        <v>2162</v>
      </c>
      <c r="C718" t="s">
        <v>2164</v>
      </c>
      <c r="D718" t="s">
        <v>20</v>
      </c>
      <c r="E718" t="s">
        <v>11</v>
      </c>
      <c r="F718">
        <v>45691.8</v>
      </c>
      <c r="G718">
        <v>18</v>
      </c>
      <c r="L718" t="s">
        <v>2165</v>
      </c>
      <c r="O718" t="s">
        <v>2166</v>
      </c>
    </row>
    <row r="719" spans="1:15" x14ac:dyDescent="0.25">
      <c r="A719" t="s">
        <v>18</v>
      </c>
      <c r="B719" t="s">
        <v>2165</v>
      </c>
      <c r="C719" t="s">
        <v>2167</v>
      </c>
      <c r="D719" t="s">
        <v>20</v>
      </c>
      <c r="E719" t="s">
        <v>11</v>
      </c>
      <c r="F719">
        <v>9791.1</v>
      </c>
      <c r="G719">
        <v>18</v>
      </c>
      <c r="L719" t="s">
        <v>2168</v>
      </c>
      <c r="O719" t="s">
        <v>2169</v>
      </c>
    </row>
    <row r="720" spans="1:15" x14ac:dyDescent="0.25">
      <c r="A720" t="s">
        <v>18</v>
      </c>
      <c r="B720" t="s">
        <v>2168</v>
      </c>
      <c r="C720" t="s">
        <v>2170</v>
      </c>
      <c r="D720" t="s">
        <v>20</v>
      </c>
      <c r="E720" t="s">
        <v>11</v>
      </c>
      <c r="F720">
        <v>15404.664</v>
      </c>
      <c r="G720">
        <v>18</v>
      </c>
      <c r="L720" t="s">
        <v>2171</v>
      </c>
      <c r="O720" t="s">
        <v>2172</v>
      </c>
    </row>
    <row r="721" spans="1:15" x14ac:dyDescent="0.25">
      <c r="A721" t="s">
        <v>18</v>
      </c>
      <c r="B721" t="s">
        <v>2171</v>
      </c>
      <c r="C721" t="s">
        <v>2173</v>
      </c>
      <c r="D721" t="s">
        <v>20</v>
      </c>
      <c r="E721" t="s">
        <v>11</v>
      </c>
      <c r="F721">
        <v>11422.95</v>
      </c>
      <c r="G721">
        <v>18</v>
      </c>
      <c r="L721" t="s">
        <v>2174</v>
      </c>
      <c r="O721" t="s">
        <v>2175</v>
      </c>
    </row>
    <row r="722" spans="1:15" x14ac:dyDescent="0.25">
      <c r="A722" t="s">
        <v>18</v>
      </c>
      <c r="B722" t="s">
        <v>2174</v>
      </c>
      <c r="C722" t="s">
        <v>2176</v>
      </c>
      <c r="D722" t="s">
        <v>20</v>
      </c>
      <c r="E722" t="s">
        <v>11</v>
      </c>
      <c r="F722">
        <v>6657.947999999999</v>
      </c>
      <c r="G722">
        <v>18</v>
      </c>
      <c r="L722" t="s">
        <v>2177</v>
      </c>
      <c r="O722" t="s">
        <v>2178</v>
      </c>
    </row>
    <row r="723" spans="1:15" x14ac:dyDescent="0.25">
      <c r="A723" t="s">
        <v>18</v>
      </c>
      <c r="B723" t="s">
        <v>2177</v>
      </c>
      <c r="C723" t="s">
        <v>2179</v>
      </c>
      <c r="D723" t="s">
        <v>20</v>
      </c>
      <c r="E723" t="s">
        <v>11</v>
      </c>
      <c r="F723">
        <v>6657.947999999999</v>
      </c>
      <c r="G723">
        <v>18</v>
      </c>
      <c r="L723" t="s">
        <v>2180</v>
      </c>
      <c r="O723" t="s">
        <v>2181</v>
      </c>
    </row>
    <row r="724" spans="1:15" x14ac:dyDescent="0.25">
      <c r="A724" t="s">
        <v>18</v>
      </c>
      <c r="B724" t="s">
        <v>2180</v>
      </c>
      <c r="C724" t="s">
        <v>2182</v>
      </c>
      <c r="D724" t="s">
        <v>20</v>
      </c>
      <c r="E724" t="s">
        <v>11</v>
      </c>
      <c r="F724">
        <v>783.2879999999999</v>
      </c>
      <c r="G724">
        <v>18</v>
      </c>
      <c r="L724" t="s">
        <v>2183</v>
      </c>
      <c r="O724" t="s">
        <v>2184</v>
      </c>
    </row>
    <row r="725" spans="1:15" x14ac:dyDescent="0.25">
      <c r="A725" t="s">
        <v>18</v>
      </c>
      <c r="B725" t="s">
        <v>2183</v>
      </c>
      <c r="C725" t="s">
        <v>2185</v>
      </c>
      <c r="D725" t="s">
        <v>20</v>
      </c>
      <c r="E725" t="s">
        <v>11</v>
      </c>
      <c r="F725">
        <v>12075.689999999999</v>
      </c>
      <c r="G725">
        <v>18</v>
      </c>
      <c r="L725" t="s">
        <v>2186</v>
      </c>
      <c r="O725" t="s">
        <v>2187</v>
      </c>
    </row>
    <row r="726" spans="1:15" x14ac:dyDescent="0.25">
      <c r="A726" t="s">
        <v>18</v>
      </c>
      <c r="B726" t="s">
        <v>2186</v>
      </c>
      <c r="C726" t="s">
        <v>2188</v>
      </c>
      <c r="D726" t="s">
        <v>20</v>
      </c>
      <c r="E726" t="s">
        <v>11</v>
      </c>
      <c r="F726">
        <v>7114.866</v>
      </c>
      <c r="G726">
        <v>18</v>
      </c>
      <c r="L726" t="s">
        <v>2189</v>
      </c>
      <c r="O726" t="s">
        <v>2190</v>
      </c>
    </row>
    <row r="727" spans="1:15" x14ac:dyDescent="0.25">
      <c r="A727" t="s">
        <v>18</v>
      </c>
      <c r="B727" t="s">
        <v>2189</v>
      </c>
      <c r="C727" t="s">
        <v>2191</v>
      </c>
      <c r="D727" t="s">
        <v>20</v>
      </c>
      <c r="E727" t="s">
        <v>11</v>
      </c>
      <c r="F727">
        <v>7114.866</v>
      </c>
      <c r="G727">
        <v>18</v>
      </c>
      <c r="L727" t="s">
        <v>2192</v>
      </c>
      <c r="O727" t="s">
        <v>2193</v>
      </c>
    </row>
    <row r="728" spans="1:15" x14ac:dyDescent="0.25">
      <c r="A728" t="s">
        <v>18</v>
      </c>
      <c r="B728" t="s">
        <v>2192</v>
      </c>
      <c r="C728" t="s">
        <v>2194</v>
      </c>
      <c r="D728" t="s">
        <v>20</v>
      </c>
      <c r="E728" t="s">
        <v>11</v>
      </c>
      <c r="F728">
        <v>17532.899999999998</v>
      </c>
      <c r="G728">
        <v>18</v>
      </c>
      <c r="L728" t="s">
        <v>2195</v>
      </c>
      <c r="O728" t="s">
        <v>2196</v>
      </c>
    </row>
    <row r="729" spans="1:15" x14ac:dyDescent="0.25">
      <c r="A729" t="s">
        <v>18</v>
      </c>
      <c r="B729" t="s">
        <v>2195</v>
      </c>
      <c r="C729" t="s">
        <v>2197</v>
      </c>
      <c r="D729" t="s">
        <v>20</v>
      </c>
      <c r="E729" t="s">
        <v>11</v>
      </c>
      <c r="F729">
        <v>391.64399999999995</v>
      </c>
      <c r="G729">
        <v>18</v>
      </c>
      <c r="L729" t="s">
        <v>2198</v>
      </c>
      <c r="O729" t="s">
        <v>2199</v>
      </c>
    </row>
    <row r="730" spans="1:15" x14ac:dyDescent="0.25">
      <c r="A730" t="s">
        <v>18</v>
      </c>
      <c r="B730" t="s">
        <v>2198</v>
      </c>
      <c r="C730" t="s">
        <v>2200</v>
      </c>
      <c r="D730" t="s">
        <v>20</v>
      </c>
      <c r="E730" t="s">
        <v>11</v>
      </c>
      <c r="F730">
        <v>12336.786</v>
      </c>
      <c r="G730">
        <v>18</v>
      </c>
      <c r="L730" t="s">
        <v>2201</v>
      </c>
      <c r="O730" t="s">
        <v>2202</v>
      </c>
    </row>
    <row r="731" spans="1:15" x14ac:dyDescent="0.25">
      <c r="A731" t="s">
        <v>18</v>
      </c>
      <c r="B731" t="s">
        <v>2201</v>
      </c>
      <c r="C731" t="s">
        <v>2203</v>
      </c>
      <c r="D731" t="s">
        <v>20</v>
      </c>
      <c r="E731" t="s">
        <v>11</v>
      </c>
      <c r="F731">
        <v>12336.786</v>
      </c>
      <c r="G731">
        <v>18</v>
      </c>
      <c r="L731" t="s">
        <v>2204</v>
      </c>
      <c r="O731" t="s">
        <v>2205</v>
      </c>
    </row>
    <row r="732" spans="1:15" x14ac:dyDescent="0.25">
      <c r="A732" t="s">
        <v>18</v>
      </c>
      <c r="B732" t="s">
        <v>2204</v>
      </c>
      <c r="C732" t="s">
        <v>2206</v>
      </c>
      <c r="D732" t="s">
        <v>20</v>
      </c>
      <c r="E732" t="s">
        <v>11</v>
      </c>
      <c r="F732">
        <v>12336.786</v>
      </c>
      <c r="G732">
        <v>18</v>
      </c>
      <c r="L732" t="s">
        <v>2207</v>
      </c>
      <c r="O732" t="s">
        <v>2208</v>
      </c>
    </row>
    <row r="733" spans="1:15" x14ac:dyDescent="0.25">
      <c r="A733" t="s">
        <v>18</v>
      </c>
      <c r="B733" t="s">
        <v>2207</v>
      </c>
      <c r="C733" t="s">
        <v>2209</v>
      </c>
      <c r="D733" t="s">
        <v>20</v>
      </c>
      <c r="E733" t="s">
        <v>11</v>
      </c>
      <c r="F733">
        <v>12336.786</v>
      </c>
      <c r="G733">
        <v>18</v>
      </c>
      <c r="L733" t="s">
        <v>2210</v>
      </c>
      <c r="O733" t="s">
        <v>2211</v>
      </c>
    </row>
    <row r="734" spans="1:15" x14ac:dyDescent="0.25">
      <c r="A734" t="s">
        <v>18</v>
      </c>
      <c r="B734" t="s">
        <v>2210</v>
      </c>
      <c r="C734" t="s">
        <v>2212</v>
      </c>
      <c r="D734" t="s">
        <v>20</v>
      </c>
      <c r="E734" t="s">
        <v>11</v>
      </c>
      <c r="F734">
        <v>391.64399999999995</v>
      </c>
      <c r="G734">
        <v>18</v>
      </c>
      <c r="L734" t="s">
        <v>2213</v>
      </c>
      <c r="O734" t="s">
        <v>2214</v>
      </c>
    </row>
    <row r="735" spans="1:15" x14ac:dyDescent="0.25">
      <c r="A735" t="s">
        <v>18</v>
      </c>
      <c r="B735" t="s">
        <v>2213</v>
      </c>
      <c r="C735" t="s">
        <v>2215</v>
      </c>
      <c r="D735" t="s">
        <v>20</v>
      </c>
      <c r="E735" t="s">
        <v>11</v>
      </c>
      <c r="F735">
        <v>456.918</v>
      </c>
      <c r="G735">
        <v>18</v>
      </c>
      <c r="L735" t="s">
        <v>2216</v>
      </c>
      <c r="O735" t="s">
        <v>2217</v>
      </c>
    </row>
    <row r="736" spans="1:15" x14ac:dyDescent="0.25">
      <c r="A736" t="s">
        <v>18</v>
      </c>
      <c r="B736" t="s">
        <v>2216</v>
      </c>
      <c r="C736" t="s">
        <v>2218</v>
      </c>
      <c r="D736" t="s">
        <v>20</v>
      </c>
      <c r="E736" t="s">
        <v>11</v>
      </c>
      <c r="F736">
        <v>12336.786</v>
      </c>
      <c r="G736">
        <v>18</v>
      </c>
      <c r="L736" t="s">
        <v>2219</v>
      </c>
      <c r="O736" t="s">
        <v>2220</v>
      </c>
    </row>
    <row r="737" spans="1:15" x14ac:dyDescent="0.25">
      <c r="A737" t="s">
        <v>18</v>
      </c>
      <c r="B737" t="s">
        <v>2219</v>
      </c>
      <c r="C737" t="s">
        <v>2209</v>
      </c>
      <c r="D737" t="s">
        <v>20</v>
      </c>
      <c r="E737" t="s">
        <v>11</v>
      </c>
      <c r="F737">
        <v>12336.786</v>
      </c>
      <c r="G737">
        <v>18</v>
      </c>
      <c r="L737" t="s">
        <v>2221</v>
      </c>
      <c r="O737" t="s">
        <v>2222</v>
      </c>
    </row>
    <row r="738" spans="1:15" x14ac:dyDescent="0.25">
      <c r="A738" t="s">
        <v>18</v>
      </c>
      <c r="B738" t="s">
        <v>2221</v>
      </c>
      <c r="C738" t="s">
        <v>2223</v>
      </c>
      <c r="D738" t="s">
        <v>20</v>
      </c>
      <c r="E738" t="s">
        <v>11</v>
      </c>
      <c r="F738">
        <v>12336.786</v>
      </c>
      <c r="G738">
        <v>18</v>
      </c>
      <c r="L738" t="s">
        <v>2224</v>
      </c>
      <c r="O738" t="s">
        <v>2225</v>
      </c>
    </row>
    <row r="739" spans="1:15" x14ac:dyDescent="0.25">
      <c r="A739" t="s">
        <v>18</v>
      </c>
      <c r="B739" t="s">
        <v>2224</v>
      </c>
      <c r="C739" t="s">
        <v>2226</v>
      </c>
      <c r="D739" t="s">
        <v>20</v>
      </c>
      <c r="E739" t="s">
        <v>11</v>
      </c>
      <c r="F739">
        <v>4895.55</v>
      </c>
      <c r="G739">
        <v>18</v>
      </c>
      <c r="L739" t="s">
        <v>2227</v>
      </c>
      <c r="O739" t="s">
        <v>2228</v>
      </c>
    </row>
    <row r="740" spans="1:15" x14ac:dyDescent="0.25">
      <c r="A740" t="s">
        <v>18</v>
      </c>
      <c r="B740" t="s">
        <v>2227</v>
      </c>
      <c r="C740" t="s">
        <v>2229</v>
      </c>
      <c r="D740" t="s">
        <v>20</v>
      </c>
      <c r="E740" t="s">
        <v>11</v>
      </c>
      <c r="F740">
        <v>3067.8779999999997</v>
      </c>
      <c r="G740">
        <v>18</v>
      </c>
      <c r="L740" t="s">
        <v>2230</v>
      </c>
      <c r="O740" t="s">
        <v>2231</v>
      </c>
    </row>
    <row r="741" spans="1:15" x14ac:dyDescent="0.25">
      <c r="A741" t="s">
        <v>18</v>
      </c>
      <c r="B741" t="s">
        <v>2230</v>
      </c>
      <c r="C741" t="s">
        <v>2232</v>
      </c>
      <c r="D741" t="s">
        <v>20</v>
      </c>
      <c r="E741" t="s">
        <v>11</v>
      </c>
      <c r="F741">
        <v>3981.714</v>
      </c>
      <c r="G741">
        <v>18</v>
      </c>
      <c r="L741" t="s">
        <v>2233</v>
      </c>
      <c r="O741" t="s">
        <v>2234</v>
      </c>
    </row>
    <row r="742" spans="1:15" x14ac:dyDescent="0.25">
      <c r="A742" t="s">
        <v>18</v>
      </c>
      <c r="B742" t="s">
        <v>2233</v>
      </c>
      <c r="C742" t="s">
        <v>2235</v>
      </c>
      <c r="D742" t="s">
        <v>20</v>
      </c>
      <c r="E742" t="s">
        <v>11</v>
      </c>
      <c r="F742">
        <v>21344.598</v>
      </c>
      <c r="G742">
        <v>18</v>
      </c>
      <c r="L742" t="s">
        <v>2236</v>
      </c>
      <c r="O742" t="s">
        <v>2237</v>
      </c>
    </row>
    <row r="743" spans="1:15" x14ac:dyDescent="0.25">
      <c r="A743" t="s">
        <v>18</v>
      </c>
      <c r="B743" t="s">
        <v>2236</v>
      </c>
      <c r="C743" t="s">
        <v>2238</v>
      </c>
      <c r="D743" t="s">
        <v>20</v>
      </c>
      <c r="E743" t="s">
        <v>11</v>
      </c>
      <c r="F743">
        <v>9268.908</v>
      </c>
      <c r="G743">
        <v>18</v>
      </c>
      <c r="L743" t="s">
        <v>2239</v>
      </c>
      <c r="O743" t="s">
        <v>2240</v>
      </c>
    </row>
    <row r="744" spans="1:15" x14ac:dyDescent="0.25">
      <c r="A744" t="s">
        <v>18</v>
      </c>
      <c r="B744" t="s">
        <v>2239</v>
      </c>
      <c r="C744" t="s">
        <v>2241</v>
      </c>
      <c r="D744" t="s">
        <v>20</v>
      </c>
      <c r="E744" t="s">
        <v>11</v>
      </c>
      <c r="F744">
        <v>6005.208</v>
      </c>
      <c r="G744">
        <v>18</v>
      </c>
      <c r="L744" t="s">
        <v>2242</v>
      </c>
      <c r="O744" t="s">
        <v>2243</v>
      </c>
    </row>
    <row r="745" spans="1:15" x14ac:dyDescent="0.25">
      <c r="A745" t="s">
        <v>18</v>
      </c>
      <c r="B745" t="s">
        <v>2242</v>
      </c>
      <c r="C745" t="s">
        <v>2244</v>
      </c>
      <c r="D745" t="s">
        <v>20</v>
      </c>
      <c r="E745" t="s">
        <v>11</v>
      </c>
      <c r="F745">
        <v>1109.658</v>
      </c>
      <c r="G745">
        <v>18</v>
      </c>
      <c r="L745" t="s">
        <v>2245</v>
      </c>
      <c r="O745" t="s">
        <v>2246</v>
      </c>
    </row>
    <row r="746" spans="1:15" x14ac:dyDescent="0.25">
      <c r="A746" t="s">
        <v>18</v>
      </c>
      <c r="B746" t="s">
        <v>2245</v>
      </c>
      <c r="C746" t="s">
        <v>2247</v>
      </c>
      <c r="D746" t="s">
        <v>20</v>
      </c>
      <c r="E746" t="s">
        <v>11</v>
      </c>
      <c r="F746">
        <v>4960.8240000000005</v>
      </c>
      <c r="G746">
        <v>18</v>
      </c>
      <c r="L746" t="s">
        <v>2248</v>
      </c>
      <c r="O746" t="s">
        <v>2249</v>
      </c>
    </row>
    <row r="747" spans="1:15" x14ac:dyDescent="0.25">
      <c r="A747" t="s">
        <v>18</v>
      </c>
      <c r="B747" t="s">
        <v>2248</v>
      </c>
      <c r="C747" t="s">
        <v>2250</v>
      </c>
      <c r="D747" t="s">
        <v>20</v>
      </c>
      <c r="E747" t="s">
        <v>11</v>
      </c>
      <c r="F747">
        <v>15992.13</v>
      </c>
      <c r="G747">
        <v>18</v>
      </c>
      <c r="L747" t="s">
        <v>2251</v>
      </c>
      <c r="O747" t="s">
        <v>2252</v>
      </c>
    </row>
    <row r="748" spans="1:15" x14ac:dyDescent="0.25">
      <c r="A748" t="s">
        <v>18</v>
      </c>
      <c r="B748" t="s">
        <v>2251</v>
      </c>
      <c r="C748" t="s">
        <v>2253</v>
      </c>
      <c r="D748" t="s">
        <v>20</v>
      </c>
      <c r="E748" t="s">
        <v>11</v>
      </c>
      <c r="F748">
        <v>15404.664</v>
      </c>
      <c r="G748">
        <v>18</v>
      </c>
      <c r="L748" t="s">
        <v>2254</v>
      </c>
      <c r="O748" t="s">
        <v>2255</v>
      </c>
    </row>
    <row r="749" spans="1:15" x14ac:dyDescent="0.25">
      <c r="A749" t="s">
        <v>18</v>
      </c>
      <c r="B749" t="s">
        <v>2254</v>
      </c>
      <c r="C749" t="s">
        <v>2256</v>
      </c>
      <c r="D749" t="s">
        <v>20</v>
      </c>
      <c r="E749" t="s">
        <v>11</v>
      </c>
      <c r="F749">
        <v>12075.689999999999</v>
      </c>
      <c r="G749">
        <v>18</v>
      </c>
      <c r="L749" t="s">
        <v>2257</v>
      </c>
      <c r="O749" t="s">
        <v>2258</v>
      </c>
    </row>
    <row r="750" spans="1:15" x14ac:dyDescent="0.25">
      <c r="A750" t="s">
        <v>18</v>
      </c>
      <c r="B750" t="s">
        <v>2257</v>
      </c>
      <c r="C750" t="s">
        <v>2259</v>
      </c>
      <c r="D750" t="s">
        <v>20</v>
      </c>
      <c r="E750" t="s">
        <v>11</v>
      </c>
      <c r="F750">
        <v>17167.061999999998</v>
      </c>
      <c r="G750">
        <v>18</v>
      </c>
      <c r="L750" t="s">
        <v>2260</v>
      </c>
      <c r="O750" t="s">
        <v>2261</v>
      </c>
    </row>
    <row r="751" spans="1:15" x14ac:dyDescent="0.25">
      <c r="A751" t="s">
        <v>18</v>
      </c>
      <c r="B751" t="s">
        <v>2260</v>
      </c>
      <c r="C751" t="s">
        <v>2262</v>
      </c>
      <c r="D751" t="s">
        <v>20</v>
      </c>
      <c r="E751" t="s">
        <v>11</v>
      </c>
      <c r="F751">
        <v>1305.48</v>
      </c>
      <c r="G751">
        <v>18</v>
      </c>
      <c r="L751" t="s">
        <v>2263</v>
      </c>
      <c r="O751" t="s">
        <v>2264</v>
      </c>
    </row>
    <row r="752" spans="1:15" x14ac:dyDescent="0.25">
      <c r="A752" t="s">
        <v>18</v>
      </c>
      <c r="B752" t="s">
        <v>2263</v>
      </c>
      <c r="C752" t="s">
        <v>2265</v>
      </c>
      <c r="D752" t="s">
        <v>20</v>
      </c>
      <c r="E752" t="s">
        <v>11</v>
      </c>
      <c r="F752">
        <v>587.4659999999999</v>
      </c>
      <c r="G752">
        <v>18</v>
      </c>
      <c r="L752" t="s">
        <v>2266</v>
      </c>
      <c r="O752" t="s">
        <v>2267</v>
      </c>
    </row>
    <row r="753" spans="1:15" x14ac:dyDescent="0.25">
      <c r="A753" t="s">
        <v>18</v>
      </c>
      <c r="B753" t="s">
        <v>2266</v>
      </c>
      <c r="C753" t="s">
        <v>2268</v>
      </c>
      <c r="D753" t="s">
        <v>20</v>
      </c>
      <c r="E753" t="s">
        <v>11</v>
      </c>
      <c r="F753">
        <v>5221.92</v>
      </c>
      <c r="G753">
        <v>18</v>
      </c>
      <c r="L753" t="s">
        <v>2269</v>
      </c>
      <c r="O753" t="s">
        <v>2270</v>
      </c>
    </row>
    <row r="754" spans="1:15" x14ac:dyDescent="0.25">
      <c r="A754" t="s">
        <v>18</v>
      </c>
      <c r="B754" t="s">
        <v>2269</v>
      </c>
      <c r="C754" t="s">
        <v>2271</v>
      </c>
      <c r="D754" t="s">
        <v>20</v>
      </c>
      <c r="E754" t="s">
        <v>11</v>
      </c>
      <c r="F754">
        <v>7049.592000000001</v>
      </c>
      <c r="G754">
        <v>18</v>
      </c>
      <c r="L754" t="s">
        <v>2272</v>
      </c>
      <c r="O754" t="s">
        <v>2273</v>
      </c>
    </row>
    <row r="755" spans="1:15" x14ac:dyDescent="0.25">
      <c r="A755" t="s">
        <v>18</v>
      </c>
      <c r="B755" t="s">
        <v>2272</v>
      </c>
      <c r="C755" t="s">
        <v>2274</v>
      </c>
      <c r="D755" t="s">
        <v>20</v>
      </c>
      <c r="E755" t="s">
        <v>11</v>
      </c>
      <c r="F755">
        <v>3067.8779999999997</v>
      </c>
      <c r="G755">
        <v>18</v>
      </c>
      <c r="L755" t="s">
        <v>2275</v>
      </c>
      <c r="O755" t="s">
        <v>2276</v>
      </c>
    </row>
    <row r="756" spans="1:15" x14ac:dyDescent="0.25">
      <c r="A756" t="s">
        <v>18</v>
      </c>
      <c r="B756" t="s">
        <v>2275</v>
      </c>
      <c r="C756" t="s">
        <v>2277</v>
      </c>
      <c r="D756" t="s">
        <v>20</v>
      </c>
      <c r="E756" t="s">
        <v>11</v>
      </c>
      <c r="F756">
        <v>4308.084</v>
      </c>
      <c r="G756">
        <v>18</v>
      </c>
      <c r="L756" t="s">
        <v>2278</v>
      </c>
      <c r="O756" t="s">
        <v>2279</v>
      </c>
    </row>
    <row r="757" spans="1:15" x14ac:dyDescent="0.25">
      <c r="A757" t="s">
        <v>18</v>
      </c>
      <c r="B757" t="s">
        <v>2278</v>
      </c>
      <c r="C757" t="s">
        <v>2280</v>
      </c>
      <c r="D757" t="s">
        <v>20</v>
      </c>
      <c r="E757" t="s">
        <v>11</v>
      </c>
      <c r="F757">
        <v>6005.208</v>
      </c>
      <c r="G757">
        <v>18</v>
      </c>
      <c r="L757" t="s">
        <v>2281</v>
      </c>
      <c r="O757" t="s">
        <v>2282</v>
      </c>
    </row>
    <row r="758" spans="1:15" x14ac:dyDescent="0.25">
      <c r="A758" t="s">
        <v>18</v>
      </c>
      <c r="B758" t="s">
        <v>2281</v>
      </c>
      <c r="C758" t="s">
        <v>2283</v>
      </c>
      <c r="D758" t="s">
        <v>20</v>
      </c>
      <c r="E758" t="s">
        <v>11</v>
      </c>
      <c r="F758">
        <v>6005.208</v>
      </c>
      <c r="G758">
        <v>18</v>
      </c>
      <c r="L758" t="s">
        <v>2284</v>
      </c>
      <c r="O758" t="s">
        <v>2285</v>
      </c>
    </row>
    <row r="759" spans="1:15" x14ac:dyDescent="0.25">
      <c r="A759" t="s">
        <v>18</v>
      </c>
      <c r="B759" t="s">
        <v>2284</v>
      </c>
      <c r="C759" t="s">
        <v>2286</v>
      </c>
      <c r="D759" t="s">
        <v>20</v>
      </c>
      <c r="E759" t="s">
        <v>11</v>
      </c>
      <c r="F759">
        <v>652.74</v>
      </c>
      <c r="G759">
        <v>18</v>
      </c>
      <c r="L759" t="s">
        <v>2287</v>
      </c>
      <c r="O759" t="s">
        <v>2288</v>
      </c>
    </row>
    <row r="760" spans="1:15" x14ac:dyDescent="0.25">
      <c r="A760" t="s">
        <v>18</v>
      </c>
      <c r="B760" t="s">
        <v>2287</v>
      </c>
      <c r="C760" t="s">
        <v>2289</v>
      </c>
      <c r="D760" t="s">
        <v>20</v>
      </c>
      <c r="E760" t="s">
        <v>11</v>
      </c>
      <c r="F760">
        <v>1044.384</v>
      </c>
      <c r="G760">
        <v>18</v>
      </c>
      <c r="L760" t="s">
        <v>2290</v>
      </c>
      <c r="O760" t="s">
        <v>2291</v>
      </c>
    </row>
    <row r="761" spans="1:15" x14ac:dyDescent="0.25">
      <c r="A761" t="s">
        <v>18</v>
      </c>
      <c r="B761" t="s">
        <v>2290</v>
      </c>
      <c r="C761" t="s">
        <v>2292</v>
      </c>
      <c r="D761" t="s">
        <v>20</v>
      </c>
      <c r="E761" t="s">
        <v>11</v>
      </c>
      <c r="F761">
        <v>652.74</v>
      </c>
      <c r="G761">
        <v>18</v>
      </c>
      <c r="L761" t="s">
        <v>2293</v>
      </c>
      <c r="O761" t="s">
        <v>2294</v>
      </c>
    </row>
    <row r="762" spans="1:15" x14ac:dyDescent="0.25">
      <c r="A762" t="s">
        <v>18</v>
      </c>
      <c r="B762" t="s">
        <v>2293</v>
      </c>
      <c r="C762" t="s">
        <v>2295</v>
      </c>
      <c r="D762" t="s">
        <v>20</v>
      </c>
      <c r="E762" t="s">
        <v>11</v>
      </c>
      <c r="F762">
        <v>3916.44</v>
      </c>
      <c r="G762">
        <v>18</v>
      </c>
      <c r="L762" t="s">
        <v>2296</v>
      </c>
      <c r="O762" t="s">
        <v>2297</v>
      </c>
    </row>
    <row r="763" spans="1:15" x14ac:dyDescent="0.25">
      <c r="A763" t="s">
        <v>18</v>
      </c>
      <c r="B763" t="s">
        <v>2296</v>
      </c>
      <c r="C763" t="s">
        <v>2298</v>
      </c>
      <c r="D763" t="s">
        <v>20</v>
      </c>
      <c r="E763" t="s">
        <v>11</v>
      </c>
      <c r="F763">
        <v>1044.384</v>
      </c>
      <c r="G763">
        <v>18</v>
      </c>
      <c r="L763" t="s">
        <v>2299</v>
      </c>
      <c r="O763" t="s">
        <v>2300</v>
      </c>
    </row>
    <row r="764" spans="1:15" x14ac:dyDescent="0.25">
      <c r="A764" t="s">
        <v>18</v>
      </c>
      <c r="B764" t="s">
        <v>2299</v>
      </c>
      <c r="C764" t="s">
        <v>2301</v>
      </c>
      <c r="D764" t="s">
        <v>20</v>
      </c>
      <c r="E764" t="s">
        <v>11</v>
      </c>
      <c r="F764">
        <v>1109.658</v>
      </c>
      <c r="G764">
        <v>18</v>
      </c>
      <c r="L764" t="s">
        <v>2302</v>
      </c>
      <c r="O764" t="s">
        <v>2303</v>
      </c>
    </row>
    <row r="765" spans="1:15" x14ac:dyDescent="0.25">
      <c r="A765" t="s">
        <v>18</v>
      </c>
      <c r="B765" t="s">
        <v>2302</v>
      </c>
      <c r="C765" t="s">
        <v>2304</v>
      </c>
      <c r="D765" t="s">
        <v>20</v>
      </c>
      <c r="E765" t="s">
        <v>11</v>
      </c>
      <c r="F765">
        <v>5939.933999999999</v>
      </c>
      <c r="G765">
        <v>18</v>
      </c>
      <c r="L765" t="s">
        <v>2305</v>
      </c>
      <c r="O765" t="s">
        <v>2306</v>
      </c>
    </row>
    <row r="766" spans="1:15" x14ac:dyDescent="0.25">
      <c r="A766" t="s">
        <v>18</v>
      </c>
      <c r="B766" t="s">
        <v>2305</v>
      </c>
      <c r="C766" t="s">
        <v>2307</v>
      </c>
      <c r="D766" t="s">
        <v>20</v>
      </c>
      <c r="E766" t="s">
        <v>11</v>
      </c>
      <c r="F766">
        <v>913.836</v>
      </c>
      <c r="G766">
        <v>18</v>
      </c>
      <c r="L766" t="s">
        <v>2308</v>
      </c>
      <c r="O766" t="s">
        <v>2309</v>
      </c>
    </row>
    <row r="767" spans="1:15" x14ac:dyDescent="0.25">
      <c r="A767" t="s">
        <v>18</v>
      </c>
      <c r="B767" t="s">
        <v>2308</v>
      </c>
      <c r="C767" t="s">
        <v>2310</v>
      </c>
      <c r="D767" t="s">
        <v>20</v>
      </c>
      <c r="E767" t="s">
        <v>11</v>
      </c>
      <c r="F767">
        <v>9921.648000000001</v>
      </c>
      <c r="G767">
        <v>18</v>
      </c>
      <c r="L767" t="s">
        <v>2311</v>
      </c>
      <c r="O767" t="s">
        <v>2312</v>
      </c>
    </row>
    <row r="768" spans="1:15" x14ac:dyDescent="0.25">
      <c r="A768" t="s">
        <v>18</v>
      </c>
      <c r="B768" t="s">
        <v>2311</v>
      </c>
      <c r="C768" t="s">
        <v>2313</v>
      </c>
      <c r="D768" t="s">
        <v>20</v>
      </c>
      <c r="E768" t="s">
        <v>11</v>
      </c>
      <c r="F768">
        <v>1697.1239999999998</v>
      </c>
      <c r="G768">
        <v>18</v>
      </c>
      <c r="L768" t="s">
        <v>2314</v>
      </c>
      <c r="O768" t="s">
        <v>2315</v>
      </c>
    </row>
    <row r="769" spans="1:15" x14ac:dyDescent="0.25">
      <c r="A769" t="s">
        <v>18</v>
      </c>
      <c r="B769" t="s">
        <v>2314</v>
      </c>
      <c r="C769" t="s">
        <v>2316</v>
      </c>
      <c r="D769" t="s">
        <v>20</v>
      </c>
      <c r="E769" t="s">
        <v>11</v>
      </c>
      <c r="F769">
        <v>5287.193999999999</v>
      </c>
      <c r="G769">
        <v>18</v>
      </c>
      <c r="L769" t="s">
        <v>2317</v>
      </c>
      <c r="O769" t="s">
        <v>2318</v>
      </c>
    </row>
    <row r="770" spans="1:15" x14ac:dyDescent="0.25">
      <c r="A770" t="s">
        <v>18</v>
      </c>
      <c r="B770" t="s">
        <v>2317</v>
      </c>
      <c r="C770" t="s">
        <v>2319</v>
      </c>
      <c r="D770" t="s">
        <v>20</v>
      </c>
      <c r="E770" t="s">
        <v>11</v>
      </c>
      <c r="F770">
        <v>5287.193999999999</v>
      </c>
      <c r="G770">
        <v>18</v>
      </c>
      <c r="L770" t="s">
        <v>2320</v>
      </c>
      <c r="O770" t="s">
        <v>2321</v>
      </c>
    </row>
    <row r="771" spans="1:15" x14ac:dyDescent="0.25">
      <c r="A771" t="s">
        <v>18</v>
      </c>
      <c r="B771" t="s">
        <v>2320</v>
      </c>
      <c r="C771" t="s">
        <v>2322</v>
      </c>
      <c r="D771" t="s">
        <v>20</v>
      </c>
      <c r="E771" t="s">
        <v>11</v>
      </c>
      <c r="F771">
        <v>5287.193999999999</v>
      </c>
      <c r="G771">
        <v>18</v>
      </c>
      <c r="L771" t="s">
        <v>2323</v>
      </c>
      <c r="O771" t="s">
        <v>2324</v>
      </c>
    </row>
    <row r="772" spans="1:15" x14ac:dyDescent="0.25">
      <c r="A772" t="s">
        <v>18</v>
      </c>
      <c r="B772" t="s">
        <v>2323</v>
      </c>
      <c r="C772" t="s">
        <v>2325</v>
      </c>
      <c r="D772" t="s">
        <v>20</v>
      </c>
      <c r="E772" t="s">
        <v>11</v>
      </c>
      <c r="F772">
        <v>1109.658</v>
      </c>
      <c r="G772">
        <v>18</v>
      </c>
      <c r="L772" t="s">
        <v>2326</v>
      </c>
      <c r="O772" t="s">
        <v>2327</v>
      </c>
    </row>
    <row r="773" spans="1:15" x14ac:dyDescent="0.25">
      <c r="A773" t="s">
        <v>18</v>
      </c>
      <c r="B773" t="s">
        <v>2326</v>
      </c>
      <c r="C773" t="s">
        <v>2328</v>
      </c>
      <c r="D773" t="s">
        <v>20</v>
      </c>
      <c r="E773" t="s">
        <v>11</v>
      </c>
      <c r="F773">
        <v>2872.056</v>
      </c>
      <c r="G773">
        <v>18</v>
      </c>
      <c r="L773" t="s">
        <v>2329</v>
      </c>
      <c r="O773" t="s">
        <v>2330</v>
      </c>
    </row>
    <row r="774" spans="1:15" x14ac:dyDescent="0.25">
      <c r="A774" t="s">
        <v>18</v>
      </c>
      <c r="B774" t="s">
        <v>2329</v>
      </c>
      <c r="C774" t="s">
        <v>2331</v>
      </c>
      <c r="D774" t="s">
        <v>20</v>
      </c>
      <c r="E774" t="s">
        <v>11</v>
      </c>
      <c r="F774">
        <v>1827.672</v>
      </c>
      <c r="G774">
        <v>18</v>
      </c>
      <c r="L774" t="s">
        <v>2332</v>
      </c>
      <c r="O774" t="s">
        <v>2333</v>
      </c>
    </row>
    <row r="775" spans="1:15" x14ac:dyDescent="0.25">
      <c r="A775" t="s">
        <v>18</v>
      </c>
      <c r="B775" t="s">
        <v>2332</v>
      </c>
      <c r="C775" t="s">
        <v>2334</v>
      </c>
      <c r="D775" t="s">
        <v>20</v>
      </c>
      <c r="E775" t="s">
        <v>11</v>
      </c>
      <c r="F775">
        <v>2154.042</v>
      </c>
      <c r="G775">
        <v>18</v>
      </c>
      <c r="L775" t="s">
        <v>2335</v>
      </c>
      <c r="O775" t="s">
        <v>2336</v>
      </c>
    </row>
    <row r="776" spans="1:15" x14ac:dyDescent="0.25">
      <c r="A776" t="s">
        <v>18</v>
      </c>
      <c r="B776" t="s">
        <v>2335</v>
      </c>
      <c r="C776" t="s">
        <v>2337</v>
      </c>
      <c r="D776" t="s">
        <v>20</v>
      </c>
      <c r="E776" t="s">
        <v>11</v>
      </c>
      <c r="F776">
        <v>4112.262</v>
      </c>
      <c r="G776">
        <v>18</v>
      </c>
      <c r="L776" t="s">
        <v>2338</v>
      </c>
      <c r="O776" t="s">
        <v>2339</v>
      </c>
    </row>
    <row r="777" spans="1:15" x14ac:dyDescent="0.25">
      <c r="A777" t="s">
        <v>18</v>
      </c>
      <c r="B777" t="s">
        <v>2338</v>
      </c>
      <c r="C777" t="s">
        <v>2340</v>
      </c>
      <c r="D777" t="s">
        <v>20</v>
      </c>
      <c r="E777" t="s">
        <v>11</v>
      </c>
      <c r="F777">
        <v>3981.714</v>
      </c>
      <c r="G777">
        <v>18</v>
      </c>
      <c r="L777" t="s">
        <v>2341</v>
      </c>
      <c r="O777" t="s">
        <v>2342</v>
      </c>
    </row>
    <row r="778" spans="1:15" x14ac:dyDescent="0.25">
      <c r="A778" t="s">
        <v>18</v>
      </c>
      <c r="B778" t="s">
        <v>2341</v>
      </c>
      <c r="C778" t="s">
        <v>2343</v>
      </c>
      <c r="D778" t="s">
        <v>20</v>
      </c>
      <c r="E778" t="s">
        <v>11</v>
      </c>
      <c r="F778">
        <v>130.548</v>
      </c>
      <c r="G778">
        <v>18</v>
      </c>
      <c r="L778" t="s">
        <v>2344</v>
      </c>
      <c r="O778" t="s">
        <v>2345</v>
      </c>
    </row>
    <row r="779" spans="1:15" x14ac:dyDescent="0.25">
      <c r="A779" t="s">
        <v>18</v>
      </c>
      <c r="B779" t="s">
        <v>2344</v>
      </c>
      <c r="C779" t="s">
        <v>2346</v>
      </c>
      <c r="D779" t="s">
        <v>20</v>
      </c>
      <c r="E779" t="s">
        <v>11</v>
      </c>
      <c r="F779">
        <v>9791.1</v>
      </c>
      <c r="G779">
        <v>18</v>
      </c>
      <c r="L779" t="s">
        <v>2347</v>
      </c>
      <c r="O779" t="s">
        <v>2348</v>
      </c>
    </row>
    <row r="780" spans="1:15" x14ac:dyDescent="0.25">
      <c r="A780" t="s">
        <v>18</v>
      </c>
      <c r="B780" t="s">
        <v>2347</v>
      </c>
      <c r="C780" t="s">
        <v>2349</v>
      </c>
      <c r="D780" t="s">
        <v>20</v>
      </c>
      <c r="E780" t="s">
        <v>11</v>
      </c>
      <c r="F780">
        <v>2023.494</v>
      </c>
      <c r="G780">
        <v>18</v>
      </c>
      <c r="L780" t="s">
        <v>2350</v>
      </c>
      <c r="O780" t="s">
        <v>2351</v>
      </c>
    </row>
    <row r="781" spans="1:15" x14ac:dyDescent="0.25">
      <c r="A781" t="s">
        <v>18</v>
      </c>
      <c r="B781" t="s">
        <v>2350</v>
      </c>
      <c r="C781" t="s">
        <v>2352</v>
      </c>
      <c r="D781" t="s">
        <v>20</v>
      </c>
      <c r="E781" t="s">
        <v>11</v>
      </c>
      <c r="F781">
        <v>587.4659999999999</v>
      </c>
      <c r="G781">
        <v>18</v>
      </c>
      <c r="L781" t="s">
        <v>2353</v>
      </c>
      <c r="O781" t="s">
        <v>2354</v>
      </c>
    </row>
    <row r="782" spans="1:15" x14ac:dyDescent="0.25">
      <c r="A782" t="s">
        <v>18</v>
      </c>
      <c r="B782" t="s">
        <v>2353</v>
      </c>
      <c r="C782" t="s">
        <v>2355</v>
      </c>
      <c r="D782" t="s">
        <v>20</v>
      </c>
      <c r="E782" t="s">
        <v>11</v>
      </c>
      <c r="F782">
        <v>6984.318</v>
      </c>
      <c r="G782">
        <v>18</v>
      </c>
      <c r="L782" t="s">
        <v>2356</v>
      </c>
      <c r="O782" t="s">
        <v>2357</v>
      </c>
    </row>
    <row r="783" spans="1:15" x14ac:dyDescent="0.25">
      <c r="A783" t="s">
        <v>18</v>
      </c>
      <c r="B783" t="s">
        <v>2356</v>
      </c>
      <c r="C783" t="s">
        <v>2358</v>
      </c>
      <c r="D783" t="s">
        <v>20</v>
      </c>
      <c r="E783" t="s">
        <v>11</v>
      </c>
      <c r="F783">
        <v>3133.1519999999996</v>
      </c>
      <c r="G783">
        <v>18</v>
      </c>
      <c r="L783" t="s">
        <v>2359</v>
      </c>
      <c r="O783" t="s">
        <v>2360</v>
      </c>
    </row>
    <row r="784" spans="1:15" x14ac:dyDescent="0.25">
      <c r="A784" t="s">
        <v>18</v>
      </c>
      <c r="B784" t="s">
        <v>2359</v>
      </c>
      <c r="C784" t="s">
        <v>2361</v>
      </c>
      <c r="D784" t="s">
        <v>20</v>
      </c>
      <c r="E784" t="s">
        <v>11</v>
      </c>
      <c r="F784">
        <v>5483.016</v>
      </c>
      <c r="G784">
        <v>18</v>
      </c>
      <c r="L784" t="s">
        <v>2362</v>
      </c>
      <c r="O784" t="s">
        <v>2363</v>
      </c>
    </row>
    <row r="785" spans="1:15" x14ac:dyDescent="0.25">
      <c r="A785" t="s">
        <v>18</v>
      </c>
      <c r="B785" t="s">
        <v>2362</v>
      </c>
      <c r="C785" t="s">
        <v>2364</v>
      </c>
      <c r="D785" t="s">
        <v>20</v>
      </c>
      <c r="E785" t="s">
        <v>11</v>
      </c>
      <c r="F785">
        <v>32506.452</v>
      </c>
      <c r="G785">
        <v>18</v>
      </c>
      <c r="L785" t="s">
        <v>2365</v>
      </c>
      <c r="O785" t="s">
        <v>2366</v>
      </c>
    </row>
    <row r="786" spans="1:15" x14ac:dyDescent="0.25">
      <c r="A786" t="s">
        <v>18</v>
      </c>
      <c r="B786" t="s">
        <v>2365</v>
      </c>
      <c r="C786" t="s">
        <v>2367</v>
      </c>
      <c r="D786" t="s">
        <v>20</v>
      </c>
      <c r="E786" t="s">
        <v>11</v>
      </c>
      <c r="F786">
        <v>4699.727999999999</v>
      </c>
      <c r="G786">
        <v>18</v>
      </c>
      <c r="L786" t="s">
        <v>2368</v>
      </c>
      <c r="O786" t="s">
        <v>2369</v>
      </c>
    </row>
    <row r="787" spans="1:15" x14ac:dyDescent="0.25">
      <c r="A787" t="s">
        <v>18</v>
      </c>
      <c r="B787" t="s">
        <v>2368</v>
      </c>
      <c r="C787" t="s">
        <v>2370</v>
      </c>
      <c r="D787" t="s">
        <v>20</v>
      </c>
      <c r="E787" t="s">
        <v>11</v>
      </c>
      <c r="F787">
        <v>5548.29</v>
      </c>
      <c r="G787">
        <v>18</v>
      </c>
      <c r="L787" t="s">
        <v>2371</v>
      </c>
      <c r="O787" t="s">
        <v>2372</v>
      </c>
    </row>
    <row r="788" spans="1:15" x14ac:dyDescent="0.25">
      <c r="A788" t="s">
        <v>18</v>
      </c>
      <c r="B788" t="s">
        <v>2371</v>
      </c>
      <c r="C788" t="s">
        <v>2373</v>
      </c>
      <c r="D788" t="s">
        <v>20</v>
      </c>
      <c r="E788" t="s">
        <v>11</v>
      </c>
      <c r="F788">
        <v>2741.508</v>
      </c>
      <c r="G788">
        <v>18</v>
      </c>
      <c r="L788" t="s">
        <v>2374</v>
      </c>
      <c r="O788" t="s">
        <v>2375</v>
      </c>
    </row>
    <row r="789" spans="1:15" x14ac:dyDescent="0.25">
      <c r="A789" t="s">
        <v>18</v>
      </c>
      <c r="B789" t="s">
        <v>2374</v>
      </c>
      <c r="C789" t="s">
        <v>2376</v>
      </c>
      <c r="D789" t="s">
        <v>20</v>
      </c>
      <c r="E789" t="s">
        <v>11</v>
      </c>
      <c r="F789">
        <v>391.64399999999995</v>
      </c>
      <c r="G789">
        <v>18</v>
      </c>
      <c r="L789" t="s">
        <v>2377</v>
      </c>
      <c r="O789" t="s">
        <v>2378</v>
      </c>
    </row>
    <row r="790" spans="1:15" x14ac:dyDescent="0.25">
      <c r="A790" t="s">
        <v>18</v>
      </c>
      <c r="B790" t="s">
        <v>2377</v>
      </c>
      <c r="C790" t="s">
        <v>2379</v>
      </c>
      <c r="D790" t="s">
        <v>20</v>
      </c>
      <c r="E790" t="s">
        <v>11</v>
      </c>
      <c r="F790">
        <v>2676.234</v>
      </c>
      <c r="G790">
        <v>18</v>
      </c>
      <c r="L790" t="s">
        <v>2380</v>
      </c>
      <c r="O790" t="s">
        <v>2381</v>
      </c>
    </row>
    <row r="791" spans="1:15" x14ac:dyDescent="0.25">
      <c r="A791" t="s">
        <v>18</v>
      </c>
      <c r="B791" t="s">
        <v>2380</v>
      </c>
      <c r="C791" t="s">
        <v>2382</v>
      </c>
      <c r="D791" t="s">
        <v>20</v>
      </c>
      <c r="E791" t="s">
        <v>11</v>
      </c>
      <c r="F791">
        <v>2676.234</v>
      </c>
      <c r="G791">
        <v>18</v>
      </c>
      <c r="L791" t="s">
        <v>2383</v>
      </c>
      <c r="O791" t="s">
        <v>2384</v>
      </c>
    </row>
    <row r="792" spans="1:15" x14ac:dyDescent="0.25">
      <c r="A792" t="s">
        <v>18</v>
      </c>
      <c r="B792" t="s">
        <v>2383</v>
      </c>
      <c r="C792" t="s">
        <v>2385</v>
      </c>
      <c r="D792" t="s">
        <v>20</v>
      </c>
      <c r="E792" t="s">
        <v>11</v>
      </c>
      <c r="F792">
        <v>65.274</v>
      </c>
      <c r="G792">
        <v>18</v>
      </c>
      <c r="L792" t="s">
        <v>2386</v>
      </c>
      <c r="O792" t="s">
        <v>2387</v>
      </c>
    </row>
    <row r="793" spans="1:15" x14ac:dyDescent="0.25">
      <c r="A793" t="s">
        <v>18</v>
      </c>
      <c r="B793" t="s">
        <v>2386</v>
      </c>
      <c r="C793" t="s">
        <v>2388</v>
      </c>
      <c r="D793" t="s">
        <v>20</v>
      </c>
      <c r="E793" t="s">
        <v>11</v>
      </c>
      <c r="F793">
        <v>65.274</v>
      </c>
      <c r="G793">
        <v>18</v>
      </c>
      <c r="L793" t="s">
        <v>2389</v>
      </c>
      <c r="O793" t="s">
        <v>2390</v>
      </c>
    </row>
    <row r="794" spans="1:15" x14ac:dyDescent="0.25">
      <c r="A794" t="s">
        <v>18</v>
      </c>
      <c r="B794" t="s">
        <v>2389</v>
      </c>
      <c r="C794" t="s">
        <v>2391</v>
      </c>
      <c r="D794" t="s">
        <v>20</v>
      </c>
      <c r="E794" t="s">
        <v>11</v>
      </c>
      <c r="F794">
        <v>65.274</v>
      </c>
      <c r="G794">
        <v>18</v>
      </c>
      <c r="L794" t="s">
        <v>2392</v>
      </c>
      <c r="O794" t="s">
        <v>2393</v>
      </c>
    </row>
    <row r="795" spans="1:15" x14ac:dyDescent="0.25">
      <c r="A795" t="s">
        <v>18</v>
      </c>
      <c r="B795" t="s">
        <v>2392</v>
      </c>
      <c r="C795" t="s">
        <v>2394</v>
      </c>
      <c r="D795" t="s">
        <v>20</v>
      </c>
      <c r="E795" t="s">
        <v>11</v>
      </c>
      <c r="F795">
        <v>65.274</v>
      </c>
      <c r="G795">
        <v>18</v>
      </c>
      <c r="L795" t="s">
        <v>2395</v>
      </c>
      <c r="O795" t="s">
        <v>2396</v>
      </c>
    </row>
    <row r="796" spans="1:15" x14ac:dyDescent="0.25">
      <c r="A796" t="s">
        <v>18</v>
      </c>
      <c r="B796" t="s">
        <v>2395</v>
      </c>
      <c r="C796" t="s">
        <v>2397</v>
      </c>
      <c r="D796" t="s">
        <v>20</v>
      </c>
      <c r="E796" t="s">
        <v>11</v>
      </c>
      <c r="F796">
        <v>65.274</v>
      </c>
      <c r="G796">
        <v>18</v>
      </c>
      <c r="L796" t="s">
        <v>2398</v>
      </c>
      <c r="O796" t="s">
        <v>2399</v>
      </c>
    </row>
    <row r="797" spans="1:15" x14ac:dyDescent="0.25">
      <c r="A797" t="s">
        <v>18</v>
      </c>
      <c r="B797" t="s">
        <v>2398</v>
      </c>
      <c r="C797" t="s">
        <v>2400</v>
      </c>
      <c r="D797" t="s">
        <v>20</v>
      </c>
      <c r="E797" t="s">
        <v>11</v>
      </c>
      <c r="F797">
        <v>65.274</v>
      </c>
      <c r="G797">
        <v>18</v>
      </c>
      <c r="L797" t="s">
        <v>2401</v>
      </c>
      <c r="O797" t="s">
        <v>2402</v>
      </c>
    </row>
    <row r="798" spans="1:15" x14ac:dyDescent="0.25">
      <c r="A798" t="s">
        <v>18</v>
      </c>
      <c r="B798" t="s">
        <v>2401</v>
      </c>
      <c r="C798" t="s">
        <v>2403</v>
      </c>
      <c r="D798" t="s">
        <v>20</v>
      </c>
      <c r="E798" t="s">
        <v>11</v>
      </c>
      <c r="F798">
        <v>65.274</v>
      </c>
      <c r="G798">
        <v>18</v>
      </c>
      <c r="L798" t="s">
        <v>2404</v>
      </c>
      <c r="O798" t="s">
        <v>2405</v>
      </c>
    </row>
    <row r="799" spans="1:15" x14ac:dyDescent="0.25">
      <c r="A799" t="s">
        <v>18</v>
      </c>
      <c r="B799" t="s">
        <v>2404</v>
      </c>
      <c r="C799" t="s">
        <v>2406</v>
      </c>
      <c r="D799" t="s">
        <v>20</v>
      </c>
      <c r="E799" t="s">
        <v>11</v>
      </c>
      <c r="F799">
        <v>456.918</v>
      </c>
      <c r="G799">
        <v>18</v>
      </c>
      <c r="L799" t="s">
        <v>2407</v>
      </c>
      <c r="O799" t="s">
        <v>2408</v>
      </c>
    </row>
    <row r="800" spans="1:15" x14ac:dyDescent="0.25">
      <c r="A800" t="s">
        <v>18</v>
      </c>
      <c r="B800" t="s">
        <v>2407</v>
      </c>
      <c r="C800" t="s">
        <v>2409</v>
      </c>
      <c r="D800" t="s">
        <v>20</v>
      </c>
      <c r="E800" t="s">
        <v>11</v>
      </c>
      <c r="F800">
        <v>261.096</v>
      </c>
      <c r="G800">
        <v>18</v>
      </c>
      <c r="L800" t="s">
        <v>2410</v>
      </c>
      <c r="O800" t="s">
        <v>2411</v>
      </c>
    </row>
    <row r="801" spans="1:15" x14ac:dyDescent="0.25">
      <c r="A801" t="s">
        <v>18</v>
      </c>
      <c r="B801" t="s">
        <v>2410</v>
      </c>
      <c r="C801" t="s">
        <v>2412</v>
      </c>
      <c r="D801" t="s">
        <v>20</v>
      </c>
      <c r="E801" t="s">
        <v>11</v>
      </c>
      <c r="F801">
        <v>195.82199999999997</v>
      </c>
      <c r="G801">
        <v>18</v>
      </c>
      <c r="L801" t="s">
        <v>2413</v>
      </c>
      <c r="O801" t="s">
        <v>2414</v>
      </c>
    </row>
    <row r="802" spans="1:15" x14ac:dyDescent="0.25">
      <c r="A802" t="s">
        <v>18</v>
      </c>
      <c r="B802" t="s">
        <v>2413</v>
      </c>
      <c r="C802" t="s">
        <v>2415</v>
      </c>
      <c r="D802" t="s">
        <v>20</v>
      </c>
      <c r="E802" t="s">
        <v>11</v>
      </c>
      <c r="F802">
        <v>195.82199999999997</v>
      </c>
      <c r="G802">
        <v>18</v>
      </c>
      <c r="L802" t="s">
        <v>2416</v>
      </c>
      <c r="O802" t="s">
        <v>2417</v>
      </c>
    </row>
    <row r="803" spans="1:15" x14ac:dyDescent="0.25">
      <c r="A803" t="s">
        <v>18</v>
      </c>
      <c r="B803" t="s">
        <v>2416</v>
      </c>
      <c r="C803" t="s">
        <v>2418</v>
      </c>
      <c r="D803" t="s">
        <v>20</v>
      </c>
      <c r="E803" t="s">
        <v>11</v>
      </c>
      <c r="F803">
        <v>195.82199999999997</v>
      </c>
      <c r="G803">
        <v>18</v>
      </c>
      <c r="L803" t="s">
        <v>2419</v>
      </c>
      <c r="O803" t="s">
        <v>2420</v>
      </c>
    </row>
    <row r="804" spans="1:15" x14ac:dyDescent="0.25">
      <c r="A804" t="s">
        <v>18</v>
      </c>
      <c r="B804" t="s">
        <v>2419</v>
      </c>
      <c r="C804" t="s">
        <v>2421</v>
      </c>
      <c r="D804" t="s">
        <v>20</v>
      </c>
      <c r="E804" t="s">
        <v>11</v>
      </c>
      <c r="F804">
        <v>326.37</v>
      </c>
      <c r="G804">
        <v>18</v>
      </c>
      <c r="L804" t="s">
        <v>2422</v>
      </c>
      <c r="O804" t="s">
        <v>2423</v>
      </c>
    </row>
    <row r="805" spans="1:15" x14ac:dyDescent="0.25">
      <c r="A805" t="s">
        <v>18</v>
      </c>
      <c r="B805" t="s">
        <v>2422</v>
      </c>
      <c r="C805" t="s">
        <v>2424</v>
      </c>
      <c r="D805" t="s">
        <v>20</v>
      </c>
      <c r="E805" t="s">
        <v>11</v>
      </c>
      <c r="F805">
        <v>65.274</v>
      </c>
      <c r="G805">
        <v>18</v>
      </c>
      <c r="L805" t="s">
        <v>2425</v>
      </c>
      <c r="O805" t="s">
        <v>2426</v>
      </c>
    </row>
    <row r="806" spans="1:15" x14ac:dyDescent="0.25">
      <c r="A806" t="s">
        <v>18</v>
      </c>
      <c r="B806" t="s">
        <v>2425</v>
      </c>
      <c r="C806" t="s">
        <v>2427</v>
      </c>
      <c r="D806" t="s">
        <v>20</v>
      </c>
      <c r="E806" t="s">
        <v>11</v>
      </c>
      <c r="F806">
        <v>65.274</v>
      </c>
      <c r="G806">
        <v>18</v>
      </c>
      <c r="L806" t="s">
        <v>2428</v>
      </c>
      <c r="O806" t="s">
        <v>2429</v>
      </c>
    </row>
    <row r="807" spans="1:15" x14ac:dyDescent="0.25">
      <c r="A807" t="s">
        <v>18</v>
      </c>
      <c r="B807" t="s">
        <v>2428</v>
      </c>
      <c r="C807" t="s">
        <v>2430</v>
      </c>
      <c r="D807" t="s">
        <v>20</v>
      </c>
      <c r="E807" t="s">
        <v>11</v>
      </c>
      <c r="F807">
        <v>195.82199999999997</v>
      </c>
      <c r="G807">
        <v>18</v>
      </c>
      <c r="L807" t="s">
        <v>2431</v>
      </c>
      <c r="O807" t="s">
        <v>2432</v>
      </c>
    </row>
    <row r="808" spans="1:15" x14ac:dyDescent="0.25">
      <c r="A808" t="s">
        <v>18</v>
      </c>
      <c r="B808" t="s">
        <v>2431</v>
      </c>
      <c r="C808" t="s">
        <v>2433</v>
      </c>
      <c r="D808" t="s">
        <v>20</v>
      </c>
      <c r="E808" t="s">
        <v>11</v>
      </c>
      <c r="F808">
        <v>718.014</v>
      </c>
      <c r="G808">
        <v>18</v>
      </c>
      <c r="L808" t="s">
        <v>2434</v>
      </c>
      <c r="O808" t="s">
        <v>2435</v>
      </c>
    </row>
    <row r="809" spans="1:15" x14ac:dyDescent="0.25">
      <c r="A809" t="s">
        <v>18</v>
      </c>
      <c r="B809" t="s">
        <v>2434</v>
      </c>
      <c r="C809" t="s">
        <v>2436</v>
      </c>
      <c r="D809" t="s">
        <v>20</v>
      </c>
      <c r="E809" t="s">
        <v>11</v>
      </c>
      <c r="F809">
        <v>783.2879999999999</v>
      </c>
      <c r="G809">
        <v>18</v>
      </c>
      <c r="L809" t="s">
        <v>2437</v>
      </c>
      <c r="O809" t="s">
        <v>2438</v>
      </c>
    </row>
    <row r="810" spans="1:15" x14ac:dyDescent="0.25">
      <c r="A810" t="s">
        <v>18</v>
      </c>
      <c r="B810" t="s">
        <v>2437</v>
      </c>
      <c r="C810" t="s">
        <v>2439</v>
      </c>
      <c r="D810" t="s">
        <v>20</v>
      </c>
      <c r="E810" t="s">
        <v>11</v>
      </c>
      <c r="F810">
        <v>652.74</v>
      </c>
      <c r="G810">
        <v>18</v>
      </c>
      <c r="L810" t="s">
        <v>2440</v>
      </c>
      <c r="O810" t="s">
        <v>2441</v>
      </c>
    </row>
    <row r="811" spans="1:15" x14ac:dyDescent="0.25">
      <c r="A811" t="s">
        <v>18</v>
      </c>
      <c r="B811" t="s">
        <v>2440</v>
      </c>
      <c r="C811" t="s">
        <v>2442</v>
      </c>
      <c r="D811" t="s">
        <v>20</v>
      </c>
      <c r="E811" t="s">
        <v>11</v>
      </c>
      <c r="F811">
        <v>652.74</v>
      </c>
      <c r="G811">
        <v>18</v>
      </c>
      <c r="L811" t="s">
        <v>2443</v>
      </c>
      <c r="O811" t="s">
        <v>2444</v>
      </c>
    </row>
    <row r="812" spans="1:15" x14ac:dyDescent="0.25">
      <c r="A812" t="s">
        <v>18</v>
      </c>
      <c r="B812" t="s">
        <v>2443</v>
      </c>
      <c r="C812" t="s">
        <v>2445</v>
      </c>
      <c r="D812" t="s">
        <v>20</v>
      </c>
      <c r="E812" t="s">
        <v>11</v>
      </c>
      <c r="F812">
        <v>4634.454</v>
      </c>
      <c r="G812">
        <v>18</v>
      </c>
      <c r="L812" t="s">
        <v>2446</v>
      </c>
      <c r="O812" t="s">
        <v>2447</v>
      </c>
    </row>
    <row r="813" spans="1:15" x14ac:dyDescent="0.25">
      <c r="A813" t="s">
        <v>18</v>
      </c>
      <c r="B813" t="s">
        <v>2446</v>
      </c>
      <c r="C813" t="s">
        <v>2448</v>
      </c>
      <c r="D813" t="s">
        <v>20</v>
      </c>
      <c r="E813" t="s">
        <v>11</v>
      </c>
      <c r="F813">
        <v>3916.44</v>
      </c>
      <c r="G813">
        <v>18</v>
      </c>
      <c r="L813" t="s">
        <v>2449</v>
      </c>
      <c r="O813" t="s">
        <v>2450</v>
      </c>
    </row>
    <row r="814" spans="1:15" x14ac:dyDescent="0.25">
      <c r="A814" t="s">
        <v>18</v>
      </c>
      <c r="B814" t="s">
        <v>2449</v>
      </c>
      <c r="C814" t="s">
        <v>2451</v>
      </c>
      <c r="D814" t="s">
        <v>20</v>
      </c>
      <c r="E814" t="s">
        <v>11</v>
      </c>
      <c r="F814">
        <v>2088.768</v>
      </c>
      <c r="G814">
        <v>18</v>
      </c>
      <c r="L814" t="s">
        <v>2452</v>
      </c>
      <c r="O814" t="s">
        <v>2453</v>
      </c>
    </row>
    <row r="815" spans="1:15" x14ac:dyDescent="0.25">
      <c r="A815" t="s">
        <v>18</v>
      </c>
      <c r="B815" t="s">
        <v>2452</v>
      </c>
      <c r="C815" t="s">
        <v>2454</v>
      </c>
      <c r="D815" t="s">
        <v>20</v>
      </c>
      <c r="E815" t="s">
        <v>11</v>
      </c>
      <c r="F815">
        <v>14295.006</v>
      </c>
      <c r="G815">
        <v>18</v>
      </c>
      <c r="L815" t="s">
        <v>2455</v>
      </c>
      <c r="O815" t="s">
        <v>2456</v>
      </c>
    </row>
    <row r="816" spans="1:15" x14ac:dyDescent="0.25">
      <c r="A816" t="s">
        <v>18</v>
      </c>
      <c r="B816" t="s">
        <v>2455</v>
      </c>
      <c r="C816" t="s">
        <v>2457</v>
      </c>
      <c r="D816" t="s">
        <v>20</v>
      </c>
      <c r="E816" t="s">
        <v>11</v>
      </c>
      <c r="F816">
        <v>24673.572</v>
      </c>
      <c r="G816">
        <v>18</v>
      </c>
      <c r="L816" t="s">
        <v>2458</v>
      </c>
      <c r="O816" t="s">
        <v>2459</v>
      </c>
    </row>
    <row r="817" spans="1:15" x14ac:dyDescent="0.25">
      <c r="A817" t="s">
        <v>18</v>
      </c>
      <c r="B817" t="s">
        <v>2458</v>
      </c>
      <c r="C817" t="s">
        <v>2460</v>
      </c>
      <c r="D817" t="s">
        <v>20</v>
      </c>
      <c r="E817" t="s">
        <v>11</v>
      </c>
      <c r="F817">
        <v>2219.316</v>
      </c>
      <c r="G817">
        <v>18</v>
      </c>
      <c r="L817" t="s">
        <v>2461</v>
      </c>
      <c r="O817" t="s">
        <v>2462</v>
      </c>
    </row>
    <row r="818" spans="1:15" x14ac:dyDescent="0.25">
      <c r="A818" t="s">
        <v>18</v>
      </c>
      <c r="B818" t="s">
        <v>2461</v>
      </c>
      <c r="C818" t="s">
        <v>2463</v>
      </c>
      <c r="D818" t="s">
        <v>20</v>
      </c>
      <c r="E818" t="s">
        <v>11</v>
      </c>
      <c r="F818">
        <v>5091.371999999999</v>
      </c>
      <c r="G818">
        <v>18</v>
      </c>
      <c r="L818" t="s">
        <v>2464</v>
      </c>
      <c r="O818" t="s">
        <v>2465</v>
      </c>
    </row>
    <row r="819" spans="1:15" x14ac:dyDescent="0.25">
      <c r="A819" t="s">
        <v>18</v>
      </c>
      <c r="B819" t="s">
        <v>2464</v>
      </c>
      <c r="C819" t="s">
        <v>2466</v>
      </c>
      <c r="D819" t="s">
        <v>20</v>
      </c>
      <c r="E819" t="s">
        <v>11</v>
      </c>
      <c r="F819">
        <v>587.4659999999999</v>
      </c>
      <c r="G819">
        <v>18</v>
      </c>
      <c r="L819" t="s">
        <v>2467</v>
      </c>
      <c r="O819" t="s">
        <v>2468</v>
      </c>
    </row>
    <row r="820" spans="1:15" x14ac:dyDescent="0.25">
      <c r="A820" t="s">
        <v>18</v>
      </c>
      <c r="B820" t="s">
        <v>2467</v>
      </c>
      <c r="C820" t="s">
        <v>2469</v>
      </c>
      <c r="D820" t="s">
        <v>20</v>
      </c>
      <c r="E820" t="s">
        <v>11</v>
      </c>
      <c r="F820">
        <v>5036.723999999999</v>
      </c>
      <c r="G820">
        <v>18</v>
      </c>
      <c r="L820" t="s">
        <v>2470</v>
      </c>
      <c r="O820" t="s">
        <v>2471</v>
      </c>
    </row>
    <row r="821" spans="1:15" x14ac:dyDescent="0.25">
      <c r="A821" t="s">
        <v>18</v>
      </c>
      <c r="B821" t="s">
        <v>2470</v>
      </c>
      <c r="C821" t="s">
        <v>2472</v>
      </c>
      <c r="D821" t="s">
        <v>20</v>
      </c>
      <c r="E821" t="s">
        <v>11</v>
      </c>
      <c r="F821">
        <v>391.64399999999995</v>
      </c>
      <c r="G821">
        <v>18</v>
      </c>
      <c r="L821" t="s">
        <v>2473</v>
      </c>
      <c r="O821" t="s">
        <v>2474</v>
      </c>
    </row>
    <row r="822" spans="1:15" x14ac:dyDescent="0.25">
      <c r="A822" t="s">
        <v>18</v>
      </c>
      <c r="B822" t="s">
        <v>2473</v>
      </c>
      <c r="C822" t="s">
        <v>2475</v>
      </c>
      <c r="D822" t="s">
        <v>20</v>
      </c>
      <c r="E822" t="s">
        <v>11</v>
      </c>
      <c r="F822">
        <v>4699.727999999999</v>
      </c>
      <c r="G822">
        <v>18</v>
      </c>
      <c r="L822" t="s">
        <v>2476</v>
      </c>
      <c r="O822" t="s">
        <v>2477</v>
      </c>
    </row>
    <row r="823" spans="1:15" x14ac:dyDescent="0.25">
      <c r="A823" t="s">
        <v>18</v>
      </c>
      <c r="B823" t="s">
        <v>2476</v>
      </c>
      <c r="C823" t="s">
        <v>2478</v>
      </c>
      <c r="D823" t="s">
        <v>20</v>
      </c>
      <c r="E823" t="s">
        <v>11</v>
      </c>
      <c r="F823">
        <v>2154.042</v>
      </c>
      <c r="G823">
        <v>18</v>
      </c>
      <c r="L823" t="s">
        <v>2479</v>
      </c>
      <c r="O823" t="s">
        <v>2480</v>
      </c>
    </row>
    <row r="824" spans="1:15" x14ac:dyDescent="0.25">
      <c r="A824" t="s">
        <v>18</v>
      </c>
      <c r="B824" t="s">
        <v>2479</v>
      </c>
      <c r="C824" t="s">
        <v>2481</v>
      </c>
      <c r="D824" t="s">
        <v>20</v>
      </c>
      <c r="E824" t="s">
        <v>11</v>
      </c>
      <c r="F824">
        <v>1044.384</v>
      </c>
      <c r="G824">
        <v>18</v>
      </c>
      <c r="L824" t="s">
        <v>2482</v>
      </c>
      <c r="O824" t="s">
        <v>2483</v>
      </c>
    </row>
    <row r="825" spans="1:15" x14ac:dyDescent="0.25">
      <c r="A825" t="s">
        <v>18</v>
      </c>
      <c r="B825" t="s">
        <v>2482</v>
      </c>
      <c r="C825" t="s">
        <v>2484</v>
      </c>
      <c r="D825" t="s">
        <v>20</v>
      </c>
      <c r="E825" t="s">
        <v>11</v>
      </c>
      <c r="F825">
        <v>1631.85</v>
      </c>
      <c r="G825">
        <v>18</v>
      </c>
      <c r="L825" t="s">
        <v>2485</v>
      </c>
      <c r="O825" t="s">
        <v>2486</v>
      </c>
    </row>
    <row r="826" spans="1:15" x14ac:dyDescent="0.25">
      <c r="A826" t="s">
        <v>18</v>
      </c>
      <c r="B826" t="s">
        <v>2485</v>
      </c>
      <c r="C826" t="s">
        <v>2487</v>
      </c>
      <c r="D826" t="s">
        <v>20</v>
      </c>
      <c r="E826" t="s">
        <v>11</v>
      </c>
      <c r="F826">
        <v>261.096</v>
      </c>
      <c r="G826">
        <v>18</v>
      </c>
      <c r="L826" t="s">
        <v>2488</v>
      </c>
      <c r="O826" t="s">
        <v>2489</v>
      </c>
    </row>
    <row r="827" spans="1:15" x14ac:dyDescent="0.25">
      <c r="A827" t="s">
        <v>18</v>
      </c>
      <c r="B827" t="s">
        <v>2488</v>
      </c>
      <c r="C827" t="s">
        <v>2490</v>
      </c>
      <c r="D827" t="s">
        <v>20</v>
      </c>
      <c r="E827" t="s">
        <v>11</v>
      </c>
      <c r="F827">
        <v>1044.384</v>
      </c>
      <c r="G827">
        <v>18</v>
      </c>
      <c r="L827" t="s">
        <v>2491</v>
      </c>
      <c r="O827" t="s">
        <v>2492</v>
      </c>
    </row>
    <row r="828" spans="1:15" x14ac:dyDescent="0.25">
      <c r="A828" t="s">
        <v>18</v>
      </c>
      <c r="B828" t="s">
        <v>2491</v>
      </c>
      <c r="C828" t="s">
        <v>2493</v>
      </c>
      <c r="D828" t="s">
        <v>20</v>
      </c>
      <c r="E828" t="s">
        <v>11</v>
      </c>
      <c r="F828">
        <v>391.64399999999995</v>
      </c>
      <c r="G828">
        <v>18</v>
      </c>
      <c r="L828" t="s">
        <v>2494</v>
      </c>
      <c r="O828" t="s">
        <v>2495</v>
      </c>
    </row>
    <row r="829" spans="1:15" x14ac:dyDescent="0.25">
      <c r="A829" t="s">
        <v>18</v>
      </c>
      <c r="B829" t="s">
        <v>2494</v>
      </c>
      <c r="C829" t="s">
        <v>2496</v>
      </c>
      <c r="D829" t="s">
        <v>20</v>
      </c>
      <c r="E829" t="s">
        <v>11</v>
      </c>
      <c r="F829">
        <v>587.4659999999999</v>
      </c>
      <c r="G829">
        <v>18</v>
      </c>
      <c r="L829" t="s">
        <v>2497</v>
      </c>
      <c r="O829" t="s">
        <v>2498</v>
      </c>
    </row>
    <row r="830" spans="1:15" x14ac:dyDescent="0.25">
      <c r="A830" t="s">
        <v>18</v>
      </c>
      <c r="B830" t="s">
        <v>2497</v>
      </c>
      <c r="C830" t="s">
        <v>2499</v>
      </c>
      <c r="D830" t="s">
        <v>20</v>
      </c>
      <c r="E830" t="s">
        <v>11</v>
      </c>
      <c r="F830">
        <v>1436.028</v>
      </c>
      <c r="G830">
        <v>18</v>
      </c>
      <c r="L830" t="s">
        <v>2500</v>
      </c>
      <c r="O830" t="s">
        <v>2501</v>
      </c>
    </row>
    <row r="831" spans="1:15" x14ac:dyDescent="0.25">
      <c r="A831" t="s">
        <v>18</v>
      </c>
      <c r="B831" t="s">
        <v>2500</v>
      </c>
      <c r="C831" t="s">
        <v>2502</v>
      </c>
      <c r="D831" t="s">
        <v>20</v>
      </c>
      <c r="E831" t="s">
        <v>11</v>
      </c>
      <c r="F831">
        <v>1631.85</v>
      </c>
      <c r="G831">
        <v>18</v>
      </c>
      <c r="L831" t="s">
        <v>2503</v>
      </c>
      <c r="O831" t="s">
        <v>2504</v>
      </c>
    </row>
    <row r="832" spans="1:15" x14ac:dyDescent="0.25">
      <c r="A832" t="s">
        <v>18</v>
      </c>
      <c r="B832" t="s">
        <v>2503</v>
      </c>
      <c r="C832" t="s">
        <v>2505</v>
      </c>
      <c r="D832" t="s">
        <v>20</v>
      </c>
      <c r="E832" t="s">
        <v>11</v>
      </c>
      <c r="F832">
        <v>261.096</v>
      </c>
      <c r="G832">
        <v>18</v>
      </c>
      <c r="L832" t="s">
        <v>2506</v>
      </c>
      <c r="O832" t="s">
        <v>2507</v>
      </c>
    </row>
    <row r="833" spans="1:15" x14ac:dyDescent="0.25">
      <c r="A833" t="s">
        <v>18</v>
      </c>
      <c r="B833" t="s">
        <v>2506</v>
      </c>
      <c r="C833" t="s">
        <v>2508</v>
      </c>
      <c r="D833" t="s">
        <v>20</v>
      </c>
      <c r="E833" t="s">
        <v>11</v>
      </c>
      <c r="F833">
        <v>13707.539999999999</v>
      </c>
      <c r="G833">
        <v>18</v>
      </c>
      <c r="L833" t="s">
        <v>2509</v>
      </c>
      <c r="O833" t="s">
        <v>2510</v>
      </c>
    </row>
    <row r="834" spans="1:15" x14ac:dyDescent="0.25">
      <c r="A834" t="s">
        <v>18</v>
      </c>
      <c r="B834" t="s">
        <v>2509</v>
      </c>
      <c r="C834" t="s">
        <v>2511</v>
      </c>
      <c r="D834" t="s">
        <v>20</v>
      </c>
      <c r="E834" t="s">
        <v>11</v>
      </c>
      <c r="F834">
        <v>7049.592000000001</v>
      </c>
      <c r="G834">
        <v>18</v>
      </c>
      <c r="L834" t="s">
        <v>2512</v>
      </c>
      <c r="O834" t="s">
        <v>2513</v>
      </c>
    </row>
    <row r="835" spans="1:15" x14ac:dyDescent="0.25">
      <c r="A835" t="s">
        <v>18</v>
      </c>
      <c r="B835" t="s">
        <v>2512</v>
      </c>
      <c r="C835" t="s">
        <v>2514</v>
      </c>
      <c r="D835" t="s">
        <v>20</v>
      </c>
      <c r="E835" t="s">
        <v>11</v>
      </c>
      <c r="F835">
        <v>6984.318</v>
      </c>
      <c r="G835">
        <v>18</v>
      </c>
      <c r="L835" t="s">
        <v>2515</v>
      </c>
      <c r="O835" t="s">
        <v>2516</v>
      </c>
    </row>
    <row r="836" spans="1:15" x14ac:dyDescent="0.25">
      <c r="A836" t="s">
        <v>18</v>
      </c>
      <c r="B836" t="s">
        <v>2515</v>
      </c>
      <c r="C836" t="s">
        <v>2517</v>
      </c>
      <c r="D836" t="s">
        <v>20</v>
      </c>
      <c r="E836" t="s">
        <v>11</v>
      </c>
      <c r="F836">
        <v>10443.84</v>
      </c>
      <c r="G836">
        <v>18</v>
      </c>
      <c r="L836" t="s">
        <v>2518</v>
      </c>
      <c r="O836" t="s">
        <v>2519</v>
      </c>
    </row>
    <row r="837" spans="1:15" x14ac:dyDescent="0.25">
      <c r="A837" t="s">
        <v>18</v>
      </c>
      <c r="B837" t="s">
        <v>2518</v>
      </c>
      <c r="C837" t="s">
        <v>2520</v>
      </c>
      <c r="D837" t="s">
        <v>20</v>
      </c>
      <c r="E837" t="s">
        <v>11</v>
      </c>
      <c r="F837">
        <v>7375.962</v>
      </c>
      <c r="G837">
        <v>18</v>
      </c>
      <c r="L837" t="s">
        <v>2521</v>
      </c>
      <c r="O837" t="s">
        <v>2522</v>
      </c>
    </row>
    <row r="838" spans="1:15" x14ac:dyDescent="0.25">
      <c r="A838" t="s">
        <v>18</v>
      </c>
      <c r="B838" t="s">
        <v>2521</v>
      </c>
      <c r="C838" t="s">
        <v>2523</v>
      </c>
      <c r="D838" t="s">
        <v>20</v>
      </c>
      <c r="E838" t="s">
        <v>11</v>
      </c>
      <c r="F838">
        <v>8681.442000000001</v>
      </c>
      <c r="G838">
        <v>18</v>
      </c>
      <c r="L838" t="s">
        <v>2524</v>
      </c>
      <c r="O838" t="s">
        <v>2525</v>
      </c>
    </row>
    <row r="839" spans="1:15" x14ac:dyDescent="0.25">
      <c r="A839" t="s">
        <v>18</v>
      </c>
      <c r="B839" t="s">
        <v>2524</v>
      </c>
      <c r="C839" t="s">
        <v>2526</v>
      </c>
      <c r="D839" t="s">
        <v>20</v>
      </c>
      <c r="E839" t="s">
        <v>11</v>
      </c>
      <c r="F839">
        <v>8681.442000000001</v>
      </c>
      <c r="G839">
        <v>18</v>
      </c>
      <c r="L839" t="s">
        <v>2527</v>
      </c>
      <c r="O839" t="s">
        <v>2528</v>
      </c>
    </row>
    <row r="840" spans="1:15" x14ac:dyDescent="0.25">
      <c r="A840" t="s">
        <v>18</v>
      </c>
      <c r="B840" t="s">
        <v>2527</v>
      </c>
      <c r="C840" t="s">
        <v>2529</v>
      </c>
      <c r="D840" t="s">
        <v>20</v>
      </c>
      <c r="E840" t="s">
        <v>11</v>
      </c>
      <c r="F840">
        <v>7375.962</v>
      </c>
      <c r="G840">
        <v>18</v>
      </c>
      <c r="L840" t="s">
        <v>2530</v>
      </c>
      <c r="O840" t="s">
        <v>2531</v>
      </c>
    </row>
    <row r="841" spans="1:15" x14ac:dyDescent="0.25">
      <c r="A841" t="s">
        <v>18</v>
      </c>
      <c r="B841" t="s">
        <v>2530</v>
      </c>
      <c r="C841" t="s">
        <v>2532</v>
      </c>
      <c r="D841" t="s">
        <v>20</v>
      </c>
      <c r="E841" t="s">
        <v>11</v>
      </c>
      <c r="F841">
        <v>7310.688</v>
      </c>
      <c r="G841">
        <v>18</v>
      </c>
      <c r="L841" t="s">
        <v>2533</v>
      </c>
      <c r="O841" t="s">
        <v>2534</v>
      </c>
    </row>
    <row r="842" spans="1:15" x14ac:dyDescent="0.25">
      <c r="A842" t="s">
        <v>18</v>
      </c>
      <c r="B842" t="s">
        <v>2533</v>
      </c>
      <c r="C842" t="s">
        <v>2535</v>
      </c>
      <c r="D842" t="s">
        <v>20</v>
      </c>
      <c r="E842" t="s">
        <v>11</v>
      </c>
      <c r="F842">
        <v>7441.235999999999</v>
      </c>
      <c r="G842">
        <v>18</v>
      </c>
      <c r="L842" t="s">
        <v>2536</v>
      </c>
      <c r="O842" t="s">
        <v>2537</v>
      </c>
    </row>
    <row r="843" spans="1:15" x14ac:dyDescent="0.25">
      <c r="A843" t="s">
        <v>18</v>
      </c>
      <c r="B843" t="s">
        <v>2536</v>
      </c>
      <c r="C843" t="s">
        <v>2538</v>
      </c>
      <c r="D843" t="s">
        <v>20</v>
      </c>
      <c r="E843" t="s">
        <v>11</v>
      </c>
      <c r="F843">
        <v>7898.1539999999995</v>
      </c>
      <c r="G843">
        <v>18</v>
      </c>
      <c r="L843" t="s">
        <v>2539</v>
      </c>
      <c r="O843" t="s">
        <v>2540</v>
      </c>
    </row>
    <row r="844" spans="1:15" x14ac:dyDescent="0.25">
      <c r="A844" t="s">
        <v>18</v>
      </c>
      <c r="B844" t="s">
        <v>2539</v>
      </c>
      <c r="C844" t="s">
        <v>2541</v>
      </c>
      <c r="D844" t="s">
        <v>20</v>
      </c>
      <c r="E844" t="s">
        <v>11</v>
      </c>
      <c r="F844">
        <v>11031.305999999999</v>
      </c>
      <c r="G844">
        <v>18</v>
      </c>
      <c r="L844" t="s">
        <v>2542</v>
      </c>
      <c r="O844" t="s">
        <v>2543</v>
      </c>
    </row>
    <row r="845" spans="1:15" x14ac:dyDescent="0.25">
      <c r="A845" t="s">
        <v>18</v>
      </c>
      <c r="B845" t="s">
        <v>2542</v>
      </c>
      <c r="C845" t="s">
        <v>2544</v>
      </c>
      <c r="D845" t="s">
        <v>20</v>
      </c>
      <c r="E845" t="s">
        <v>11</v>
      </c>
      <c r="F845">
        <v>5874.660000000001</v>
      </c>
      <c r="G845">
        <v>18</v>
      </c>
      <c r="L845" t="s">
        <v>2545</v>
      </c>
      <c r="O845" t="s">
        <v>2546</v>
      </c>
    </row>
    <row r="846" spans="1:15" x14ac:dyDescent="0.25">
      <c r="A846" t="s">
        <v>18</v>
      </c>
      <c r="B846" t="s">
        <v>2545</v>
      </c>
      <c r="C846" t="s">
        <v>2547</v>
      </c>
      <c r="D846" t="s">
        <v>20</v>
      </c>
      <c r="E846" t="s">
        <v>11</v>
      </c>
      <c r="F846">
        <v>6005.208</v>
      </c>
      <c r="G846">
        <v>18</v>
      </c>
      <c r="L846" t="s">
        <v>2548</v>
      </c>
      <c r="O846" t="s">
        <v>2549</v>
      </c>
    </row>
    <row r="847" spans="1:15" x14ac:dyDescent="0.25">
      <c r="A847" t="s">
        <v>18</v>
      </c>
      <c r="B847" t="s">
        <v>2548</v>
      </c>
      <c r="C847" t="s">
        <v>2550</v>
      </c>
      <c r="D847" t="s">
        <v>20</v>
      </c>
      <c r="E847" t="s">
        <v>11</v>
      </c>
      <c r="F847">
        <v>6657.947999999999</v>
      </c>
      <c r="G847">
        <v>18</v>
      </c>
      <c r="L847" t="s">
        <v>2551</v>
      </c>
      <c r="O847" t="s">
        <v>2552</v>
      </c>
    </row>
    <row r="848" spans="1:15" x14ac:dyDescent="0.25">
      <c r="A848" t="s">
        <v>18</v>
      </c>
      <c r="B848" t="s">
        <v>2551</v>
      </c>
      <c r="C848" t="s">
        <v>2553</v>
      </c>
      <c r="D848" t="s">
        <v>20</v>
      </c>
      <c r="E848" t="s">
        <v>11</v>
      </c>
      <c r="F848">
        <v>10392.228000000001</v>
      </c>
      <c r="G848">
        <v>18</v>
      </c>
      <c r="L848" t="s">
        <v>2554</v>
      </c>
      <c r="O848" t="s">
        <v>2555</v>
      </c>
    </row>
    <row r="849" spans="1:15" x14ac:dyDescent="0.25">
      <c r="A849" t="s">
        <v>18</v>
      </c>
      <c r="B849" t="s">
        <v>2554</v>
      </c>
      <c r="C849" t="s">
        <v>2556</v>
      </c>
      <c r="D849" t="s">
        <v>20</v>
      </c>
      <c r="E849" t="s">
        <v>11</v>
      </c>
      <c r="F849">
        <v>7375.962</v>
      </c>
      <c r="G849">
        <v>18</v>
      </c>
      <c r="L849" t="s">
        <v>2557</v>
      </c>
      <c r="O849" t="s">
        <v>2558</v>
      </c>
    </row>
    <row r="850" spans="1:15" x14ac:dyDescent="0.25">
      <c r="A850" t="s">
        <v>18</v>
      </c>
      <c r="B850" t="s">
        <v>2557</v>
      </c>
      <c r="C850" t="s">
        <v>2559</v>
      </c>
      <c r="D850" t="s">
        <v>20</v>
      </c>
      <c r="E850" t="s">
        <v>11</v>
      </c>
      <c r="F850">
        <v>3851.166</v>
      </c>
      <c r="G850">
        <v>18</v>
      </c>
      <c r="L850" t="s">
        <v>2560</v>
      </c>
      <c r="O850" t="s">
        <v>2561</v>
      </c>
    </row>
    <row r="851" spans="1:15" x14ac:dyDescent="0.25">
      <c r="A851" t="s">
        <v>18</v>
      </c>
      <c r="B851" t="s">
        <v>2560</v>
      </c>
      <c r="C851" t="s">
        <v>2562</v>
      </c>
      <c r="D851" t="s">
        <v>20</v>
      </c>
      <c r="E851" t="s">
        <v>11</v>
      </c>
      <c r="F851">
        <v>6527.4</v>
      </c>
      <c r="G851">
        <v>18</v>
      </c>
      <c r="L851" t="s">
        <v>2563</v>
      </c>
      <c r="O851" t="s">
        <v>2564</v>
      </c>
    </row>
    <row r="852" spans="1:15" x14ac:dyDescent="0.25">
      <c r="A852" t="s">
        <v>18</v>
      </c>
      <c r="B852" t="s">
        <v>2563</v>
      </c>
      <c r="C852" t="s">
        <v>2565</v>
      </c>
      <c r="D852" t="s">
        <v>20</v>
      </c>
      <c r="E852" t="s">
        <v>11</v>
      </c>
      <c r="F852">
        <v>4895.55</v>
      </c>
      <c r="G852">
        <v>18</v>
      </c>
      <c r="L852" t="s">
        <v>2566</v>
      </c>
      <c r="O852" t="s">
        <v>2567</v>
      </c>
    </row>
    <row r="853" spans="1:15" x14ac:dyDescent="0.25">
      <c r="A853" t="s">
        <v>18</v>
      </c>
      <c r="B853" t="s">
        <v>2566</v>
      </c>
      <c r="C853" t="s">
        <v>2568</v>
      </c>
      <c r="D853" t="s">
        <v>20</v>
      </c>
      <c r="E853" t="s">
        <v>11</v>
      </c>
      <c r="F853">
        <v>5613.563999999999</v>
      </c>
      <c r="G853">
        <v>18</v>
      </c>
      <c r="L853" t="s">
        <v>2569</v>
      </c>
      <c r="O853" t="s">
        <v>2570</v>
      </c>
    </row>
    <row r="854" spans="1:15" x14ac:dyDescent="0.25">
      <c r="A854" t="s">
        <v>18</v>
      </c>
      <c r="B854" t="s">
        <v>2569</v>
      </c>
      <c r="C854" t="s">
        <v>2571</v>
      </c>
      <c r="D854" t="s">
        <v>20</v>
      </c>
      <c r="E854" t="s">
        <v>11</v>
      </c>
      <c r="F854">
        <v>5287.193999999999</v>
      </c>
      <c r="G854">
        <v>18</v>
      </c>
      <c r="L854" t="s">
        <v>2572</v>
      </c>
      <c r="O854" t="s">
        <v>2573</v>
      </c>
    </row>
    <row r="855" spans="1:15" x14ac:dyDescent="0.25">
      <c r="A855" t="s">
        <v>18</v>
      </c>
      <c r="B855" t="s">
        <v>2572</v>
      </c>
      <c r="C855" t="s">
        <v>2574</v>
      </c>
      <c r="D855" t="s">
        <v>20</v>
      </c>
      <c r="E855" t="s">
        <v>11</v>
      </c>
      <c r="F855">
        <v>5287.193999999999</v>
      </c>
      <c r="G855">
        <v>18</v>
      </c>
      <c r="L855" t="s">
        <v>2575</v>
      </c>
      <c r="O855" t="s">
        <v>2576</v>
      </c>
    </row>
    <row r="856" spans="1:15" x14ac:dyDescent="0.25">
      <c r="A856" t="s">
        <v>18</v>
      </c>
      <c r="B856" t="s">
        <v>2575</v>
      </c>
      <c r="C856" t="s">
        <v>2577</v>
      </c>
      <c r="D856" t="s">
        <v>20</v>
      </c>
      <c r="E856" t="s">
        <v>11</v>
      </c>
      <c r="F856">
        <v>5610.528</v>
      </c>
      <c r="G856">
        <v>18</v>
      </c>
      <c r="L856" t="s">
        <v>2578</v>
      </c>
      <c r="O856" t="s">
        <v>2579</v>
      </c>
    </row>
    <row r="857" spans="1:15" x14ac:dyDescent="0.25">
      <c r="A857" t="s">
        <v>18</v>
      </c>
      <c r="B857" t="s">
        <v>2578</v>
      </c>
      <c r="C857" t="s">
        <v>2580</v>
      </c>
      <c r="D857" t="s">
        <v>20</v>
      </c>
      <c r="E857" t="s">
        <v>11</v>
      </c>
      <c r="F857">
        <v>6723.222000000001</v>
      </c>
      <c r="G857">
        <v>18</v>
      </c>
      <c r="L857" t="s">
        <v>2581</v>
      </c>
      <c r="O857" t="s">
        <v>2582</v>
      </c>
    </row>
    <row r="858" spans="1:15" x14ac:dyDescent="0.25">
      <c r="A858" t="s">
        <v>18</v>
      </c>
      <c r="B858" t="s">
        <v>2581</v>
      </c>
      <c r="C858" t="s">
        <v>2583</v>
      </c>
      <c r="D858" t="s">
        <v>20</v>
      </c>
      <c r="E858" t="s">
        <v>11</v>
      </c>
      <c r="F858">
        <v>5091.371999999999</v>
      </c>
      <c r="G858">
        <v>18</v>
      </c>
      <c r="L858" t="s">
        <v>2584</v>
      </c>
      <c r="O858" t="s">
        <v>2585</v>
      </c>
    </row>
    <row r="859" spans="1:15" x14ac:dyDescent="0.25">
      <c r="A859" t="s">
        <v>18</v>
      </c>
      <c r="B859" t="s">
        <v>2584</v>
      </c>
      <c r="C859" t="s">
        <v>2586</v>
      </c>
      <c r="D859" t="s">
        <v>20</v>
      </c>
      <c r="E859" t="s">
        <v>11</v>
      </c>
      <c r="F859">
        <v>7310.688</v>
      </c>
      <c r="G859">
        <v>18</v>
      </c>
      <c r="L859" t="s">
        <v>2587</v>
      </c>
      <c r="O859" t="s">
        <v>2588</v>
      </c>
    </row>
    <row r="860" spans="1:15" x14ac:dyDescent="0.25">
      <c r="A860" t="s">
        <v>18</v>
      </c>
      <c r="B860" t="s">
        <v>2587</v>
      </c>
      <c r="C860" t="s">
        <v>2547</v>
      </c>
      <c r="D860" t="s">
        <v>20</v>
      </c>
      <c r="E860" t="s">
        <v>11</v>
      </c>
      <c r="F860">
        <v>8224.524</v>
      </c>
      <c r="G860">
        <v>18</v>
      </c>
      <c r="L860" t="s">
        <v>2589</v>
      </c>
      <c r="O860" t="s">
        <v>2590</v>
      </c>
    </row>
    <row r="861" spans="1:15" x14ac:dyDescent="0.25">
      <c r="A861" t="s">
        <v>18</v>
      </c>
      <c r="B861" t="s">
        <v>2589</v>
      </c>
      <c r="C861" t="s">
        <v>2591</v>
      </c>
      <c r="D861" t="s">
        <v>20</v>
      </c>
      <c r="E861" t="s">
        <v>11</v>
      </c>
      <c r="F861">
        <v>3328.9739999999997</v>
      </c>
      <c r="G861">
        <v>18</v>
      </c>
      <c r="L861" t="s">
        <v>2592</v>
      </c>
      <c r="O861" t="s">
        <v>2593</v>
      </c>
    </row>
    <row r="862" spans="1:15" x14ac:dyDescent="0.25">
      <c r="A862" t="s">
        <v>18</v>
      </c>
      <c r="B862" t="s">
        <v>2592</v>
      </c>
      <c r="C862" t="s">
        <v>2550</v>
      </c>
      <c r="D862" t="s">
        <v>20</v>
      </c>
      <c r="E862" t="s">
        <v>11</v>
      </c>
      <c r="F862">
        <v>6657.947999999999</v>
      </c>
      <c r="G862">
        <v>18</v>
      </c>
      <c r="L862" t="s">
        <v>2594</v>
      </c>
      <c r="O862" t="s">
        <v>2595</v>
      </c>
    </row>
    <row r="863" spans="1:15" x14ac:dyDescent="0.25">
      <c r="A863" t="s">
        <v>18</v>
      </c>
      <c r="B863" t="s">
        <v>2594</v>
      </c>
      <c r="C863" t="s">
        <v>2596</v>
      </c>
      <c r="D863" t="s">
        <v>20</v>
      </c>
      <c r="E863" t="s">
        <v>11</v>
      </c>
      <c r="F863">
        <v>2610.96</v>
      </c>
      <c r="G863">
        <v>18</v>
      </c>
      <c r="L863" t="s">
        <v>2597</v>
      </c>
      <c r="O863" t="s">
        <v>2598</v>
      </c>
    </row>
    <row r="864" spans="1:15" x14ac:dyDescent="0.25">
      <c r="A864" t="s">
        <v>18</v>
      </c>
      <c r="B864" t="s">
        <v>2597</v>
      </c>
      <c r="C864" t="s">
        <v>2599</v>
      </c>
      <c r="D864" t="s">
        <v>20</v>
      </c>
      <c r="E864" t="s">
        <v>11</v>
      </c>
      <c r="F864">
        <v>6723.222000000001</v>
      </c>
      <c r="G864">
        <v>18</v>
      </c>
      <c r="L864" t="s">
        <v>2600</v>
      </c>
      <c r="O864" t="s">
        <v>2601</v>
      </c>
    </row>
    <row r="865" spans="1:15" x14ac:dyDescent="0.25">
      <c r="A865" t="s">
        <v>18</v>
      </c>
      <c r="B865" t="s">
        <v>2600</v>
      </c>
      <c r="C865" t="s">
        <v>2602</v>
      </c>
      <c r="D865" t="s">
        <v>20</v>
      </c>
      <c r="E865" t="s">
        <v>11</v>
      </c>
      <c r="F865">
        <v>2545.6859999999997</v>
      </c>
      <c r="G865">
        <v>18</v>
      </c>
      <c r="L865" t="s">
        <v>2603</v>
      </c>
      <c r="O865" t="s">
        <v>2604</v>
      </c>
    </row>
    <row r="866" spans="1:15" x14ac:dyDescent="0.25">
      <c r="A866" t="s">
        <v>18</v>
      </c>
      <c r="B866" t="s">
        <v>2603</v>
      </c>
      <c r="C866" t="s">
        <v>2605</v>
      </c>
      <c r="D866" t="s">
        <v>20</v>
      </c>
      <c r="E866" t="s">
        <v>11</v>
      </c>
      <c r="F866">
        <v>4503.906</v>
      </c>
      <c r="G866">
        <v>18</v>
      </c>
      <c r="L866" t="s">
        <v>2606</v>
      </c>
      <c r="O866" t="s">
        <v>2607</v>
      </c>
    </row>
    <row r="867" spans="1:15" x14ac:dyDescent="0.25">
      <c r="A867" t="s">
        <v>18</v>
      </c>
      <c r="B867" t="s">
        <v>2606</v>
      </c>
      <c r="C867" t="s">
        <v>2608</v>
      </c>
      <c r="D867" t="s">
        <v>20</v>
      </c>
      <c r="E867" t="s">
        <v>11</v>
      </c>
      <c r="F867">
        <v>4308.084</v>
      </c>
      <c r="G867">
        <v>18</v>
      </c>
      <c r="L867" t="s">
        <v>2609</v>
      </c>
      <c r="O867" t="s">
        <v>2610</v>
      </c>
    </row>
    <row r="868" spans="1:15" x14ac:dyDescent="0.25">
      <c r="A868" t="s">
        <v>18</v>
      </c>
      <c r="B868" t="s">
        <v>2609</v>
      </c>
      <c r="C868" t="s">
        <v>2611</v>
      </c>
      <c r="D868" t="s">
        <v>20</v>
      </c>
      <c r="E868" t="s">
        <v>11</v>
      </c>
      <c r="F868">
        <v>4960.8240000000005</v>
      </c>
      <c r="G868">
        <v>18</v>
      </c>
      <c r="L868" t="s">
        <v>2612</v>
      </c>
      <c r="O868" t="s">
        <v>2613</v>
      </c>
    </row>
    <row r="869" spans="1:15" x14ac:dyDescent="0.25">
      <c r="A869" t="s">
        <v>18</v>
      </c>
      <c r="B869" t="s">
        <v>2612</v>
      </c>
      <c r="C869" t="s">
        <v>2614</v>
      </c>
      <c r="D869" t="s">
        <v>20</v>
      </c>
      <c r="E869" t="s">
        <v>11</v>
      </c>
      <c r="F869">
        <v>1566.5759999999998</v>
      </c>
      <c r="G869">
        <v>18</v>
      </c>
      <c r="L869" t="s">
        <v>2615</v>
      </c>
      <c r="O869" t="s">
        <v>2616</v>
      </c>
    </row>
    <row r="870" spans="1:15" x14ac:dyDescent="0.25">
      <c r="A870" t="s">
        <v>18</v>
      </c>
      <c r="B870" t="s">
        <v>2615</v>
      </c>
      <c r="C870" t="s">
        <v>2617</v>
      </c>
      <c r="D870" t="s">
        <v>20</v>
      </c>
      <c r="E870" t="s">
        <v>11</v>
      </c>
      <c r="F870">
        <v>4112.262</v>
      </c>
      <c r="G870">
        <v>18</v>
      </c>
      <c r="L870" t="s">
        <v>2618</v>
      </c>
      <c r="O870" t="s">
        <v>2619</v>
      </c>
    </row>
    <row r="871" spans="1:15" x14ac:dyDescent="0.25">
      <c r="A871" t="s">
        <v>18</v>
      </c>
      <c r="B871" t="s">
        <v>2618</v>
      </c>
      <c r="C871" t="s">
        <v>2620</v>
      </c>
      <c r="D871" t="s">
        <v>20</v>
      </c>
      <c r="E871" t="s">
        <v>11</v>
      </c>
      <c r="F871">
        <v>2806.7819999999997</v>
      </c>
      <c r="G871">
        <v>18</v>
      </c>
      <c r="L871" t="s">
        <v>2621</v>
      </c>
      <c r="O871" t="s">
        <v>2622</v>
      </c>
    </row>
    <row r="872" spans="1:15" x14ac:dyDescent="0.25">
      <c r="A872" t="s">
        <v>18</v>
      </c>
      <c r="B872" t="s">
        <v>2621</v>
      </c>
      <c r="C872" t="s">
        <v>2623</v>
      </c>
      <c r="D872" t="s">
        <v>20</v>
      </c>
      <c r="E872" t="s">
        <v>11</v>
      </c>
      <c r="F872">
        <v>1305.48</v>
      </c>
      <c r="G872">
        <v>18</v>
      </c>
      <c r="L872" t="s">
        <v>2624</v>
      </c>
      <c r="O872" t="s">
        <v>2625</v>
      </c>
    </row>
    <row r="873" spans="1:15" x14ac:dyDescent="0.25">
      <c r="A873" t="s">
        <v>18</v>
      </c>
      <c r="B873" t="s">
        <v>2624</v>
      </c>
      <c r="C873" t="s">
        <v>2626</v>
      </c>
      <c r="D873" t="s">
        <v>20</v>
      </c>
      <c r="E873" t="s">
        <v>11</v>
      </c>
      <c r="F873">
        <v>2023.494</v>
      </c>
      <c r="G873">
        <v>18</v>
      </c>
      <c r="L873" t="s">
        <v>2627</v>
      </c>
      <c r="O873" t="s">
        <v>2628</v>
      </c>
    </row>
    <row r="874" spans="1:15" x14ac:dyDescent="0.25">
      <c r="A874" t="s">
        <v>18</v>
      </c>
      <c r="B874" t="s">
        <v>2627</v>
      </c>
      <c r="C874" t="s">
        <v>2629</v>
      </c>
      <c r="D874" t="s">
        <v>20</v>
      </c>
      <c r="E874" t="s">
        <v>11</v>
      </c>
      <c r="F874">
        <v>2937.3300000000004</v>
      </c>
      <c r="G874">
        <v>18</v>
      </c>
      <c r="L874" t="s">
        <v>2630</v>
      </c>
      <c r="O874" t="s">
        <v>2631</v>
      </c>
    </row>
    <row r="875" spans="1:15" x14ac:dyDescent="0.25">
      <c r="A875" t="s">
        <v>18</v>
      </c>
      <c r="B875" t="s">
        <v>2630</v>
      </c>
      <c r="C875" t="s">
        <v>2632</v>
      </c>
      <c r="D875" t="s">
        <v>20</v>
      </c>
      <c r="E875" t="s">
        <v>11</v>
      </c>
      <c r="F875">
        <v>195.82199999999997</v>
      </c>
      <c r="G875">
        <v>18</v>
      </c>
      <c r="L875" t="s">
        <v>2633</v>
      </c>
      <c r="O875" t="s">
        <v>2634</v>
      </c>
    </row>
    <row r="876" spans="1:15" x14ac:dyDescent="0.25">
      <c r="A876" t="s">
        <v>18</v>
      </c>
      <c r="B876" t="s">
        <v>2633</v>
      </c>
      <c r="C876" t="s">
        <v>2635</v>
      </c>
      <c r="D876" t="s">
        <v>20</v>
      </c>
      <c r="E876" t="s">
        <v>11</v>
      </c>
      <c r="F876">
        <v>2154.042</v>
      </c>
      <c r="G876">
        <v>18</v>
      </c>
      <c r="L876" t="s">
        <v>2636</v>
      </c>
      <c r="O876" t="s">
        <v>2637</v>
      </c>
    </row>
    <row r="877" spans="1:15" x14ac:dyDescent="0.25">
      <c r="A877" t="s">
        <v>18</v>
      </c>
      <c r="B877" t="s">
        <v>2636</v>
      </c>
      <c r="C877" t="s">
        <v>2638</v>
      </c>
      <c r="D877" t="s">
        <v>20</v>
      </c>
      <c r="E877" t="s">
        <v>11</v>
      </c>
      <c r="F877">
        <v>522.192</v>
      </c>
      <c r="G877">
        <v>18</v>
      </c>
      <c r="L877" t="s">
        <v>2639</v>
      </c>
      <c r="O877" t="s">
        <v>2640</v>
      </c>
    </row>
    <row r="878" spans="1:15" x14ac:dyDescent="0.25">
      <c r="A878" t="s">
        <v>18</v>
      </c>
      <c r="B878" t="s">
        <v>2639</v>
      </c>
      <c r="C878" t="s">
        <v>2641</v>
      </c>
      <c r="D878" t="s">
        <v>20</v>
      </c>
      <c r="E878" t="s">
        <v>11</v>
      </c>
      <c r="F878">
        <v>4503.906</v>
      </c>
      <c r="G878">
        <v>18</v>
      </c>
      <c r="L878" t="s">
        <v>2642</v>
      </c>
      <c r="O878" t="s">
        <v>2643</v>
      </c>
    </row>
    <row r="879" spans="1:15" x14ac:dyDescent="0.25">
      <c r="A879" t="s">
        <v>18</v>
      </c>
      <c r="B879" t="s">
        <v>2642</v>
      </c>
      <c r="C879" t="s">
        <v>2644</v>
      </c>
      <c r="D879" t="s">
        <v>20</v>
      </c>
      <c r="E879" t="s">
        <v>11</v>
      </c>
      <c r="F879">
        <v>3720.6179999999995</v>
      </c>
      <c r="G879">
        <v>18</v>
      </c>
      <c r="L879" t="s">
        <v>2645</v>
      </c>
      <c r="O879" t="s">
        <v>2646</v>
      </c>
    </row>
    <row r="880" spans="1:15" x14ac:dyDescent="0.25">
      <c r="A880" t="s">
        <v>18</v>
      </c>
      <c r="B880" t="s">
        <v>2645</v>
      </c>
      <c r="C880" t="s">
        <v>2647</v>
      </c>
      <c r="D880" t="s">
        <v>20</v>
      </c>
      <c r="E880" t="s">
        <v>11</v>
      </c>
      <c r="F880">
        <v>1044.384</v>
      </c>
      <c r="G880">
        <v>18</v>
      </c>
      <c r="L880" t="s">
        <v>2648</v>
      </c>
      <c r="O880" t="s">
        <v>2649</v>
      </c>
    </row>
    <row r="881" spans="1:15" x14ac:dyDescent="0.25">
      <c r="A881" t="s">
        <v>18</v>
      </c>
      <c r="B881" t="s">
        <v>2648</v>
      </c>
      <c r="C881" t="s">
        <v>2650</v>
      </c>
      <c r="D881" t="s">
        <v>20</v>
      </c>
      <c r="E881" t="s">
        <v>11</v>
      </c>
      <c r="F881">
        <v>1892.946</v>
      </c>
      <c r="G881">
        <v>18</v>
      </c>
      <c r="L881" t="s">
        <v>2651</v>
      </c>
      <c r="O881" t="s">
        <v>2652</v>
      </c>
    </row>
    <row r="882" spans="1:15" x14ac:dyDescent="0.25">
      <c r="A882" t="s">
        <v>18</v>
      </c>
      <c r="B882" t="s">
        <v>2651</v>
      </c>
      <c r="C882" t="s">
        <v>2653</v>
      </c>
      <c r="D882" t="s">
        <v>20</v>
      </c>
      <c r="E882" t="s">
        <v>11</v>
      </c>
      <c r="F882">
        <v>261.096</v>
      </c>
      <c r="G882">
        <v>18</v>
      </c>
      <c r="L882" t="s">
        <v>2654</v>
      </c>
      <c r="O882" t="s">
        <v>2655</v>
      </c>
    </row>
    <row r="883" spans="1:15" x14ac:dyDescent="0.25">
      <c r="A883" t="s">
        <v>18</v>
      </c>
      <c r="B883" t="s">
        <v>2654</v>
      </c>
      <c r="C883" t="s">
        <v>2656</v>
      </c>
      <c r="D883" t="s">
        <v>20</v>
      </c>
      <c r="E883" t="s">
        <v>11</v>
      </c>
      <c r="F883">
        <v>2219.316</v>
      </c>
      <c r="G883">
        <v>18</v>
      </c>
      <c r="L883" t="s">
        <v>2657</v>
      </c>
      <c r="O883" t="s">
        <v>2658</v>
      </c>
    </row>
    <row r="884" spans="1:15" x14ac:dyDescent="0.25">
      <c r="A884" t="s">
        <v>18</v>
      </c>
      <c r="B884" t="s">
        <v>2657</v>
      </c>
      <c r="C884" t="s">
        <v>2659</v>
      </c>
      <c r="D884" t="s">
        <v>20</v>
      </c>
      <c r="E884" t="s">
        <v>11</v>
      </c>
      <c r="F884">
        <v>2088.768</v>
      </c>
      <c r="G884">
        <v>18</v>
      </c>
      <c r="L884" t="s">
        <v>2660</v>
      </c>
      <c r="O884" t="s">
        <v>2661</v>
      </c>
    </row>
    <row r="885" spans="1:15" x14ac:dyDescent="0.25">
      <c r="A885" t="s">
        <v>18</v>
      </c>
      <c r="B885" t="s">
        <v>2660</v>
      </c>
      <c r="C885" t="s">
        <v>2662</v>
      </c>
      <c r="D885" t="s">
        <v>20</v>
      </c>
      <c r="E885" t="s">
        <v>11</v>
      </c>
      <c r="F885">
        <v>7245.414</v>
      </c>
      <c r="G885">
        <v>18</v>
      </c>
      <c r="L885" t="s">
        <v>2663</v>
      </c>
      <c r="O885" t="s">
        <v>2664</v>
      </c>
    </row>
    <row r="886" spans="1:15" x14ac:dyDescent="0.25">
      <c r="A886" t="s">
        <v>18</v>
      </c>
      <c r="B886" t="s">
        <v>2663</v>
      </c>
      <c r="C886" t="s">
        <v>2665</v>
      </c>
      <c r="D886" t="s">
        <v>20</v>
      </c>
      <c r="E886" t="s">
        <v>11</v>
      </c>
      <c r="F886">
        <v>261.096</v>
      </c>
      <c r="G886">
        <v>18</v>
      </c>
      <c r="L886" t="s">
        <v>2666</v>
      </c>
      <c r="O886" t="s">
        <v>2667</v>
      </c>
    </row>
    <row r="887" spans="1:15" x14ac:dyDescent="0.25">
      <c r="A887" t="s">
        <v>18</v>
      </c>
      <c r="B887" t="s">
        <v>2666</v>
      </c>
      <c r="C887" t="s">
        <v>2668</v>
      </c>
      <c r="D887" t="s">
        <v>20</v>
      </c>
      <c r="E887" t="s">
        <v>11</v>
      </c>
      <c r="F887">
        <v>7204.428</v>
      </c>
      <c r="G887">
        <v>18</v>
      </c>
      <c r="L887" t="s">
        <v>2669</v>
      </c>
      <c r="O887" t="s">
        <v>2670</v>
      </c>
    </row>
    <row r="888" spans="1:15" x14ac:dyDescent="0.25">
      <c r="A888" t="s">
        <v>18</v>
      </c>
      <c r="B888" t="s">
        <v>2669</v>
      </c>
      <c r="C888" t="s">
        <v>2671</v>
      </c>
      <c r="D888" t="s">
        <v>20</v>
      </c>
      <c r="E888" t="s">
        <v>11</v>
      </c>
      <c r="F888">
        <v>3851.166</v>
      </c>
      <c r="G888">
        <v>18</v>
      </c>
      <c r="L888" t="s">
        <v>2672</v>
      </c>
      <c r="O888" t="s">
        <v>2673</v>
      </c>
    </row>
    <row r="889" spans="1:15" x14ac:dyDescent="0.25">
      <c r="A889" t="s">
        <v>18</v>
      </c>
      <c r="B889" t="s">
        <v>2672</v>
      </c>
      <c r="C889" t="s">
        <v>2674</v>
      </c>
      <c r="D889" t="s">
        <v>20</v>
      </c>
      <c r="E889" t="s">
        <v>11</v>
      </c>
      <c r="F889">
        <v>2415.138</v>
      </c>
      <c r="G889">
        <v>18</v>
      </c>
      <c r="L889" t="s">
        <v>2675</v>
      </c>
      <c r="O889" t="s">
        <v>2676</v>
      </c>
    </row>
    <row r="890" spans="1:15" x14ac:dyDescent="0.25">
      <c r="A890" t="s">
        <v>18</v>
      </c>
      <c r="B890" t="s">
        <v>2675</v>
      </c>
      <c r="C890" t="s">
        <v>2677</v>
      </c>
      <c r="D890" t="s">
        <v>20</v>
      </c>
      <c r="E890" t="s">
        <v>11</v>
      </c>
      <c r="F890">
        <v>2088.768</v>
      </c>
      <c r="G890">
        <v>18</v>
      </c>
      <c r="L890" t="s">
        <v>2678</v>
      </c>
      <c r="O890" t="s">
        <v>2679</v>
      </c>
    </row>
    <row r="891" spans="1:15" x14ac:dyDescent="0.25">
      <c r="A891" t="s">
        <v>18</v>
      </c>
      <c r="B891" t="s">
        <v>2678</v>
      </c>
      <c r="C891" t="s">
        <v>2680</v>
      </c>
      <c r="D891" t="s">
        <v>20</v>
      </c>
      <c r="E891" t="s">
        <v>11</v>
      </c>
      <c r="F891">
        <v>8289.797999999999</v>
      </c>
      <c r="G891">
        <v>18</v>
      </c>
      <c r="L891" t="s">
        <v>2681</v>
      </c>
      <c r="O891" t="s">
        <v>2682</v>
      </c>
    </row>
    <row r="892" spans="1:15" x14ac:dyDescent="0.25">
      <c r="A892" t="s">
        <v>18</v>
      </c>
      <c r="B892" t="s">
        <v>2681</v>
      </c>
      <c r="C892" t="s">
        <v>2683</v>
      </c>
      <c r="D892" t="s">
        <v>20</v>
      </c>
      <c r="E892" t="s">
        <v>11</v>
      </c>
      <c r="F892">
        <v>391.64399999999995</v>
      </c>
      <c r="G892">
        <v>18</v>
      </c>
      <c r="L892" t="s">
        <v>2684</v>
      </c>
      <c r="O892" t="s">
        <v>2685</v>
      </c>
    </row>
    <row r="893" spans="1:15" x14ac:dyDescent="0.25">
      <c r="A893" t="s">
        <v>18</v>
      </c>
      <c r="B893" t="s">
        <v>2684</v>
      </c>
      <c r="C893" t="s">
        <v>2686</v>
      </c>
      <c r="D893" t="s">
        <v>20</v>
      </c>
      <c r="E893" t="s">
        <v>11</v>
      </c>
      <c r="F893">
        <v>522.192</v>
      </c>
      <c r="G893">
        <v>18</v>
      </c>
      <c r="L893" t="s">
        <v>2687</v>
      </c>
      <c r="O893" t="s">
        <v>2688</v>
      </c>
    </row>
    <row r="894" spans="1:15" x14ac:dyDescent="0.25">
      <c r="A894" t="s">
        <v>18</v>
      </c>
      <c r="B894" t="s">
        <v>2687</v>
      </c>
      <c r="C894" t="s">
        <v>2689</v>
      </c>
      <c r="D894" t="s">
        <v>20</v>
      </c>
      <c r="E894" t="s">
        <v>11</v>
      </c>
      <c r="F894">
        <v>9660.552</v>
      </c>
      <c r="G894">
        <v>18</v>
      </c>
      <c r="L894" t="s">
        <v>2690</v>
      </c>
      <c r="O894" t="s">
        <v>2691</v>
      </c>
    </row>
    <row r="895" spans="1:15" x14ac:dyDescent="0.25">
      <c r="A895" t="s">
        <v>18</v>
      </c>
      <c r="B895" t="s">
        <v>2690</v>
      </c>
      <c r="C895" t="s">
        <v>2692</v>
      </c>
      <c r="D895" t="s">
        <v>20</v>
      </c>
      <c r="E895" t="s">
        <v>11</v>
      </c>
      <c r="F895">
        <v>2219.316</v>
      </c>
      <c r="G895">
        <v>18</v>
      </c>
      <c r="L895" t="s">
        <v>2693</v>
      </c>
      <c r="O895" t="s">
        <v>2694</v>
      </c>
    </row>
    <row r="896" spans="1:15" x14ac:dyDescent="0.25">
      <c r="A896" t="s">
        <v>18</v>
      </c>
      <c r="B896" t="s">
        <v>2693</v>
      </c>
      <c r="C896" t="s">
        <v>2695</v>
      </c>
      <c r="D896" t="s">
        <v>20</v>
      </c>
      <c r="E896" t="s">
        <v>11</v>
      </c>
      <c r="F896">
        <v>522.192</v>
      </c>
      <c r="G896">
        <v>18</v>
      </c>
      <c r="L896" t="s">
        <v>2696</v>
      </c>
      <c r="O896" t="s">
        <v>2697</v>
      </c>
    </row>
    <row r="897" spans="1:15" x14ac:dyDescent="0.25">
      <c r="A897" t="s">
        <v>18</v>
      </c>
      <c r="B897" t="s">
        <v>2696</v>
      </c>
      <c r="C897" t="s">
        <v>2591</v>
      </c>
      <c r="D897" t="s">
        <v>20</v>
      </c>
      <c r="E897" t="s">
        <v>11</v>
      </c>
      <c r="F897">
        <v>7898.1539999999995</v>
      </c>
      <c r="G897">
        <v>18</v>
      </c>
      <c r="L897" t="s">
        <v>2698</v>
      </c>
      <c r="O897" t="s">
        <v>2699</v>
      </c>
    </row>
    <row r="898" spans="1:15" x14ac:dyDescent="0.25">
      <c r="A898" t="s">
        <v>18</v>
      </c>
      <c r="B898" t="s">
        <v>2698</v>
      </c>
      <c r="C898" t="s">
        <v>2700</v>
      </c>
      <c r="D898" t="s">
        <v>20</v>
      </c>
      <c r="E898" t="s">
        <v>11</v>
      </c>
      <c r="F898">
        <v>4177.536</v>
      </c>
      <c r="G898">
        <v>18</v>
      </c>
      <c r="L898" t="s">
        <v>2701</v>
      </c>
      <c r="O898" t="s">
        <v>2702</v>
      </c>
    </row>
    <row r="899" spans="1:15" x14ac:dyDescent="0.25">
      <c r="A899" t="s">
        <v>18</v>
      </c>
      <c r="B899" t="s">
        <v>2701</v>
      </c>
      <c r="C899" t="s">
        <v>2703</v>
      </c>
      <c r="D899" t="s">
        <v>20</v>
      </c>
      <c r="E899" t="s">
        <v>11</v>
      </c>
      <c r="F899">
        <v>2219.316</v>
      </c>
      <c r="G899">
        <v>18</v>
      </c>
      <c r="L899" t="s">
        <v>2704</v>
      </c>
      <c r="O899" t="s">
        <v>2705</v>
      </c>
    </row>
    <row r="900" spans="1:15" x14ac:dyDescent="0.25">
      <c r="A900" t="s">
        <v>18</v>
      </c>
      <c r="B900" t="s">
        <v>2704</v>
      </c>
      <c r="C900" t="s">
        <v>2706</v>
      </c>
      <c r="D900" t="s">
        <v>20</v>
      </c>
      <c r="E900" t="s">
        <v>11</v>
      </c>
      <c r="F900">
        <v>2154.042</v>
      </c>
      <c r="G900">
        <v>18</v>
      </c>
      <c r="L900" t="s">
        <v>2707</v>
      </c>
      <c r="O900" t="s">
        <v>2708</v>
      </c>
    </row>
    <row r="901" spans="1:15" x14ac:dyDescent="0.25">
      <c r="A901" t="s">
        <v>18</v>
      </c>
      <c r="B901" t="s">
        <v>2707</v>
      </c>
      <c r="C901" t="s">
        <v>2641</v>
      </c>
      <c r="D901" t="s">
        <v>20</v>
      </c>
      <c r="E901" t="s">
        <v>11</v>
      </c>
      <c r="F901">
        <v>1109.658</v>
      </c>
      <c r="G901">
        <v>18</v>
      </c>
      <c r="L901" t="s">
        <v>2709</v>
      </c>
      <c r="O901" t="s">
        <v>2710</v>
      </c>
    </row>
    <row r="902" spans="1:15" x14ac:dyDescent="0.25">
      <c r="A902" t="s">
        <v>18</v>
      </c>
      <c r="B902" t="s">
        <v>2709</v>
      </c>
      <c r="C902" t="s">
        <v>2711</v>
      </c>
      <c r="D902" t="s">
        <v>20</v>
      </c>
      <c r="E902" t="s">
        <v>11</v>
      </c>
      <c r="F902">
        <v>261.096</v>
      </c>
      <c r="G902">
        <v>18</v>
      </c>
      <c r="L902" t="s">
        <v>2712</v>
      </c>
      <c r="O902" t="s">
        <v>2713</v>
      </c>
    </row>
    <row r="903" spans="1:15" x14ac:dyDescent="0.25">
      <c r="A903" t="s">
        <v>18</v>
      </c>
      <c r="B903" t="s">
        <v>2712</v>
      </c>
      <c r="C903" t="s">
        <v>2714</v>
      </c>
      <c r="D903" t="s">
        <v>20</v>
      </c>
      <c r="E903" t="s">
        <v>11</v>
      </c>
      <c r="F903">
        <v>326.37</v>
      </c>
      <c r="G903">
        <v>18</v>
      </c>
      <c r="L903" t="s">
        <v>2715</v>
      </c>
      <c r="O903" t="s">
        <v>2716</v>
      </c>
    </row>
    <row r="904" spans="1:15" x14ac:dyDescent="0.25">
      <c r="A904" t="s">
        <v>18</v>
      </c>
      <c r="B904" t="s">
        <v>2715</v>
      </c>
      <c r="C904" t="s">
        <v>2717</v>
      </c>
      <c r="D904" t="s">
        <v>20</v>
      </c>
      <c r="E904" t="s">
        <v>11</v>
      </c>
      <c r="F904">
        <v>1958.22</v>
      </c>
      <c r="G904">
        <v>18</v>
      </c>
      <c r="L904" t="s">
        <v>2718</v>
      </c>
      <c r="O904" t="s">
        <v>2719</v>
      </c>
    </row>
    <row r="905" spans="1:15" x14ac:dyDescent="0.25">
      <c r="A905" t="s">
        <v>18</v>
      </c>
      <c r="B905" t="s">
        <v>2718</v>
      </c>
      <c r="C905" t="s">
        <v>2720</v>
      </c>
      <c r="D905" t="s">
        <v>20</v>
      </c>
      <c r="E905" t="s">
        <v>11</v>
      </c>
      <c r="F905">
        <v>195.82199999999997</v>
      </c>
      <c r="G905">
        <v>18</v>
      </c>
      <c r="L905" t="s">
        <v>2721</v>
      </c>
      <c r="O905" t="s">
        <v>2722</v>
      </c>
    </row>
    <row r="906" spans="1:15" x14ac:dyDescent="0.25">
      <c r="A906" t="s">
        <v>18</v>
      </c>
      <c r="B906" t="s">
        <v>2721</v>
      </c>
      <c r="C906" t="s">
        <v>2723</v>
      </c>
      <c r="D906" t="s">
        <v>20</v>
      </c>
      <c r="E906" t="s">
        <v>11</v>
      </c>
      <c r="F906">
        <v>326.37</v>
      </c>
      <c r="G906">
        <v>18</v>
      </c>
      <c r="L906" t="s">
        <v>2724</v>
      </c>
      <c r="O906" t="s">
        <v>2725</v>
      </c>
    </row>
    <row r="907" spans="1:15" x14ac:dyDescent="0.25">
      <c r="A907" t="s">
        <v>18</v>
      </c>
      <c r="B907" t="s">
        <v>2724</v>
      </c>
      <c r="C907" t="s">
        <v>2726</v>
      </c>
      <c r="D907" t="s">
        <v>20</v>
      </c>
      <c r="E907" t="s">
        <v>11</v>
      </c>
      <c r="F907">
        <v>1501.302</v>
      </c>
      <c r="G907">
        <v>18</v>
      </c>
      <c r="L907" t="s">
        <v>2727</v>
      </c>
      <c r="O907" t="s">
        <v>2728</v>
      </c>
    </row>
    <row r="908" spans="1:15" x14ac:dyDescent="0.25">
      <c r="A908" t="s">
        <v>18</v>
      </c>
      <c r="B908" t="s">
        <v>2727</v>
      </c>
      <c r="C908" t="s">
        <v>2729</v>
      </c>
      <c r="D908" t="s">
        <v>20</v>
      </c>
      <c r="E908" t="s">
        <v>11</v>
      </c>
      <c r="F908">
        <v>3590.0699999999997</v>
      </c>
      <c r="G908">
        <v>18</v>
      </c>
      <c r="L908" t="s">
        <v>2730</v>
      </c>
      <c r="O908" t="s">
        <v>2731</v>
      </c>
    </row>
    <row r="909" spans="1:15" x14ac:dyDescent="0.25">
      <c r="A909" t="s">
        <v>18</v>
      </c>
      <c r="B909" t="s">
        <v>2730</v>
      </c>
      <c r="C909" t="s">
        <v>2732</v>
      </c>
      <c r="D909" t="s">
        <v>20</v>
      </c>
      <c r="E909" t="s">
        <v>11</v>
      </c>
      <c r="F909">
        <v>391.64399999999995</v>
      </c>
      <c r="G909">
        <v>18</v>
      </c>
      <c r="L909" t="s">
        <v>2733</v>
      </c>
      <c r="O909" t="s">
        <v>2734</v>
      </c>
    </row>
    <row r="910" spans="1:15" x14ac:dyDescent="0.25">
      <c r="A910" t="s">
        <v>18</v>
      </c>
      <c r="B910" t="s">
        <v>2733</v>
      </c>
      <c r="C910" t="s">
        <v>2735</v>
      </c>
      <c r="D910" t="s">
        <v>20</v>
      </c>
      <c r="E910" t="s">
        <v>11</v>
      </c>
      <c r="F910">
        <v>5939.933999999999</v>
      </c>
      <c r="G910">
        <v>18</v>
      </c>
      <c r="L910" t="s">
        <v>2736</v>
      </c>
      <c r="O910" t="s">
        <v>2737</v>
      </c>
    </row>
    <row r="911" spans="1:15" x14ac:dyDescent="0.25">
      <c r="A911" t="s">
        <v>18</v>
      </c>
      <c r="B911" t="s">
        <v>2736</v>
      </c>
      <c r="C911" t="s">
        <v>2738</v>
      </c>
      <c r="D911" t="s">
        <v>20</v>
      </c>
      <c r="E911" t="s">
        <v>11</v>
      </c>
      <c r="F911">
        <v>5939.933999999999</v>
      </c>
      <c r="G911">
        <v>18</v>
      </c>
      <c r="L911" t="s">
        <v>2739</v>
      </c>
      <c r="O911" t="s">
        <v>2740</v>
      </c>
    </row>
    <row r="912" spans="1:15" x14ac:dyDescent="0.25">
      <c r="A912" t="s">
        <v>18</v>
      </c>
      <c r="B912" t="s">
        <v>2739</v>
      </c>
      <c r="C912" t="s">
        <v>2741</v>
      </c>
      <c r="D912" t="s">
        <v>20</v>
      </c>
      <c r="E912" t="s">
        <v>11</v>
      </c>
      <c r="F912">
        <v>2610.96</v>
      </c>
      <c r="G912">
        <v>18</v>
      </c>
      <c r="L912" t="s">
        <v>2742</v>
      </c>
      <c r="O912" t="s">
        <v>2743</v>
      </c>
    </row>
    <row r="913" spans="1:15" x14ac:dyDescent="0.25">
      <c r="A913" t="s">
        <v>18</v>
      </c>
      <c r="B913" t="s">
        <v>2742</v>
      </c>
      <c r="C913" t="s">
        <v>2744</v>
      </c>
      <c r="D913" t="s">
        <v>20</v>
      </c>
      <c r="E913" t="s">
        <v>11</v>
      </c>
      <c r="F913">
        <v>2610.96</v>
      </c>
      <c r="G913">
        <v>18</v>
      </c>
      <c r="L913" t="s">
        <v>2745</v>
      </c>
      <c r="O913" t="s">
        <v>2746</v>
      </c>
    </row>
    <row r="914" spans="1:15" x14ac:dyDescent="0.25">
      <c r="A914" t="s">
        <v>18</v>
      </c>
      <c r="B914" t="s">
        <v>2745</v>
      </c>
      <c r="C914" t="s">
        <v>2747</v>
      </c>
      <c r="D914" t="s">
        <v>20</v>
      </c>
      <c r="E914" t="s">
        <v>11</v>
      </c>
      <c r="F914">
        <v>2219.316</v>
      </c>
      <c r="G914">
        <v>18</v>
      </c>
      <c r="L914" t="s">
        <v>2748</v>
      </c>
      <c r="O914" t="s">
        <v>2749</v>
      </c>
    </row>
    <row r="915" spans="1:15" x14ac:dyDescent="0.25">
      <c r="A915" t="s">
        <v>18</v>
      </c>
      <c r="B915" t="s">
        <v>2748</v>
      </c>
      <c r="C915" t="s">
        <v>2750</v>
      </c>
      <c r="D915" t="s">
        <v>20</v>
      </c>
      <c r="E915" t="s">
        <v>11</v>
      </c>
      <c r="F915">
        <v>2480.4120000000003</v>
      </c>
      <c r="G915">
        <v>18</v>
      </c>
      <c r="L915" t="s">
        <v>2751</v>
      </c>
      <c r="O915" t="s">
        <v>2752</v>
      </c>
    </row>
    <row r="916" spans="1:15" x14ac:dyDescent="0.25">
      <c r="A916" t="s">
        <v>18</v>
      </c>
      <c r="B916" t="s">
        <v>2751</v>
      </c>
      <c r="C916" t="s">
        <v>2753</v>
      </c>
      <c r="D916" t="s">
        <v>20</v>
      </c>
      <c r="E916" t="s">
        <v>11</v>
      </c>
      <c r="F916">
        <v>4438.632</v>
      </c>
      <c r="G916">
        <v>18</v>
      </c>
      <c r="L916" t="s">
        <v>2754</v>
      </c>
      <c r="O916" t="s">
        <v>2755</v>
      </c>
    </row>
    <row r="917" spans="1:15" x14ac:dyDescent="0.25">
      <c r="A917" t="s">
        <v>18</v>
      </c>
      <c r="B917" t="s">
        <v>2754</v>
      </c>
      <c r="C917" t="s">
        <v>2756</v>
      </c>
      <c r="D917" t="s">
        <v>20</v>
      </c>
      <c r="E917" t="s">
        <v>11</v>
      </c>
      <c r="F917">
        <v>130.548</v>
      </c>
      <c r="G917">
        <v>18</v>
      </c>
      <c r="L917" t="s">
        <v>2757</v>
      </c>
      <c r="O917" t="s">
        <v>2758</v>
      </c>
    </row>
    <row r="918" spans="1:15" x14ac:dyDescent="0.25">
      <c r="A918" t="s">
        <v>18</v>
      </c>
      <c r="B918" t="s">
        <v>2757</v>
      </c>
      <c r="C918" t="s">
        <v>2759</v>
      </c>
      <c r="D918" t="s">
        <v>20</v>
      </c>
      <c r="E918" t="s">
        <v>11</v>
      </c>
      <c r="F918">
        <v>13185.347999999998</v>
      </c>
      <c r="G918">
        <v>18</v>
      </c>
      <c r="L918" t="s">
        <v>2760</v>
      </c>
      <c r="O918" t="s">
        <v>2761</v>
      </c>
    </row>
    <row r="919" spans="1:15" x14ac:dyDescent="0.25">
      <c r="A919" t="s">
        <v>18</v>
      </c>
      <c r="B919" t="s">
        <v>2760</v>
      </c>
      <c r="C919" t="s">
        <v>2762</v>
      </c>
      <c r="D919" t="s">
        <v>20</v>
      </c>
      <c r="E919" t="s">
        <v>11</v>
      </c>
      <c r="F919">
        <v>3590.0699999999997</v>
      </c>
      <c r="G919">
        <v>18</v>
      </c>
      <c r="L919" t="s">
        <v>2763</v>
      </c>
      <c r="O919" t="s">
        <v>2764</v>
      </c>
    </row>
    <row r="920" spans="1:15" x14ac:dyDescent="0.25">
      <c r="A920" t="s">
        <v>18</v>
      </c>
      <c r="B920" t="s">
        <v>2763</v>
      </c>
      <c r="C920" t="s">
        <v>2765</v>
      </c>
      <c r="D920" t="s">
        <v>20</v>
      </c>
      <c r="E920" t="s">
        <v>11</v>
      </c>
      <c r="F920">
        <v>4112.262</v>
      </c>
      <c r="G920">
        <v>18</v>
      </c>
      <c r="L920" t="s">
        <v>2766</v>
      </c>
      <c r="O920" t="s">
        <v>2767</v>
      </c>
    </row>
    <row r="921" spans="1:15" x14ac:dyDescent="0.25">
      <c r="A921" t="s">
        <v>18</v>
      </c>
      <c r="B921" t="s">
        <v>2766</v>
      </c>
      <c r="C921" t="s">
        <v>2768</v>
      </c>
      <c r="D921" t="s">
        <v>20</v>
      </c>
      <c r="E921" t="s">
        <v>11</v>
      </c>
      <c r="F921">
        <v>3590.0699999999997</v>
      </c>
      <c r="G921">
        <v>18</v>
      </c>
      <c r="L921" t="s">
        <v>2769</v>
      </c>
      <c r="O921" t="s">
        <v>2770</v>
      </c>
    </row>
    <row r="922" spans="1:15" x14ac:dyDescent="0.25">
      <c r="A922" t="s">
        <v>18</v>
      </c>
      <c r="B922" t="s">
        <v>2769</v>
      </c>
      <c r="C922" t="s">
        <v>2771</v>
      </c>
      <c r="D922" t="s">
        <v>20</v>
      </c>
      <c r="E922" t="s">
        <v>11</v>
      </c>
      <c r="F922">
        <v>4438.632</v>
      </c>
      <c r="G922">
        <v>18</v>
      </c>
      <c r="L922" t="s">
        <v>2772</v>
      </c>
      <c r="O922" t="s">
        <v>2773</v>
      </c>
    </row>
    <row r="923" spans="1:15" x14ac:dyDescent="0.25">
      <c r="A923" t="s">
        <v>18</v>
      </c>
      <c r="B923" t="s">
        <v>2772</v>
      </c>
      <c r="C923" t="s">
        <v>2774</v>
      </c>
      <c r="D923" t="s">
        <v>20</v>
      </c>
      <c r="E923" t="s">
        <v>11</v>
      </c>
      <c r="F923">
        <v>2872.056</v>
      </c>
      <c r="G923">
        <v>18</v>
      </c>
      <c r="L923" t="s">
        <v>2775</v>
      </c>
      <c r="O923" t="s">
        <v>2776</v>
      </c>
    </row>
    <row r="924" spans="1:15" x14ac:dyDescent="0.25">
      <c r="A924" t="s">
        <v>18</v>
      </c>
      <c r="B924" t="s">
        <v>2775</v>
      </c>
      <c r="C924" t="s">
        <v>2777</v>
      </c>
      <c r="D924" t="s">
        <v>20</v>
      </c>
      <c r="E924" t="s">
        <v>11</v>
      </c>
      <c r="F924">
        <v>18146.172</v>
      </c>
      <c r="G924">
        <v>18</v>
      </c>
      <c r="L924" t="s">
        <v>2778</v>
      </c>
      <c r="O924" t="s">
        <v>2779</v>
      </c>
    </row>
    <row r="925" spans="1:15" x14ac:dyDescent="0.25">
      <c r="A925" t="s">
        <v>18</v>
      </c>
      <c r="B925" t="s">
        <v>2778</v>
      </c>
      <c r="C925" t="s">
        <v>2780</v>
      </c>
      <c r="D925" t="s">
        <v>20</v>
      </c>
      <c r="E925" t="s">
        <v>11</v>
      </c>
      <c r="F925">
        <v>5548.29</v>
      </c>
      <c r="G925">
        <v>18</v>
      </c>
      <c r="L925" t="s">
        <v>2781</v>
      </c>
      <c r="O925" t="s">
        <v>2782</v>
      </c>
    </row>
    <row r="926" spans="1:15" x14ac:dyDescent="0.25">
      <c r="A926" t="s">
        <v>18</v>
      </c>
      <c r="B926" t="s">
        <v>2781</v>
      </c>
      <c r="C926" t="s">
        <v>2783</v>
      </c>
      <c r="D926" t="s">
        <v>20</v>
      </c>
      <c r="E926" t="s">
        <v>11</v>
      </c>
      <c r="F926">
        <v>2480.4120000000003</v>
      </c>
      <c r="G926">
        <v>18</v>
      </c>
      <c r="L926" t="s">
        <v>2784</v>
      </c>
      <c r="O926" t="s">
        <v>2785</v>
      </c>
    </row>
    <row r="927" spans="1:15" x14ac:dyDescent="0.25">
      <c r="A927" t="s">
        <v>18</v>
      </c>
      <c r="B927" t="s">
        <v>2784</v>
      </c>
      <c r="C927" t="s">
        <v>2786</v>
      </c>
      <c r="D927" t="s">
        <v>20</v>
      </c>
      <c r="E927" t="s">
        <v>11</v>
      </c>
      <c r="F927">
        <v>9244.619999999999</v>
      </c>
      <c r="G927">
        <v>18</v>
      </c>
      <c r="L927" t="s">
        <v>2787</v>
      </c>
      <c r="O927" t="s">
        <v>2788</v>
      </c>
    </row>
    <row r="928" spans="1:15" x14ac:dyDescent="0.25">
      <c r="A928" t="s">
        <v>18</v>
      </c>
      <c r="B928" t="s">
        <v>2787</v>
      </c>
      <c r="C928" t="s">
        <v>2789</v>
      </c>
      <c r="D928" t="s">
        <v>20</v>
      </c>
      <c r="E928" t="s">
        <v>11</v>
      </c>
      <c r="F928">
        <v>1697.1239999999998</v>
      </c>
      <c r="G928">
        <v>18</v>
      </c>
      <c r="L928" t="s">
        <v>2790</v>
      </c>
      <c r="O928" t="s">
        <v>2791</v>
      </c>
    </row>
    <row r="929" spans="1:15" x14ac:dyDescent="0.25">
      <c r="A929" t="s">
        <v>18</v>
      </c>
      <c r="B929" t="s">
        <v>2790</v>
      </c>
      <c r="C929" t="s">
        <v>2792</v>
      </c>
      <c r="D929" t="s">
        <v>20</v>
      </c>
      <c r="E929" t="s">
        <v>11</v>
      </c>
      <c r="F929">
        <v>3002.604</v>
      </c>
      <c r="G929">
        <v>18</v>
      </c>
      <c r="L929" t="s">
        <v>2793</v>
      </c>
      <c r="O929" t="s">
        <v>2794</v>
      </c>
    </row>
    <row r="930" spans="1:15" x14ac:dyDescent="0.25">
      <c r="A930" t="s">
        <v>18</v>
      </c>
      <c r="B930" t="s">
        <v>2793</v>
      </c>
      <c r="C930" t="s">
        <v>2795</v>
      </c>
      <c r="D930" t="s">
        <v>20</v>
      </c>
      <c r="E930" t="s">
        <v>11</v>
      </c>
      <c r="F930">
        <v>2480.4120000000003</v>
      </c>
      <c r="G930">
        <v>18</v>
      </c>
      <c r="L930" t="s">
        <v>2796</v>
      </c>
      <c r="O930" t="s">
        <v>2797</v>
      </c>
    </row>
    <row r="931" spans="1:15" x14ac:dyDescent="0.25">
      <c r="A931" t="s">
        <v>18</v>
      </c>
      <c r="B931" t="s">
        <v>2796</v>
      </c>
      <c r="C931" t="s">
        <v>2798</v>
      </c>
      <c r="D931" t="s">
        <v>20</v>
      </c>
      <c r="E931" t="s">
        <v>11</v>
      </c>
      <c r="F931">
        <v>130.548</v>
      </c>
      <c r="G931">
        <v>18</v>
      </c>
      <c r="L931" t="s">
        <v>2799</v>
      </c>
      <c r="O931" t="s">
        <v>2800</v>
      </c>
    </row>
    <row r="932" spans="1:15" x14ac:dyDescent="0.25">
      <c r="A932" t="s">
        <v>18</v>
      </c>
      <c r="B932" t="s">
        <v>2799</v>
      </c>
      <c r="C932" t="s">
        <v>2801</v>
      </c>
      <c r="D932" t="s">
        <v>20</v>
      </c>
      <c r="E932" t="s">
        <v>11</v>
      </c>
      <c r="F932">
        <v>130.548</v>
      </c>
      <c r="G932">
        <v>18</v>
      </c>
      <c r="L932" t="s">
        <v>2802</v>
      </c>
      <c r="O932" t="s">
        <v>2803</v>
      </c>
    </row>
    <row r="933" spans="1:15" x14ac:dyDescent="0.25">
      <c r="A933" t="s">
        <v>18</v>
      </c>
      <c r="B933" t="s">
        <v>2802</v>
      </c>
      <c r="C933" t="s">
        <v>2804</v>
      </c>
      <c r="D933" t="s">
        <v>20</v>
      </c>
      <c r="E933" t="s">
        <v>11</v>
      </c>
      <c r="F933">
        <v>130.548</v>
      </c>
      <c r="G933">
        <v>18</v>
      </c>
      <c r="L933" t="s">
        <v>2805</v>
      </c>
      <c r="O933" t="s">
        <v>2806</v>
      </c>
    </row>
    <row r="934" spans="1:15" x14ac:dyDescent="0.25">
      <c r="A934" t="s">
        <v>18</v>
      </c>
      <c r="B934" t="s">
        <v>2805</v>
      </c>
      <c r="C934" t="s">
        <v>2807</v>
      </c>
      <c r="D934" t="s">
        <v>20</v>
      </c>
      <c r="E934" t="s">
        <v>11</v>
      </c>
      <c r="F934">
        <v>130.548</v>
      </c>
      <c r="G934">
        <v>18</v>
      </c>
      <c r="L934" t="s">
        <v>2808</v>
      </c>
      <c r="O934" t="s">
        <v>2809</v>
      </c>
    </row>
    <row r="935" spans="1:15" x14ac:dyDescent="0.25">
      <c r="A935" t="s">
        <v>18</v>
      </c>
      <c r="B935" t="s">
        <v>2808</v>
      </c>
      <c r="C935" t="s">
        <v>2810</v>
      </c>
      <c r="D935" t="s">
        <v>20</v>
      </c>
      <c r="E935" t="s">
        <v>11</v>
      </c>
      <c r="F935">
        <v>130.548</v>
      </c>
      <c r="G935">
        <v>18</v>
      </c>
      <c r="L935" t="s">
        <v>2811</v>
      </c>
      <c r="O935" t="s">
        <v>2812</v>
      </c>
    </row>
    <row r="936" spans="1:15" x14ac:dyDescent="0.25">
      <c r="A936" t="s">
        <v>18</v>
      </c>
      <c r="B936" t="s">
        <v>2811</v>
      </c>
      <c r="C936" t="s">
        <v>2813</v>
      </c>
      <c r="D936" t="s">
        <v>20</v>
      </c>
      <c r="E936" t="s">
        <v>11</v>
      </c>
      <c r="F936">
        <v>130.548</v>
      </c>
      <c r="G936">
        <v>18</v>
      </c>
      <c r="L936" t="s">
        <v>2814</v>
      </c>
      <c r="O936" t="s">
        <v>2815</v>
      </c>
    </row>
    <row r="937" spans="1:15" x14ac:dyDescent="0.25">
      <c r="A937" t="s">
        <v>18</v>
      </c>
      <c r="B937" t="s">
        <v>2814</v>
      </c>
      <c r="C937" t="s">
        <v>2816</v>
      </c>
      <c r="D937" t="s">
        <v>20</v>
      </c>
      <c r="E937" t="s">
        <v>11</v>
      </c>
      <c r="F937">
        <v>130.548</v>
      </c>
      <c r="G937">
        <v>18</v>
      </c>
      <c r="L937" t="s">
        <v>2817</v>
      </c>
      <c r="O937" t="s">
        <v>2818</v>
      </c>
    </row>
    <row r="938" spans="1:15" x14ac:dyDescent="0.25">
      <c r="A938" t="s">
        <v>18</v>
      </c>
      <c r="B938" t="s">
        <v>2817</v>
      </c>
      <c r="C938" t="s">
        <v>2819</v>
      </c>
      <c r="D938" t="s">
        <v>20</v>
      </c>
      <c r="E938" t="s">
        <v>11</v>
      </c>
      <c r="F938">
        <v>326.37</v>
      </c>
      <c r="G938">
        <v>18</v>
      </c>
      <c r="L938" t="s">
        <v>2820</v>
      </c>
      <c r="O938" t="s">
        <v>2821</v>
      </c>
    </row>
    <row r="939" spans="1:15" x14ac:dyDescent="0.25">
      <c r="A939" t="s">
        <v>18</v>
      </c>
      <c r="B939" t="s">
        <v>2820</v>
      </c>
      <c r="C939" t="s">
        <v>2822</v>
      </c>
      <c r="D939" t="s">
        <v>20</v>
      </c>
      <c r="E939" t="s">
        <v>11</v>
      </c>
      <c r="F939">
        <v>326.37</v>
      </c>
      <c r="G939">
        <v>18</v>
      </c>
      <c r="L939" t="s">
        <v>2823</v>
      </c>
      <c r="O939" t="s">
        <v>2824</v>
      </c>
    </row>
    <row r="940" spans="1:15" x14ac:dyDescent="0.25">
      <c r="A940" t="s">
        <v>18</v>
      </c>
      <c r="B940" t="s">
        <v>2823</v>
      </c>
      <c r="C940" t="s">
        <v>2825</v>
      </c>
      <c r="D940" t="s">
        <v>20</v>
      </c>
      <c r="E940" t="s">
        <v>11</v>
      </c>
      <c r="F940">
        <v>326.37</v>
      </c>
      <c r="G940">
        <v>18</v>
      </c>
      <c r="L940" t="s">
        <v>2826</v>
      </c>
      <c r="O940" t="s">
        <v>2827</v>
      </c>
    </row>
    <row r="941" spans="1:15" x14ac:dyDescent="0.25">
      <c r="A941" t="s">
        <v>18</v>
      </c>
      <c r="B941" t="s">
        <v>2826</v>
      </c>
      <c r="C941" t="s">
        <v>2828</v>
      </c>
      <c r="D941" t="s">
        <v>20</v>
      </c>
      <c r="E941" t="s">
        <v>11</v>
      </c>
      <c r="F941">
        <v>130.548</v>
      </c>
      <c r="G941">
        <v>18</v>
      </c>
      <c r="L941" t="s">
        <v>2829</v>
      </c>
      <c r="O941" t="s">
        <v>2830</v>
      </c>
    </row>
    <row r="942" spans="1:15" x14ac:dyDescent="0.25">
      <c r="A942" t="s">
        <v>18</v>
      </c>
      <c r="B942" t="s">
        <v>2829</v>
      </c>
      <c r="C942" t="s">
        <v>2831</v>
      </c>
      <c r="D942" t="s">
        <v>20</v>
      </c>
      <c r="E942" t="s">
        <v>11</v>
      </c>
      <c r="F942">
        <v>261.096</v>
      </c>
      <c r="G942">
        <v>18</v>
      </c>
      <c r="L942" t="s">
        <v>2832</v>
      </c>
      <c r="O942" t="s">
        <v>2833</v>
      </c>
    </row>
    <row r="943" spans="1:15" x14ac:dyDescent="0.25">
      <c r="A943" t="s">
        <v>18</v>
      </c>
      <c r="B943" t="s">
        <v>2832</v>
      </c>
      <c r="C943" t="s">
        <v>2834</v>
      </c>
      <c r="D943" t="s">
        <v>20</v>
      </c>
      <c r="E943" t="s">
        <v>11</v>
      </c>
      <c r="F943">
        <v>7375.962</v>
      </c>
      <c r="G943">
        <v>18</v>
      </c>
      <c r="L943" t="s">
        <v>2835</v>
      </c>
      <c r="O943" t="s">
        <v>2836</v>
      </c>
    </row>
    <row r="944" spans="1:15" x14ac:dyDescent="0.25">
      <c r="A944" t="s">
        <v>18</v>
      </c>
      <c r="B944" t="s">
        <v>2835</v>
      </c>
      <c r="C944" t="s">
        <v>2837</v>
      </c>
      <c r="D944" t="s">
        <v>20</v>
      </c>
      <c r="E944" t="s">
        <v>11</v>
      </c>
      <c r="F944">
        <v>13185.347999999998</v>
      </c>
      <c r="G944">
        <v>18</v>
      </c>
      <c r="L944" t="s">
        <v>2838</v>
      </c>
      <c r="O944" t="s">
        <v>2839</v>
      </c>
    </row>
    <row r="945" spans="1:15" x14ac:dyDescent="0.25">
      <c r="A945" t="s">
        <v>18</v>
      </c>
      <c r="B945" t="s">
        <v>2838</v>
      </c>
      <c r="C945" t="s">
        <v>2840</v>
      </c>
      <c r="D945" t="s">
        <v>20</v>
      </c>
      <c r="E945" t="s">
        <v>11</v>
      </c>
      <c r="F945">
        <v>130.548</v>
      </c>
      <c r="G945">
        <v>18</v>
      </c>
      <c r="L945" t="s">
        <v>2841</v>
      </c>
      <c r="O945" t="s">
        <v>2842</v>
      </c>
    </row>
    <row r="946" spans="1:15" x14ac:dyDescent="0.25">
      <c r="A946" t="s">
        <v>18</v>
      </c>
      <c r="B946" t="s">
        <v>2841</v>
      </c>
      <c r="C946" t="s">
        <v>2843</v>
      </c>
      <c r="D946" t="s">
        <v>20</v>
      </c>
      <c r="E946" t="s">
        <v>11</v>
      </c>
      <c r="F946">
        <v>130.548</v>
      </c>
      <c r="G946">
        <v>18</v>
      </c>
      <c r="L946" t="s">
        <v>2844</v>
      </c>
      <c r="O946" t="s">
        <v>2845</v>
      </c>
    </row>
    <row r="947" spans="1:15" x14ac:dyDescent="0.25">
      <c r="A947" t="s">
        <v>18</v>
      </c>
      <c r="B947" t="s">
        <v>2844</v>
      </c>
      <c r="C947" t="s">
        <v>2846</v>
      </c>
      <c r="D947" t="s">
        <v>20</v>
      </c>
      <c r="E947" t="s">
        <v>11</v>
      </c>
      <c r="F947">
        <v>130.548</v>
      </c>
      <c r="G947">
        <v>18</v>
      </c>
      <c r="L947" t="s">
        <v>2847</v>
      </c>
      <c r="O947" t="s">
        <v>2848</v>
      </c>
    </row>
    <row r="948" spans="1:15" x14ac:dyDescent="0.25">
      <c r="A948" t="s">
        <v>18</v>
      </c>
      <c r="B948" t="s">
        <v>2847</v>
      </c>
      <c r="C948" t="s">
        <v>2849</v>
      </c>
      <c r="D948" t="s">
        <v>20</v>
      </c>
      <c r="E948" t="s">
        <v>11</v>
      </c>
      <c r="F948">
        <v>130.548</v>
      </c>
      <c r="G948">
        <v>18</v>
      </c>
      <c r="L948" t="s">
        <v>2850</v>
      </c>
      <c r="O948" t="s">
        <v>2851</v>
      </c>
    </row>
    <row r="949" spans="1:15" x14ac:dyDescent="0.25">
      <c r="A949" t="s">
        <v>18</v>
      </c>
      <c r="B949" t="s">
        <v>2850</v>
      </c>
      <c r="C949" t="s">
        <v>2852</v>
      </c>
      <c r="D949" t="s">
        <v>20</v>
      </c>
      <c r="E949" t="s">
        <v>11</v>
      </c>
      <c r="F949">
        <v>195.82199999999997</v>
      </c>
      <c r="G949">
        <v>18</v>
      </c>
      <c r="L949" t="s">
        <v>2853</v>
      </c>
      <c r="O949" t="s">
        <v>2854</v>
      </c>
    </row>
    <row r="950" spans="1:15" x14ac:dyDescent="0.25">
      <c r="A950" t="s">
        <v>18</v>
      </c>
      <c r="B950" t="s">
        <v>2853</v>
      </c>
      <c r="C950" t="s">
        <v>2855</v>
      </c>
      <c r="D950" t="s">
        <v>20</v>
      </c>
      <c r="E950" t="s">
        <v>11</v>
      </c>
      <c r="F950">
        <v>2284.59</v>
      </c>
      <c r="G950">
        <v>18</v>
      </c>
      <c r="L950" t="s">
        <v>2856</v>
      </c>
      <c r="O950" t="s">
        <v>2857</v>
      </c>
    </row>
    <row r="951" spans="1:15" x14ac:dyDescent="0.25">
      <c r="A951" t="s">
        <v>18</v>
      </c>
      <c r="B951" t="s">
        <v>2856</v>
      </c>
      <c r="C951" t="s">
        <v>2858</v>
      </c>
      <c r="D951" t="s">
        <v>20</v>
      </c>
      <c r="E951" t="s">
        <v>11</v>
      </c>
      <c r="F951">
        <v>2741.508</v>
      </c>
      <c r="G951">
        <v>18</v>
      </c>
      <c r="L951" t="s">
        <v>2859</v>
      </c>
      <c r="O951" t="s">
        <v>2860</v>
      </c>
    </row>
    <row r="952" spans="1:15" x14ac:dyDescent="0.25">
      <c r="A952" t="s">
        <v>18</v>
      </c>
      <c r="B952" t="s">
        <v>2859</v>
      </c>
      <c r="C952" t="s">
        <v>2861</v>
      </c>
      <c r="D952" t="s">
        <v>20</v>
      </c>
      <c r="E952" t="s">
        <v>11</v>
      </c>
      <c r="F952">
        <v>2545.6859999999997</v>
      </c>
      <c r="G952">
        <v>18</v>
      </c>
      <c r="L952" t="s">
        <v>2862</v>
      </c>
      <c r="O952" t="s">
        <v>2863</v>
      </c>
    </row>
    <row r="953" spans="1:15" x14ac:dyDescent="0.25">
      <c r="A953" t="s">
        <v>18</v>
      </c>
      <c r="B953" t="s">
        <v>2862</v>
      </c>
      <c r="C953" t="s">
        <v>2864</v>
      </c>
      <c r="D953" t="s">
        <v>20</v>
      </c>
      <c r="E953" t="s">
        <v>11</v>
      </c>
      <c r="F953">
        <v>10052.195999999998</v>
      </c>
      <c r="G953">
        <v>18</v>
      </c>
      <c r="L953" t="s">
        <v>2865</v>
      </c>
      <c r="O953" t="s">
        <v>2866</v>
      </c>
    </row>
    <row r="954" spans="1:15" x14ac:dyDescent="0.25">
      <c r="A954" t="s">
        <v>18</v>
      </c>
      <c r="B954" t="s">
        <v>2865</v>
      </c>
      <c r="C954" t="s">
        <v>2867</v>
      </c>
      <c r="D954" t="s">
        <v>20</v>
      </c>
      <c r="E954" t="s">
        <v>11</v>
      </c>
      <c r="F954">
        <v>130.548</v>
      </c>
      <c r="G954">
        <v>18</v>
      </c>
      <c r="L954" t="s">
        <v>2868</v>
      </c>
      <c r="O954" t="s">
        <v>2869</v>
      </c>
    </row>
    <row r="955" spans="1:15" x14ac:dyDescent="0.25">
      <c r="A955" t="s">
        <v>18</v>
      </c>
      <c r="B955" t="s">
        <v>2868</v>
      </c>
      <c r="C955" t="s">
        <v>2870</v>
      </c>
      <c r="D955" t="s">
        <v>20</v>
      </c>
      <c r="E955" t="s">
        <v>11</v>
      </c>
      <c r="F955">
        <v>130.548</v>
      </c>
      <c r="G955">
        <v>18</v>
      </c>
      <c r="L955" t="s">
        <v>2871</v>
      </c>
      <c r="O955" t="s">
        <v>2872</v>
      </c>
    </row>
    <row r="956" spans="1:15" x14ac:dyDescent="0.25">
      <c r="A956" t="s">
        <v>18</v>
      </c>
      <c r="B956" t="s">
        <v>2871</v>
      </c>
      <c r="C956" t="s">
        <v>2873</v>
      </c>
      <c r="D956" t="s">
        <v>20</v>
      </c>
      <c r="E956" t="s">
        <v>11</v>
      </c>
      <c r="F956">
        <v>130.548</v>
      </c>
      <c r="G956">
        <v>18</v>
      </c>
      <c r="L956" t="s">
        <v>2874</v>
      </c>
      <c r="O956" t="s">
        <v>2875</v>
      </c>
    </row>
    <row r="957" spans="1:15" x14ac:dyDescent="0.25">
      <c r="A957" t="s">
        <v>18</v>
      </c>
      <c r="B957" t="s">
        <v>2874</v>
      </c>
      <c r="C957" t="s">
        <v>2876</v>
      </c>
      <c r="D957" t="s">
        <v>20</v>
      </c>
      <c r="E957" t="s">
        <v>11</v>
      </c>
      <c r="F957">
        <v>130.548</v>
      </c>
      <c r="G957">
        <v>18</v>
      </c>
      <c r="L957" t="s">
        <v>2877</v>
      </c>
      <c r="O957" t="s">
        <v>2878</v>
      </c>
    </row>
    <row r="958" spans="1:15" x14ac:dyDescent="0.25">
      <c r="A958" t="s">
        <v>18</v>
      </c>
      <c r="B958" t="s">
        <v>2877</v>
      </c>
      <c r="C958" t="s">
        <v>2879</v>
      </c>
      <c r="D958" t="s">
        <v>20</v>
      </c>
      <c r="E958" t="s">
        <v>11</v>
      </c>
      <c r="F958">
        <v>195.82199999999997</v>
      </c>
      <c r="G958">
        <v>18</v>
      </c>
      <c r="L958" t="s">
        <v>2880</v>
      </c>
      <c r="O958" t="s">
        <v>2881</v>
      </c>
    </row>
    <row r="959" spans="1:15" x14ac:dyDescent="0.25">
      <c r="A959" t="s">
        <v>18</v>
      </c>
      <c r="B959" t="s">
        <v>2880</v>
      </c>
      <c r="C959" t="s">
        <v>2882</v>
      </c>
      <c r="D959" t="s">
        <v>20</v>
      </c>
      <c r="E959" t="s">
        <v>11</v>
      </c>
      <c r="F959">
        <v>261.096</v>
      </c>
      <c r="G959">
        <v>18</v>
      </c>
      <c r="L959" t="s">
        <v>2883</v>
      </c>
      <c r="O959" t="s">
        <v>2884</v>
      </c>
    </row>
    <row r="960" spans="1:15" x14ac:dyDescent="0.25">
      <c r="A960" t="s">
        <v>18</v>
      </c>
      <c r="B960" t="s">
        <v>2883</v>
      </c>
      <c r="C960" t="s">
        <v>2885</v>
      </c>
      <c r="D960" t="s">
        <v>20</v>
      </c>
      <c r="E960" t="s">
        <v>11</v>
      </c>
      <c r="F960">
        <v>130.548</v>
      </c>
      <c r="G960">
        <v>18</v>
      </c>
      <c r="L960" t="s">
        <v>2886</v>
      </c>
      <c r="O960" t="s">
        <v>2887</v>
      </c>
    </row>
    <row r="961" spans="1:15" x14ac:dyDescent="0.25">
      <c r="A961" t="s">
        <v>18</v>
      </c>
      <c r="B961" t="s">
        <v>2886</v>
      </c>
      <c r="C961" t="s">
        <v>2888</v>
      </c>
      <c r="D961" t="s">
        <v>20</v>
      </c>
      <c r="E961" t="s">
        <v>11</v>
      </c>
      <c r="F961">
        <v>2872.056</v>
      </c>
      <c r="G961">
        <v>18</v>
      </c>
      <c r="L961" t="s">
        <v>2889</v>
      </c>
      <c r="O961" t="s">
        <v>2890</v>
      </c>
    </row>
    <row r="962" spans="1:15" x14ac:dyDescent="0.25">
      <c r="A962" t="s">
        <v>18</v>
      </c>
      <c r="B962" t="s">
        <v>2889</v>
      </c>
      <c r="C962" t="s">
        <v>2891</v>
      </c>
      <c r="D962" t="s">
        <v>20</v>
      </c>
      <c r="E962" t="s">
        <v>11</v>
      </c>
      <c r="F962">
        <v>4242.8099999999995</v>
      </c>
      <c r="G962">
        <v>18</v>
      </c>
      <c r="L962" t="s">
        <v>2892</v>
      </c>
      <c r="O962" t="s">
        <v>2893</v>
      </c>
    </row>
    <row r="963" spans="1:15" x14ac:dyDescent="0.25">
      <c r="A963" t="s">
        <v>18</v>
      </c>
      <c r="B963" t="s">
        <v>2892</v>
      </c>
      <c r="C963" t="s">
        <v>2894</v>
      </c>
      <c r="D963" t="s">
        <v>20</v>
      </c>
      <c r="E963" t="s">
        <v>11</v>
      </c>
      <c r="F963">
        <v>783.2879999999999</v>
      </c>
      <c r="G963">
        <v>18</v>
      </c>
      <c r="L963" t="s">
        <v>2895</v>
      </c>
      <c r="O963" t="s">
        <v>2896</v>
      </c>
    </row>
    <row r="964" spans="1:15" x14ac:dyDescent="0.25">
      <c r="A964" t="s">
        <v>18</v>
      </c>
      <c r="B964" t="s">
        <v>2895</v>
      </c>
      <c r="C964" t="s">
        <v>2897</v>
      </c>
      <c r="D964" t="s">
        <v>20</v>
      </c>
      <c r="E964" t="s">
        <v>11</v>
      </c>
      <c r="F964">
        <v>3263.7</v>
      </c>
      <c r="G964">
        <v>18</v>
      </c>
      <c r="L964" t="s">
        <v>2898</v>
      </c>
      <c r="O964" t="s">
        <v>2899</v>
      </c>
    </row>
    <row r="965" spans="1:15" x14ac:dyDescent="0.25">
      <c r="A965" t="s">
        <v>18</v>
      </c>
      <c r="B965" t="s">
        <v>2898</v>
      </c>
      <c r="C965" t="s">
        <v>2900</v>
      </c>
      <c r="D965" t="s">
        <v>20</v>
      </c>
      <c r="E965" t="s">
        <v>11</v>
      </c>
      <c r="F965">
        <v>3133.1519999999996</v>
      </c>
      <c r="G965">
        <v>18</v>
      </c>
      <c r="L965" t="s">
        <v>2901</v>
      </c>
      <c r="O965" t="s">
        <v>2902</v>
      </c>
    </row>
    <row r="966" spans="1:15" x14ac:dyDescent="0.25">
      <c r="A966" t="s">
        <v>18</v>
      </c>
      <c r="B966" t="s">
        <v>2901</v>
      </c>
      <c r="C966" t="s">
        <v>2903</v>
      </c>
      <c r="D966" t="s">
        <v>20</v>
      </c>
      <c r="E966" t="s">
        <v>11</v>
      </c>
      <c r="F966">
        <v>6005.208</v>
      </c>
      <c r="G966">
        <v>18</v>
      </c>
      <c r="L966" t="s">
        <v>2904</v>
      </c>
      <c r="O966" t="s">
        <v>2905</v>
      </c>
    </row>
    <row r="967" spans="1:15" x14ac:dyDescent="0.25">
      <c r="A967" t="s">
        <v>18</v>
      </c>
      <c r="B967" t="s">
        <v>2904</v>
      </c>
      <c r="C967" t="s">
        <v>2906</v>
      </c>
      <c r="D967" t="s">
        <v>20</v>
      </c>
      <c r="E967" t="s">
        <v>11</v>
      </c>
      <c r="F967">
        <v>5091.371999999999</v>
      </c>
      <c r="G967">
        <v>18</v>
      </c>
      <c r="L967" t="s">
        <v>2907</v>
      </c>
      <c r="O967" t="s">
        <v>2908</v>
      </c>
    </row>
    <row r="968" spans="1:15" x14ac:dyDescent="0.25">
      <c r="A968" t="s">
        <v>18</v>
      </c>
      <c r="B968" t="s">
        <v>2907</v>
      </c>
      <c r="C968" t="s">
        <v>2909</v>
      </c>
      <c r="D968" t="s">
        <v>20</v>
      </c>
      <c r="E968" t="s">
        <v>11</v>
      </c>
      <c r="F968">
        <v>25979.052</v>
      </c>
      <c r="G968">
        <v>18</v>
      </c>
      <c r="L968" t="s">
        <v>2910</v>
      </c>
      <c r="O968" t="s">
        <v>2911</v>
      </c>
    </row>
    <row r="969" spans="1:15" x14ac:dyDescent="0.25">
      <c r="A969" t="s">
        <v>18</v>
      </c>
      <c r="B969" t="s">
        <v>2910</v>
      </c>
      <c r="C969" t="s">
        <v>2912</v>
      </c>
      <c r="D969" t="s">
        <v>20</v>
      </c>
      <c r="E969" t="s">
        <v>11</v>
      </c>
      <c r="F969">
        <v>2284.59</v>
      </c>
      <c r="G969">
        <v>18</v>
      </c>
      <c r="L969" t="s">
        <v>2913</v>
      </c>
      <c r="O969" t="s">
        <v>2914</v>
      </c>
    </row>
    <row r="970" spans="1:15" x14ac:dyDescent="0.25">
      <c r="A970" t="s">
        <v>18</v>
      </c>
      <c r="B970" t="s">
        <v>2913</v>
      </c>
      <c r="C970" t="s">
        <v>2915</v>
      </c>
      <c r="D970" t="s">
        <v>20</v>
      </c>
      <c r="E970" t="s">
        <v>11</v>
      </c>
      <c r="F970">
        <v>130.548</v>
      </c>
      <c r="G970">
        <v>18</v>
      </c>
      <c r="L970" t="s">
        <v>2916</v>
      </c>
      <c r="O970" t="s">
        <v>2917</v>
      </c>
    </row>
    <row r="971" spans="1:15" x14ac:dyDescent="0.25">
      <c r="A971" t="s">
        <v>18</v>
      </c>
      <c r="B971" t="s">
        <v>2916</v>
      </c>
      <c r="C971" t="s">
        <v>2918</v>
      </c>
      <c r="D971" t="s">
        <v>20</v>
      </c>
      <c r="E971" t="s">
        <v>11</v>
      </c>
      <c r="F971">
        <v>130.548</v>
      </c>
      <c r="G971">
        <v>18</v>
      </c>
      <c r="L971" t="s">
        <v>2919</v>
      </c>
      <c r="O971" t="s">
        <v>2920</v>
      </c>
    </row>
    <row r="972" spans="1:15" x14ac:dyDescent="0.25">
      <c r="A972" t="s">
        <v>18</v>
      </c>
      <c r="B972" t="s">
        <v>2919</v>
      </c>
      <c r="C972" t="s">
        <v>2921</v>
      </c>
      <c r="D972" t="s">
        <v>20</v>
      </c>
      <c r="E972" t="s">
        <v>11</v>
      </c>
      <c r="F972">
        <v>130.548</v>
      </c>
      <c r="G972">
        <v>18</v>
      </c>
      <c r="L972" t="s">
        <v>2922</v>
      </c>
      <c r="O972" t="s">
        <v>2923</v>
      </c>
    </row>
    <row r="973" spans="1:15" x14ac:dyDescent="0.25">
      <c r="A973" t="s">
        <v>18</v>
      </c>
      <c r="B973" t="s">
        <v>2922</v>
      </c>
      <c r="C973" t="s">
        <v>2924</v>
      </c>
      <c r="D973" t="s">
        <v>20</v>
      </c>
      <c r="E973" t="s">
        <v>11</v>
      </c>
      <c r="F973">
        <v>261.096</v>
      </c>
      <c r="G973">
        <v>18</v>
      </c>
      <c r="L973" t="s">
        <v>2925</v>
      </c>
      <c r="O973" t="s">
        <v>2926</v>
      </c>
    </row>
    <row r="974" spans="1:15" x14ac:dyDescent="0.25">
      <c r="A974" t="s">
        <v>18</v>
      </c>
      <c r="B974" t="s">
        <v>2925</v>
      </c>
      <c r="C974" t="s">
        <v>2927</v>
      </c>
      <c r="D974" t="s">
        <v>20</v>
      </c>
      <c r="E974" t="s">
        <v>11</v>
      </c>
      <c r="F974">
        <v>130.548</v>
      </c>
      <c r="G974">
        <v>18</v>
      </c>
      <c r="L974" t="s">
        <v>2928</v>
      </c>
      <c r="O974" t="s">
        <v>2929</v>
      </c>
    </row>
    <row r="975" spans="1:15" x14ac:dyDescent="0.25">
      <c r="A975" t="s">
        <v>18</v>
      </c>
      <c r="B975" t="s">
        <v>2928</v>
      </c>
      <c r="C975" t="s">
        <v>2930</v>
      </c>
      <c r="D975" t="s">
        <v>20</v>
      </c>
      <c r="E975" t="s">
        <v>11</v>
      </c>
      <c r="F975">
        <v>130.548</v>
      </c>
      <c r="G975">
        <v>18</v>
      </c>
      <c r="L975" t="s">
        <v>2931</v>
      </c>
      <c r="O975" t="s">
        <v>2932</v>
      </c>
    </row>
    <row r="976" spans="1:15" x14ac:dyDescent="0.25">
      <c r="A976" t="s">
        <v>18</v>
      </c>
      <c r="B976" t="s">
        <v>2931</v>
      </c>
      <c r="C976" t="s">
        <v>2933</v>
      </c>
      <c r="D976" t="s">
        <v>20</v>
      </c>
      <c r="E976" t="s">
        <v>11</v>
      </c>
      <c r="F976">
        <v>195.82199999999997</v>
      </c>
      <c r="G976">
        <v>18</v>
      </c>
      <c r="L976" t="s">
        <v>2934</v>
      </c>
      <c r="O976" t="s">
        <v>2935</v>
      </c>
    </row>
    <row r="977" spans="1:15" x14ac:dyDescent="0.25">
      <c r="A977" t="s">
        <v>18</v>
      </c>
      <c r="B977" t="s">
        <v>2934</v>
      </c>
      <c r="C977" t="s">
        <v>2936</v>
      </c>
      <c r="D977" t="s">
        <v>20</v>
      </c>
      <c r="E977" t="s">
        <v>11</v>
      </c>
      <c r="F977">
        <v>587.4659999999999</v>
      </c>
      <c r="G977">
        <v>18</v>
      </c>
      <c r="L977" t="s">
        <v>2937</v>
      </c>
      <c r="O977" t="s">
        <v>2938</v>
      </c>
    </row>
    <row r="978" spans="1:15" x14ac:dyDescent="0.25">
      <c r="A978" t="s">
        <v>18</v>
      </c>
      <c r="B978" t="s">
        <v>2937</v>
      </c>
      <c r="C978" t="s">
        <v>2939</v>
      </c>
      <c r="D978" t="s">
        <v>20</v>
      </c>
      <c r="E978" t="s">
        <v>11</v>
      </c>
      <c r="F978">
        <v>6331.5779999999995</v>
      </c>
      <c r="G978">
        <v>18</v>
      </c>
      <c r="L978" t="s">
        <v>2940</v>
      </c>
      <c r="O978" t="s">
        <v>2941</v>
      </c>
    </row>
    <row r="979" spans="1:15" x14ac:dyDescent="0.25">
      <c r="A979" t="s">
        <v>18</v>
      </c>
      <c r="B979" t="s">
        <v>2940</v>
      </c>
      <c r="C979" t="s">
        <v>2942</v>
      </c>
      <c r="D979" t="s">
        <v>20</v>
      </c>
      <c r="E979" t="s">
        <v>11</v>
      </c>
      <c r="F979">
        <v>1436.028</v>
      </c>
      <c r="G979">
        <v>18</v>
      </c>
      <c r="L979" t="s">
        <v>2943</v>
      </c>
      <c r="O979" t="s">
        <v>2944</v>
      </c>
    </row>
    <row r="980" spans="1:15" x14ac:dyDescent="0.25">
      <c r="A980" t="s">
        <v>18</v>
      </c>
      <c r="B980" t="s">
        <v>2943</v>
      </c>
      <c r="C980" t="s">
        <v>2945</v>
      </c>
      <c r="D980" t="s">
        <v>20</v>
      </c>
      <c r="E980" t="s">
        <v>11</v>
      </c>
      <c r="F980">
        <v>2872.056</v>
      </c>
      <c r="G980">
        <v>18</v>
      </c>
      <c r="L980" t="s">
        <v>2946</v>
      </c>
      <c r="O980" t="s">
        <v>2947</v>
      </c>
    </row>
    <row r="981" spans="1:15" x14ac:dyDescent="0.25">
      <c r="A981" t="s">
        <v>18</v>
      </c>
      <c r="B981" t="s">
        <v>2946</v>
      </c>
      <c r="C981" t="s">
        <v>2948</v>
      </c>
      <c r="D981" t="s">
        <v>20</v>
      </c>
      <c r="E981" t="s">
        <v>11</v>
      </c>
      <c r="F981">
        <v>979.11</v>
      </c>
      <c r="G981">
        <v>18</v>
      </c>
      <c r="L981" t="s">
        <v>2949</v>
      </c>
      <c r="O981" t="s">
        <v>2950</v>
      </c>
    </row>
    <row r="982" spans="1:15" x14ac:dyDescent="0.25">
      <c r="A982" t="s">
        <v>18</v>
      </c>
      <c r="B982" t="s">
        <v>2949</v>
      </c>
      <c r="C982" t="s">
        <v>2951</v>
      </c>
      <c r="D982" t="s">
        <v>20</v>
      </c>
      <c r="E982" t="s">
        <v>11</v>
      </c>
      <c r="F982">
        <v>3263.7</v>
      </c>
      <c r="G982">
        <v>18</v>
      </c>
      <c r="L982" t="s">
        <v>2952</v>
      </c>
      <c r="O982" t="s">
        <v>2953</v>
      </c>
    </row>
    <row r="983" spans="1:15" x14ac:dyDescent="0.25">
      <c r="A983" t="s">
        <v>18</v>
      </c>
      <c r="B983" t="s">
        <v>2952</v>
      </c>
      <c r="C983" t="s">
        <v>2954</v>
      </c>
      <c r="D983" t="s">
        <v>20</v>
      </c>
      <c r="E983" t="s">
        <v>11</v>
      </c>
      <c r="F983">
        <v>1240.2060000000001</v>
      </c>
      <c r="G983">
        <v>18</v>
      </c>
      <c r="L983" t="s">
        <v>2955</v>
      </c>
      <c r="O983" t="s">
        <v>2956</v>
      </c>
    </row>
    <row r="984" spans="1:15" x14ac:dyDescent="0.25">
      <c r="A984" t="s">
        <v>18</v>
      </c>
      <c r="B984" t="s">
        <v>2955</v>
      </c>
      <c r="C984" t="s">
        <v>2957</v>
      </c>
      <c r="D984" t="s">
        <v>20</v>
      </c>
      <c r="E984" t="s">
        <v>11</v>
      </c>
      <c r="F984">
        <v>1174.9319999999998</v>
      </c>
      <c r="G984">
        <v>18</v>
      </c>
      <c r="L984" t="s">
        <v>2958</v>
      </c>
      <c r="O984" t="s">
        <v>2959</v>
      </c>
    </row>
    <row r="985" spans="1:15" x14ac:dyDescent="0.25">
      <c r="A985" t="s">
        <v>18</v>
      </c>
      <c r="B985" t="s">
        <v>2958</v>
      </c>
      <c r="C985" t="s">
        <v>2960</v>
      </c>
      <c r="D985" t="s">
        <v>20</v>
      </c>
      <c r="E985" t="s">
        <v>11</v>
      </c>
      <c r="F985">
        <v>979.11</v>
      </c>
      <c r="G985">
        <v>18</v>
      </c>
      <c r="L985" t="s">
        <v>2961</v>
      </c>
      <c r="O985" t="s">
        <v>2962</v>
      </c>
    </row>
    <row r="986" spans="1:15" x14ac:dyDescent="0.25">
      <c r="A986" t="s">
        <v>18</v>
      </c>
      <c r="B986" t="s">
        <v>2961</v>
      </c>
      <c r="C986" t="s">
        <v>2963</v>
      </c>
      <c r="D986" t="s">
        <v>20</v>
      </c>
      <c r="E986" t="s">
        <v>11</v>
      </c>
      <c r="F986">
        <v>261.096</v>
      </c>
      <c r="G986">
        <v>18</v>
      </c>
      <c r="L986" t="s">
        <v>2964</v>
      </c>
      <c r="O986" t="s">
        <v>2965</v>
      </c>
    </row>
    <row r="987" spans="1:15" x14ac:dyDescent="0.25">
      <c r="A987" t="s">
        <v>18</v>
      </c>
      <c r="B987" t="s">
        <v>2964</v>
      </c>
      <c r="C987" t="s">
        <v>2966</v>
      </c>
      <c r="D987" t="s">
        <v>20</v>
      </c>
      <c r="E987" t="s">
        <v>11</v>
      </c>
      <c r="F987">
        <v>783.2879999999999</v>
      </c>
      <c r="G987">
        <v>18</v>
      </c>
      <c r="L987" t="s">
        <v>2967</v>
      </c>
      <c r="O987" t="s">
        <v>2968</v>
      </c>
    </row>
    <row r="988" spans="1:15" x14ac:dyDescent="0.25">
      <c r="A988" t="s">
        <v>18</v>
      </c>
      <c r="B988" t="s">
        <v>2967</v>
      </c>
      <c r="C988" t="s">
        <v>2969</v>
      </c>
      <c r="D988" t="s">
        <v>20</v>
      </c>
      <c r="E988" t="s">
        <v>11</v>
      </c>
      <c r="F988">
        <v>587.4659999999999</v>
      </c>
      <c r="G988">
        <v>18</v>
      </c>
      <c r="L988" t="s">
        <v>2970</v>
      </c>
      <c r="O988" t="s">
        <v>2971</v>
      </c>
    </row>
    <row r="989" spans="1:15" x14ac:dyDescent="0.25">
      <c r="A989" t="s">
        <v>18</v>
      </c>
      <c r="B989" t="s">
        <v>2970</v>
      </c>
      <c r="C989" t="s">
        <v>2972</v>
      </c>
      <c r="D989" t="s">
        <v>20</v>
      </c>
      <c r="E989" t="s">
        <v>11</v>
      </c>
      <c r="F989">
        <v>783.2879999999999</v>
      </c>
      <c r="G989">
        <v>18</v>
      </c>
      <c r="L989" t="s">
        <v>2973</v>
      </c>
      <c r="O989" t="s">
        <v>2974</v>
      </c>
    </row>
    <row r="990" spans="1:15" x14ac:dyDescent="0.25">
      <c r="A990" t="s">
        <v>18</v>
      </c>
      <c r="B990" t="s">
        <v>2973</v>
      </c>
      <c r="C990" t="s">
        <v>2975</v>
      </c>
      <c r="D990" t="s">
        <v>20</v>
      </c>
      <c r="E990" t="s">
        <v>11</v>
      </c>
      <c r="F990">
        <v>2284.59</v>
      </c>
      <c r="G990">
        <v>18</v>
      </c>
      <c r="L990" t="s">
        <v>2976</v>
      </c>
      <c r="O990" t="s">
        <v>2977</v>
      </c>
    </row>
    <row r="991" spans="1:15" x14ac:dyDescent="0.25">
      <c r="A991" t="s">
        <v>18</v>
      </c>
      <c r="B991" t="s">
        <v>2976</v>
      </c>
      <c r="C991" t="s">
        <v>2978</v>
      </c>
      <c r="D991" t="s">
        <v>20</v>
      </c>
      <c r="E991" t="s">
        <v>11</v>
      </c>
      <c r="F991">
        <v>5809.3859999999995</v>
      </c>
      <c r="G991">
        <v>18</v>
      </c>
      <c r="L991" t="s">
        <v>2979</v>
      </c>
      <c r="O991" t="s">
        <v>2980</v>
      </c>
    </row>
    <row r="992" spans="1:15" x14ac:dyDescent="0.25">
      <c r="A992" t="s">
        <v>18</v>
      </c>
      <c r="B992" t="s">
        <v>2979</v>
      </c>
      <c r="C992" t="s">
        <v>2981</v>
      </c>
      <c r="D992" t="s">
        <v>20</v>
      </c>
      <c r="E992" t="s">
        <v>11</v>
      </c>
      <c r="F992">
        <v>1827.672</v>
      </c>
      <c r="G992">
        <v>18</v>
      </c>
      <c r="L992" t="s">
        <v>2982</v>
      </c>
      <c r="O992" t="s">
        <v>2983</v>
      </c>
    </row>
    <row r="993" spans="1:15" x14ac:dyDescent="0.25">
      <c r="A993" t="s">
        <v>18</v>
      </c>
      <c r="B993" t="s">
        <v>2982</v>
      </c>
      <c r="C993" t="s">
        <v>2984</v>
      </c>
      <c r="D993" t="s">
        <v>20</v>
      </c>
      <c r="E993" t="s">
        <v>11</v>
      </c>
      <c r="F993">
        <v>4634.454</v>
      </c>
      <c r="G993">
        <v>18</v>
      </c>
      <c r="L993" t="s">
        <v>2985</v>
      </c>
      <c r="O993" t="s">
        <v>2986</v>
      </c>
    </row>
    <row r="994" spans="1:15" x14ac:dyDescent="0.25">
      <c r="A994" t="s">
        <v>18</v>
      </c>
      <c r="B994" t="s">
        <v>2985</v>
      </c>
      <c r="C994" t="s">
        <v>2987</v>
      </c>
      <c r="D994" t="s">
        <v>20</v>
      </c>
      <c r="E994" t="s">
        <v>11</v>
      </c>
      <c r="F994">
        <v>3328.9739999999997</v>
      </c>
      <c r="G994">
        <v>18</v>
      </c>
      <c r="L994" t="s">
        <v>2988</v>
      </c>
      <c r="O994" t="s">
        <v>2989</v>
      </c>
    </row>
    <row r="995" spans="1:15" x14ac:dyDescent="0.25">
      <c r="A995" t="s">
        <v>18</v>
      </c>
      <c r="B995" t="s">
        <v>2988</v>
      </c>
      <c r="C995" t="s">
        <v>2990</v>
      </c>
      <c r="D995" t="s">
        <v>20</v>
      </c>
      <c r="E995" t="s">
        <v>11</v>
      </c>
      <c r="F995">
        <v>783.2879999999999</v>
      </c>
      <c r="G995">
        <v>18</v>
      </c>
      <c r="L995" t="s">
        <v>2991</v>
      </c>
      <c r="O995" t="s">
        <v>2992</v>
      </c>
    </row>
    <row r="996" spans="1:15" x14ac:dyDescent="0.25">
      <c r="A996" t="s">
        <v>18</v>
      </c>
      <c r="B996" t="s">
        <v>2991</v>
      </c>
      <c r="C996" t="s">
        <v>2993</v>
      </c>
      <c r="D996" t="s">
        <v>20</v>
      </c>
      <c r="E996" t="s">
        <v>11</v>
      </c>
      <c r="F996">
        <v>5939.933999999999</v>
      </c>
      <c r="G996">
        <v>18</v>
      </c>
      <c r="L996" t="s">
        <v>2994</v>
      </c>
      <c r="O996" t="s">
        <v>2995</v>
      </c>
    </row>
    <row r="997" spans="1:15" x14ac:dyDescent="0.25">
      <c r="A997" t="s">
        <v>18</v>
      </c>
      <c r="B997" t="s">
        <v>2994</v>
      </c>
      <c r="C997" t="s">
        <v>2996</v>
      </c>
      <c r="D997" t="s">
        <v>20</v>
      </c>
      <c r="E997" t="s">
        <v>11</v>
      </c>
      <c r="F997">
        <v>7506.51</v>
      </c>
      <c r="G997">
        <v>18</v>
      </c>
      <c r="L997" t="s">
        <v>2997</v>
      </c>
      <c r="O997" t="s">
        <v>2998</v>
      </c>
    </row>
    <row r="998" spans="1:15" x14ac:dyDescent="0.25">
      <c r="A998" t="s">
        <v>18</v>
      </c>
      <c r="B998" t="s">
        <v>2997</v>
      </c>
      <c r="C998" t="s">
        <v>2999</v>
      </c>
      <c r="D998" t="s">
        <v>20</v>
      </c>
      <c r="E998" t="s">
        <v>11</v>
      </c>
      <c r="F998">
        <v>1044.384</v>
      </c>
      <c r="G998">
        <v>18</v>
      </c>
      <c r="L998" t="s">
        <v>3000</v>
      </c>
      <c r="O998" t="s">
        <v>3001</v>
      </c>
    </row>
    <row r="999" spans="1:15" x14ac:dyDescent="0.25">
      <c r="A999" t="s">
        <v>18</v>
      </c>
      <c r="B999" t="s">
        <v>3000</v>
      </c>
      <c r="C999" t="s">
        <v>3002</v>
      </c>
      <c r="D999" t="s">
        <v>20</v>
      </c>
      <c r="E999" t="s">
        <v>11</v>
      </c>
      <c r="F999">
        <v>1501.302</v>
      </c>
      <c r="G999">
        <v>18</v>
      </c>
      <c r="L999" t="s">
        <v>3003</v>
      </c>
      <c r="O999" t="s">
        <v>3004</v>
      </c>
    </row>
    <row r="1000" spans="1:15" x14ac:dyDescent="0.25">
      <c r="A1000" t="s">
        <v>18</v>
      </c>
      <c r="B1000" t="s">
        <v>3003</v>
      </c>
      <c r="C1000" t="s">
        <v>3005</v>
      </c>
      <c r="D1000" t="s">
        <v>20</v>
      </c>
      <c r="E1000" t="s">
        <v>11</v>
      </c>
      <c r="F1000">
        <v>195.82199999999997</v>
      </c>
      <c r="G1000">
        <v>18</v>
      </c>
      <c r="L1000" t="s">
        <v>3006</v>
      </c>
      <c r="O1000" t="s">
        <v>3007</v>
      </c>
    </row>
    <row r="1001" spans="1:15" x14ac:dyDescent="0.25">
      <c r="A1001" t="s">
        <v>18</v>
      </c>
      <c r="B1001" t="s">
        <v>3006</v>
      </c>
      <c r="C1001" t="s">
        <v>3008</v>
      </c>
      <c r="D1001" t="s">
        <v>20</v>
      </c>
      <c r="E1001" t="s">
        <v>11</v>
      </c>
      <c r="F1001">
        <v>3720.6179999999995</v>
      </c>
      <c r="G1001">
        <v>18</v>
      </c>
      <c r="L1001" t="s">
        <v>3009</v>
      </c>
      <c r="O1001" t="s">
        <v>3010</v>
      </c>
    </row>
    <row r="1002" spans="1:15" x14ac:dyDescent="0.25">
      <c r="A1002" t="s">
        <v>18</v>
      </c>
      <c r="B1002" t="s">
        <v>3009</v>
      </c>
      <c r="C1002" t="s">
        <v>3011</v>
      </c>
      <c r="D1002" t="s">
        <v>20</v>
      </c>
      <c r="E1002" t="s">
        <v>11</v>
      </c>
      <c r="F1002">
        <v>5939.933999999999</v>
      </c>
      <c r="G1002">
        <v>18</v>
      </c>
      <c r="L1002" t="s">
        <v>3012</v>
      </c>
      <c r="O1002" t="s">
        <v>3013</v>
      </c>
    </row>
    <row r="1003" spans="1:15" x14ac:dyDescent="0.25">
      <c r="A1003" t="s">
        <v>18</v>
      </c>
      <c r="B1003" t="s">
        <v>3012</v>
      </c>
      <c r="C1003" t="s">
        <v>3014</v>
      </c>
      <c r="D1003" t="s">
        <v>20</v>
      </c>
      <c r="E1003" t="s">
        <v>11</v>
      </c>
      <c r="F1003">
        <v>1958.22</v>
      </c>
      <c r="G1003">
        <v>18</v>
      </c>
      <c r="L1003" t="s">
        <v>3015</v>
      </c>
      <c r="O1003" t="s">
        <v>3016</v>
      </c>
    </row>
    <row r="1004" spans="1:15" x14ac:dyDescent="0.25">
      <c r="A1004" t="s">
        <v>18</v>
      </c>
      <c r="B1004" t="s">
        <v>3015</v>
      </c>
      <c r="C1004" t="s">
        <v>3017</v>
      </c>
      <c r="D1004" t="s">
        <v>20</v>
      </c>
      <c r="E1004" t="s">
        <v>11</v>
      </c>
      <c r="F1004">
        <v>5026.097999999999</v>
      </c>
      <c r="G1004">
        <v>18</v>
      </c>
      <c r="L1004" t="s">
        <v>3018</v>
      </c>
      <c r="O1004" t="s">
        <v>3019</v>
      </c>
    </row>
    <row r="1005" spans="1:15" x14ac:dyDescent="0.25">
      <c r="A1005" t="s">
        <v>18</v>
      </c>
      <c r="B1005" t="s">
        <v>3018</v>
      </c>
      <c r="C1005" t="s">
        <v>3020</v>
      </c>
      <c r="D1005" t="s">
        <v>20</v>
      </c>
      <c r="E1005" t="s">
        <v>11</v>
      </c>
      <c r="F1005">
        <v>3981.714</v>
      </c>
      <c r="G1005">
        <v>18</v>
      </c>
      <c r="L1005" t="s">
        <v>3021</v>
      </c>
      <c r="O1005" t="s">
        <v>3022</v>
      </c>
    </row>
    <row r="1006" spans="1:15" x14ac:dyDescent="0.25">
      <c r="A1006" t="s">
        <v>18</v>
      </c>
      <c r="B1006" t="s">
        <v>3021</v>
      </c>
      <c r="C1006" t="s">
        <v>3023</v>
      </c>
      <c r="D1006" t="s">
        <v>20</v>
      </c>
      <c r="E1006" t="s">
        <v>11</v>
      </c>
      <c r="F1006">
        <v>2415.138</v>
      </c>
      <c r="G1006">
        <v>18</v>
      </c>
      <c r="L1006" t="s">
        <v>3024</v>
      </c>
      <c r="O1006" t="s">
        <v>3025</v>
      </c>
    </row>
    <row r="1007" spans="1:15" x14ac:dyDescent="0.25">
      <c r="A1007" t="s">
        <v>18</v>
      </c>
      <c r="B1007" t="s">
        <v>3024</v>
      </c>
      <c r="C1007" t="s">
        <v>3026</v>
      </c>
      <c r="D1007" t="s">
        <v>20</v>
      </c>
      <c r="E1007" t="s">
        <v>11</v>
      </c>
      <c r="F1007">
        <v>1436.028</v>
      </c>
      <c r="G1007">
        <v>18</v>
      </c>
      <c r="L1007" t="s">
        <v>3027</v>
      </c>
      <c r="O1007" t="s">
        <v>3028</v>
      </c>
    </row>
    <row r="1008" spans="1:15" x14ac:dyDescent="0.25">
      <c r="A1008" t="s">
        <v>18</v>
      </c>
      <c r="B1008" t="s">
        <v>3027</v>
      </c>
      <c r="C1008" t="s">
        <v>3029</v>
      </c>
      <c r="D1008" t="s">
        <v>20</v>
      </c>
      <c r="E1008" t="s">
        <v>11</v>
      </c>
      <c r="F1008">
        <v>20300.213999999996</v>
      </c>
      <c r="G1008">
        <v>18</v>
      </c>
      <c r="L1008" t="s">
        <v>3030</v>
      </c>
      <c r="O1008" t="s">
        <v>3031</v>
      </c>
    </row>
    <row r="1009" spans="1:15" x14ac:dyDescent="0.25">
      <c r="A1009" t="s">
        <v>18</v>
      </c>
      <c r="B1009" t="s">
        <v>3030</v>
      </c>
      <c r="C1009" t="s">
        <v>3032</v>
      </c>
      <c r="D1009" t="s">
        <v>20</v>
      </c>
      <c r="E1009" t="s">
        <v>11</v>
      </c>
      <c r="F1009">
        <v>2088.768</v>
      </c>
      <c r="G1009">
        <v>18</v>
      </c>
      <c r="L1009" t="s">
        <v>3033</v>
      </c>
      <c r="O1009" t="s">
        <v>3034</v>
      </c>
    </row>
    <row r="1010" spans="1:15" x14ac:dyDescent="0.25">
      <c r="A1010" t="s">
        <v>18</v>
      </c>
      <c r="B1010" t="s">
        <v>3033</v>
      </c>
      <c r="C1010" t="s">
        <v>3035</v>
      </c>
      <c r="D1010" t="s">
        <v>20</v>
      </c>
      <c r="E1010" t="s">
        <v>11</v>
      </c>
      <c r="F1010">
        <v>2415.138</v>
      </c>
      <c r="G1010">
        <v>18</v>
      </c>
      <c r="L1010" t="s">
        <v>3036</v>
      </c>
      <c r="O1010" t="s">
        <v>3037</v>
      </c>
    </row>
    <row r="1011" spans="1:15" x14ac:dyDescent="0.25">
      <c r="A1011" t="s">
        <v>18</v>
      </c>
      <c r="B1011" t="s">
        <v>3036</v>
      </c>
      <c r="C1011" t="s">
        <v>3038</v>
      </c>
      <c r="D1011" t="s">
        <v>20</v>
      </c>
      <c r="E1011" t="s">
        <v>11</v>
      </c>
      <c r="F1011">
        <v>1631.85</v>
      </c>
      <c r="G1011">
        <v>18</v>
      </c>
      <c r="L1011" t="s">
        <v>3039</v>
      </c>
      <c r="O1011" t="s">
        <v>3040</v>
      </c>
    </row>
    <row r="1012" spans="1:15" x14ac:dyDescent="0.25">
      <c r="A1012" t="s">
        <v>18</v>
      </c>
      <c r="B1012" t="s">
        <v>3039</v>
      </c>
      <c r="C1012" t="s">
        <v>3041</v>
      </c>
      <c r="D1012" t="s">
        <v>20</v>
      </c>
      <c r="E1012" t="s">
        <v>11</v>
      </c>
      <c r="F1012">
        <v>391.64399999999995</v>
      </c>
      <c r="G1012">
        <v>18</v>
      </c>
      <c r="L1012" t="s">
        <v>3042</v>
      </c>
      <c r="O1012" t="s">
        <v>3043</v>
      </c>
    </row>
    <row r="1013" spans="1:15" x14ac:dyDescent="0.25">
      <c r="A1013" t="s">
        <v>18</v>
      </c>
      <c r="B1013" t="s">
        <v>3042</v>
      </c>
      <c r="C1013" t="s">
        <v>3044</v>
      </c>
      <c r="D1013" t="s">
        <v>20</v>
      </c>
      <c r="E1013" t="s">
        <v>11</v>
      </c>
      <c r="F1013">
        <v>6723.222000000001</v>
      </c>
      <c r="G1013">
        <v>18</v>
      </c>
      <c r="L1013" t="s">
        <v>3045</v>
      </c>
      <c r="O1013" t="s">
        <v>3046</v>
      </c>
    </row>
    <row r="1014" spans="1:15" x14ac:dyDescent="0.25">
      <c r="A1014" t="s">
        <v>18</v>
      </c>
      <c r="B1014" t="s">
        <v>3045</v>
      </c>
      <c r="C1014" t="s">
        <v>3047</v>
      </c>
      <c r="D1014" t="s">
        <v>20</v>
      </c>
      <c r="E1014" t="s">
        <v>11</v>
      </c>
      <c r="F1014">
        <v>2806.7819999999997</v>
      </c>
      <c r="G1014">
        <v>18</v>
      </c>
      <c r="L1014" t="s">
        <v>3048</v>
      </c>
      <c r="O1014" t="s">
        <v>3049</v>
      </c>
    </row>
    <row r="1015" spans="1:15" x14ac:dyDescent="0.25">
      <c r="A1015" t="s">
        <v>18</v>
      </c>
      <c r="B1015" t="s">
        <v>3048</v>
      </c>
      <c r="C1015" t="s">
        <v>3050</v>
      </c>
      <c r="D1015" t="s">
        <v>20</v>
      </c>
      <c r="E1015" t="s">
        <v>11</v>
      </c>
      <c r="F1015">
        <v>326.37</v>
      </c>
      <c r="G1015">
        <v>18</v>
      </c>
      <c r="L1015" t="s">
        <v>3051</v>
      </c>
      <c r="O1015" t="s">
        <v>3052</v>
      </c>
    </row>
    <row r="1016" spans="1:15" x14ac:dyDescent="0.25">
      <c r="A1016" t="s">
        <v>18</v>
      </c>
      <c r="B1016" t="s">
        <v>3051</v>
      </c>
      <c r="C1016" t="s">
        <v>3053</v>
      </c>
      <c r="D1016" t="s">
        <v>20</v>
      </c>
      <c r="E1016" t="s">
        <v>11</v>
      </c>
      <c r="F1016">
        <v>1370.754</v>
      </c>
      <c r="G1016">
        <v>18</v>
      </c>
      <c r="L1016" t="s">
        <v>3054</v>
      </c>
      <c r="O1016" t="s">
        <v>3055</v>
      </c>
    </row>
    <row r="1017" spans="1:15" x14ac:dyDescent="0.25">
      <c r="A1017" t="s">
        <v>18</v>
      </c>
      <c r="B1017" t="s">
        <v>3054</v>
      </c>
      <c r="C1017" t="s">
        <v>3056</v>
      </c>
      <c r="D1017" t="s">
        <v>20</v>
      </c>
      <c r="E1017" t="s">
        <v>11</v>
      </c>
      <c r="F1017">
        <v>26501.244</v>
      </c>
      <c r="G1017">
        <v>18</v>
      </c>
      <c r="L1017" t="s">
        <v>3057</v>
      </c>
      <c r="O1017" t="s">
        <v>3058</v>
      </c>
    </row>
    <row r="1018" spans="1:15" x14ac:dyDescent="0.25">
      <c r="A1018" t="s">
        <v>18</v>
      </c>
      <c r="B1018" t="s">
        <v>3057</v>
      </c>
      <c r="C1018" t="s">
        <v>3059</v>
      </c>
      <c r="D1018" t="s">
        <v>20</v>
      </c>
      <c r="E1018" t="s">
        <v>11</v>
      </c>
      <c r="F1018">
        <v>9203.633999999998</v>
      </c>
      <c r="G1018">
        <v>18</v>
      </c>
      <c r="L1018" t="s">
        <v>3060</v>
      </c>
      <c r="O1018" t="s">
        <v>3061</v>
      </c>
    </row>
    <row r="1019" spans="1:15" x14ac:dyDescent="0.25">
      <c r="A1019" t="s">
        <v>18</v>
      </c>
      <c r="B1019" t="s">
        <v>3060</v>
      </c>
      <c r="C1019" t="s">
        <v>3062</v>
      </c>
      <c r="D1019" t="s">
        <v>20</v>
      </c>
      <c r="E1019" t="s">
        <v>11</v>
      </c>
      <c r="F1019">
        <v>15143.568</v>
      </c>
      <c r="G1019">
        <v>18</v>
      </c>
      <c r="L1019" t="s">
        <v>3063</v>
      </c>
      <c r="O1019" t="s">
        <v>3064</v>
      </c>
    </row>
    <row r="1020" spans="1:15" x14ac:dyDescent="0.25">
      <c r="A1020" t="s">
        <v>18</v>
      </c>
      <c r="B1020" t="s">
        <v>3063</v>
      </c>
      <c r="C1020" t="s">
        <v>3065</v>
      </c>
      <c r="D1020" t="s">
        <v>20</v>
      </c>
      <c r="E1020" t="s">
        <v>11</v>
      </c>
      <c r="F1020">
        <v>1174.9319999999998</v>
      </c>
      <c r="G1020">
        <v>18</v>
      </c>
      <c r="L1020" t="s">
        <v>3066</v>
      </c>
      <c r="O1020" t="s">
        <v>3067</v>
      </c>
    </row>
    <row r="1021" spans="1:15" x14ac:dyDescent="0.25">
      <c r="A1021" t="s">
        <v>18</v>
      </c>
      <c r="B1021" t="s">
        <v>3066</v>
      </c>
      <c r="C1021" t="s">
        <v>3068</v>
      </c>
      <c r="D1021" t="s">
        <v>20</v>
      </c>
      <c r="E1021" t="s">
        <v>11</v>
      </c>
      <c r="F1021">
        <v>718.014</v>
      </c>
      <c r="G1021">
        <v>18</v>
      </c>
      <c r="L1021" t="s">
        <v>3069</v>
      </c>
      <c r="O1021" t="s">
        <v>3070</v>
      </c>
    </row>
    <row r="1022" spans="1:15" x14ac:dyDescent="0.25">
      <c r="A1022" t="s">
        <v>18</v>
      </c>
      <c r="B1022" t="s">
        <v>3069</v>
      </c>
      <c r="C1022" t="s">
        <v>3071</v>
      </c>
      <c r="D1022" t="s">
        <v>20</v>
      </c>
      <c r="E1022" t="s">
        <v>11</v>
      </c>
      <c r="F1022">
        <v>783.2879999999999</v>
      </c>
      <c r="G1022">
        <v>18</v>
      </c>
      <c r="L1022" t="s">
        <v>3072</v>
      </c>
      <c r="O1022" t="s">
        <v>3073</v>
      </c>
    </row>
    <row r="1023" spans="1:15" x14ac:dyDescent="0.25">
      <c r="A1023" t="s">
        <v>18</v>
      </c>
      <c r="B1023" t="s">
        <v>3072</v>
      </c>
      <c r="C1023" t="s">
        <v>3074</v>
      </c>
      <c r="D1023" t="s">
        <v>20</v>
      </c>
      <c r="E1023" t="s">
        <v>11</v>
      </c>
      <c r="F1023">
        <v>4242.8099999999995</v>
      </c>
      <c r="G1023">
        <v>18</v>
      </c>
      <c r="L1023" t="s">
        <v>3075</v>
      </c>
      <c r="O1023" t="s">
        <v>3076</v>
      </c>
    </row>
    <row r="1024" spans="1:15" x14ac:dyDescent="0.25">
      <c r="A1024" t="s">
        <v>18</v>
      </c>
      <c r="B1024" t="s">
        <v>3075</v>
      </c>
      <c r="C1024" t="s">
        <v>3077</v>
      </c>
      <c r="D1024" t="s">
        <v>20</v>
      </c>
      <c r="E1024" t="s">
        <v>11</v>
      </c>
      <c r="F1024">
        <v>195.82199999999997</v>
      </c>
      <c r="G1024">
        <v>18</v>
      </c>
      <c r="L1024" t="s">
        <v>3078</v>
      </c>
      <c r="O1024" t="s">
        <v>3079</v>
      </c>
    </row>
    <row r="1025" spans="1:15" x14ac:dyDescent="0.25">
      <c r="A1025" t="s">
        <v>18</v>
      </c>
      <c r="B1025" t="s">
        <v>3078</v>
      </c>
      <c r="C1025" t="s">
        <v>3080</v>
      </c>
      <c r="D1025" t="s">
        <v>20</v>
      </c>
      <c r="E1025" t="s">
        <v>11</v>
      </c>
      <c r="F1025">
        <v>195.82199999999997</v>
      </c>
      <c r="G1025">
        <v>18</v>
      </c>
      <c r="L1025" t="s">
        <v>3081</v>
      </c>
      <c r="O1025" t="s">
        <v>3082</v>
      </c>
    </row>
    <row r="1026" spans="1:15" x14ac:dyDescent="0.25">
      <c r="A1026" t="s">
        <v>18</v>
      </c>
      <c r="B1026" t="s">
        <v>3081</v>
      </c>
      <c r="C1026" t="s">
        <v>3083</v>
      </c>
      <c r="D1026" t="s">
        <v>20</v>
      </c>
      <c r="E1026" t="s">
        <v>11</v>
      </c>
      <c r="F1026">
        <v>130.548</v>
      </c>
      <c r="G1026">
        <v>18</v>
      </c>
      <c r="L1026" t="s">
        <v>3084</v>
      </c>
      <c r="O1026" t="s">
        <v>3085</v>
      </c>
    </row>
    <row r="1027" spans="1:15" x14ac:dyDescent="0.25">
      <c r="A1027" t="s">
        <v>18</v>
      </c>
      <c r="B1027" t="s">
        <v>3084</v>
      </c>
      <c r="C1027" t="s">
        <v>3086</v>
      </c>
      <c r="D1027" t="s">
        <v>20</v>
      </c>
      <c r="E1027" t="s">
        <v>11</v>
      </c>
      <c r="F1027">
        <v>130.548</v>
      </c>
      <c r="G1027">
        <v>18</v>
      </c>
      <c r="L1027" t="s">
        <v>3087</v>
      </c>
      <c r="O1027" t="s">
        <v>3088</v>
      </c>
    </row>
    <row r="1028" spans="1:15" x14ac:dyDescent="0.25">
      <c r="A1028" t="s">
        <v>18</v>
      </c>
      <c r="B1028" t="s">
        <v>3087</v>
      </c>
      <c r="C1028" t="s">
        <v>3089</v>
      </c>
      <c r="D1028" t="s">
        <v>20</v>
      </c>
      <c r="E1028" t="s">
        <v>11</v>
      </c>
      <c r="F1028">
        <v>130.548</v>
      </c>
      <c r="G1028">
        <v>18</v>
      </c>
      <c r="L1028" t="s">
        <v>3090</v>
      </c>
      <c r="O1028" t="s">
        <v>3091</v>
      </c>
    </row>
    <row r="1029" spans="1:15" x14ac:dyDescent="0.25">
      <c r="A1029" t="s">
        <v>18</v>
      </c>
      <c r="B1029" t="s">
        <v>3090</v>
      </c>
      <c r="C1029" t="s">
        <v>3092</v>
      </c>
      <c r="D1029" t="s">
        <v>20</v>
      </c>
      <c r="E1029" t="s">
        <v>11</v>
      </c>
      <c r="F1029">
        <v>130.548</v>
      </c>
      <c r="G1029">
        <v>18</v>
      </c>
      <c r="L1029" t="s">
        <v>3093</v>
      </c>
      <c r="O1029" t="s">
        <v>3094</v>
      </c>
    </row>
    <row r="1030" spans="1:15" x14ac:dyDescent="0.25">
      <c r="A1030" t="s">
        <v>18</v>
      </c>
      <c r="B1030" t="s">
        <v>3093</v>
      </c>
      <c r="C1030" t="s">
        <v>3095</v>
      </c>
      <c r="D1030" t="s">
        <v>20</v>
      </c>
      <c r="E1030" t="s">
        <v>11</v>
      </c>
      <c r="F1030">
        <v>2872.056</v>
      </c>
      <c r="G1030">
        <v>18</v>
      </c>
      <c r="L1030" t="s">
        <v>3096</v>
      </c>
      <c r="O1030" t="s">
        <v>3097</v>
      </c>
    </row>
    <row r="1031" spans="1:15" x14ac:dyDescent="0.25">
      <c r="A1031" t="s">
        <v>18</v>
      </c>
      <c r="B1031" t="s">
        <v>3096</v>
      </c>
      <c r="C1031" t="s">
        <v>3098</v>
      </c>
      <c r="D1031" t="s">
        <v>20</v>
      </c>
      <c r="E1031" t="s">
        <v>11</v>
      </c>
      <c r="F1031">
        <v>2806.7819999999997</v>
      </c>
      <c r="G1031">
        <v>18</v>
      </c>
      <c r="L1031" t="s">
        <v>3099</v>
      </c>
      <c r="O1031" t="s">
        <v>3100</v>
      </c>
    </row>
    <row r="1032" spans="1:15" x14ac:dyDescent="0.25">
      <c r="A1032" t="s">
        <v>18</v>
      </c>
      <c r="B1032" t="s">
        <v>3099</v>
      </c>
      <c r="C1032" t="s">
        <v>3101</v>
      </c>
      <c r="D1032" t="s">
        <v>20</v>
      </c>
      <c r="E1032" t="s">
        <v>11</v>
      </c>
      <c r="F1032">
        <v>2806.7819999999997</v>
      </c>
      <c r="G1032">
        <v>18</v>
      </c>
      <c r="L1032" t="s">
        <v>3102</v>
      </c>
      <c r="O1032" t="s">
        <v>3103</v>
      </c>
    </row>
    <row r="1033" spans="1:15" x14ac:dyDescent="0.25">
      <c r="A1033" t="s">
        <v>18</v>
      </c>
      <c r="B1033" t="s">
        <v>3102</v>
      </c>
      <c r="C1033" t="s">
        <v>3104</v>
      </c>
      <c r="D1033" t="s">
        <v>20</v>
      </c>
      <c r="E1033" t="s">
        <v>11</v>
      </c>
      <c r="F1033">
        <v>3785.892</v>
      </c>
      <c r="G1033">
        <v>18</v>
      </c>
      <c r="L1033" t="s">
        <v>3105</v>
      </c>
      <c r="O1033" t="s">
        <v>3106</v>
      </c>
    </row>
    <row r="1034" spans="1:15" x14ac:dyDescent="0.25">
      <c r="A1034" t="s">
        <v>18</v>
      </c>
      <c r="B1034" t="s">
        <v>3105</v>
      </c>
      <c r="C1034" t="s">
        <v>3107</v>
      </c>
      <c r="D1034" t="s">
        <v>20</v>
      </c>
      <c r="E1034" t="s">
        <v>11</v>
      </c>
      <c r="F1034">
        <v>13772.814</v>
      </c>
      <c r="G1034">
        <v>18</v>
      </c>
      <c r="L1034" t="s">
        <v>3108</v>
      </c>
      <c r="O1034" t="s">
        <v>3109</v>
      </c>
    </row>
    <row r="1035" spans="1:15" x14ac:dyDescent="0.25">
      <c r="A1035" t="s">
        <v>18</v>
      </c>
      <c r="B1035" t="s">
        <v>3108</v>
      </c>
      <c r="C1035" t="s">
        <v>3110</v>
      </c>
      <c r="D1035" t="s">
        <v>20</v>
      </c>
      <c r="E1035" t="s">
        <v>11</v>
      </c>
      <c r="F1035">
        <v>130.548</v>
      </c>
      <c r="G1035">
        <v>18</v>
      </c>
      <c r="L1035" t="s">
        <v>3111</v>
      </c>
      <c r="O1035" t="s">
        <v>3112</v>
      </c>
    </row>
    <row r="1036" spans="1:15" x14ac:dyDescent="0.25">
      <c r="A1036" t="s">
        <v>18</v>
      </c>
      <c r="B1036" t="s">
        <v>3111</v>
      </c>
      <c r="C1036" t="s">
        <v>3113</v>
      </c>
      <c r="D1036" t="s">
        <v>20</v>
      </c>
      <c r="E1036" t="s">
        <v>11</v>
      </c>
      <c r="F1036">
        <v>8681.442000000001</v>
      </c>
      <c r="G1036">
        <v>18</v>
      </c>
      <c r="L1036" t="s">
        <v>3114</v>
      </c>
      <c r="O1036" t="s">
        <v>3115</v>
      </c>
    </row>
    <row r="1037" spans="1:15" x14ac:dyDescent="0.25">
      <c r="A1037" t="s">
        <v>18</v>
      </c>
      <c r="B1037" t="s">
        <v>3114</v>
      </c>
      <c r="C1037" t="s">
        <v>3116</v>
      </c>
      <c r="D1037" t="s">
        <v>20</v>
      </c>
      <c r="E1037" t="s">
        <v>11</v>
      </c>
      <c r="F1037">
        <v>2088.768</v>
      </c>
      <c r="G1037">
        <v>18</v>
      </c>
      <c r="L1037" t="s">
        <v>3117</v>
      </c>
      <c r="O1037" t="s">
        <v>3118</v>
      </c>
    </row>
    <row r="1038" spans="1:15" x14ac:dyDescent="0.25">
      <c r="A1038" t="s">
        <v>18</v>
      </c>
      <c r="B1038" t="s">
        <v>3117</v>
      </c>
      <c r="C1038" t="s">
        <v>3119</v>
      </c>
      <c r="D1038" t="s">
        <v>20</v>
      </c>
      <c r="E1038" t="s">
        <v>11</v>
      </c>
      <c r="F1038">
        <v>3851.166</v>
      </c>
      <c r="G1038">
        <v>18</v>
      </c>
      <c r="L1038" t="s">
        <v>3120</v>
      </c>
      <c r="O1038" t="s">
        <v>3121</v>
      </c>
    </row>
    <row r="1039" spans="1:15" x14ac:dyDescent="0.25">
      <c r="A1039" t="s">
        <v>18</v>
      </c>
      <c r="B1039" t="s">
        <v>3120</v>
      </c>
      <c r="C1039" t="s">
        <v>3122</v>
      </c>
      <c r="D1039" t="s">
        <v>20</v>
      </c>
      <c r="E1039" t="s">
        <v>11</v>
      </c>
      <c r="F1039">
        <v>4765.0019999999995</v>
      </c>
      <c r="G1039">
        <v>18</v>
      </c>
      <c r="L1039" t="s">
        <v>3123</v>
      </c>
      <c r="O1039" t="s">
        <v>3124</v>
      </c>
    </row>
    <row r="1040" spans="1:15" x14ac:dyDescent="0.25">
      <c r="A1040" t="s">
        <v>18</v>
      </c>
      <c r="B1040" t="s">
        <v>3123</v>
      </c>
      <c r="C1040" t="s">
        <v>3125</v>
      </c>
      <c r="D1040" t="s">
        <v>20</v>
      </c>
      <c r="E1040" t="s">
        <v>11</v>
      </c>
      <c r="F1040">
        <v>4438.632</v>
      </c>
      <c r="G1040">
        <v>18</v>
      </c>
      <c r="L1040" t="s">
        <v>3126</v>
      </c>
      <c r="O1040" t="s">
        <v>3127</v>
      </c>
    </row>
    <row r="1041" spans="1:15" x14ac:dyDescent="0.25">
      <c r="A1041" t="s">
        <v>18</v>
      </c>
      <c r="B1041" t="s">
        <v>3126</v>
      </c>
      <c r="C1041" t="s">
        <v>3128</v>
      </c>
      <c r="D1041" t="s">
        <v>20</v>
      </c>
      <c r="E1041" t="s">
        <v>11</v>
      </c>
      <c r="F1041">
        <v>130.548</v>
      </c>
      <c r="G1041">
        <v>18</v>
      </c>
      <c r="L1041" t="s">
        <v>3129</v>
      </c>
      <c r="O1041" t="s">
        <v>3130</v>
      </c>
    </row>
    <row r="1042" spans="1:15" x14ac:dyDescent="0.25">
      <c r="A1042" t="s">
        <v>18</v>
      </c>
      <c r="B1042" t="s">
        <v>3129</v>
      </c>
      <c r="C1042" t="s">
        <v>3131</v>
      </c>
      <c r="D1042" t="s">
        <v>20</v>
      </c>
      <c r="E1042" t="s">
        <v>11</v>
      </c>
      <c r="F1042">
        <v>2610.96</v>
      </c>
      <c r="G1042">
        <v>18</v>
      </c>
      <c r="L1042" t="s">
        <v>3132</v>
      </c>
      <c r="O1042" t="s">
        <v>3133</v>
      </c>
    </row>
    <row r="1043" spans="1:15" x14ac:dyDescent="0.25">
      <c r="A1043" t="s">
        <v>18</v>
      </c>
      <c r="B1043" t="s">
        <v>3132</v>
      </c>
      <c r="C1043" t="s">
        <v>3134</v>
      </c>
      <c r="D1043" t="s">
        <v>20</v>
      </c>
      <c r="E1043" t="s">
        <v>11</v>
      </c>
      <c r="F1043">
        <v>326.37</v>
      </c>
      <c r="G1043">
        <v>18</v>
      </c>
      <c r="L1043" t="s">
        <v>3135</v>
      </c>
      <c r="O1043" t="s">
        <v>3136</v>
      </c>
    </row>
    <row r="1044" spans="1:15" x14ac:dyDescent="0.25">
      <c r="A1044" t="s">
        <v>18</v>
      </c>
      <c r="B1044" t="s">
        <v>3135</v>
      </c>
      <c r="C1044" t="s">
        <v>3137</v>
      </c>
      <c r="D1044" t="s">
        <v>20</v>
      </c>
      <c r="E1044" t="s">
        <v>11</v>
      </c>
      <c r="F1044">
        <v>261.096</v>
      </c>
      <c r="G1044">
        <v>18</v>
      </c>
      <c r="L1044" t="s">
        <v>3138</v>
      </c>
      <c r="O1044" t="s">
        <v>3139</v>
      </c>
    </row>
    <row r="1045" spans="1:15" x14ac:dyDescent="0.25">
      <c r="A1045" t="s">
        <v>18</v>
      </c>
      <c r="B1045" t="s">
        <v>3138</v>
      </c>
      <c r="C1045" t="s">
        <v>3140</v>
      </c>
      <c r="D1045" t="s">
        <v>20</v>
      </c>
      <c r="E1045" t="s">
        <v>11</v>
      </c>
      <c r="F1045">
        <v>130.548</v>
      </c>
      <c r="G1045">
        <v>18</v>
      </c>
      <c r="L1045" t="s">
        <v>3141</v>
      </c>
      <c r="O1045" t="s">
        <v>3142</v>
      </c>
    </row>
    <row r="1046" spans="1:15" x14ac:dyDescent="0.25">
      <c r="A1046" t="s">
        <v>18</v>
      </c>
      <c r="B1046" t="s">
        <v>3141</v>
      </c>
      <c r="C1046" t="s">
        <v>3143</v>
      </c>
      <c r="D1046" t="s">
        <v>20</v>
      </c>
      <c r="E1046" t="s">
        <v>11</v>
      </c>
      <c r="F1046">
        <v>2349.8639999999996</v>
      </c>
      <c r="G1046">
        <v>18</v>
      </c>
      <c r="L1046" t="s">
        <v>3144</v>
      </c>
      <c r="O1046" t="s">
        <v>3145</v>
      </c>
    </row>
    <row r="1047" spans="1:15" x14ac:dyDescent="0.25">
      <c r="A1047" t="s">
        <v>18</v>
      </c>
      <c r="B1047" t="s">
        <v>3144</v>
      </c>
      <c r="C1047" t="s">
        <v>3146</v>
      </c>
      <c r="D1047" t="s">
        <v>20</v>
      </c>
      <c r="E1047" t="s">
        <v>11</v>
      </c>
      <c r="F1047">
        <v>7963.428</v>
      </c>
      <c r="G1047">
        <v>18</v>
      </c>
      <c r="L1047" t="s">
        <v>3147</v>
      </c>
      <c r="O1047" t="s">
        <v>3148</v>
      </c>
    </row>
    <row r="1048" spans="1:15" x14ac:dyDescent="0.25">
      <c r="A1048" t="s">
        <v>18</v>
      </c>
      <c r="B1048" t="s">
        <v>3147</v>
      </c>
      <c r="C1048" t="s">
        <v>3149</v>
      </c>
      <c r="D1048" t="s">
        <v>20</v>
      </c>
      <c r="E1048" t="s">
        <v>11</v>
      </c>
      <c r="F1048">
        <v>13315.895999999999</v>
      </c>
      <c r="G1048">
        <v>18</v>
      </c>
      <c r="L1048" t="s">
        <v>3150</v>
      </c>
      <c r="O1048" t="s">
        <v>3151</v>
      </c>
    </row>
    <row r="1049" spans="1:15" x14ac:dyDescent="0.25">
      <c r="A1049" t="s">
        <v>18</v>
      </c>
      <c r="B1049" t="s">
        <v>3150</v>
      </c>
      <c r="C1049" t="s">
        <v>3152</v>
      </c>
      <c r="D1049" t="s">
        <v>20</v>
      </c>
      <c r="E1049" t="s">
        <v>11</v>
      </c>
      <c r="F1049">
        <v>3133.1519999999996</v>
      </c>
      <c r="G1049">
        <v>18</v>
      </c>
      <c r="L1049" t="s">
        <v>3153</v>
      </c>
      <c r="O1049" t="s">
        <v>3154</v>
      </c>
    </row>
    <row r="1050" spans="1:15" x14ac:dyDescent="0.25">
      <c r="A1050" t="s">
        <v>18</v>
      </c>
      <c r="B1050" t="s">
        <v>3153</v>
      </c>
      <c r="C1050" t="s">
        <v>3155</v>
      </c>
      <c r="D1050" t="s">
        <v>20</v>
      </c>
      <c r="E1050" t="s">
        <v>11</v>
      </c>
      <c r="F1050">
        <v>8942.538</v>
      </c>
      <c r="G1050">
        <v>18</v>
      </c>
      <c r="L1050" t="s">
        <v>3156</v>
      </c>
      <c r="O1050" t="s">
        <v>3157</v>
      </c>
    </row>
    <row r="1051" spans="1:15" x14ac:dyDescent="0.25">
      <c r="A1051" t="s">
        <v>18</v>
      </c>
      <c r="B1051" t="s">
        <v>3156</v>
      </c>
      <c r="C1051" t="s">
        <v>3158</v>
      </c>
      <c r="D1051" t="s">
        <v>20</v>
      </c>
      <c r="E1051" t="s">
        <v>11</v>
      </c>
      <c r="F1051">
        <v>7049.592000000001</v>
      </c>
      <c r="G1051">
        <v>18</v>
      </c>
      <c r="L1051" t="s">
        <v>3159</v>
      </c>
      <c r="O1051" t="s">
        <v>3160</v>
      </c>
    </row>
    <row r="1052" spans="1:15" x14ac:dyDescent="0.25">
      <c r="A1052" t="s">
        <v>18</v>
      </c>
      <c r="B1052" t="s">
        <v>3159</v>
      </c>
      <c r="C1052" t="s">
        <v>3161</v>
      </c>
      <c r="D1052" t="s">
        <v>20</v>
      </c>
      <c r="E1052" t="s">
        <v>11</v>
      </c>
      <c r="F1052">
        <v>522.192</v>
      </c>
      <c r="G1052">
        <v>18</v>
      </c>
      <c r="L1052" t="s">
        <v>3162</v>
      </c>
      <c r="O1052" t="s">
        <v>3163</v>
      </c>
    </row>
    <row r="1053" spans="1:15" x14ac:dyDescent="0.25">
      <c r="A1053" t="s">
        <v>18</v>
      </c>
      <c r="B1053" t="s">
        <v>3162</v>
      </c>
      <c r="C1053" t="s">
        <v>3164</v>
      </c>
      <c r="D1053" t="s">
        <v>20</v>
      </c>
      <c r="E1053" t="s">
        <v>11</v>
      </c>
      <c r="F1053">
        <v>261.096</v>
      </c>
      <c r="G1053">
        <v>18</v>
      </c>
      <c r="L1053" t="s">
        <v>3165</v>
      </c>
      <c r="O1053" t="s">
        <v>3166</v>
      </c>
    </row>
    <row r="1054" spans="1:15" x14ac:dyDescent="0.25">
      <c r="A1054" t="s">
        <v>18</v>
      </c>
      <c r="B1054" t="s">
        <v>3165</v>
      </c>
      <c r="C1054" t="s">
        <v>3167</v>
      </c>
      <c r="D1054" t="s">
        <v>20</v>
      </c>
      <c r="E1054" t="s">
        <v>11</v>
      </c>
      <c r="F1054">
        <v>1631.85</v>
      </c>
      <c r="G1054">
        <v>18</v>
      </c>
      <c r="L1054" t="s">
        <v>3168</v>
      </c>
      <c r="O1054" t="s">
        <v>3169</v>
      </c>
    </row>
    <row r="1055" spans="1:15" x14ac:dyDescent="0.25">
      <c r="A1055" t="s">
        <v>18</v>
      </c>
      <c r="B1055" t="s">
        <v>3168</v>
      </c>
      <c r="C1055" t="s">
        <v>3170</v>
      </c>
      <c r="D1055" t="s">
        <v>20</v>
      </c>
      <c r="E1055" t="s">
        <v>11</v>
      </c>
      <c r="F1055">
        <v>326.37</v>
      </c>
      <c r="G1055">
        <v>18</v>
      </c>
      <c r="L1055" t="s">
        <v>3171</v>
      </c>
      <c r="O1055" t="s">
        <v>3172</v>
      </c>
    </row>
    <row r="1056" spans="1:15" x14ac:dyDescent="0.25">
      <c r="A1056" t="s">
        <v>18</v>
      </c>
      <c r="B1056" t="s">
        <v>3171</v>
      </c>
      <c r="C1056" t="s">
        <v>3173</v>
      </c>
      <c r="D1056" t="s">
        <v>20</v>
      </c>
      <c r="E1056" t="s">
        <v>11</v>
      </c>
      <c r="F1056">
        <v>195.82199999999997</v>
      </c>
      <c r="G1056">
        <v>18</v>
      </c>
      <c r="L1056" t="s">
        <v>3174</v>
      </c>
      <c r="O1056" t="s">
        <v>3175</v>
      </c>
    </row>
    <row r="1057" spans="1:15" x14ac:dyDescent="0.25">
      <c r="A1057" t="s">
        <v>18</v>
      </c>
      <c r="B1057" t="s">
        <v>3174</v>
      </c>
      <c r="C1057" t="s">
        <v>3176</v>
      </c>
      <c r="D1057" t="s">
        <v>20</v>
      </c>
      <c r="E1057" t="s">
        <v>11</v>
      </c>
      <c r="F1057">
        <v>1501.302</v>
      </c>
      <c r="G1057">
        <v>18</v>
      </c>
      <c r="L1057" t="s">
        <v>3177</v>
      </c>
      <c r="O1057" t="s">
        <v>3178</v>
      </c>
    </row>
    <row r="1058" spans="1:15" x14ac:dyDescent="0.25">
      <c r="A1058" t="s">
        <v>18</v>
      </c>
      <c r="B1058" t="s">
        <v>3177</v>
      </c>
      <c r="C1058" t="s">
        <v>3179</v>
      </c>
      <c r="D1058" t="s">
        <v>20</v>
      </c>
      <c r="E1058" t="s">
        <v>11</v>
      </c>
      <c r="F1058">
        <v>6396.852</v>
      </c>
      <c r="G1058">
        <v>18</v>
      </c>
      <c r="L1058" t="s">
        <v>3180</v>
      </c>
      <c r="O1058" t="s">
        <v>3181</v>
      </c>
    </row>
    <row r="1059" spans="1:15" x14ac:dyDescent="0.25">
      <c r="A1059" t="s">
        <v>18</v>
      </c>
      <c r="B1059" t="s">
        <v>3180</v>
      </c>
      <c r="C1059" t="s">
        <v>3182</v>
      </c>
      <c r="D1059" t="s">
        <v>20</v>
      </c>
      <c r="E1059" t="s">
        <v>11</v>
      </c>
      <c r="F1059">
        <v>11161.854</v>
      </c>
      <c r="G1059">
        <v>18</v>
      </c>
      <c r="L1059" t="s">
        <v>3183</v>
      </c>
      <c r="O1059" t="s">
        <v>3184</v>
      </c>
    </row>
    <row r="1060" spans="1:15" x14ac:dyDescent="0.25">
      <c r="A1060" t="s">
        <v>18</v>
      </c>
      <c r="B1060" t="s">
        <v>3183</v>
      </c>
      <c r="C1060" t="s">
        <v>3185</v>
      </c>
      <c r="D1060" t="s">
        <v>20</v>
      </c>
      <c r="E1060" t="s">
        <v>11</v>
      </c>
      <c r="F1060">
        <v>16840.692</v>
      </c>
      <c r="G1060">
        <v>18</v>
      </c>
      <c r="L1060" t="s">
        <v>3186</v>
      </c>
      <c r="O1060" t="s">
        <v>3187</v>
      </c>
    </row>
    <row r="1061" spans="1:15" x14ac:dyDescent="0.25">
      <c r="A1061" t="s">
        <v>18</v>
      </c>
      <c r="B1061" t="s">
        <v>3186</v>
      </c>
      <c r="C1061" t="s">
        <v>3188</v>
      </c>
      <c r="D1061" t="s">
        <v>20</v>
      </c>
      <c r="E1061" t="s">
        <v>11</v>
      </c>
      <c r="F1061">
        <v>130.548</v>
      </c>
      <c r="G1061">
        <v>18</v>
      </c>
      <c r="L1061" t="s">
        <v>3189</v>
      </c>
      <c r="O1061" t="s">
        <v>3190</v>
      </c>
    </row>
    <row r="1062" spans="1:15" x14ac:dyDescent="0.25">
      <c r="A1062" t="s">
        <v>18</v>
      </c>
      <c r="B1062" t="s">
        <v>3189</v>
      </c>
      <c r="C1062" t="s">
        <v>3191</v>
      </c>
      <c r="D1062" t="s">
        <v>20</v>
      </c>
      <c r="E1062" t="s">
        <v>11</v>
      </c>
      <c r="F1062">
        <v>130.548</v>
      </c>
      <c r="G1062">
        <v>18</v>
      </c>
      <c r="L1062" t="s">
        <v>3192</v>
      </c>
      <c r="O1062" t="s">
        <v>3193</v>
      </c>
    </row>
    <row r="1063" spans="1:15" x14ac:dyDescent="0.25">
      <c r="A1063" t="s">
        <v>18</v>
      </c>
      <c r="B1063" t="s">
        <v>3192</v>
      </c>
      <c r="C1063" t="s">
        <v>3194</v>
      </c>
      <c r="D1063" t="s">
        <v>20</v>
      </c>
      <c r="E1063" t="s">
        <v>11</v>
      </c>
      <c r="F1063">
        <v>2676.234</v>
      </c>
      <c r="G1063">
        <v>18</v>
      </c>
      <c r="L1063" t="s">
        <v>3195</v>
      </c>
      <c r="O1063" t="s">
        <v>3196</v>
      </c>
    </row>
    <row r="1064" spans="1:15" x14ac:dyDescent="0.25">
      <c r="A1064" t="s">
        <v>18</v>
      </c>
      <c r="B1064" t="s">
        <v>3195</v>
      </c>
      <c r="C1064" t="s">
        <v>3197</v>
      </c>
      <c r="D1064" t="s">
        <v>20</v>
      </c>
      <c r="E1064" t="s">
        <v>11</v>
      </c>
      <c r="F1064">
        <v>195.82199999999997</v>
      </c>
      <c r="G1064">
        <v>18</v>
      </c>
      <c r="L1064" t="s">
        <v>3198</v>
      </c>
      <c r="O1064" t="s">
        <v>3199</v>
      </c>
    </row>
    <row r="1065" spans="1:15" x14ac:dyDescent="0.25">
      <c r="A1065" t="s">
        <v>18</v>
      </c>
      <c r="B1065" t="s">
        <v>3198</v>
      </c>
      <c r="C1065" t="s">
        <v>3200</v>
      </c>
      <c r="D1065" t="s">
        <v>20</v>
      </c>
      <c r="E1065" t="s">
        <v>11</v>
      </c>
      <c r="F1065">
        <v>195.82199999999997</v>
      </c>
      <c r="G1065">
        <v>18</v>
      </c>
      <c r="L1065" t="s">
        <v>3201</v>
      </c>
      <c r="O1065" t="s">
        <v>3202</v>
      </c>
    </row>
    <row r="1066" spans="1:15" x14ac:dyDescent="0.25">
      <c r="A1066" t="s">
        <v>18</v>
      </c>
      <c r="B1066" t="s">
        <v>3201</v>
      </c>
      <c r="C1066" t="s">
        <v>3203</v>
      </c>
      <c r="D1066" t="s">
        <v>20</v>
      </c>
      <c r="E1066" t="s">
        <v>11</v>
      </c>
      <c r="F1066">
        <v>130.548</v>
      </c>
      <c r="G1066">
        <v>18</v>
      </c>
      <c r="L1066" t="s">
        <v>3204</v>
      </c>
      <c r="O1066" t="s">
        <v>3205</v>
      </c>
    </row>
    <row r="1067" spans="1:15" x14ac:dyDescent="0.25">
      <c r="A1067" t="s">
        <v>18</v>
      </c>
      <c r="B1067" t="s">
        <v>3204</v>
      </c>
      <c r="C1067" t="s">
        <v>3206</v>
      </c>
      <c r="D1067" t="s">
        <v>20</v>
      </c>
      <c r="E1067" t="s">
        <v>11</v>
      </c>
      <c r="F1067">
        <v>130.548</v>
      </c>
      <c r="G1067">
        <v>18</v>
      </c>
      <c r="L1067" t="s">
        <v>3207</v>
      </c>
      <c r="O1067" t="s">
        <v>3208</v>
      </c>
    </row>
    <row r="1068" spans="1:15" x14ac:dyDescent="0.25">
      <c r="A1068" t="s">
        <v>18</v>
      </c>
      <c r="B1068" t="s">
        <v>3207</v>
      </c>
      <c r="C1068" t="s">
        <v>3209</v>
      </c>
      <c r="D1068" t="s">
        <v>20</v>
      </c>
      <c r="E1068" t="s">
        <v>11</v>
      </c>
      <c r="F1068">
        <v>130.548</v>
      </c>
      <c r="G1068">
        <v>18</v>
      </c>
      <c r="L1068" t="s">
        <v>3210</v>
      </c>
      <c r="O1068" t="s">
        <v>3211</v>
      </c>
    </row>
    <row r="1069" spans="1:15" x14ac:dyDescent="0.25">
      <c r="A1069" t="s">
        <v>18</v>
      </c>
      <c r="B1069" t="s">
        <v>3210</v>
      </c>
      <c r="C1069" t="s">
        <v>3212</v>
      </c>
      <c r="D1069" t="s">
        <v>20</v>
      </c>
      <c r="E1069" t="s">
        <v>11</v>
      </c>
      <c r="F1069">
        <v>456.918</v>
      </c>
      <c r="G1069">
        <v>18</v>
      </c>
      <c r="L1069" t="s">
        <v>3213</v>
      </c>
      <c r="O1069" t="s">
        <v>3214</v>
      </c>
    </row>
    <row r="1070" spans="1:15" x14ac:dyDescent="0.25">
      <c r="A1070" t="s">
        <v>18</v>
      </c>
      <c r="B1070" t="s">
        <v>3213</v>
      </c>
      <c r="C1070" t="s">
        <v>3215</v>
      </c>
      <c r="D1070" t="s">
        <v>20</v>
      </c>
      <c r="E1070" t="s">
        <v>11</v>
      </c>
      <c r="F1070">
        <v>2023.494</v>
      </c>
      <c r="G1070">
        <v>18</v>
      </c>
      <c r="L1070" t="s">
        <v>3216</v>
      </c>
      <c r="O1070" t="s">
        <v>3217</v>
      </c>
    </row>
    <row r="1071" spans="1:15" x14ac:dyDescent="0.25">
      <c r="A1071" t="s">
        <v>18</v>
      </c>
      <c r="B1071" t="s">
        <v>3216</v>
      </c>
      <c r="C1071" t="s">
        <v>3218</v>
      </c>
      <c r="D1071" t="s">
        <v>20</v>
      </c>
      <c r="E1071" t="s">
        <v>11</v>
      </c>
      <c r="F1071">
        <v>5417.742</v>
      </c>
      <c r="G1071">
        <v>18</v>
      </c>
      <c r="L1071" t="s">
        <v>3219</v>
      </c>
      <c r="O1071" t="s">
        <v>3220</v>
      </c>
    </row>
    <row r="1072" spans="1:15" x14ac:dyDescent="0.25">
      <c r="A1072" t="s">
        <v>18</v>
      </c>
      <c r="B1072" t="s">
        <v>3219</v>
      </c>
      <c r="C1072" t="s">
        <v>3221</v>
      </c>
      <c r="D1072" t="s">
        <v>20</v>
      </c>
      <c r="E1072" t="s">
        <v>11</v>
      </c>
      <c r="F1072">
        <v>1501.302</v>
      </c>
      <c r="G1072">
        <v>18</v>
      </c>
      <c r="L1072" t="s">
        <v>3222</v>
      </c>
      <c r="O1072" t="s">
        <v>3223</v>
      </c>
    </row>
    <row r="1073" spans="1:15" x14ac:dyDescent="0.25">
      <c r="A1073" t="s">
        <v>18</v>
      </c>
      <c r="B1073" t="s">
        <v>3222</v>
      </c>
      <c r="C1073" t="s">
        <v>3224</v>
      </c>
      <c r="D1073" t="s">
        <v>20</v>
      </c>
      <c r="E1073" t="s">
        <v>11</v>
      </c>
      <c r="F1073">
        <v>1109.658</v>
      </c>
      <c r="G1073">
        <v>18</v>
      </c>
      <c r="L1073" t="s">
        <v>3225</v>
      </c>
      <c r="O1073" t="s">
        <v>3226</v>
      </c>
    </row>
    <row r="1074" spans="1:15" x14ac:dyDescent="0.25">
      <c r="A1074" t="s">
        <v>18</v>
      </c>
      <c r="B1074" t="s">
        <v>3225</v>
      </c>
      <c r="C1074" t="s">
        <v>3227</v>
      </c>
      <c r="D1074" t="s">
        <v>20</v>
      </c>
      <c r="E1074" t="s">
        <v>11</v>
      </c>
      <c r="F1074">
        <v>1827.672</v>
      </c>
      <c r="G1074">
        <v>18</v>
      </c>
      <c r="L1074" t="s">
        <v>3228</v>
      </c>
      <c r="O1074" t="s">
        <v>3229</v>
      </c>
    </row>
    <row r="1075" spans="1:15" x14ac:dyDescent="0.25">
      <c r="A1075" t="s">
        <v>18</v>
      </c>
      <c r="B1075" t="s">
        <v>3228</v>
      </c>
      <c r="C1075" t="s">
        <v>3230</v>
      </c>
      <c r="D1075" t="s">
        <v>20</v>
      </c>
      <c r="E1075" t="s">
        <v>11</v>
      </c>
      <c r="F1075">
        <v>718.014</v>
      </c>
      <c r="G1075">
        <v>18</v>
      </c>
      <c r="L1075" t="s">
        <v>3231</v>
      </c>
      <c r="O1075" t="s">
        <v>3232</v>
      </c>
    </row>
    <row r="1076" spans="1:15" x14ac:dyDescent="0.25">
      <c r="A1076" t="s">
        <v>18</v>
      </c>
      <c r="B1076" t="s">
        <v>3231</v>
      </c>
      <c r="C1076" t="s">
        <v>3233</v>
      </c>
      <c r="D1076" t="s">
        <v>20</v>
      </c>
      <c r="E1076" t="s">
        <v>11</v>
      </c>
      <c r="F1076">
        <v>6070.482</v>
      </c>
      <c r="G1076">
        <v>18</v>
      </c>
      <c r="L1076" t="s">
        <v>3234</v>
      </c>
      <c r="O1076" t="s">
        <v>3235</v>
      </c>
    </row>
    <row r="1077" spans="1:15" x14ac:dyDescent="0.25">
      <c r="A1077" t="s">
        <v>18</v>
      </c>
      <c r="B1077" t="s">
        <v>3234</v>
      </c>
      <c r="C1077" t="s">
        <v>3236</v>
      </c>
      <c r="D1077" t="s">
        <v>20</v>
      </c>
      <c r="E1077" t="s">
        <v>11</v>
      </c>
      <c r="F1077">
        <v>783.2879999999999</v>
      </c>
      <c r="G1077">
        <v>18</v>
      </c>
      <c r="L1077" t="s">
        <v>3237</v>
      </c>
      <c r="O1077" t="s">
        <v>3238</v>
      </c>
    </row>
    <row r="1078" spans="1:15" x14ac:dyDescent="0.25">
      <c r="A1078" t="s">
        <v>18</v>
      </c>
      <c r="B1078" t="s">
        <v>3237</v>
      </c>
      <c r="C1078" t="s">
        <v>3239</v>
      </c>
      <c r="D1078" t="s">
        <v>20</v>
      </c>
      <c r="E1078" t="s">
        <v>11</v>
      </c>
      <c r="F1078">
        <v>848.5619999999999</v>
      </c>
      <c r="G1078">
        <v>18</v>
      </c>
      <c r="L1078" t="s">
        <v>3240</v>
      </c>
      <c r="O1078" t="s">
        <v>3241</v>
      </c>
    </row>
    <row r="1079" spans="1:15" x14ac:dyDescent="0.25">
      <c r="A1079" t="s">
        <v>18</v>
      </c>
      <c r="B1079" t="s">
        <v>3240</v>
      </c>
      <c r="C1079" t="s">
        <v>3242</v>
      </c>
      <c r="D1079" t="s">
        <v>20</v>
      </c>
      <c r="E1079" t="s">
        <v>11</v>
      </c>
      <c r="F1079">
        <v>4308.084</v>
      </c>
      <c r="G1079">
        <v>18</v>
      </c>
      <c r="L1079" t="s">
        <v>3243</v>
      </c>
      <c r="O1079" t="s">
        <v>3244</v>
      </c>
    </row>
    <row r="1080" spans="1:15" x14ac:dyDescent="0.25">
      <c r="A1080" t="s">
        <v>18</v>
      </c>
      <c r="B1080" t="s">
        <v>3243</v>
      </c>
      <c r="C1080" t="s">
        <v>3245</v>
      </c>
      <c r="D1080" t="s">
        <v>20</v>
      </c>
      <c r="E1080" t="s">
        <v>11</v>
      </c>
      <c r="F1080">
        <v>2415.138</v>
      </c>
      <c r="G1080">
        <v>18</v>
      </c>
      <c r="L1080" t="s">
        <v>3246</v>
      </c>
      <c r="O1080" t="s">
        <v>3247</v>
      </c>
    </row>
    <row r="1081" spans="1:15" x14ac:dyDescent="0.25">
      <c r="A1081" t="s">
        <v>18</v>
      </c>
      <c r="B1081" t="s">
        <v>3246</v>
      </c>
      <c r="C1081" t="s">
        <v>3248</v>
      </c>
      <c r="D1081" t="s">
        <v>20</v>
      </c>
      <c r="E1081" t="s">
        <v>11</v>
      </c>
      <c r="F1081">
        <v>1240.2060000000001</v>
      </c>
      <c r="G1081">
        <v>18</v>
      </c>
      <c r="L1081" t="s">
        <v>3249</v>
      </c>
      <c r="O1081" t="s">
        <v>3250</v>
      </c>
    </row>
    <row r="1082" spans="1:15" x14ac:dyDescent="0.25">
      <c r="A1082" t="s">
        <v>18</v>
      </c>
      <c r="B1082" t="s">
        <v>3249</v>
      </c>
      <c r="C1082" t="s">
        <v>3251</v>
      </c>
      <c r="D1082" t="s">
        <v>20</v>
      </c>
      <c r="E1082" t="s">
        <v>11</v>
      </c>
      <c r="F1082">
        <v>1827.672</v>
      </c>
      <c r="G1082">
        <v>18</v>
      </c>
      <c r="L1082" t="s">
        <v>3252</v>
      </c>
      <c r="O1082" t="s">
        <v>3253</v>
      </c>
    </row>
    <row r="1083" spans="1:15" x14ac:dyDescent="0.25">
      <c r="A1083" t="s">
        <v>18</v>
      </c>
      <c r="B1083" t="s">
        <v>3252</v>
      </c>
      <c r="C1083" t="s">
        <v>3254</v>
      </c>
      <c r="D1083" t="s">
        <v>20</v>
      </c>
      <c r="E1083" t="s">
        <v>11</v>
      </c>
      <c r="F1083">
        <v>652.74</v>
      </c>
      <c r="G1083">
        <v>18</v>
      </c>
      <c r="L1083" t="s">
        <v>3255</v>
      </c>
      <c r="O1083" t="s">
        <v>3256</v>
      </c>
    </row>
    <row r="1084" spans="1:15" x14ac:dyDescent="0.25">
      <c r="A1084" t="s">
        <v>18</v>
      </c>
      <c r="B1084" t="s">
        <v>3255</v>
      </c>
      <c r="C1084" t="s">
        <v>3254</v>
      </c>
      <c r="D1084" t="s">
        <v>20</v>
      </c>
      <c r="E1084" t="s">
        <v>11</v>
      </c>
      <c r="F1084">
        <v>913.836</v>
      </c>
      <c r="G1084">
        <v>18</v>
      </c>
      <c r="L1084" t="s">
        <v>3257</v>
      </c>
      <c r="O1084" t="s">
        <v>3258</v>
      </c>
    </row>
    <row r="1085" spans="1:15" x14ac:dyDescent="0.25">
      <c r="A1085" t="s">
        <v>18</v>
      </c>
      <c r="B1085" t="s">
        <v>3257</v>
      </c>
      <c r="C1085" t="s">
        <v>3259</v>
      </c>
      <c r="D1085" t="s">
        <v>20</v>
      </c>
      <c r="E1085" t="s">
        <v>11</v>
      </c>
      <c r="F1085">
        <v>7767.605999999999</v>
      </c>
      <c r="G1085">
        <v>18</v>
      </c>
      <c r="L1085" t="s">
        <v>3260</v>
      </c>
      <c r="O1085" t="s">
        <v>3261</v>
      </c>
    </row>
    <row r="1086" spans="1:15" x14ac:dyDescent="0.25">
      <c r="A1086" t="s">
        <v>18</v>
      </c>
      <c r="B1086" t="s">
        <v>3260</v>
      </c>
      <c r="C1086" t="s">
        <v>3262</v>
      </c>
      <c r="D1086" t="s">
        <v>20</v>
      </c>
      <c r="E1086" t="s">
        <v>11</v>
      </c>
      <c r="F1086">
        <v>5548.29</v>
      </c>
      <c r="G1086">
        <v>18</v>
      </c>
      <c r="L1086" t="s">
        <v>3263</v>
      </c>
      <c r="O1086" t="s">
        <v>3264</v>
      </c>
    </row>
    <row r="1087" spans="1:15" x14ac:dyDescent="0.25">
      <c r="A1087" t="s">
        <v>18</v>
      </c>
      <c r="B1087" t="s">
        <v>3263</v>
      </c>
      <c r="C1087" t="s">
        <v>3265</v>
      </c>
      <c r="D1087" t="s">
        <v>20</v>
      </c>
      <c r="E1087" t="s">
        <v>11</v>
      </c>
      <c r="F1087">
        <v>7441.235999999999</v>
      </c>
      <c r="G1087">
        <v>18</v>
      </c>
      <c r="L1087" t="s">
        <v>3266</v>
      </c>
      <c r="O1087" t="s">
        <v>3267</v>
      </c>
    </row>
    <row r="1088" spans="1:15" x14ac:dyDescent="0.25">
      <c r="A1088" t="s">
        <v>18</v>
      </c>
      <c r="B1088" t="s">
        <v>3266</v>
      </c>
      <c r="C1088" t="s">
        <v>3268</v>
      </c>
      <c r="D1088" t="s">
        <v>20</v>
      </c>
      <c r="E1088" t="s">
        <v>11</v>
      </c>
      <c r="F1088">
        <v>2219.316</v>
      </c>
      <c r="G1088">
        <v>18</v>
      </c>
      <c r="L1088" t="s">
        <v>3269</v>
      </c>
      <c r="O1088" t="s">
        <v>3270</v>
      </c>
    </row>
    <row r="1089" spans="1:15" x14ac:dyDescent="0.25">
      <c r="A1089" t="s">
        <v>18</v>
      </c>
      <c r="B1089" t="s">
        <v>3269</v>
      </c>
      <c r="C1089" t="s">
        <v>3271</v>
      </c>
      <c r="D1089" t="s">
        <v>20</v>
      </c>
      <c r="E1089" t="s">
        <v>11</v>
      </c>
      <c r="F1089">
        <v>6788.495999999999</v>
      </c>
      <c r="G1089">
        <v>18</v>
      </c>
      <c r="L1089" t="s">
        <v>3272</v>
      </c>
      <c r="O1089" t="s">
        <v>3273</v>
      </c>
    </row>
    <row r="1090" spans="1:15" x14ac:dyDescent="0.25">
      <c r="A1090" t="s">
        <v>18</v>
      </c>
      <c r="B1090" t="s">
        <v>3272</v>
      </c>
      <c r="C1090" t="s">
        <v>3274</v>
      </c>
      <c r="D1090" t="s">
        <v>20</v>
      </c>
      <c r="E1090" t="s">
        <v>11</v>
      </c>
      <c r="F1090">
        <v>913.836</v>
      </c>
      <c r="G1090">
        <v>18</v>
      </c>
      <c r="L1090" t="s">
        <v>3275</v>
      </c>
      <c r="O1090" t="s">
        <v>3276</v>
      </c>
    </row>
    <row r="1091" spans="1:15" x14ac:dyDescent="0.25">
      <c r="A1091" t="s">
        <v>18</v>
      </c>
      <c r="B1091" t="s">
        <v>3275</v>
      </c>
      <c r="C1091" t="s">
        <v>3277</v>
      </c>
      <c r="D1091" t="s">
        <v>20</v>
      </c>
      <c r="E1091" t="s">
        <v>11</v>
      </c>
      <c r="F1091">
        <v>2349.8639999999996</v>
      </c>
      <c r="G1091">
        <v>18</v>
      </c>
      <c r="L1091" t="s">
        <v>3278</v>
      </c>
      <c r="O1091" t="s">
        <v>3279</v>
      </c>
    </row>
    <row r="1092" spans="1:15" x14ac:dyDescent="0.25">
      <c r="A1092" t="s">
        <v>18</v>
      </c>
      <c r="B1092" t="s">
        <v>3278</v>
      </c>
      <c r="C1092" t="s">
        <v>3280</v>
      </c>
      <c r="D1092" t="s">
        <v>20</v>
      </c>
      <c r="E1092" t="s">
        <v>11</v>
      </c>
      <c r="F1092">
        <v>2676.234</v>
      </c>
      <c r="G1092">
        <v>18</v>
      </c>
      <c r="L1092" t="s">
        <v>3281</v>
      </c>
      <c r="O1092" t="s">
        <v>3282</v>
      </c>
    </row>
    <row r="1093" spans="1:15" x14ac:dyDescent="0.25">
      <c r="A1093" t="s">
        <v>18</v>
      </c>
      <c r="B1093" t="s">
        <v>3281</v>
      </c>
      <c r="C1093" t="s">
        <v>3283</v>
      </c>
      <c r="D1093" t="s">
        <v>20</v>
      </c>
      <c r="E1093" t="s">
        <v>11</v>
      </c>
      <c r="F1093">
        <v>2415.138</v>
      </c>
      <c r="G1093">
        <v>18</v>
      </c>
      <c r="L1093" t="s">
        <v>3284</v>
      </c>
      <c r="O1093" t="s">
        <v>3285</v>
      </c>
    </row>
    <row r="1094" spans="1:15" x14ac:dyDescent="0.25">
      <c r="A1094" t="s">
        <v>18</v>
      </c>
      <c r="B1094" t="s">
        <v>3284</v>
      </c>
      <c r="C1094" t="s">
        <v>3286</v>
      </c>
      <c r="D1094" t="s">
        <v>20</v>
      </c>
      <c r="E1094" t="s">
        <v>11</v>
      </c>
      <c r="F1094">
        <v>1436.028</v>
      </c>
      <c r="G1094">
        <v>18</v>
      </c>
      <c r="L1094" t="s">
        <v>3287</v>
      </c>
      <c r="O1094" t="s">
        <v>3288</v>
      </c>
    </row>
    <row r="1095" spans="1:15" x14ac:dyDescent="0.25">
      <c r="A1095" t="s">
        <v>18</v>
      </c>
      <c r="B1095" t="s">
        <v>3287</v>
      </c>
      <c r="C1095" t="s">
        <v>3289</v>
      </c>
      <c r="D1095" t="s">
        <v>20</v>
      </c>
      <c r="E1095" t="s">
        <v>11</v>
      </c>
      <c r="F1095">
        <v>522.192</v>
      </c>
      <c r="G1095">
        <v>18</v>
      </c>
      <c r="L1095" t="s">
        <v>3290</v>
      </c>
      <c r="O1095" t="s">
        <v>3291</v>
      </c>
    </row>
    <row r="1096" spans="1:15" x14ac:dyDescent="0.25">
      <c r="A1096" t="s">
        <v>18</v>
      </c>
      <c r="B1096" t="s">
        <v>3290</v>
      </c>
      <c r="C1096" t="s">
        <v>3292</v>
      </c>
      <c r="D1096" t="s">
        <v>20</v>
      </c>
      <c r="E1096" t="s">
        <v>11</v>
      </c>
      <c r="F1096">
        <v>5809.3859999999995</v>
      </c>
      <c r="G1096">
        <v>18</v>
      </c>
      <c r="L1096" t="s">
        <v>3293</v>
      </c>
      <c r="O1096" t="s">
        <v>3294</v>
      </c>
    </row>
    <row r="1097" spans="1:15" x14ac:dyDescent="0.25">
      <c r="A1097" t="s">
        <v>18</v>
      </c>
      <c r="B1097" t="s">
        <v>3293</v>
      </c>
      <c r="C1097" t="s">
        <v>3295</v>
      </c>
      <c r="D1097" t="s">
        <v>20</v>
      </c>
      <c r="E1097" t="s">
        <v>11</v>
      </c>
      <c r="F1097">
        <v>3459.5219999999995</v>
      </c>
      <c r="G1097">
        <v>18</v>
      </c>
      <c r="L1097" t="s">
        <v>3296</v>
      </c>
      <c r="O1097" t="s">
        <v>3297</v>
      </c>
    </row>
    <row r="1098" spans="1:15" x14ac:dyDescent="0.25">
      <c r="A1098" t="s">
        <v>18</v>
      </c>
      <c r="B1098" t="s">
        <v>3296</v>
      </c>
      <c r="C1098" t="s">
        <v>3298</v>
      </c>
      <c r="D1098" t="s">
        <v>20</v>
      </c>
      <c r="E1098" t="s">
        <v>11</v>
      </c>
      <c r="F1098">
        <v>652.74</v>
      </c>
      <c r="G1098">
        <v>18</v>
      </c>
      <c r="L1098" t="s">
        <v>3299</v>
      </c>
      <c r="O1098" t="s">
        <v>3300</v>
      </c>
    </row>
    <row r="1099" spans="1:15" x14ac:dyDescent="0.25">
      <c r="A1099" t="s">
        <v>18</v>
      </c>
      <c r="B1099" t="s">
        <v>3299</v>
      </c>
      <c r="C1099" t="s">
        <v>3301</v>
      </c>
      <c r="D1099" t="s">
        <v>20</v>
      </c>
      <c r="E1099" t="s">
        <v>11</v>
      </c>
      <c r="F1099">
        <v>4308.084</v>
      </c>
      <c r="G1099">
        <v>18</v>
      </c>
      <c r="L1099" t="s">
        <v>3302</v>
      </c>
      <c r="O1099" t="s">
        <v>3303</v>
      </c>
    </row>
    <row r="1100" spans="1:15" x14ac:dyDescent="0.25">
      <c r="A1100" t="s">
        <v>18</v>
      </c>
      <c r="B1100" t="s">
        <v>3302</v>
      </c>
      <c r="C1100" t="s">
        <v>3304</v>
      </c>
      <c r="D1100" t="s">
        <v>20</v>
      </c>
      <c r="E1100" t="s">
        <v>11</v>
      </c>
      <c r="F1100">
        <v>3067.8779999999997</v>
      </c>
      <c r="G1100">
        <v>18</v>
      </c>
      <c r="L1100" t="s">
        <v>3305</v>
      </c>
      <c r="O1100" t="s">
        <v>3306</v>
      </c>
    </row>
    <row r="1101" spans="1:15" x14ac:dyDescent="0.25">
      <c r="A1101" t="s">
        <v>18</v>
      </c>
      <c r="B1101" t="s">
        <v>3305</v>
      </c>
      <c r="C1101" t="s">
        <v>3307</v>
      </c>
      <c r="D1101" t="s">
        <v>20</v>
      </c>
      <c r="E1101" t="s">
        <v>11</v>
      </c>
      <c r="F1101">
        <v>8420.346</v>
      </c>
      <c r="G1101">
        <v>18</v>
      </c>
      <c r="L1101" t="s">
        <v>3308</v>
      </c>
      <c r="O1101" t="s">
        <v>3309</v>
      </c>
    </row>
    <row r="1102" spans="1:15" x14ac:dyDescent="0.25">
      <c r="A1102" t="s">
        <v>18</v>
      </c>
      <c r="B1102" t="s">
        <v>3308</v>
      </c>
      <c r="C1102" t="s">
        <v>3310</v>
      </c>
      <c r="D1102" t="s">
        <v>20</v>
      </c>
      <c r="E1102" t="s">
        <v>11</v>
      </c>
      <c r="F1102">
        <v>652.74</v>
      </c>
      <c r="G1102">
        <v>18</v>
      </c>
      <c r="L1102" t="s">
        <v>3311</v>
      </c>
      <c r="O1102" t="s">
        <v>3312</v>
      </c>
    </row>
    <row r="1103" spans="1:15" x14ac:dyDescent="0.25">
      <c r="A1103" t="s">
        <v>18</v>
      </c>
      <c r="B1103" t="s">
        <v>3311</v>
      </c>
      <c r="C1103" t="s">
        <v>3313</v>
      </c>
      <c r="D1103" t="s">
        <v>20</v>
      </c>
      <c r="E1103" t="s">
        <v>11</v>
      </c>
      <c r="F1103">
        <v>195.82199999999997</v>
      </c>
      <c r="G1103">
        <v>18</v>
      </c>
      <c r="L1103" t="s">
        <v>3314</v>
      </c>
      <c r="O1103" t="s">
        <v>3315</v>
      </c>
    </row>
    <row r="1104" spans="1:15" x14ac:dyDescent="0.25">
      <c r="A1104" t="s">
        <v>18</v>
      </c>
      <c r="B1104" t="s">
        <v>3314</v>
      </c>
      <c r="C1104" t="s">
        <v>2912</v>
      </c>
      <c r="D1104" t="s">
        <v>20</v>
      </c>
      <c r="E1104" t="s">
        <v>11</v>
      </c>
      <c r="F1104">
        <v>783.2879999999999</v>
      </c>
      <c r="G1104">
        <v>18</v>
      </c>
      <c r="L1104" t="s">
        <v>3316</v>
      </c>
      <c r="O1104" t="s">
        <v>3317</v>
      </c>
    </row>
    <row r="1105" spans="1:15" x14ac:dyDescent="0.25">
      <c r="A1105" t="s">
        <v>18</v>
      </c>
      <c r="B1105" t="s">
        <v>3316</v>
      </c>
      <c r="C1105" t="s">
        <v>3318</v>
      </c>
      <c r="D1105" t="s">
        <v>20</v>
      </c>
      <c r="E1105" t="s">
        <v>11</v>
      </c>
      <c r="F1105">
        <v>979.11</v>
      </c>
      <c r="G1105">
        <v>18</v>
      </c>
      <c r="L1105" t="s">
        <v>3319</v>
      </c>
      <c r="O1105" t="s">
        <v>3320</v>
      </c>
    </row>
    <row r="1106" spans="1:15" x14ac:dyDescent="0.25">
      <c r="A1106" t="s">
        <v>18</v>
      </c>
      <c r="B1106" t="s">
        <v>3319</v>
      </c>
      <c r="C1106" t="s">
        <v>3321</v>
      </c>
      <c r="D1106" t="s">
        <v>20</v>
      </c>
      <c r="E1106" t="s">
        <v>11</v>
      </c>
      <c r="F1106">
        <v>522.192</v>
      </c>
      <c r="G1106">
        <v>18</v>
      </c>
      <c r="L1106" t="s">
        <v>3322</v>
      </c>
      <c r="O1106" t="s">
        <v>3323</v>
      </c>
    </row>
    <row r="1107" spans="1:15" x14ac:dyDescent="0.25">
      <c r="A1107" t="s">
        <v>18</v>
      </c>
      <c r="B1107" t="s">
        <v>3322</v>
      </c>
      <c r="C1107" t="s">
        <v>3324</v>
      </c>
      <c r="D1107" t="s">
        <v>20</v>
      </c>
      <c r="E1107" t="s">
        <v>11</v>
      </c>
      <c r="F1107">
        <v>456.918</v>
      </c>
      <c r="G1107">
        <v>18</v>
      </c>
      <c r="L1107" t="s">
        <v>3325</v>
      </c>
      <c r="O1107" t="s">
        <v>3326</v>
      </c>
    </row>
    <row r="1108" spans="1:15" x14ac:dyDescent="0.25">
      <c r="A1108" t="s">
        <v>18</v>
      </c>
      <c r="B1108" t="s">
        <v>3325</v>
      </c>
      <c r="C1108" t="s">
        <v>3327</v>
      </c>
      <c r="D1108" t="s">
        <v>20</v>
      </c>
      <c r="E1108" t="s">
        <v>11</v>
      </c>
      <c r="F1108">
        <v>783.2879999999999</v>
      </c>
      <c r="G1108">
        <v>18</v>
      </c>
      <c r="L1108" t="s">
        <v>3328</v>
      </c>
      <c r="O1108" t="s">
        <v>3329</v>
      </c>
    </row>
    <row r="1109" spans="1:15" x14ac:dyDescent="0.25">
      <c r="A1109" t="s">
        <v>18</v>
      </c>
      <c r="B1109" t="s">
        <v>3328</v>
      </c>
      <c r="C1109" t="s">
        <v>3330</v>
      </c>
      <c r="D1109" t="s">
        <v>20</v>
      </c>
      <c r="E1109" t="s">
        <v>11</v>
      </c>
      <c r="F1109">
        <v>326.37</v>
      </c>
      <c r="G1109">
        <v>18</v>
      </c>
      <c r="L1109" t="s">
        <v>3331</v>
      </c>
      <c r="O1109" t="s">
        <v>3332</v>
      </c>
    </row>
    <row r="1110" spans="1:15" x14ac:dyDescent="0.25">
      <c r="A1110" t="s">
        <v>18</v>
      </c>
      <c r="B1110" t="s">
        <v>3331</v>
      </c>
      <c r="C1110" t="s">
        <v>3333</v>
      </c>
      <c r="D1110" t="s">
        <v>20</v>
      </c>
      <c r="E1110" t="s">
        <v>11</v>
      </c>
      <c r="F1110">
        <v>2219.316</v>
      </c>
      <c r="G1110">
        <v>18</v>
      </c>
      <c r="L1110" t="s">
        <v>3334</v>
      </c>
      <c r="O1110" t="s">
        <v>3335</v>
      </c>
    </row>
    <row r="1111" spans="1:15" x14ac:dyDescent="0.25">
      <c r="A1111" t="s">
        <v>18</v>
      </c>
      <c r="B1111" t="s">
        <v>3334</v>
      </c>
      <c r="C1111" t="s">
        <v>3336</v>
      </c>
      <c r="D1111" t="s">
        <v>20</v>
      </c>
      <c r="E1111" t="s">
        <v>11</v>
      </c>
      <c r="F1111">
        <v>1044.384</v>
      </c>
      <c r="G1111">
        <v>18</v>
      </c>
      <c r="L1111" t="s">
        <v>3337</v>
      </c>
      <c r="O1111" t="s">
        <v>3338</v>
      </c>
    </row>
    <row r="1112" spans="1:15" x14ac:dyDescent="0.25">
      <c r="A1112" t="s">
        <v>18</v>
      </c>
      <c r="B1112" t="s">
        <v>3337</v>
      </c>
      <c r="C1112" t="s">
        <v>3339</v>
      </c>
      <c r="D1112" t="s">
        <v>20</v>
      </c>
      <c r="E1112" t="s">
        <v>11</v>
      </c>
      <c r="F1112">
        <v>783.2879999999999</v>
      </c>
      <c r="G1112">
        <v>18</v>
      </c>
      <c r="L1112" t="s">
        <v>3340</v>
      </c>
      <c r="O1112" t="s">
        <v>3341</v>
      </c>
    </row>
    <row r="1113" spans="1:15" x14ac:dyDescent="0.25">
      <c r="A1113" t="s">
        <v>18</v>
      </c>
      <c r="B1113" t="s">
        <v>3340</v>
      </c>
      <c r="C1113" t="s">
        <v>3342</v>
      </c>
      <c r="D1113" t="s">
        <v>20</v>
      </c>
      <c r="E1113" t="s">
        <v>11</v>
      </c>
      <c r="F1113">
        <v>848.5619999999999</v>
      </c>
      <c r="G1113">
        <v>18</v>
      </c>
      <c r="L1113" t="s">
        <v>3343</v>
      </c>
      <c r="O1113" t="s">
        <v>3344</v>
      </c>
    </row>
    <row r="1114" spans="1:15" x14ac:dyDescent="0.25">
      <c r="A1114" t="s">
        <v>18</v>
      </c>
      <c r="B1114" t="s">
        <v>3343</v>
      </c>
      <c r="C1114" t="s">
        <v>3345</v>
      </c>
      <c r="D1114" t="s">
        <v>20</v>
      </c>
      <c r="E1114" t="s">
        <v>11</v>
      </c>
      <c r="F1114">
        <v>15926.856</v>
      </c>
      <c r="G1114">
        <v>18</v>
      </c>
      <c r="L1114" t="s">
        <v>3346</v>
      </c>
      <c r="O1114" t="s">
        <v>3347</v>
      </c>
    </row>
    <row r="1115" spans="1:15" x14ac:dyDescent="0.25">
      <c r="A1115" t="s">
        <v>18</v>
      </c>
      <c r="B1115" t="s">
        <v>3346</v>
      </c>
      <c r="C1115" t="s">
        <v>3348</v>
      </c>
      <c r="D1115" t="s">
        <v>20</v>
      </c>
      <c r="E1115" t="s">
        <v>11</v>
      </c>
      <c r="F1115">
        <v>7702.332</v>
      </c>
      <c r="G1115">
        <v>18</v>
      </c>
      <c r="L1115" t="s">
        <v>3349</v>
      </c>
      <c r="O1115" t="s">
        <v>3350</v>
      </c>
    </row>
    <row r="1116" spans="1:15" x14ac:dyDescent="0.25">
      <c r="A1116" t="s">
        <v>18</v>
      </c>
      <c r="B1116" t="s">
        <v>3349</v>
      </c>
      <c r="C1116" t="s">
        <v>3351</v>
      </c>
      <c r="D1116" t="s">
        <v>20</v>
      </c>
      <c r="E1116" t="s">
        <v>11</v>
      </c>
      <c r="F1116">
        <v>391.64399999999995</v>
      </c>
      <c r="G1116">
        <v>18</v>
      </c>
      <c r="L1116" t="s">
        <v>3352</v>
      </c>
      <c r="O1116" t="s">
        <v>3353</v>
      </c>
    </row>
    <row r="1117" spans="1:15" x14ac:dyDescent="0.25">
      <c r="A1117" t="s">
        <v>18</v>
      </c>
      <c r="B1117" t="s">
        <v>3352</v>
      </c>
      <c r="C1117" t="s">
        <v>3354</v>
      </c>
      <c r="D1117" t="s">
        <v>20</v>
      </c>
      <c r="E1117" t="s">
        <v>11</v>
      </c>
      <c r="F1117">
        <v>3067.8779999999997</v>
      </c>
      <c r="G1117">
        <v>18</v>
      </c>
      <c r="L1117" t="s">
        <v>3355</v>
      </c>
      <c r="O1117" t="s">
        <v>3356</v>
      </c>
    </row>
    <row r="1118" spans="1:15" x14ac:dyDescent="0.25">
      <c r="A1118" t="s">
        <v>18</v>
      </c>
      <c r="B1118" t="s">
        <v>3355</v>
      </c>
      <c r="C1118" t="s">
        <v>3357</v>
      </c>
      <c r="D1118" t="s">
        <v>20</v>
      </c>
      <c r="E1118" t="s">
        <v>11</v>
      </c>
      <c r="F1118">
        <v>652.74</v>
      </c>
      <c r="G1118">
        <v>18</v>
      </c>
      <c r="L1118" t="s">
        <v>3358</v>
      </c>
      <c r="O1118" t="s">
        <v>3359</v>
      </c>
    </row>
    <row r="1119" spans="1:15" x14ac:dyDescent="0.25">
      <c r="A1119" t="s">
        <v>18</v>
      </c>
      <c r="B1119" t="s">
        <v>3358</v>
      </c>
      <c r="C1119" t="s">
        <v>3360</v>
      </c>
      <c r="D1119" t="s">
        <v>20</v>
      </c>
      <c r="E1119" t="s">
        <v>11</v>
      </c>
      <c r="F1119">
        <v>2676.234</v>
      </c>
      <c r="G1119">
        <v>18</v>
      </c>
      <c r="L1119" t="s">
        <v>3361</v>
      </c>
      <c r="O1119" t="s">
        <v>3362</v>
      </c>
    </row>
    <row r="1120" spans="1:15" x14ac:dyDescent="0.25">
      <c r="A1120" t="s">
        <v>18</v>
      </c>
      <c r="B1120" t="s">
        <v>3361</v>
      </c>
      <c r="C1120" t="s">
        <v>3363</v>
      </c>
      <c r="D1120" t="s">
        <v>20</v>
      </c>
      <c r="E1120" t="s">
        <v>11</v>
      </c>
      <c r="F1120">
        <v>1174.9319999999998</v>
      </c>
      <c r="G1120">
        <v>18</v>
      </c>
      <c r="L1120" t="s">
        <v>3364</v>
      </c>
      <c r="O1120" t="s">
        <v>3365</v>
      </c>
    </row>
    <row r="1121" spans="1:15" x14ac:dyDescent="0.25">
      <c r="A1121" t="s">
        <v>18</v>
      </c>
      <c r="B1121" t="s">
        <v>3364</v>
      </c>
      <c r="C1121" t="s">
        <v>3366</v>
      </c>
      <c r="D1121" t="s">
        <v>20</v>
      </c>
      <c r="E1121" t="s">
        <v>11</v>
      </c>
      <c r="F1121">
        <v>913.836</v>
      </c>
      <c r="G1121">
        <v>18</v>
      </c>
      <c r="L1121" t="s">
        <v>3367</v>
      </c>
      <c r="O1121" t="s">
        <v>3368</v>
      </c>
    </row>
    <row r="1122" spans="1:15" x14ac:dyDescent="0.25">
      <c r="A1122" t="s">
        <v>18</v>
      </c>
      <c r="B1122" t="s">
        <v>3367</v>
      </c>
      <c r="C1122" t="s">
        <v>3369</v>
      </c>
      <c r="D1122" t="s">
        <v>20</v>
      </c>
      <c r="E1122" t="s">
        <v>11</v>
      </c>
      <c r="F1122">
        <v>1631.85</v>
      </c>
      <c r="G1122">
        <v>18</v>
      </c>
      <c r="L1122" t="s">
        <v>3370</v>
      </c>
      <c r="O1122" t="s">
        <v>3371</v>
      </c>
    </row>
    <row r="1123" spans="1:15" x14ac:dyDescent="0.25">
      <c r="A1123" t="s">
        <v>18</v>
      </c>
      <c r="B1123" t="s">
        <v>3370</v>
      </c>
      <c r="C1123" t="s">
        <v>3372</v>
      </c>
      <c r="D1123" t="s">
        <v>20</v>
      </c>
      <c r="E1123" t="s">
        <v>11</v>
      </c>
      <c r="F1123">
        <v>913.836</v>
      </c>
      <c r="G1123">
        <v>18</v>
      </c>
      <c r="L1123" t="s">
        <v>3373</v>
      </c>
      <c r="O1123" t="s">
        <v>3374</v>
      </c>
    </row>
    <row r="1124" spans="1:15" x14ac:dyDescent="0.25">
      <c r="A1124" t="s">
        <v>18</v>
      </c>
      <c r="B1124" t="s">
        <v>3373</v>
      </c>
      <c r="C1124" t="s">
        <v>3375</v>
      </c>
      <c r="D1124" t="s">
        <v>20</v>
      </c>
      <c r="E1124" t="s">
        <v>11</v>
      </c>
      <c r="F1124">
        <v>1305.48</v>
      </c>
      <c r="G1124">
        <v>18</v>
      </c>
      <c r="L1124" t="s">
        <v>3376</v>
      </c>
      <c r="O1124" t="s">
        <v>3377</v>
      </c>
    </row>
    <row r="1125" spans="1:15" x14ac:dyDescent="0.25">
      <c r="A1125" t="s">
        <v>18</v>
      </c>
      <c r="B1125" t="s">
        <v>3376</v>
      </c>
      <c r="C1125" t="s">
        <v>3378</v>
      </c>
      <c r="D1125" t="s">
        <v>20</v>
      </c>
      <c r="E1125" t="s">
        <v>11</v>
      </c>
      <c r="F1125">
        <v>652.74</v>
      </c>
      <c r="G1125">
        <v>18</v>
      </c>
      <c r="L1125" t="s">
        <v>3379</v>
      </c>
      <c r="O1125" t="s">
        <v>3380</v>
      </c>
    </row>
    <row r="1126" spans="1:15" x14ac:dyDescent="0.25">
      <c r="A1126" t="s">
        <v>18</v>
      </c>
      <c r="B1126" t="s">
        <v>3379</v>
      </c>
      <c r="C1126" t="s">
        <v>3381</v>
      </c>
      <c r="D1126" t="s">
        <v>20</v>
      </c>
      <c r="E1126" t="s">
        <v>11</v>
      </c>
      <c r="F1126">
        <v>652.74</v>
      </c>
      <c r="G1126">
        <v>18</v>
      </c>
      <c r="L1126" t="s">
        <v>3382</v>
      </c>
      <c r="O1126" t="s">
        <v>3383</v>
      </c>
    </row>
    <row r="1127" spans="1:15" x14ac:dyDescent="0.25">
      <c r="A1127" t="s">
        <v>18</v>
      </c>
      <c r="B1127" t="s">
        <v>3382</v>
      </c>
      <c r="C1127" t="s">
        <v>3384</v>
      </c>
      <c r="D1127" t="s">
        <v>20</v>
      </c>
      <c r="E1127" t="s">
        <v>11</v>
      </c>
      <c r="F1127">
        <v>979.11</v>
      </c>
      <c r="G1127">
        <v>18</v>
      </c>
      <c r="L1127" t="s">
        <v>3385</v>
      </c>
      <c r="O1127" t="s">
        <v>3386</v>
      </c>
    </row>
    <row r="1128" spans="1:15" x14ac:dyDescent="0.25">
      <c r="A1128" t="s">
        <v>18</v>
      </c>
      <c r="B1128" t="s">
        <v>3385</v>
      </c>
      <c r="C1128" t="s">
        <v>3387</v>
      </c>
      <c r="D1128" t="s">
        <v>20</v>
      </c>
      <c r="E1128" t="s">
        <v>11</v>
      </c>
      <c r="F1128">
        <v>913.836</v>
      </c>
      <c r="G1128">
        <v>18</v>
      </c>
      <c r="L1128" t="s">
        <v>3388</v>
      </c>
      <c r="O1128" t="s">
        <v>3389</v>
      </c>
    </row>
    <row r="1129" spans="1:15" x14ac:dyDescent="0.25">
      <c r="A1129" t="s">
        <v>18</v>
      </c>
      <c r="B1129" t="s">
        <v>3388</v>
      </c>
      <c r="C1129" t="s">
        <v>3390</v>
      </c>
      <c r="D1129" t="s">
        <v>20</v>
      </c>
      <c r="E1129" t="s">
        <v>11</v>
      </c>
      <c r="F1129">
        <v>1109.658</v>
      </c>
      <c r="G1129">
        <v>18</v>
      </c>
      <c r="L1129" t="s">
        <v>3391</v>
      </c>
      <c r="O1129" t="s">
        <v>3392</v>
      </c>
    </row>
    <row r="1130" spans="1:15" x14ac:dyDescent="0.25">
      <c r="A1130" t="s">
        <v>18</v>
      </c>
      <c r="B1130" t="s">
        <v>3391</v>
      </c>
      <c r="C1130" t="s">
        <v>3393</v>
      </c>
      <c r="D1130" t="s">
        <v>20</v>
      </c>
      <c r="E1130" t="s">
        <v>11</v>
      </c>
      <c r="F1130">
        <v>979.11</v>
      </c>
      <c r="G1130">
        <v>18</v>
      </c>
      <c r="L1130" t="s">
        <v>3394</v>
      </c>
      <c r="O1130" t="s">
        <v>3395</v>
      </c>
    </row>
    <row r="1131" spans="1:15" x14ac:dyDescent="0.25">
      <c r="A1131" t="s">
        <v>18</v>
      </c>
      <c r="B1131" t="s">
        <v>3394</v>
      </c>
      <c r="C1131" t="s">
        <v>3396</v>
      </c>
      <c r="D1131" t="s">
        <v>20</v>
      </c>
      <c r="E1131" t="s">
        <v>11</v>
      </c>
      <c r="F1131">
        <v>456.918</v>
      </c>
      <c r="G1131">
        <v>18</v>
      </c>
      <c r="L1131" t="s">
        <v>3397</v>
      </c>
      <c r="O1131" t="s">
        <v>3398</v>
      </c>
    </row>
    <row r="1132" spans="1:15" x14ac:dyDescent="0.25">
      <c r="A1132" t="s">
        <v>18</v>
      </c>
      <c r="B1132" t="s">
        <v>3397</v>
      </c>
      <c r="C1132" t="s">
        <v>3399</v>
      </c>
      <c r="D1132" t="s">
        <v>20</v>
      </c>
      <c r="E1132" t="s">
        <v>11</v>
      </c>
      <c r="F1132">
        <v>11618.771999999999</v>
      </c>
      <c r="G1132">
        <v>18</v>
      </c>
      <c r="L1132" t="s">
        <v>3400</v>
      </c>
      <c r="O1132" t="s">
        <v>3401</v>
      </c>
    </row>
    <row r="1133" spans="1:15" x14ac:dyDescent="0.25">
      <c r="A1133" t="s">
        <v>18</v>
      </c>
      <c r="B1133" t="s">
        <v>3400</v>
      </c>
      <c r="C1133" t="s">
        <v>3318</v>
      </c>
      <c r="D1133" t="s">
        <v>20</v>
      </c>
      <c r="E1133" t="s">
        <v>11</v>
      </c>
      <c r="F1133">
        <v>1174.9319999999998</v>
      </c>
      <c r="G1133">
        <v>18</v>
      </c>
      <c r="L1133" t="s">
        <v>3402</v>
      </c>
      <c r="O1133" t="s">
        <v>3403</v>
      </c>
    </row>
    <row r="1134" spans="1:15" x14ac:dyDescent="0.25">
      <c r="A1134" t="s">
        <v>18</v>
      </c>
      <c r="B1134" t="s">
        <v>3402</v>
      </c>
      <c r="C1134" t="s">
        <v>3404</v>
      </c>
      <c r="D1134" t="s">
        <v>20</v>
      </c>
      <c r="E1134" t="s">
        <v>11</v>
      </c>
      <c r="F1134">
        <v>3198.426</v>
      </c>
      <c r="G1134">
        <v>18</v>
      </c>
      <c r="L1134" t="s">
        <v>3405</v>
      </c>
      <c r="O1134" t="s">
        <v>3406</v>
      </c>
    </row>
    <row r="1135" spans="1:15" x14ac:dyDescent="0.25">
      <c r="A1135" t="s">
        <v>18</v>
      </c>
      <c r="B1135" t="s">
        <v>3405</v>
      </c>
      <c r="C1135" t="s">
        <v>3407</v>
      </c>
      <c r="D1135" t="s">
        <v>20</v>
      </c>
      <c r="E1135" t="s">
        <v>11</v>
      </c>
      <c r="F1135">
        <v>391.64399999999995</v>
      </c>
      <c r="G1135">
        <v>18</v>
      </c>
      <c r="L1135" t="s">
        <v>3408</v>
      </c>
      <c r="O1135" t="s">
        <v>3409</v>
      </c>
    </row>
    <row r="1136" spans="1:15" x14ac:dyDescent="0.25">
      <c r="A1136" t="s">
        <v>18</v>
      </c>
      <c r="B1136" t="s">
        <v>3408</v>
      </c>
      <c r="C1136" t="s">
        <v>3410</v>
      </c>
      <c r="D1136" t="s">
        <v>20</v>
      </c>
      <c r="E1136" t="s">
        <v>11</v>
      </c>
      <c r="F1136">
        <v>5678.838</v>
      </c>
      <c r="G1136">
        <v>18</v>
      </c>
      <c r="L1136" t="s">
        <v>3411</v>
      </c>
      <c r="O1136" t="s">
        <v>3412</v>
      </c>
    </row>
    <row r="1137" spans="1:15" x14ac:dyDescent="0.25">
      <c r="A1137" t="s">
        <v>18</v>
      </c>
      <c r="B1137" t="s">
        <v>3411</v>
      </c>
      <c r="C1137" t="s">
        <v>3413</v>
      </c>
      <c r="D1137" t="s">
        <v>20</v>
      </c>
      <c r="E1137" t="s">
        <v>11</v>
      </c>
      <c r="F1137">
        <v>2610.96</v>
      </c>
      <c r="G1137">
        <v>18</v>
      </c>
      <c r="L1137" t="s">
        <v>3414</v>
      </c>
      <c r="O1137" t="s">
        <v>3415</v>
      </c>
    </row>
    <row r="1138" spans="1:15" x14ac:dyDescent="0.25">
      <c r="A1138" t="s">
        <v>18</v>
      </c>
      <c r="B1138" t="s">
        <v>3414</v>
      </c>
      <c r="C1138" t="s">
        <v>3416</v>
      </c>
      <c r="D1138" t="s">
        <v>20</v>
      </c>
      <c r="E1138" t="s">
        <v>11</v>
      </c>
      <c r="F1138">
        <v>2088.768</v>
      </c>
      <c r="G1138">
        <v>18</v>
      </c>
      <c r="L1138" t="s">
        <v>3417</v>
      </c>
      <c r="O1138" t="s">
        <v>3418</v>
      </c>
    </row>
    <row r="1139" spans="1:15" x14ac:dyDescent="0.25">
      <c r="A1139" t="s">
        <v>18</v>
      </c>
      <c r="B1139" t="s">
        <v>3417</v>
      </c>
      <c r="C1139" t="s">
        <v>3419</v>
      </c>
      <c r="D1139" t="s">
        <v>20</v>
      </c>
      <c r="E1139" t="s">
        <v>11</v>
      </c>
      <c r="F1139">
        <v>3067.8779999999997</v>
      </c>
      <c r="G1139">
        <v>18</v>
      </c>
      <c r="L1139" t="s">
        <v>3420</v>
      </c>
      <c r="O1139" t="s">
        <v>3421</v>
      </c>
    </row>
    <row r="1140" spans="1:15" x14ac:dyDescent="0.25">
      <c r="A1140" t="s">
        <v>18</v>
      </c>
      <c r="B1140" t="s">
        <v>3420</v>
      </c>
      <c r="C1140" t="s">
        <v>3422</v>
      </c>
      <c r="D1140" t="s">
        <v>20</v>
      </c>
      <c r="E1140" t="s">
        <v>11</v>
      </c>
      <c r="F1140">
        <v>2806.7819999999997</v>
      </c>
      <c r="G1140">
        <v>18</v>
      </c>
      <c r="L1140" t="s">
        <v>3423</v>
      </c>
      <c r="O1140" t="s">
        <v>3424</v>
      </c>
    </row>
    <row r="1141" spans="1:15" x14ac:dyDescent="0.25">
      <c r="A1141" t="s">
        <v>18</v>
      </c>
      <c r="B1141" t="s">
        <v>3423</v>
      </c>
      <c r="C1141" t="s">
        <v>3425</v>
      </c>
      <c r="D1141" t="s">
        <v>20</v>
      </c>
      <c r="E1141" t="s">
        <v>11</v>
      </c>
      <c r="F1141">
        <v>1697.1239999999998</v>
      </c>
      <c r="G1141">
        <v>18</v>
      </c>
      <c r="L1141" t="s">
        <v>3426</v>
      </c>
      <c r="O1141" t="s">
        <v>3427</v>
      </c>
    </row>
    <row r="1142" spans="1:15" x14ac:dyDescent="0.25">
      <c r="A1142" t="s">
        <v>18</v>
      </c>
      <c r="B1142" t="s">
        <v>3426</v>
      </c>
      <c r="C1142" t="s">
        <v>3428</v>
      </c>
      <c r="D1142" t="s">
        <v>20</v>
      </c>
      <c r="E1142" t="s">
        <v>11</v>
      </c>
      <c r="F1142">
        <v>522.192</v>
      </c>
      <c r="G1142">
        <v>18</v>
      </c>
      <c r="L1142" t="s">
        <v>3429</v>
      </c>
      <c r="O1142" t="s">
        <v>3430</v>
      </c>
    </row>
    <row r="1143" spans="1:15" x14ac:dyDescent="0.25">
      <c r="A1143" t="s">
        <v>18</v>
      </c>
      <c r="B1143" t="s">
        <v>3429</v>
      </c>
      <c r="C1143" t="s">
        <v>3431</v>
      </c>
      <c r="D1143" t="s">
        <v>20</v>
      </c>
      <c r="E1143" t="s">
        <v>11</v>
      </c>
      <c r="F1143">
        <v>587.4659999999999</v>
      </c>
      <c r="G1143">
        <v>18</v>
      </c>
      <c r="L1143" t="s">
        <v>3432</v>
      </c>
      <c r="O1143" t="s">
        <v>3433</v>
      </c>
    </row>
    <row r="1144" spans="1:15" x14ac:dyDescent="0.25">
      <c r="A1144" t="s">
        <v>18</v>
      </c>
      <c r="B1144" t="s">
        <v>3432</v>
      </c>
      <c r="C1144" t="s">
        <v>3434</v>
      </c>
      <c r="D1144" t="s">
        <v>20</v>
      </c>
      <c r="E1144" t="s">
        <v>11</v>
      </c>
      <c r="F1144">
        <v>522.192</v>
      </c>
      <c r="G1144">
        <v>18</v>
      </c>
      <c r="L1144" t="s">
        <v>3435</v>
      </c>
      <c r="O1144" t="s">
        <v>3436</v>
      </c>
    </row>
    <row r="1145" spans="1:15" x14ac:dyDescent="0.25">
      <c r="A1145" t="s">
        <v>18</v>
      </c>
      <c r="B1145" t="s">
        <v>3435</v>
      </c>
      <c r="C1145" t="s">
        <v>3437</v>
      </c>
      <c r="D1145" t="s">
        <v>20</v>
      </c>
      <c r="E1145" t="s">
        <v>11</v>
      </c>
      <c r="F1145">
        <v>522.192</v>
      </c>
      <c r="G1145">
        <v>18</v>
      </c>
      <c r="L1145" t="s">
        <v>3438</v>
      </c>
      <c r="O1145" t="s">
        <v>3439</v>
      </c>
    </row>
    <row r="1146" spans="1:15" x14ac:dyDescent="0.25">
      <c r="A1146" t="s">
        <v>18</v>
      </c>
      <c r="B1146" t="s">
        <v>3438</v>
      </c>
      <c r="C1146" t="s">
        <v>3440</v>
      </c>
      <c r="D1146" t="s">
        <v>20</v>
      </c>
      <c r="E1146" t="s">
        <v>11</v>
      </c>
      <c r="F1146">
        <v>2088.768</v>
      </c>
      <c r="G1146">
        <v>18</v>
      </c>
      <c r="L1146" t="s">
        <v>3441</v>
      </c>
      <c r="O1146" t="s">
        <v>3442</v>
      </c>
    </row>
    <row r="1147" spans="1:15" x14ac:dyDescent="0.25">
      <c r="A1147" t="s">
        <v>18</v>
      </c>
      <c r="B1147" t="s">
        <v>3441</v>
      </c>
      <c r="C1147" t="s">
        <v>3443</v>
      </c>
      <c r="D1147" t="s">
        <v>20</v>
      </c>
      <c r="E1147" t="s">
        <v>11</v>
      </c>
      <c r="F1147">
        <v>2088.768</v>
      </c>
      <c r="G1147">
        <v>18</v>
      </c>
      <c r="L1147" t="s">
        <v>3444</v>
      </c>
      <c r="O1147" t="s">
        <v>3445</v>
      </c>
    </row>
    <row r="1148" spans="1:15" x14ac:dyDescent="0.25">
      <c r="A1148" t="s">
        <v>18</v>
      </c>
      <c r="B1148" t="s">
        <v>3444</v>
      </c>
      <c r="C1148" t="s">
        <v>3446</v>
      </c>
      <c r="D1148" t="s">
        <v>20</v>
      </c>
      <c r="E1148" t="s">
        <v>11</v>
      </c>
      <c r="F1148">
        <v>3981.714</v>
      </c>
      <c r="G1148">
        <v>18</v>
      </c>
      <c r="L1148" t="s">
        <v>3447</v>
      </c>
      <c r="O1148" t="s">
        <v>3448</v>
      </c>
    </row>
    <row r="1149" spans="1:15" x14ac:dyDescent="0.25">
      <c r="A1149" t="s">
        <v>18</v>
      </c>
      <c r="B1149" t="s">
        <v>3447</v>
      </c>
      <c r="C1149" t="s">
        <v>3449</v>
      </c>
      <c r="D1149" t="s">
        <v>20</v>
      </c>
      <c r="E1149" t="s">
        <v>11</v>
      </c>
      <c r="F1149">
        <v>1958.22</v>
      </c>
      <c r="G1149">
        <v>18</v>
      </c>
      <c r="L1149" t="s">
        <v>3450</v>
      </c>
      <c r="O1149" t="s">
        <v>3451</v>
      </c>
    </row>
    <row r="1150" spans="1:15" x14ac:dyDescent="0.25">
      <c r="A1150" t="s">
        <v>18</v>
      </c>
      <c r="B1150" t="s">
        <v>3450</v>
      </c>
      <c r="C1150" t="s">
        <v>3452</v>
      </c>
      <c r="D1150" t="s">
        <v>20</v>
      </c>
      <c r="E1150" t="s">
        <v>11</v>
      </c>
      <c r="F1150">
        <v>2610.96</v>
      </c>
      <c r="G1150">
        <v>18</v>
      </c>
      <c r="L1150" t="s">
        <v>3453</v>
      </c>
      <c r="O1150" t="s">
        <v>3454</v>
      </c>
    </row>
    <row r="1151" spans="1:15" x14ac:dyDescent="0.25">
      <c r="A1151" t="s">
        <v>18</v>
      </c>
      <c r="B1151" t="s">
        <v>3453</v>
      </c>
      <c r="C1151" t="s">
        <v>3455</v>
      </c>
      <c r="D1151" t="s">
        <v>20</v>
      </c>
      <c r="E1151" t="s">
        <v>11</v>
      </c>
      <c r="F1151">
        <v>783.2879999999999</v>
      </c>
      <c r="G1151">
        <v>18</v>
      </c>
      <c r="L1151" t="s">
        <v>3456</v>
      </c>
      <c r="O1151" t="s">
        <v>3457</v>
      </c>
    </row>
    <row r="1152" spans="1:15" x14ac:dyDescent="0.25">
      <c r="A1152" t="s">
        <v>18</v>
      </c>
      <c r="B1152" t="s">
        <v>3456</v>
      </c>
      <c r="C1152" t="s">
        <v>3458</v>
      </c>
      <c r="D1152" t="s">
        <v>20</v>
      </c>
      <c r="E1152" t="s">
        <v>11</v>
      </c>
      <c r="F1152">
        <v>783.2879999999999</v>
      </c>
      <c r="G1152">
        <v>18</v>
      </c>
      <c r="L1152" t="s">
        <v>3459</v>
      </c>
      <c r="O1152" t="s">
        <v>3460</v>
      </c>
    </row>
    <row r="1153" spans="1:15" x14ac:dyDescent="0.25">
      <c r="A1153" t="s">
        <v>18</v>
      </c>
      <c r="B1153" t="s">
        <v>3459</v>
      </c>
      <c r="C1153" t="s">
        <v>3461</v>
      </c>
      <c r="D1153" t="s">
        <v>20</v>
      </c>
      <c r="E1153" t="s">
        <v>11</v>
      </c>
      <c r="F1153">
        <v>456.918</v>
      </c>
      <c r="G1153">
        <v>18</v>
      </c>
      <c r="L1153" t="s">
        <v>3462</v>
      </c>
      <c r="O1153" t="s">
        <v>3463</v>
      </c>
    </row>
    <row r="1154" spans="1:15" x14ac:dyDescent="0.25">
      <c r="A1154" t="s">
        <v>18</v>
      </c>
      <c r="B1154" t="s">
        <v>3462</v>
      </c>
      <c r="C1154" t="s">
        <v>3464</v>
      </c>
      <c r="D1154" t="s">
        <v>20</v>
      </c>
      <c r="E1154" t="s">
        <v>11</v>
      </c>
      <c r="F1154">
        <v>456.918</v>
      </c>
      <c r="G1154">
        <v>18</v>
      </c>
      <c r="L1154" t="s">
        <v>3465</v>
      </c>
      <c r="O1154" t="s">
        <v>3466</v>
      </c>
    </row>
    <row r="1155" spans="1:15" x14ac:dyDescent="0.25">
      <c r="A1155" t="s">
        <v>18</v>
      </c>
      <c r="B1155" t="s">
        <v>3465</v>
      </c>
      <c r="C1155" t="s">
        <v>3467</v>
      </c>
      <c r="D1155" t="s">
        <v>20</v>
      </c>
      <c r="E1155" t="s">
        <v>11</v>
      </c>
      <c r="F1155">
        <v>783.2879999999999</v>
      </c>
      <c r="G1155">
        <v>18</v>
      </c>
      <c r="L1155" t="s">
        <v>3468</v>
      </c>
      <c r="O1155" t="s">
        <v>3469</v>
      </c>
    </row>
    <row r="1156" spans="1:15" x14ac:dyDescent="0.25">
      <c r="A1156" t="s">
        <v>18</v>
      </c>
      <c r="B1156" t="s">
        <v>3468</v>
      </c>
      <c r="C1156" t="s">
        <v>3470</v>
      </c>
      <c r="D1156" t="s">
        <v>20</v>
      </c>
      <c r="E1156" t="s">
        <v>11</v>
      </c>
      <c r="F1156">
        <v>456.918</v>
      </c>
      <c r="G1156">
        <v>18</v>
      </c>
      <c r="L1156" t="s">
        <v>3471</v>
      </c>
      <c r="O1156" t="s">
        <v>3472</v>
      </c>
    </row>
    <row r="1157" spans="1:15" x14ac:dyDescent="0.25">
      <c r="A1157" t="s">
        <v>18</v>
      </c>
      <c r="B1157" t="s">
        <v>3471</v>
      </c>
      <c r="C1157" t="s">
        <v>3473</v>
      </c>
      <c r="D1157" t="s">
        <v>20</v>
      </c>
      <c r="E1157" t="s">
        <v>11</v>
      </c>
      <c r="F1157">
        <v>522.192</v>
      </c>
      <c r="G1157">
        <v>18</v>
      </c>
      <c r="L1157" t="s">
        <v>3474</v>
      </c>
      <c r="O1157" t="s">
        <v>3475</v>
      </c>
    </row>
    <row r="1158" spans="1:15" x14ac:dyDescent="0.25">
      <c r="A1158" t="s">
        <v>18</v>
      </c>
      <c r="B1158" t="s">
        <v>3474</v>
      </c>
      <c r="C1158" t="s">
        <v>3476</v>
      </c>
      <c r="D1158" t="s">
        <v>20</v>
      </c>
      <c r="E1158" t="s">
        <v>11</v>
      </c>
      <c r="F1158">
        <v>1697.1239999999998</v>
      </c>
      <c r="G1158">
        <v>18</v>
      </c>
      <c r="L1158" t="s">
        <v>3477</v>
      </c>
      <c r="O1158" t="s">
        <v>3478</v>
      </c>
    </row>
    <row r="1159" spans="1:15" x14ac:dyDescent="0.25">
      <c r="A1159" t="s">
        <v>18</v>
      </c>
      <c r="B1159" t="s">
        <v>3477</v>
      </c>
      <c r="C1159" t="s">
        <v>3479</v>
      </c>
      <c r="D1159" t="s">
        <v>20</v>
      </c>
      <c r="E1159" t="s">
        <v>11</v>
      </c>
      <c r="F1159">
        <v>1044.384</v>
      </c>
      <c r="G1159">
        <v>18</v>
      </c>
      <c r="L1159" t="s">
        <v>3480</v>
      </c>
      <c r="O1159" t="s">
        <v>3481</v>
      </c>
    </row>
    <row r="1160" spans="1:15" x14ac:dyDescent="0.25">
      <c r="A1160" t="s">
        <v>18</v>
      </c>
      <c r="B1160" t="s">
        <v>3480</v>
      </c>
      <c r="C1160" t="s">
        <v>3482</v>
      </c>
      <c r="D1160" t="s">
        <v>20</v>
      </c>
      <c r="E1160" t="s">
        <v>11</v>
      </c>
      <c r="F1160">
        <v>2676.234</v>
      </c>
      <c r="G1160">
        <v>18</v>
      </c>
      <c r="L1160" t="s">
        <v>3483</v>
      </c>
      <c r="O1160" t="s">
        <v>3484</v>
      </c>
    </row>
    <row r="1161" spans="1:15" x14ac:dyDescent="0.25">
      <c r="A1161" t="s">
        <v>18</v>
      </c>
      <c r="B1161" t="s">
        <v>3483</v>
      </c>
      <c r="C1161" t="s">
        <v>3485</v>
      </c>
      <c r="D1161" t="s">
        <v>20</v>
      </c>
      <c r="E1161" t="s">
        <v>11</v>
      </c>
      <c r="F1161">
        <v>1566.5759999999998</v>
      </c>
      <c r="G1161">
        <v>18</v>
      </c>
      <c r="L1161" t="s">
        <v>3486</v>
      </c>
      <c r="O1161" t="s">
        <v>3487</v>
      </c>
    </row>
    <row r="1162" spans="1:15" x14ac:dyDescent="0.25">
      <c r="A1162" t="s">
        <v>18</v>
      </c>
      <c r="B1162" t="s">
        <v>3486</v>
      </c>
      <c r="C1162" t="s">
        <v>3488</v>
      </c>
      <c r="D1162" t="s">
        <v>20</v>
      </c>
      <c r="E1162" t="s">
        <v>11</v>
      </c>
      <c r="F1162">
        <v>3981.714</v>
      </c>
      <c r="G1162">
        <v>18</v>
      </c>
      <c r="L1162" t="s">
        <v>3489</v>
      </c>
      <c r="O1162" t="s">
        <v>3490</v>
      </c>
    </row>
    <row r="1163" spans="1:15" x14ac:dyDescent="0.25">
      <c r="A1163" t="s">
        <v>18</v>
      </c>
      <c r="B1163" t="s">
        <v>3489</v>
      </c>
      <c r="C1163" t="s">
        <v>3491</v>
      </c>
      <c r="D1163" t="s">
        <v>20</v>
      </c>
      <c r="E1163" t="s">
        <v>11</v>
      </c>
      <c r="F1163">
        <v>3981.714</v>
      </c>
      <c r="G1163">
        <v>18</v>
      </c>
      <c r="L1163" t="s">
        <v>3492</v>
      </c>
      <c r="O1163" t="s">
        <v>3493</v>
      </c>
    </row>
    <row r="1164" spans="1:15" x14ac:dyDescent="0.25">
      <c r="A1164" t="s">
        <v>18</v>
      </c>
      <c r="B1164" t="s">
        <v>3492</v>
      </c>
      <c r="C1164" t="s">
        <v>3494</v>
      </c>
      <c r="D1164" t="s">
        <v>20</v>
      </c>
      <c r="E1164" t="s">
        <v>11</v>
      </c>
      <c r="F1164">
        <v>3133.1519999999996</v>
      </c>
      <c r="G1164">
        <v>18</v>
      </c>
      <c r="L1164" t="s">
        <v>3495</v>
      </c>
      <c r="O1164" t="s">
        <v>3496</v>
      </c>
    </row>
    <row r="1165" spans="1:15" x14ac:dyDescent="0.25">
      <c r="A1165" t="s">
        <v>18</v>
      </c>
      <c r="B1165" t="s">
        <v>3495</v>
      </c>
      <c r="C1165" t="s">
        <v>3497</v>
      </c>
      <c r="D1165" t="s">
        <v>20</v>
      </c>
      <c r="E1165" t="s">
        <v>11</v>
      </c>
      <c r="F1165">
        <v>3133.1519999999996</v>
      </c>
      <c r="G1165">
        <v>18</v>
      </c>
      <c r="L1165" t="s">
        <v>3498</v>
      </c>
      <c r="O1165" t="s">
        <v>3499</v>
      </c>
    </row>
    <row r="1166" spans="1:15" x14ac:dyDescent="0.25">
      <c r="A1166" t="s">
        <v>18</v>
      </c>
      <c r="B1166" t="s">
        <v>3498</v>
      </c>
      <c r="C1166" t="s">
        <v>3500</v>
      </c>
      <c r="D1166" t="s">
        <v>20</v>
      </c>
      <c r="E1166" t="s">
        <v>11</v>
      </c>
      <c r="F1166">
        <v>848.5619999999999</v>
      </c>
      <c r="G1166">
        <v>18</v>
      </c>
      <c r="L1166" t="s">
        <v>3501</v>
      </c>
      <c r="O1166" t="s">
        <v>3502</v>
      </c>
    </row>
    <row r="1167" spans="1:15" x14ac:dyDescent="0.25">
      <c r="A1167" t="s">
        <v>18</v>
      </c>
      <c r="B1167" t="s">
        <v>3501</v>
      </c>
      <c r="C1167" t="s">
        <v>3503</v>
      </c>
      <c r="D1167" t="s">
        <v>20</v>
      </c>
      <c r="E1167" t="s">
        <v>11</v>
      </c>
      <c r="F1167">
        <v>848.5619999999999</v>
      </c>
      <c r="G1167">
        <v>18</v>
      </c>
      <c r="L1167" t="s">
        <v>3504</v>
      </c>
      <c r="O1167" t="s">
        <v>3505</v>
      </c>
    </row>
    <row r="1168" spans="1:15" x14ac:dyDescent="0.25">
      <c r="A1168" t="s">
        <v>18</v>
      </c>
      <c r="B1168" t="s">
        <v>3504</v>
      </c>
      <c r="C1168" t="s">
        <v>3506</v>
      </c>
      <c r="D1168" t="s">
        <v>20</v>
      </c>
      <c r="E1168" t="s">
        <v>11</v>
      </c>
      <c r="F1168">
        <v>10704.936</v>
      </c>
      <c r="G1168">
        <v>18</v>
      </c>
      <c r="L1168" t="s">
        <v>3507</v>
      </c>
      <c r="O1168" t="s">
        <v>3508</v>
      </c>
    </row>
    <row r="1169" spans="1:15" x14ac:dyDescent="0.25">
      <c r="A1169" t="s">
        <v>18</v>
      </c>
      <c r="B1169" t="s">
        <v>3507</v>
      </c>
      <c r="C1169" t="s">
        <v>3509</v>
      </c>
      <c r="D1169" t="s">
        <v>20</v>
      </c>
      <c r="E1169" t="s">
        <v>11</v>
      </c>
      <c r="F1169">
        <v>10704.936</v>
      </c>
      <c r="G1169">
        <v>18</v>
      </c>
      <c r="L1169" t="s">
        <v>3510</v>
      </c>
      <c r="O1169" t="s">
        <v>3511</v>
      </c>
    </row>
    <row r="1170" spans="1:15" x14ac:dyDescent="0.25">
      <c r="A1170" t="s">
        <v>18</v>
      </c>
      <c r="B1170" t="s">
        <v>3510</v>
      </c>
      <c r="C1170" t="s">
        <v>3512</v>
      </c>
      <c r="D1170" t="s">
        <v>20</v>
      </c>
      <c r="E1170" t="s">
        <v>11</v>
      </c>
      <c r="F1170">
        <v>5287.193999999999</v>
      </c>
      <c r="G1170">
        <v>18</v>
      </c>
      <c r="L1170" t="s">
        <v>3513</v>
      </c>
      <c r="O1170" t="s">
        <v>3514</v>
      </c>
    </row>
    <row r="1171" spans="1:15" x14ac:dyDescent="0.25">
      <c r="A1171" t="s">
        <v>18</v>
      </c>
      <c r="B1171" t="s">
        <v>3513</v>
      </c>
      <c r="C1171" t="s">
        <v>3515</v>
      </c>
      <c r="D1171" t="s">
        <v>20</v>
      </c>
      <c r="E1171" t="s">
        <v>11</v>
      </c>
      <c r="F1171">
        <v>1958.22</v>
      </c>
      <c r="G1171">
        <v>18</v>
      </c>
      <c r="L1171" t="s">
        <v>3516</v>
      </c>
      <c r="O1171" t="s">
        <v>3517</v>
      </c>
    </row>
    <row r="1172" spans="1:15" x14ac:dyDescent="0.25">
      <c r="A1172" t="s">
        <v>18</v>
      </c>
      <c r="B1172" t="s">
        <v>3516</v>
      </c>
      <c r="C1172" t="s">
        <v>3518</v>
      </c>
      <c r="D1172" t="s">
        <v>20</v>
      </c>
      <c r="E1172" t="s">
        <v>11</v>
      </c>
      <c r="F1172">
        <v>1892.946</v>
      </c>
      <c r="G1172">
        <v>18</v>
      </c>
      <c r="L1172" t="s">
        <v>3519</v>
      </c>
      <c r="O1172" t="s">
        <v>3520</v>
      </c>
    </row>
    <row r="1173" spans="1:15" x14ac:dyDescent="0.25">
      <c r="A1173" t="s">
        <v>18</v>
      </c>
      <c r="B1173" t="s">
        <v>3519</v>
      </c>
      <c r="C1173" t="s">
        <v>3521</v>
      </c>
      <c r="D1173" t="s">
        <v>20</v>
      </c>
      <c r="E1173" t="s">
        <v>11</v>
      </c>
      <c r="F1173">
        <v>1892.946</v>
      </c>
      <c r="G1173">
        <v>18</v>
      </c>
      <c r="L1173" t="s">
        <v>3522</v>
      </c>
      <c r="O1173" t="s">
        <v>3523</v>
      </c>
    </row>
    <row r="1174" spans="1:15" x14ac:dyDescent="0.25">
      <c r="A1174" t="s">
        <v>18</v>
      </c>
      <c r="B1174" t="s">
        <v>3522</v>
      </c>
      <c r="C1174" t="s">
        <v>3524</v>
      </c>
      <c r="D1174" t="s">
        <v>20</v>
      </c>
      <c r="E1174" t="s">
        <v>11</v>
      </c>
      <c r="F1174">
        <v>14947.746</v>
      </c>
      <c r="G1174">
        <v>18</v>
      </c>
      <c r="L1174" t="s">
        <v>3525</v>
      </c>
      <c r="O1174" t="s">
        <v>3526</v>
      </c>
    </row>
    <row r="1175" spans="1:15" x14ac:dyDescent="0.25">
      <c r="A1175" t="s">
        <v>18</v>
      </c>
      <c r="B1175" t="s">
        <v>3525</v>
      </c>
      <c r="C1175" t="s">
        <v>3527</v>
      </c>
      <c r="D1175" t="s">
        <v>20</v>
      </c>
      <c r="E1175" t="s">
        <v>11</v>
      </c>
      <c r="F1175">
        <v>3981.714</v>
      </c>
      <c r="G1175">
        <v>18</v>
      </c>
      <c r="L1175" t="s">
        <v>3528</v>
      </c>
      <c r="O1175" t="s">
        <v>3529</v>
      </c>
    </row>
    <row r="1176" spans="1:15" x14ac:dyDescent="0.25">
      <c r="A1176" t="s">
        <v>18</v>
      </c>
      <c r="B1176" t="s">
        <v>3528</v>
      </c>
      <c r="C1176" t="s">
        <v>3530</v>
      </c>
      <c r="D1176" t="s">
        <v>20</v>
      </c>
      <c r="E1176" t="s">
        <v>11</v>
      </c>
      <c r="F1176">
        <v>15274.116</v>
      </c>
      <c r="G1176">
        <v>18</v>
      </c>
      <c r="L1176" t="s">
        <v>3531</v>
      </c>
      <c r="O1176" t="s">
        <v>3532</v>
      </c>
    </row>
    <row r="1177" spans="1:15" x14ac:dyDescent="0.25">
      <c r="A1177" t="s">
        <v>18</v>
      </c>
      <c r="B1177" t="s">
        <v>3531</v>
      </c>
      <c r="C1177" t="s">
        <v>3533</v>
      </c>
      <c r="D1177" t="s">
        <v>20</v>
      </c>
      <c r="E1177" t="s">
        <v>11</v>
      </c>
      <c r="F1177">
        <v>1436.028</v>
      </c>
      <c r="G1177">
        <v>18</v>
      </c>
      <c r="L1177" t="s">
        <v>3534</v>
      </c>
      <c r="O1177" t="s">
        <v>3535</v>
      </c>
    </row>
    <row r="1178" spans="1:15" x14ac:dyDescent="0.25">
      <c r="A1178" t="s">
        <v>18</v>
      </c>
      <c r="B1178" t="s">
        <v>3534</v>
      </c>
      <c r="C1178" t="s">
        <v>3536</v>
      </c>
      <c r="D1178" t="s">
        <v>20</v>
      </c>
      <c r="E1178" t="s">
        <v>11</v>
      </c>
      <c r="F1178">
        <v>2545.6859999999997</v>
      </c>
      <c r="G1178">
        <v>18</v>
      </c>
      <c r="L1178" t="s">
        <v>3537</v>
      </c>
      <c r="O1178" t="s">
        <v>3538</v>
      </c>
    </row>
    <row r="1179" spans="1:15" x14ac:dyDescent="0.25">
      <c r="A1179" t="s">
        <v>18</v>
      </c>
      <c r="B1179" t="s">
        <v>3537</v>
      </c>
      <c r="C1179" t="s">
        <v>3539</v>
      </c>
      <c r="D1179" t="s">
        <v>20</v>
      </c>
      <c r="E1179" t="s">
        <v>11</v>
      </c>
      <c r="F1179">
        <v>522.192</v>
      </c>
      <c r="G1179">
        <v>18</v>
      </c>
      <c r="L1179" t="s">
        <v>3540</v>
      </c>
      <c r="O1179" t="s">
        <v>3541</v>
      </c>
    </row>
    <row r="1180" spans="1:15" x14ac:dyDescent="0.25">
      <c r="A1180" t="s">
        <v>18</v>
      </c>
      <c r="B1180" t="s">
        <v>3540</v>
      </c>
      <c r="C1180" t="s">
        <v>3542</v>
      </c>
      <c r="D1180" t="s">
        <v>20</v>
      </c>
      <c r="E1180" t="s">
        <v>11</v>
      </c>
      <c r="F1180">
        <v>41840.63399999999</v>
      </c>
      <c r="G1180">
        <v>18</v>
      </c>
      <c r="L1180" t="s">
        <v>3543</v>
      </c>
      <c r="O1180" t="s">
        <v>3544</v>
      </c>
    </row>
    <row r="1181" spans="1:15" x14ac:dyDescent="0.25">
      <c r="A1181" t="s">
        <v>18</v>
      </c>
      <c r="B1181" t="s">
        <v>3543</v>
      </c>
      <c r="C1181" t="s">
        <v>3545</v>
      </c>
      <c r="D1181" t="s">
        <v>20</v>
      </c>
      <c r="E1181" t="s">
        <v>11</v>
      </c>
      <c r="F1181">
        <v>11357.676</v>
      </c>
      <c r="G1181">
        <v>18</v>
      </c>
      <c r="L1181" t="s">
        <v>3546</v>
      </c>
      <c r="O1181" t="s">
        <v>3547</v>
      </c>
    </row>
    <row r="1182" spans="1:15" x14ac:dyDescent="0.25">
      <c r="A1182" t="s">
        <v>18</v>
      </c>
      <c r="B1182" t="s">
        <v>3546</v>
      </c>
      <c r="C1182" t="s">
        <v>3548</v>
      </c>
      <c r="D1182" t="s">
        <v>20</v>
      </c>
      <c r="E1182" t="s">
        <v>11</v>
      </c>
      <c r="F1182">
        <v>522.192</v>
      </c>
      <c r="G1182">
        <v>18</v>
      </c>
      <c r="L1182" t="s">
        <v>3549</v>
      </c>
      <c r="O1182" t="s">
        <v>3550</v>
      </c>
    </row>
    <row r="1183" spans="1:15" x14ac:dyDescent="0.25">
      <c r="A1183" t="s">
        <v>18</v>
      </c>
      <c r="B1183" t="s">
        <v>3549</v>
      </c>
      <c r="C1183" t="s">
        <v>3551</v>
      </c>
      <c r="D1183" t="s">
        <v>20</v>
      </c>
      <c r="E1183" t="s">
        <v>11</v>
      </c>
      <c r="F1183">
        <v>913.836</v>
      </c>
      <c r="G1183">
        <v>18</v>
      </c>
      <c r="L1183" t="s">
        <v>3552</v>
      </c>
      <c r="O1183" t="s">
        <v>3553</v>
      </c>
    </row>
    <row r="1184" spans="1:15" x14ac:dyDescent="0.25">
      <c r="A1184" t="s">
        <v>18</v>
      </c>
      <c r="B1184" t="s">
        <v>3552</v>
      </c>
      <c r="C1184" t="s">
        <v>3554</v>
      </c>
      <c r="D1184" t="s">
        <v>20</v>
      </c>
      <c r="E1184" t="s">
        <v>11</v>
      </c>
      <c r="F1184">
        <v>391.64399999999995</v>
      </c>
      <c r="G1184">
        <v>18</v>
      </c>
      <c r="L1184" t="s">
        <v>3555</v>
      </c>
      <c r="O1184" t="s">
        <v>3556</v>
      </c>
    </row>
    <row r="1185" spans="1:15" x14ac:dyDescent="0.25">
      <c r="A1185" t="s">
        <v>18</v>
      </c>
      <c r="B1185" t="s">
        <v>3555</v>
      </c>
      <c r="C1185" t="s">
        <v>3557</v>
      </c>
      <c r="D1185" t="s">
        <v>20</v>
      </c>
      <c r="E1185" t="s">
        <v>11</v>
      </c>
      <c r="F1185">
        <v>1566.5759999999998</v>
      </c>
      <c r="G1185">
        <v>18</v>
      </c>
      <c r="L1185" t="s">
        <v>3558</v>
      </c>
      <c r="O1185" t="s">
        <v>3559</v>
      </c>
    </row>
    <row r="1186" spans="1:15" x14ac:dyDescent="0.25">
      <c r="A1186" t="s">
        <v>18</v>
      </c>
      <c r="B1186" t="s">
        <v>3558</v>
      </c>
      <c r="C1186" t="s">
        <v>3560</v>
      </c>
      <c r="D1186" t="s">
        <v>20</v>
      </c>
      <c r="E1186" t="s">
        <v>11</v>
      </c>
      <c r="F1186">
        <v>979.11</v>
      </c>
      <c r="G1186">
        <v>18</v>
      </c>
      <c r="L1186" t="s">
        <v>3561</v>
      </c>
      <c r="O1186" t="s">
        <v>3562</v>
      </c>
    </row>
    <row r="1187" spans="1:15" x14ac:dyDescent="0.25">
      <c r="A1187" t="s">
        <v>18</v>
      </c>
      <c r="B1187" t="s">
        <v>3561</v>
      </c>
      <c r="C1187" t="s">
        <v>3563</v>
      </c>
      <c r="D1187" t="s">
        <v>20</v>
      </c>
      <c r="E1187" t="s">
        <v>11</v>
      </c>
      <c r="F1187">
        <v>456.918</v>
      </c>
      <c r="G1187">
        <v>18</v>
      </c>
      <c r="L1187" t="s">
        <v>3564</v>
      </c>
      <c r="O1187" t="s">
        <v>3565</v>
      </c>
    </row>
    <row r="1188" spans="1:15" x14ac:dyDescent="0.25">
      <c r="A1188" t="s">
        <v>18</v>
      </c>
      <c r="B1188" t="s">
        <v>3564</v>
      </c>
      <c r="C1188" t="s">
        <v>3566</v>
      </c>
      <c r="D1188" t="s">
        <v>20</v>
      </c>
      <c r="E1188" t="s">
        <v>11</v>
      </c>
      <c r="F1188">
        <v>2545.6859999999997</v>
      </c>
      <c r="G1188">
        <v>18</v>
      </c>
      <c r="L1188" t="s">
        <v>3567</v>
      </c>
      <c r="O1188" t="s">
        <v>3568</v>
      </c>
    </row>
    <row r="1189" spans="1:15" x14ac:dyDescent="0.25">
      <c r="A1189" t="s">
        <v>18</v>
      </c>
      <c r="B1189" t="s">
        <v>3567</v>
      </c>
      <c r="C1189" t="s">
        <v>3569</v>
      </c>
      <c r="D1189" t="s">
        <v>20</v>
      </c>
      <c r="E1189" t="s">
        <v>11</v>
      </c>
      <c r="F1189">
        <v>456.918</v>
      </c>
      <c r="G1189">
        <v>18</v>
      </c>
      <c r="L1189" t="s">
        <v>3570</v>
      </c>
      <c r="O1189" t="s">
        <v>3571</v>
      </c>
    </row>
    <row r="1190" spans="1:15" x14ac:dyDescent="0.25">
      <c r="A1190" t="s">
        <v>18</v>
      </c>
      <c r="B1190" t="s">
        <v>3570</v>
      </c>
      <c r="C1190" t="s">
        <v>3572</v>
      </c>
      <c r="D1190" t="s">
        <v>20</v>
      </c>
      <c r="E1190" t="s">
        <v>11</v>
      </c>
      <c r="F1190">
        <v>2806.7819999999997</v>
      </c>
      <c r="G1190">
        <v>18</v>
      </c>
      <c r="L1190" t="s">
        <v>3573</v>
      </c>
      <c r="O1190" t="s">
        <v>3574</v>
      </c>
    </row>
    <row r="1191" spans="1:15" x14ac:dyDescent="0.25">
      <c r="A1191" t="s">
        <v>18</v>
      </c>
      <c r="B1191" t="s">
        <v>3573</v>
      </c>
      <c r="C1191" t="s">
        <v>3575</v>
      </c>
      <c r="D1191" t="s">
        <v>20</v>
      </c>
      <c r="E1191" t="s">
        <v>11</v>
      </c>
      <c r="F1191">
        <v>326.37</v>
      </c>
      <c r="G1191">
        <v>18</v>
      </c>
      <c r="L1191" t="s">
        <v>3576</v>
      </c>
      <c r="O1191" t="s">
        <v>3577</v>
      </c>
    </row>
    <row r="1192" spans="1:15" x14ac:dyDescent="0.25">
      <c r="A1192" t="s">
        <v>18</v>
      </c>
      <c r="B1192" t="s">
        <v>3576</v>
      </c>
      <c r="C1192" t="s">
        <v>3578</v>
      </c>
      <c r="D1192" t="s">
        <v>20</v>
      </c>
      <c r="E1192" t="s">
        <v>11</v>
      </c>
      <c r="F1192">
        <v>3067.8779999999997</v>
      </c>
      <c r="G1192">
        <v>18</v>
      </c>
      <c r="L1192" t="s">
        <v>3579</v>
      </c>
      <c r="O1192" t="s">
        <v>3580</v>
      </c>
    </row>
    <row r="1193" spans="1:15" x14ac:dyDescent="0.25">
      <c r="A1193" t="s">
        <v>18</v>
      </c>
      <c r="B1193" t="s">
        <v>3579</v>
      </c>
      <c r="C1193" t="s">
        <v>3581</v>
      </c>
      <c r="D1193" t="s">
        <v>20</v>
      </c>
      <c r="E1193" t="s">
        <v>11</v>
      </c>
      <c r="F1193">
        <v>3067.8779999999997</v>
      </c>
      <c r="G1193">
        <v>18</v>
      </c>
      <c r="L1193" t="s">
        <v>3582</v>
      </c>
      <c r="O1193" t="s">
        <v>3583</v>
      </c>
    </row>
    <row r="1194" spans="1:15" x14ac:dyDescent="0.25">
      <c r="A1194" t="s">
        <v>18</v>
      </c>
      <c r="B1194" t="s">
        <v>3582</v>
      </c>
      <c r="C1194" t="s">
        <v>3584</v>
      </c>
      <c r="D1194" t="s">
        <v>20</v>
      </c>
      <c r="E1194" t="s">
        <v>11</v>
      </c>
      <c r="F1194">
        <v>783.2879999999999</v>
      </c>
      <c r="G1194">
        <v>18</v>
      </c>
      <c r="L1194" t="s">
        <v>3585</v>
      </c>
      <c r="O1194" t="s">
        <v>3586</v>
      </c>
    </row>
    <row r="1195" spans="1:15" x14ac:dyDescent="0.25">
      <c r="A1195" t="s">
        <v>18</v>
      </c>
      <c r="B1195" t="s">
        <v>3585</v>
      </c>
      <c r="C1195" t="s">
        <v>3587</v>
      </c>
      <c r="D1195" t="s">
        <v>20</v>
      </c>
      <c r="E1195" t="s">
        <v>11</v>
      </c>
      <c r="F1195">
        <v>4960.8240000000005</v>
      </c>
      <c r="G1195">
        <v>18</v>
      </c>
      <c r="L1195" t="s">
        <v>3588</v>
      </c>
      <c r="O1195" t="s">
        <v>3589</v>
      </c>
    </row>
    <row r="1196" spans="1:15" x14ac:dyDescent="0.25">
      <c r="A1196" t="s">
        <v>18</v>
      </c>
      <c r="B1196" t="s">
        <v>3588</v>
      </c>
      <c r="C1196" t="s">
        <v>3590</v>
      </c>
      <c r="D1196" t="s">
        <v>20</v>
      </c>
      <c r="E1196" t="s">
        <v>11</v>
      </c>
      <c r="F1196">
        <v>4960.8240000000005</v>
      </c>
      <c r="G1196">
        <v>18</v>
      </c>
      <c r="L1196" t="s">
        <v>3591</v>
      </c>
      <c r="O1196" t="s">
        <v>3592</v>
      </c>
    </row>
    <row r="1197" spans="1:15" x14ac:dyDescent="0.25">
      <c r="A1197" t="s">
        <v>18</v>
      </c>
      <c r="B1197" t="s">
        <v>3591</v>
      </c>
      <c r="C1197" t="s">
        <v>3593</v>
      </c>
      <c r="D1197" t="s">
        <v>20</v>
      </c>
      <c r="E1197" t="s">
        <v>11</v>
      </c>
      <c r="F1197">
        <v>587.4659999999999</v>
      </c>
      <c r="G1197">
        <v>18</v>
      </c>
      <c r="L1197" t="s">
        <v>3594</v>
      </c>
      <c r="O1197" t="s">
        <v>3595</v>
      </c>
    </row>
    <row r="1198" spans="1:15" x14ac:dyDescent="0.25">
      <c r="A1198" t="s">
        <v>18</v>
      </c>
      <c r="B1198" t="s">
        <v>3594</v>
      </c>
      <c r="C1198" t="s">
        <v>3596</v>
      </c>
      <c r="D1198" t="s">
        <v>20</v>
      </c>
      <c r="E1198" t="s">
        <v>11</v>
      </c>
      <c r="F1198">
        <v>652.74</v>
      </c>
      <c r="G1198">
        <v>18</v>
      </c>
      <c r="L1198" t="s">
        <v>3597</v>
      </c>
      <c r="O1198" t="s">
        <v>3598</v>
      </c>
    </row>
    <row r="1199" spans="1:15" x14ac:dyDescent="0.25">
      <c r="A1199" t="s">
        <v>18</v>
      </c>
      <c r="B1199" t="s">
        <v>3597</v>
      </c>
      <c r="C1199" t="s">
        <v>3599</v>
      </c>
      <c r="D1199" t="s">
        <v>20</v>
      </c>
      <c r="E1199" t="s">
        <v>11</v>
      </c>
      <c r="F1199">
        <v>718.014</v>
      </c>
      <c r="G1199">
        <v>18</v>
      </c>
      <c r="L1199" t="s">
        <v>3600</v>
      </c>
      <c r="O1199" t="s">
        <v>3601</v>
      </c>
    </row>
    <row r="1200" spans="1:15" x14ac:dyDescent="0.25">
      <c r="A1200" t="s">
        <v>18</v>
      </c>
      <c r="B1200" t="s">
        <v>3600</v>
      </c>
      <c r="C1200" t="s">
        <v>3602</v>
      </c>
      <c r="D1200" t="s">
        <v>20</v>
      </c>
      <c r="E1200" t="s">
        <v>11</v>
      </c>
      <c r="F1200">
        <v>2088.768</v>
      </c>
      <c r="G1200">
        <v>18</v>
      </c>
      <c r="L1200" t="s">
        <v>3603</v>
      </c>
      <c r="O1200" t="s">
        <v>3604</v>
      </c>
    </row>
    <row r="1201" spans="1:15" x14ac:dyDescent="0.25">
      <c r="A1201" t="s">
        <v>18</v>
      </c>
      <c r="B1201" t="s">
        <v>3603</v>
      </c>
      <c r="C1201" t="s">
        <v>3605</v>
      </c>
      <c r="D1201" t="s">
        <v>20</v>
      </c>
      <c r="E1201" t="s">
        <v>11</v>
      </c>
      <c r="F1201">
        <v>848.5619999999999</v>
      </c>
      <c r="G1201">
        <v>18</v>
      </c>
      <c r="L1201" t="s">
        <v>3606</v>
      </c>
      <c r="O1201" t="s">
        <v>3607</v>
      </c>
    </row>
    <row r="1202" spans="1:15" x14ac:dyDescent="0.25">
      <c r="A1202" t="s">
        <v>18</v>
      </c>
      <c r="B1202" t="s">
        <v>3606</v>
      </c>
      <c r="C1202" t="s">
        <v>3608</v>
      </c>
      <c r="D1202" t="s">
        <v>20</v>
      </c>
      <c r="E1202" t="s">
        <v>11</v>
      </c>
      <c r="F1202">
        <v>783.2879999999999</v>
      </c>
      <c r="G1202">
        <v>18</v>
      </c>
      <c r="L1202" t="s">
        <v>3609</v>
      </c>
      <c r="O1202" t="s">
        <v>3610</v>
      </c>
    </row>
    <row r="1203" spans="1:15" x14ac:dyDescent="0.25">
      <c r="A1203" t="s">
        <v>18</v>
      </c>
      <c r="B1203" t="s">
        <v>3609</v>
      </c>
      <c r="C1203" t="s">
        <v>3611</v>
      </c>
      <c r="D1203" t="s">
        <v>20</v>
      </c>
      <c r="E1203" t="s">
        <v>11</v>
      </c>
      <c r="F1203">
        <v>8355.072</v>
      </c>
      <c r="G1203">
        <v>18</v>
      </c>
      <c r="L1203" t="s">
        <v>3612</v>
      </c>
      <c r="O1203" t="s">
        <v>3613</v>
      </c>
    </row>
    <row r="1204" spans="1:15" x14ac:dyDescent="0.25">
      <c r="A1204" t="s">
        <v>18</v>
      </c>
      <c r="B1204" t="s">
        <v>3612</v>
      </c>
      <c r="C1204" t="s">
        <v>3614</v>
      </c>
      <c r="D1204" t="s">
        <v>20</v>
      </c>
      <c r="E1204" t="s">
        <v>11</v>
      </c>
      <c r="F1204">
        <v>130.548</v>
      </c>
      <c r="G1204">
        <v>18</v>
      </c>
      <c r="L1204" t="s">
        <v>3615</v>
      </c>
      <c r="O1204" t="s">
        <v>3616</v>
      </c>
    </row>
    <row r="1205" spans="1:15" x14ac:dyDescent="0.25">
      <c r="A1205" t="s">
        <v>18</v>
      </c>
      <c r="B1205" t="s">
        <v>3615</v>
      </c>
      <c r="C1205" t="s">
        <v>3617</v>
      </c>
      <c r="D1205" t="s">
        <v>20</v>
      </c>
      <c r="E1205" t="s">
        <v>11</v>
      </c>
      <c r="F1205">
        <v>1174.9319999999998</v>
      </c>
      <c r="G1205">
        <v>18</v>
      </c>
      <c r="L1205" t="s">
        <v>3618</v>
      </c>
      <c r="O1205" t="s">
        <v>3619</v>
      </c>
    </row>
    <row r="1206" spans="1:15" x14ac:dyDescent="0.25">
      <c r="A1206" t="s">
        <v>18</v>
      </c>
      <c r="B1206" t="s">
        <v>3618</v>
      </c>
      <c r="C1206" t="s">
        <v>3620</v>
      </c>
      <c r="D1206" t="s">
        <v>20</v>
      </c>
      <c r="E1206" t="s">
        <v>11</v>
      </c>
      <c r="F1206">
        <v>261.096</v>
      </c>
      <c r="G1206">
        <v>18</v>
      </c>
      <c r="L1206" t="s">
        <v>3621</v>
      </c>
      <c r="O1206" t="s">
        <v>3622</v>
      </c>
    </row>
    <row r="1207" spans="1:15" x14ac:dyDescent="0.25">
      <c r="A1207" t="s">
        <v>18</v>
      </c>
      <c r="B1207" t="s">
        <v>3621</v>
      </c>
      <c r="C1207" t="s">
        <v>3623</v>
      </c>
      <c r="D1207" t="s">
        <v>20</v>
      </c>
      <c r="E1207" t="s">
        <v>11</v>
      </c>
      <c r="F1207">
        <v>718.014</v>
      </c>
      <c r="G1207">
        <v>18</v>
      </c>
      <c r="L1207" t="s">
        <v>3624</v>
      </c>
      <c r="O1207" t="s">
        <v>3625</v>
      </c>
    </row>
    <row r="1208" spans="1:15" x14ac:dyDescent="0.25">
      <c r="A1208" t="s">
        <v>18</v>
      </c>
      <c r="B1208" t="s">
        <v>3624</v>
      </c>
      <c r="C1208" t="s">
        <v>3626</v>
      </c>
      <c r="D1208" t="s">
        <v>20</v>
      </c>
      <c r="E1208" t="s">
        <v>11</v>
      </c>
      <c r="F1208">
        <v>456.918</v>
      </c>
      <c r="G1208">
        <v>18</v>
      </c>
      <c r="L1208" t="s">
        <v>3627</v>
      </c>
      <c r="O1208" t="s">
        <v>3628</v>
      </c>
    </row>
    <row r="1209" spans="1:15" x14ac:dyDescent="0.25">
      <c r="A1209" t="s">
        <v>18</v>
      </c>
      <c r="B1209" t="s">
        <v>3627</v>
      </c>
      <c r="C1209" t="s">
        <v>3629</v>
      </c>
      <c r="D1209" t="s">
        <v>20</v>
      </c>
      <c r="E1209" t="s">
        <v>11</v>
      </c>
      <c r="F1209">
        <v>391.64399999999995</v>
      </c>
      <c r="G1209">
        <v>18</v>
      </c>
      <c r="L1209" t="s">
        <v>3630</v>
      </c>
      <c r="O1209" t="s">
        <v>3631</v>
      </c>
    </row>
    <row r="1210" spans="1:15" x14ac:dyDescent="0.25">
      <c r="A1210" t="s">
        <v>18</v>
      </c>
      <c r="B1210" t="s">
        <v>3630</v>
      </c>
      <c r="C1210" t="s">
        <v>3632</v>
      </c>
      <c r="D1210" t="s">
        <v>20</v>
      </c>
      <c r="E1210" t="s">
        <v>11</v>
      </c>
      <c r="F1210">
        <v>130.548</v>
      </c>
      <c r="G1210">
        <v>18</v>
      </c>
      <c r="L1210" t="s">
        <v>3633</v>
      </c>
      <c r="O1210" t="s">
        <v>3634</v>
      </c>
    </row>
    <row r="1211" spans="1:15" x14ac:dyDescent="0.25">
      <c r="A1211" t="s">
        <v>18</v>
      </c>
      <c r="B1211" t="s">
        <v>3633</v>
      </c>
      <c r="C1211" t="s">
        <v>3635</v>
      </c>
      <c r="D1211" t="s">
        <v>20</v>
      </c>
      <c r="E1211" t="s">
        <v>11</v>
      </c>
      <c r="F1211">
        <v>391.64399999999995</v>
      </c>
      <c r="G1211">
        <v>18</v>
      </c>
      <c r="L1211" t="s">
        <v>3636</v>
      </c>
      <c r="O1211" t="s">
        <v>3637</v>
      </c>
    </row>
    <row r="1212" spans="1:15" x14ac:dyDescent="0.25">
      <c r="A1212" t="s">
        <v>18</v>
      </c>
      <c r="B1212" t="s">
        <v>3636</v>
      </c>
      <c r="C1212" t="s">
        <v>3638</v>
      </c>
      <c r="D1212" t="s">
        <v>20</v>
      </c>
      <c r="E1212" t="s">
        <v>11</v>
      </c>
      <c r="F1212">
        <v>15404.664</v>
      </c>
      <c r="G1212">
        <v>18</v>
      </c>
      <c r="L1212" t="s">
        <v>3639</v>
      </c>
      <c r="O1212" t="s">
        <v>3640</v>
      </c>
    </row>
    <row r="1213" spans="1:15" x14ac:dyDescent="0.25">
      <c r="A1213" t="s">
        <v>18</v>
      </c>
      <c r="B1213" t="s">
        <v>3639</v>
      </c>
      <c r="C1213" t="s">
        <v>3641</v>
      </c>
      <c r="D1213" t="s">
        <v>20</v>
      </c>
      <c r="E1213" t="s">
        <v>11</v>
      </c>
      <c r="F1213">
        <v>326.37</v>
      </c>
      <c r="G1213">
        <v>18</v>
      </c>
      <c r="L1213" t="s">
        <v>3642</v>
      </c>
      <c r="O1213" t="s">
        <v>3643</v>
      </c>
    </row>
    <row r="1214" spans="1:15" x14ac:dyDescent="0.25">
      <c r="A1214" t="s">
        <v>18</v>
      </c>
      <c r="B1214" t="s">
        <v>3642</v>
      </c>
      <c r="C1214" t="s">
        <v>3644</v>
      </c>
      <c r="D1214" t="s">
        <v>20</v>
      </c>
      <c r="E1214" t="s">
        <v>11</v>
      </c>
      <c r="F1214">
        <v>848.5619999999999</v>
      </c>
      <c r="G1214">
        <v>18</v>
      </c>
      <c r="L1214" t="s">
        <v>3645</v>
      </c>
      <c r="O1214" t="s">
        <v>3646</v>
      </c>
    </row>
    <row r="1215" spans="1:15" x14ac:dyDescent="0.25">
      <c r="A1215" t="s">
        <v>18</v>
      </c>
      <c r="B1215" t="s">
        <v>3645</v>
      </c>
      <c r="C1215" t="s">
        <v>3647</v>
      </c>
      <c r="D1215" t="s">
        <v>20</v>
      </c>
      <c r="E1215" t="s">
        <v>11</v>
      </c>
      <c r="F1215">
        <v>130.548</v>
      </c>
      <c r="G1215">
        <v>18</v>
      </c>
      <c r="L1215" t="s">
        <v>3648</v>
      </c>
      <c r="O1215" t="s">
        <v>3649</v>
      </c>
    </row>
    <row r="1216" spans="1:15" x14ac:dyDescent="0.25">
      <c r="A1216" t="s">
        <v>18</v>
      </c>
      <c r="B1216" t="s">
        <v>3648</v>
      </c>
      <c r="C1216" t="s">
        <v>3632</v>
      </c>
      <c r="D1216" t="s">
        <v>20</v>
      </c>
      <c r="E1216" t="s">
        <v>11</v>
      </c>
      <c r="F1216">
        <v>130.548</v>
      </c>
      <c r="G1216">
        <v>18</v>
      </c>
      <c r="L1216" t="s">
        <v>3650</v>
      </c>
      <c r="O1216" t="s">
        <v>3651</v>
      </c>
    </row>
    <row r="1217" spans="1:15" x14ac:dyDescent="0.25">
      <c r="A1217" t="s">
        <v>18</v>
      </c>
      <c r="B1217" t="s">
        <v>3650</v>
      </c>
      <c r="C1217" t="s">
        <v>3652</v>
      </c>
      <c r="D1217" t="s">
        <v>20</v>
      </c>
      <c r="E1217" t="s">
        <v>11</v>
      </c>
      <c r="F1217">
        <v>130.548</v>
      </c>
      <c r="G1217">
        <v>18</v>
      </c>
      <c r="L1217" t="s">
        <v>3653</v>
      </c>
      <c r="O1217" t="s">
        <v>3654</v>
      </c>
    </row>
    <row r="1218" spans="1:15" x14ac:dyDescent="0.25">
      <c r="A1218" t="s">
        <v>18</v>
      </c>
      <c r="B1218" t="s">
        <v>3653</v>
      </c>
      <c r="C1218" t="s">
        <v>3655</v>
      </c>
      <c r="D1218" t="s">
        <v>20</v>
      </c>
      <c r="E1218" t="s">
        <v>11</v>
      </c>
      <c r="F1218">
        <v>130.548</v>
      </c>
      <c r="G1218">
        <v>18</v>
      </c>
      <c r="L1218" t="s">
        <v>3656</v>
      </c>
      <c r="O1218" t="s">
        <v>3657</v>
      </c>
    </row>
    <row r="1219" spans="1:15" x14ac:dyDescent="0.25">
      <c r="A1219" t="s">
        <v>18</v>
      </c>
      <c r="B1219" t="s">
        <v>3656</v>
      </c>
      <c r="C1219" t="s">
        <v>3658</v>
      </c>
      <c r="D1219" t="s">
        <v>20</v>
      </c>
      <c r="E1219" t="s">
        <v>11</v>
      </c>
      <c r="F1219">
        <v>195.82199999999997</v>
      </c>
      <c r="G1219">
        <v>18</v>
      </c>
      <c r="L1219" t="s">
        <v>3659</v>
      </c>
      <c r="O1219" t="s">
        <v>3660</v>
      </c>
    </row>
    <row r="1220" spans="1:15" x14ac:dyDescent="0.25">
      <c r="A1220" t="s">
        <v>18</v>
      </c>
      <c r="B1220" t="s">
        <v>3659</v>
      </c>
      <c r="C1220" t="s">
        <v>3661</v>
      </c>
      <c r="D1220" t="s">
        <v>20</v>
      </c>
      <c r="E1220" t="s">
        <v>11</v>
      </c>
      <c r="F1220">
        <v>130.548</v>
      </c>
      <c r="G1220">
        <v>18</v>
      </c>
      <c r="L1220" t="s">
        <v>3662</v>
      </c>
      <c r="O1220" t="s">
        <v>3663</v>
      </c>
    </row>
    <row r="1221" spans="1:15" x14ac:dyDescent="0.25">
      <c r="A1221" t="s">
        <v>18</v>
      </c>
      <c r="B1221" t="s">
        <v>3662</v>
      </c>
      <c r="C1221" t="s">
        <v>3664</v>
      </c>
      <c r="D1221" t="s">
        <v>20</v>
      </c>
      <c r="E1221" t="s">
        <v>11</v>
      </c>
      <c r="F1221">
        <v>130.548</v>
      </c>
      <c r="G1221">
        <v>18</v>
      </c>
      <c r="L1221" t="s">
        <v>3665</v>
      </c>
      <c r="O1221" t="s">
        <v>3666</v>
      </c>
    </row>
    <row r="1222" spans="1:15" x14ac:dyDescent="0.25">
      <c r="A1222" t="s">
        <v>18</v>
      </c>
      <c r="B1222" t="s">
        <v>3665</v>
      </c>
      <c r="C1222" t="s">
        <v>3667</v>
      </c>
      <c r="D1222" t="s">
        <v>20</v>
      </c>
      <c r="E1222" t="s">
        <v>11</v>
      </c>
      <c r="F1222">
        <v>130.548</v>
      </c>
      <c r="G1222">
        <v>18</v>
      </c>
      <c r="L1222" t="s">
        <v>3668</v>
      </c>
      <c r="O1222" t="s">
        <v>3669</v>
      </c>
    </row>
    <row r="1223" spans="1:15" x14ac:dyDescent="0.25">
      <c r="A1223" t="s">
        <v>18</v>
      </c>
      <c r="B1223" t="s">
        <v>3668</v>
      </c>
      <c r="C1223" t="s">
        <v>3670</v>
      </c>
      <c r="D1223" t="s">
        <v>20</v>
      </c>
      <c r="E1223" t="s">
        <v>11</v>
      </c>
      <c r="F1223">
        <v>261.096</v>
      </c>
      <c r="G1223">
        <v>18</v>
      </c>
      <c r="L1223" t="s">
        <v>3671</v>
      </c>
      <c r="O1223" t="s">
        <v>3672</v>
      </c>
    </row>
    <row r="1224" spans="1:15" x14ac:dyDescent="0.25">
      <c r="A1224" t="s">
        <v>18</v>
      </c>
      <c r="B1224" t="s">
        <v>3671</v>
      </c>
      <c r="C1224" t="s">
        <v>3673</v>
      </c>
      <c r="D1224" t="s">
        <v>20</v>
      </c>
      <c r="E1224" t="s">
        <v>11</v>
      </c>
      <c r="F1224">
        <v>261.096</v>
      </c>
      <c r="G1224">
        <v>18</v>
      </c>
      <c r="L1224" t="s">
        <v>3674</v>
      </c>
      <c r="O1224" t="s">
        <v>3675</v>
      </c>
    </row>
    <row r="1225" spans="1:15" x14ac:dyDescent="0.25">
      <c r="A1225" t="s">
        <v>18</v>
      </c>
      <c r="B1225" t="s">
        <v>3674</v>
      </c>
      <c r="C1225" t="s">
        <v>3676</v>
      </c>
      <c r="D1225" t="s">
        <v>20</v>
      </c>
      <c r="E1225" t="s">
        <v>11</v>
      </c>
      <c r="F1225">
        <v>6201.030000000001</v>
      </c>
      <c r="G1225">
        <v>18</v>
      </c>
      <c r="L1225" t="s">
        <v>3677</v>
      </c>
      <c r="O1225" t="s">
        <v>3678</v>
      </c>
    </row>
    <row r="1226" spans="1:15" x14ac:dyDescent="0.25">
      <c r="A1226" t="s">
        <v>18</v>
      </c>
      <c r="B1226" t="s">
        <v>3677</v>
      </c>
      <c r="C1226" t="s">
        <v>3679</v>
      </c>
      <c r="D1226" t="s">
        <v>20</v>
      </c>
      <c r="E1226" t="s">
        <v>11</v>
      </c>
      <c r="F1226">
        <v>848.5619999999999</v>
      </c>
      <c r="G1226">
        <v>18</v>
      </c>
      <c r="L1226" t="s">
        <v>3680</v>
      </c>
      <c r="O1226" t="s">
        <v>3681</v>
      </c>
    </row>
    <row r="1227" spans="1:15" x14ac:dyDescent="0.25">
      <c r="A1227" t="s">
        <v>18</v>
      </c>
      <c r="B1227" t="s">
        <v>3680</v>
      </c>
      <c r="C1227" t="s">
        <v>3682</v>
      </c>
      <c r="D1227" t="s">
        <v>20</v>
      </c>
      <c r="E1227" t="s">
        <v>11</v>
      </c>
      <c r="F1227">
        <v>130.548</v>
      </c>
      <c r="G1227">
        <v>18</v>
      </c>
      <c r="L1227" t="s">
        <v>3683</v>
      </c>
      <c r="O1227" t="s">
        <v>3684</v>
      </c>
    </row>
    <row r="1228" spans="1:15" x14ac:dyDescent="0.25">
      <c r="A1228" t="s">
        <v>18</v>
      </c>
      <c r="B1228" t="s">
        <v>3683</v>
      </c>
      <c r="C1228" t="s">
        <v>3685</v>
      </c>
      <c r="D1228" t="s">
        <v>20</v>
      </c>
      <c r="E1228" t="s">
        <v>11</v>
      </c>
      <c r="F1228">
        <v>130.548</v>
      </c>
      <c r="G1228">
        <v>18</v>
      </c>
      <c r="L1228" t="s">
        <v>3686</v>
      </c>
      <c r="O1228" t="s">
        <v>3687</v>
      </c>
    </row>
    <row r="1229" spans="1:15" x14ac:dyDescent="0.25">
      <c r="A1229" t="s">
        <v>18</v>
      </c>
      <c r="B1229" t="s">
        <v>3686</v>
      </c>
      <c r="C1229" t="s">
        <v>3688</v>
      </c>
      <c r="D1229" t="s">
        <v>20</v>
      </c>
      <c r="E1229" t="s">
        <v>11</v>
      </c>
      <c r="F1229">
        <v>130.548</v>
      </c>
      <c r="G1229">
        <v>18</v>
      </c>
      <c r="L1229" t="s">
        <v>3689</v>
      </c>
      <c r="O1229" t="s">
        <v>3690</v>
      </c>
    </row>
    <row r="1230" spans="1:15" x14ac:dyDescent="0.25">
      <c r="A1230" t="s">
        <v>18</v>
      </c>
      <c r="B1230" t="s">
        <v>3689</v>
      </c>
      <c r="C1230" t="s">
        <v>3691</v>
      </c>
      <c r="D1230" t="s">
        <v>20</v>
      </c>
      <c r="E1230" t="s">
        <v>11</v>
      </c>
      <c r="F1230">
        <v>195.82199999999997</v>
      </c>
      <c r="G1230">
        <v>18</v>
      </c>
      <c r="L1230" t="s">
        <v>3692</v>
      </c>
      <c r="O1230" t="s">
        <v>3693</v>
      </c>
    </row>
    <row r="1231" spans="1:15" x14ac:dyDescent="0.25">
      <c r="A1231" t="s">
        <v>18</v>
      </c>
      <c r="B1231" t="s">
        <v>3692</v>
      </c>
      <c r="C1231" t="s">
        <v>3694</v>
      </c>
      <c r="D1231" t="s">
        <v>20</v>
      </c>
      <c r="E1231" t="s">
        <v>11</v>
      </c>
      <c r="F1231">
        <v>195.82199999999997</v>
      </c>
      <c r="G1231">
        <v>18</v>
      </c>
      <c r="L1231" t="s">
        <v>3695</v>
      </c>
      <c r="O1231" t="s">
        <v>3696</v>
      </c>
    </row>
    <row r="1232" spans="1:15" x14ac:dyDescent="0.25">
      <c r="A1232" t="s">
        <v>18</v>
      </c>
      <c r="B1232" t="s">
        <v>3695</v>
      </c>
      <c r="C1232" t="s">
        <v>3697</v>
      </c>
      <c r="D1232" t="s">
        <v>20</v>
      </c>
      <c r="E1232" t="s">
        <v>11</v>
      </c>
      <c r="F1232">
        <v>261.096</v>
      </c>
      <c r="G1232">
        <v>18</v>
      </c>
      <c r="L1232" t="s">
        <v>3698</v>
      </c>
      <c r="O1232" t="s">
        <v>3699</v>
      </c>
    </row>
    <row r="1233" spans="1:15" x14ac:dyDescent="0.25">
      <c r="A1233" t="s">
        <v>18</v>
      </c>
      <c r="B1233" t="s">
        <v>3698</v>
      </c>
      <c r="C1233" t="s">
        <v>3700</v>
      </c>
      <c r="D1233" t="s">
        <v>20</v>
      </c>
      <c r="E1233" t="s">
        <v>11</v>
      </c>
      <c r="F1233">
        <v>130.548</v>
      </c>
      <c r="G1233">
        <v>18</v>
      </c>
      <c r="L1233" t="s">
        <v>3701</v>
      </c>
      <c r="O1233" t="s">
        <v>3702</v>
      </c>
    </row>
    <row r="1234" spans="1:15" x14ac:dyDescent="0.25">
      <c r="A1234" t="s">
        <v>18</v>
      </c>
      <c r="B1234" t="s">
        <v>3701</v>
      </c>
      <c r="C1234" t="s">
        <v>3703</v>
      </c>
      <c r="D1234" t="s">
        <v>20</v>
      </c>
      <c r="E1234" t="s">
        <v>11</v>
      </c>
      <c r="F1234">
        <v>130.548</v>
      </c>
      <c r="G1234">
        <v>18</v>
      </c>
      <c r="L1234" t="s">
        <v>3704</v>
      </c>
      <c r="O1234" t="s">
        <v>3705</v>
      </c>
    </row>
    <row r="1235" spans="1:15" x14ac:dyDescent="0.25">
      <c r="A1235" t="s">
        <v>18</v>
      </c>
      <c r="B1235" t="s">
        <v>3704</v>
      </c>
      <c r="C1235" t="s">
        <v>3706</v>
      </c>
      <c r="D1235" t="s">
        <v>20</v>
      </c>
      <c r="E1235" t="s">
        <v>11</v>
      </c>
      <c r="F1235">
        <v>195.82199999999997</v>
      </c>
      <c r="G1235">
        <v>18</v>
      </c>
      <c r="L1235" t="s">
        <v>3707</v>
      </c>
      <c r="O1235" t="s">
        <v>3708</v>
      </c>
    </row>
    <row r="1236" spans="1:15" x14ac:dyDescent="0.25">
      <c r="A1236" t="s">
        <v>18</v>
      </c>
      <c r="B1236" t="s">
        <v>3707</v>
      </c>
      <c r="C1236" t="s">
        <v>3709</v>
      </c>
      <c r="D1236" t="s">
        <v>20</v>
      </c>
      <c r="E1236" t="s">
        <v>11</v>
      </c>
      <c r="F1236">
        <v>195.82199999999997</v>
      </c>
      <c r="G1236">
        <v>18</v>
      </c>
      <c r="L1236" t="s">
        <v>3710</v>
      </c>
      <c r="O1236" t="s">
        <v>3711</v>
      </c>
    </row>
    <row r="1237" spans="1:15" x14ac:dyDescent="0.25">
      <c r="A1237" t="s">
        <v>18</v>
      </c>
      <c r="B1237" t="s">
        <v>3710</v>
      </c>
      <c r="C1237" t="s">
        <v>3712</v>
      </c>
      <c r="D1237" t="s">
        <v>20</v>
      </c>
      <c r="E1237" t="s">
        <v>11</v>
      </c>
      <c r="F1237">
        <v>130.548</v>
      </c>
      <c r="G1237">
        <v>18</v>
      </c>
      <c r="L1237" t="s">
        <v>3713</v>
      </c>
      <c r="O1237" t="s">
        <v>3714</v>
      </c>
    </row>
    <row r="1238" spans="1:15" x14ac:dyDescent="0.25">
      <c r="A1238" t="s">
        <v>18</v>
      </c>
      <c r="B1238" t="s">
        <v>3713</v>
      </c>
      <c r="C1238" t="s">
        <v>3715</v>
      </c>
      <c r="D1238" t="s">
        <v>20</v>
      </c>
      <c r="E1238" t="s">
        <v>11</v>
      </c>
      <c r="F1238">
        <v>130.548</v>
      </c>
      <c r="G1238">
        <v>18</v>
      </c>
      <c r="L1238" t="s">
        <v>3716</v>
      </c>
      <c r="O1238" t="s">
        <v>3717</v>
      </c>
    </row>
    <row r="1239" spans="1:15" x14ac:dyDescent="0.25">
      <c r="A1239" t="s">
        <v>18</v>
      </c>
      <c r="B1239" t="s">
        <v>3716</v>
      </c>
      <c r="C1239" t="s">
        <v>3718</v>
      </c>
      <c r="D1239" t="s">
        <v>20</v>
      </c>
      <c r="E1239" t="s">
        <v>11</v>
      </c>
      <c r="F1239">
        <v>130.548</v>
      </c>
      <c r="G1239">
        <v>18</v>
      </c>
      <c r="L1239" t="s">
        <v>3719</v>
      </c>
      <c r="O1239" t="s">
        <v>3720</v>
      </c>
    </row>
    <row r="1240" spans="1:15" x14ac:dyDescent="0.25">
      <c r="A1240" t="s">
        <v>18</v>
      </c>
      <c r="B1240" t="s">
        <v>3719</v>
      </c>
      <c r="C1240" t="s">
        <v>3721</v>
      </c>
      <c r="D1240" t="s">
        <v>20</v>
      </c>
      <c r="E1240" t="s">
        <v>11</v>
      </c>
      <c r="F1240">
        <v>261.096</v>
      </c>
      <c r="G1240">
        <v>18</v>
      </c>
      <c r="L1240" t="s">
        <v>3722</v>
      </c>
      <c r="O1240" t="s">
        <v>3723</v>
      </c>
    </row>
    <row r="1241" spans="1:15" x14ac:dyDescent="0.25">
      <c r="A1241" t="s">
        <v>18</v>
      </c>
      <c r="B1241" t="s">
        <v>3722</v>
      </c>
      <c r="C1241" t="s">
        <v>3724</v>
      </c>
      <c r="D1241" t="s">
        <v>20</v>
      </c>
      <c r="E1241" t="s">
        <v>11</v>
      </c>
      <c r="F1241">
        <v>130.548</v>
      </c>
      <c r="G1241">
        <v>18</v>
      </c>
      <c r="L1241" t="s">
        <v>3725</v>
      </c>
      <c r="O1241" t="s">
        <v>3726</v>
      </c>
    </row>
    <row r="1242" spans="1:15" x14ac:dyDescent="0.25">
      <c r="A1242" t="s">
        <v>18</v>
      </c>
      <c r="B1242" t="s">
        <v>3725</v>
      </c>
      <c r="C1242" t="s">
        <v>3727</v>
      </c>
      <c r="D1242" t="s">
        <v>20</v>
      </c>
      <c r="E1242" t="s">
        <v>11</v>
      </c>
      <c r="F1242">
        <v>195.82199999999997</v>
      </c>
      <c r="G1242">
        <v>18</v>
      </c>
      <c r="L1242" t="s">
        <v>3728</v>
      </c>
      <c r="O1242" t="s">
        <v>3729</v>
      </c>
    </row>
    <row r="1243" spans="1:15" x14ac:dyDescent="0.25">
      <c r="A1243" t="s">
        <v>18</v>
      </c>
      <c r="B1243" t="s">
        <v>3728</v>
      </c>
      <c r="C1243" t="s">
        <v>3730</v>
      </c>
      <c r="D1243" t="s">
        <v>20</v>
      </c>
      <c r="E1243" t="s">
        <v>11</v>
      </c>
      <c r="F1243">
        <v>130.548</v>
      </c>
      <c r="G1243">
        <v>18</v>
      </c>
      <c r="L1243" t="s">
        <v>3731</v>
      </c>
      <c r="O1243" t="s">
        <v>3732</v>
      </c>
    </row>
    <row r="1244" spans="1:15" x14ac:dyDescent="0.25">
      <c r="A1244" t="s">
        <v>18</v>
      </c>
      <c r="B1244" t="s">
        <v>3731</v>
      </c>
      <c r="C1244" t="s">
        <v>3733</v>
      </c>
      <c r="D1244" t="s">
        <v>20</v>
      </c>
      <c r="E1244" t="s">
        <v>11</v>
      </c>
      <c r="F1244">
        <v>130.548</v>
      </c>
      <c r="G1244">
        <v>18</v>
      </c>
      <c r="L1244" t="s">
        <v>3734</v>
      </c>
      <c r="O1244" t="s">
        <v>3735</v>
      </c>
    </row>
    <row r="1245" spans="1:15" x14ac:dyDescent="0.25">
      <c r="A1245" t="s">
        <v>18</v>
      </c>
      <c r="B1245" t="s">
        <v>3734</v>
      </c>
      <c r="C1245" t="s">
        <v>3736</v>
      </c>
      <c r="D1245" t="s">
        <v>20</v>
      </c>
      <c r="E1245" t="s">
        <v>11</v>
      </c>
      <c r="F1245">
        <v>1892.946</v>
      </c>
      <c r="G1245">
        <v>18</v>
      </c>
      <c r="L1245" t="s">
        <v>3737</v>
      </c>
      <c r="O1245" t="s">
        <v>3738</v>
      </c>
    </row>
    <row r="1246" spans="1:15" x14ac:dyDescent="0.25">
      <c r="A1246" t="s">
        <v>18</v>
      </c>
      <c r="B1246" t="s">
        <v>3737</v>
      </c>
      <c r="C1246" t="s">
        <v>3739</v>
      </c>
      <c r="D1246" t="s">
        <v>20</v>
      </c>
      <c r="E1246" t="s">
        <v>11</v>
      </c>
      <c r="F1246">
        <v>195.82199999999997</v>
      </c>
      <c r="G1246">
        <v>18</v>
      </c>
      <c r="L1246" t="s">
        <v>3740</v>
      </c>
      <c r="O1246" t="s">
        <v>3741</v>
      </c>
    </row>
    <row r="1247" spans="1:15" x14ac:dyDescent="0.25">
      <c r="A1247" t="s">
        <v>18</v>
      </c>
      <c r="B1247" t="s">
        <v>3740</v>
      </c>
      <c r="C1247" t="s">
        <v>3742</v>
      </c>
      <c r="D1247" t="s">
        <v>20</v>
      </c>
      <c r="E1247" t="s">
        <v>11</v>
      </c>
      <c r="F1247">
        <v>195.82199999999997</v>
      </c>
      <c r="G1247">
        <v>18</v>
      </c>
      <c r="L1247" t="s">
        <v>3743</v>
      </c>
      <c r="O1247" t="s">
        <v>3744</v>
      </c>
    </row>
    <row r="1248" spans="1:15" x14ac:dyDescent="0.25">
      <c r="A1248" t="s">
        <v>18</v>
      </c>
      <c r="B1248" t="s">
        <v>3743</v>
      </c>
      <c r="C1248" t="s">
        <v>3745</v>
      </c>
      <c r="D1248" t="s">
        <v>20</v>
      </c>
      <c r="E1248" t="s">
        <v>11</v>
      </c>
      <c r="F1248">
        <v>130.548</v>
      </c>
      <c r="G1248">
        <v>18</v>
      </c>
      <c r="L1248" t="s">
        <v>3746</v>
      </c>
      <c r="O1248" t="s">
        <v>3747</v>
      </c>
    </row>
    <row r="1249" spans="1:15" x14ac:dyDescent="0.25">
      <c r="A1249" t="s">
        <v>18</v>
      </c>
      <c r="B1249" t="s">
        <v>3746</v>
      </c>
      <c r="C1249" t="s">
        <v>3748</v>
      </c>
      <c r="D1249" t="s">
        <v>20</v>
      </c>
      <c r="E1249" t="s">
        <v>11</v>
      </c>
      <c r="F1249">
        <v>130.548</v>
      </c>
      <c r="G1249">
        <v>18</v>
      </c>
      <c r="L1249" t="s">
        <v>3749</v>
      </c>
      <c r="O1249" t="s">
        <v>3750</v>
      </c>
    </row>
    <row r="1250" spans="1:15" x14ac:dyDescent="0.25">
      <c r="A1250" t="s">
        <v>18</v>
      </c>
      <c r="B1250" t="s">
        <v>3749</v>
      </c>
      <c r="C1250" t="s">
        <v>3751</v>
      </c>
      <c r="D1250" t="s">
        <v>20</v>
      </c>
      <c r="E1250" t="s">
        <v>11</v>
      </c>
      <c r="F1250">
        <v>2806.7819999999997</v>
      </c>
      <c r="G1250">
        <v>18</v>
      </c>
      <c r="L1250" t="s">
        <v>3752</v>
      </c>
      <c r="O1250" t="s">
        <v>3753</v>
      </c>
    </row>
    <row r="1251" spans="1:15" x14ac:dyDescent="0.25">
      <c r="A1251" t="s">
        <v>18</v>
      </c>
      <c r="B1251" t="s">
        <v>3752</v>
      </c>
      <c r="C1251" t="s">
        <v>3754</v>
      </c>
      <c r="D1251" t="s">
        <v>20</v>
      </c>
      <c r="E1251" t="s">
        <v>11</v>
      </c>
      <c r="F1251">
        <v>2219.316</v>
      </c>
      <c r="G1251">
        <v>18</v>
      </c>
      <c r="L1251" t="s">
        <v>3755</v>
      </c>
      <c r="O1251" t="s">
        <v>3756</v>
      </c>
    </row>
    <row r="1252" spans="1:15" x14ac:dyDescent="0.25">
      <c r="A1252" t="s">
        <v>18</v>
      </c>
      <c r="B1252" t="s">
        <v>3755</v>
      </c>
      <c r="C1252" t="s">
        <v>3757</v>
      </c>
      <c r="D1252" t="s">
        <v>20</v>
      </c>
      <c r="E1252" t="s">
        <v>11</v>
      </c>
      <c r="F1252">
        <v>195.82199999999997</v>
      </c>
      <c r="G1252">
        <v>18</v>
      </c>
      <c r="L1252" t="s">
        <v>3758</v>
      </c>
      <c r="O1252" t="s">
        <v>3759</v>
      </c>
    </row>
    <row r="1253" spans="1:15" x14ac:dyDescent="0.25">
      <c r="A1253" t="s">
        <v>18</v>
      </c>
      <c r="B1253" t="s">
        <v>3758</v>
      </c>
      <c r="C1253" t="s">
        <v>3760</v>
      </c>
      <c r="D1253" t="s">
        <v>20</v>
      </c>
      <c r="E1253" t="s">
        <v>11</v>
      </c>
      <c r="F1253">
        <v>130.548</v>
      </c>
      <c r="G1253">
        <v>18</v>
      </c>
      <c r="L1253" t="s">
        <v>3761</v>
      </c>
      <c r="O1253" t="s">
        <v>3762</v>
      </c>
    </row>
    <row r="1254" spans="1:15" x14ac:dyDescent="0.25">
      <c r="A1254" t="s">
        <v>18</v>
      </c>
      <c r="B1254" t="s">
        <v>3761</v>
      </c>
      <c r="C1254" t="s">
        <v>3763</v>
      </c>
      <c r="D1254" t="s">
        <v>20</v>
      </c>
      <c r="E1254" t="s">
        <v>11</v>
      </c>
      <c r="F1254">
        <v>261.096</v>
      </c>
      <c r="G1254">
        <v>18</v>
      </c>
      <c r="L1254" t="s">
        <v>3764</v>
      </c>
      <c r="O1254" t="s">
        <v>3765</v>
      </c>
    </row>
    <row r="1255" spans="1:15" x14ac:dyDescent="0.25">
      <c r="A1255" t="s">
        <v>18</v>
      </c>
      <c r="B1255" t="s">
        <v>3764</v>
      </c>
      <c r="C1255" t="s">
        <v>3766</v>
      </c>
      <c r="D1255" t="s">
        <v>20</v>
      </c>
      <c r="E1255" t="s">
        <v>11</v>
      </c>
      <c r="F1255">
        <v>783.2879999999999</v>
      </c>
      <c r="G1255">
        <v>18</v>
      </c>
      <c r="L1255" t="s">
        <v>3767</v>
      </c>
      <c r="O1255" t="s">
        <v>3768</v>
      </c>
    </row>
    <row r="1256" spans="1:15" x14ac:dyDescent="0.25">
      <c r="A1256" t="s">
        <v>18</v>
      </c>
      <c r="B1256" t="s">
        <v>3767</v>
      </c>
      <c r="C1256" t="s">
        <v>3769</v>
      </c>
      <c r="D1256" t="s">
        <v>20</v>
      </c>
      <c r="E1256" t="s">
        <v>11</v>
      </c>
      <c r="F1256">
        <v>2023.494</v>
      </c>
      <c r="G1256">
        <v>18</v>
      </c>
      <c r="L1256" t="s">
        <v>3770</v>
      </c>
      <c r="O1256" t="s">
        <v>3771</v>
      </c>
    </row>
    <row r="1257" spans="1:15" x14ac:dyDescent="0.25">
      <c r="A1257" t="s">
        <v>18</v>
      </c>
      <c r="B1257" t="s">
        <v>3770</v>
      </c>
      <c r="C1257" t="s">
        <v>3772</v>
      </c>
      <c r="D1257" t="s">
        <v>20</v>
      </c>
      <c r="E1257" t="s">
        <v>11</v>
      </c>
      <c r="F1257">
        <v>195.82199999999997</v>
      </c>
      <c r="G1257">
        <v>18</v>
      </c>
      <c r="L1257" t="s">
        <v>3773</v>
      </c>
      <c r="O1257" t="s">
        <v>3774</v>
      </c>
    </row>
    <row r="1258" spans="1:15" x14ac:dyDescent="0.25">
      <c r="A1258" t="s">
        <v>18</v>
      </c>
      <c r="B1258" t="s">
        <v>3773</v>
      </c>
      <c r="C1258" t="s">
        <v>3775</v>
      </c>
      <c r="D1258" t="s">
        <v>20</v>
      </c>
      <c r="E1258" t="s">
        <v>11</v>
      </c>
      <c r="F1258">
        <v>391.64399999999995</v>
      </c>
      <c r="G1258">
        <v>18</v>
      </c>
      <c r="L1258" t="s">
        <v>3776</v>
      </c>
      <c r="O1258" t="s">
        <v>3777</v>
      </c>
    </row>
    <row r="1259" spans="1:15" x14ac:dyDescent="0.25">
      <c r="A1259" t="s">
        <v>18</v>
      </c>
      <c r="B1259" t="s">
        <v>3776</v>
      </c>
      <c r="C1259" t="s">
        <v>3778</v>
      </c>
      <c r="D1259" t="s">
        <v>20</v>
      </c>
      <c r="E1259" t="s">
        <v>11</v>
      </c>
      <c r="F1259">
        <v>195.82199999999997</v>
      </c>
      <c r="G1259">
        <v>18</v>
      </c>
      <c r="L1259" t="s">
        <v>3779</v>
      </c>
      <c r="O1259" t="s">
        <v>3780</v>
      </c>
    </row>
    <row r="1260" spans="1:15" x14ac:dyDescent="0.25">
      <c r="A1260" t="s">
        <v>18</v>
      </c>
      <c r="B1260" t="s">
        <v>3779</v>
      </c>
      <c r="C1260" t="s">
        <v>3781</v>
      </c>
      <c r="D1260" t="s">
        <v>20</v>
      </c>
      <c r="E1260" t="s">
        <v>11</v>
      </c>
      <c r="F1260">
        <v>3133.1519999999996</v>
      </c>
      <c r="G1260">
        <v>18</v>
      </c>
      <c r="L1260" t="s">
        <v>3782</v>
      </c>
      <c r="O1260" t="s">
        <v>3783</v>
      </c>
    </row>
    <row r="1261" spans="1:15" x14ac:dyDescent="0.25">
      <c r="A1261" t="s">
        <v>18</v>
      </c>
      <c r="B1261" t="s">
        <v>3782</v>
      </c>
      <c r="C1261" t="s">
        <v>3784</v>
      </c>
      <c r="D1261" t="s">
        <v>20</v>
      </c>
      <c r="E1261" t="s">
        <v>11</v>
      </c>
      <c r="F1261">
        <v>1827.672</v>
      </c>
      <c r="G1261">
        <v>18</v>
      </c>
      <c r="L1261" t="s">
        <v>3785</v>
      </c>
      <c r="O1261" t="s">
        <v>3786</v>
      </c>
    </row>
    <row r="1262" spans="1:15" x14ac:dyDescent="0.25">
      <c r="A1262" t="s">
        <v>18</v>
      </c>
      <c r="B1262" t="s">
        <v>3785</v>
      </c>
      <c r="C1262" t="s">
        <v>3787</v>
      </c>
      <c r="D1262" t="s">
        <v>20</v>
      </c>
      <c r="E1262" t="s">
        <v>11</v>
      </c>
      <c r="F1262">
        <v>2088.768</v>
      </c>
      <c r="G1262">
        <v>18</v>
      </c>
      <c r="L1262" t="s">
        <v>3788</v>
      </c>
      <c r="O1262" t="s">
        <v>3789</v>
      </c>
    </row>
    <row r="1263" spans="1:15" x14ac:dyDescent="0.25">
      <c r="A1263" t="s">
        <v>18</v>
      </c>
      <c r="B1263" t="s">
        <v>3788</v>
      </c>
      <c r="C1263" t="s">
        <v>3790</v>
      </c>
      <c r="D1263" t="s">
        <v>20</v>
      </c>
      <c r="E1263" t="s">
        <v>11</v>
      </c>
      <c r="F1263">
        <v>195.82199999999997</v>
      </c>
      <c r="G1263">
        <v>18</v>
      </c>
      <c r="L1263" t="s">
        <v>3791</v>
      </c>
      <c r="O1263" t="s">
        <v>3792</v>
      </c>
    </row>
    <row r="1264" spans="1:15" x14ac:dyDescent="0.25">
      <c r="A1264" t="s">
        <v>18</v>
      </c>
      <c r="B1264" t="s">
        <v>3791</v>
      </c>
      <c r="C1264" t="s">
        <v>3793</v>
      </c>
      <c r="D1264" t="s">
        <v>20</v>
      </c>
      <c r="E1264" t="s">
        <v>11</v>
      </c>
      <c r="F1264">
        <v>130.548</v>
      </c>
      <c r="G1264">
        <v>18</v>
      </c>
      <c r="L1264" t="s">
        <v>3794</v>
      </c>
      <c r="O1264" t="s">
        <v>3795</v>
      </c>
    </row>
    <row r="1265" spans="1:15" x14ac:dyDescent="0.25">
      <c r="A1265" t="s">
        <v>18</v>
      </c>
      <c r="B1265" t="s">
        <v>3794</v>
      </c>
      <c r="C1265" t="s">
        <v>3796</v>
      </c>
      <c r="D1265" t="s">
        <v>20</v>
      </c>
      <c r="E1265" t="s">
        <v>11</v>
      </c>
      <c r="F1265">
        <v>391.64399999999995</v>
      </c>
      <c r="G1265">
        <v>18</v>
      </c>
      <c r="L1265" t="s">
        <v>3797</v>
      </c>
      <c r="O1265" t="s">
        <v>3798</v>
      </c>
    </row>
    <row r="1266" spans="1:15" x14ac:dyDescent="0.25">
      <c r="A1266" t="s">
        <v>18</v>
      </c>
      <c r="B1266" t="s">
        <v>3797</v>
      </c>
      <c r="C1266" t="s">
        <v>3799</v>
      </c>
      <c r="D1266" t="s">
        <v>20</v>
      </c>
      <c r="E1266" t="s">
        <v>11</v>
      </c>
      <c r="F1266">
        <v>2480.4120000000003</v>
      </c>
      <c r="G1266">
        <v>18</v>
      </c>
      <c r="L1266" t="s">
        <v>3800</v>
      </c>
      <c r="O1266" t="s">
        <v>3801</v>
      </c>
    </row>
    <row r="1267" spans="1:15" x14ac:dyDescent="0.25">
      <c r="A1267" t="s">
        <v>18</v>
      </c>
      <c r="B1267" t="s">
        <v>3800</v>
      </c>
      <c r="C1267" t="s">
        <v>3802</v>
      </c>
      <c r="D1267" t="s">
        <v>20</v>
      </c>
      <c r="E1267" t="s">
        <v>11</v>
      </c>
      <c r="F1267">
        <v>2480.4120000000003</v>
      </c>
      <c r="G1267">
        <v>18</v>
      </c>
      <c r="L1267" t="s">
        <v>3803</v>
      </c>
      <c r="O1267" t="s">
        <v>3804</v>
      </c>
    </row>
    <row r="1268" spans="1:15" x14ac:dyDescent="0.25">
      <c r="A1268" t="s">
        <v>18</v>
      </c>
      <c r="B1268" t="s">
        <v>3803</v>
      </c>
      <c r="C1268" t="s">
        <v>3805</v>
      </c>
      <c r="D1268" t="s">
        <v>20</v>
      </c>
      <c r="E1268" t="s">
        <v>11</v>
      </c>
      <c r="F1268">
        <v>2480.4120000000003</v>
      </c>
      <c r="G1268">
        <v>18</v>
      </c>
      <c r="L1268" t="s">
        <v>3806</v>
      </c>
      <c r="O1268" t="s">
        <v>3807</v>
      </c>
    </row>
    <row r="1269" spans="1:15" x14ac:dyDescent="0.25">
      <c r="A1269" t="s">
        <v>18</v>
      </c>
      <c r="B1269" t="s">
        <v>3806</v>
      </c>
      <c r="C1269" t="s">
        <v>3808</v>
      </c>
      <c r="D1269" t="s">
        <v>20</v>
      </c>
      <c r="E1269" t="s">
        <v>11</v>
      </c>
      <c r="F1269">
        <v>2480.4120000000003</v>
      </c>
      <c r="G1269">
        <v>18</v>
      </c>
      <c r="L1269" t="s">
        <v>3809</v>
      </c>
      <c r="O1269" t="s">
        <v>3810</v>
      </c>
    </row>
    <row r="1270" spans="1:15" x14ac:dyDescent="0.25">
      <c r="A1270" t="s">
        <v>18</v>
      </c>
      <c r="B1270" t="s">
        <v>3809</v>
      </c>
      <c r="C1270" t="s">
        <v>3811</v>
      </c>
      <c r="D1270" t="s">
        <v>20</v>
      </c>
      <c r="E1270" t="s">
        <v>11</v>
      </c>
      <c r="F1270">
        <v>130.548</v>
      </c>
      <c r="G1270">
        <v>18</v>
      </c>
      <c r="L1270" t="s">
        <v>3812</v>
      </c>
      <c r="O1270" t="s">
        <v>3813</v>
      </c>
    </row>
    <row r="1271" spans="1:15" x14ac:dyDescent="0.25">
      <c r="A1271" t="s">
        <v>18</v>
      </c>
      <c r="B1271" t="s">
        <v>3812</v>
      </c>
      <c r="C1271" t="s">
        <v>3814</v>
      </c>
      <c r="D1271" t="s">
        <v>20</v>
      </c>
      <c r="E1271" t="s">
        <v>11</v>
      </c>
      <c r="F1271">
        <v>130.548</v>
      </c>
      <c r="G1271">
        <v>18</v>
      </c>
      <c r="L1271" t="s">
        <v>3815</v>
      </c>
      <c r="O1271" t="s">
        <v>3816</v>
      </c>
    </row>
    <row r="1272" spans="1:15" x14ac:dyDescent="0.25">
      <c r="A1272" t="s">
        <v>18</v>
      </c>
      <c r="B1272" t="s">
        <v>3815</v>
      </c>
      <c r="C1272" t="s">
        <v>3817</v>
      </c>
      <c r="D1272" t="s">
        <v>20</v>
      </c>
      <c r="E1272" t="s">
        <v>11</v>
      </c>
      <c r="F1272">
        <v>195.82199999999997</v>
      </c>
      <c r="G1272">
        <v>18</v>
      </c>
      <c r="L1272" t="s">
        <v>3818</v>
      </c>
      <c r="O1272" t="s">
        <v>3819</v>
      </c>
    </row>
    <row r="1273" spans="1:15" x14ac:dyDescent="0.25">
      <c r="A1273" t="s">
        <v>18</v>
      </c>
      <c r="B1273" t="s">
        <v>3818</v>
      </c>
      <c r="C1273" t="s">
        <v>3820</v>
      </c>
      <c r="D1273" t="s">
        <v>20</v>
      </c>
      <c r="E1273" t="s">
        <v>11</v>
      </c>
      <c r="F1273">
        <v>195.82199999999997</v>
      </c>
      <c r="G1273">
        <v>18</v>
      </c>
      <c r="L1273" t="s">
        <v>3821</v>
      </c>
      <c r="O1273" t="s">
        <v>3822</v>
      </c>
    </row>
    <row r="1274" spans="1:15" x14ac:dyDescent="0.25">
      <c r="A1274" t="s">
        <v>18</v>
      </c>
      <c r="B1274" t="s">
        <v>3821</v>
      </c>
      <c r="C1274" t="s">
        <v>3823</v>
      </c>
      <c r="D1274" t="s">
        <v>20</v>
      </c>
      <c r="E1274" t="s">
        <v>11</v>
      </c>
      <c r="F1274">
        <v>718.014</v>
      </c>
      <c r="G1274">
        <v>18</v>
      </c>
      <c r="L1274" t="s">
        <v>3824</v>
      </c>
      <c r="O1274" t="s">
        <v>3825</v>
      </c>
    </row>
    <row r="1275" spans="1:15" x14ac:dyDescent="0.25">
      <c r="A1275" t="s">
        <v>18</v>
      </c>
      <c r="B1275" t="s">
        <v>3824</v>
      </c>
      <c r="C1275" t="s">
        <v>3826</v>
      </c>
      <c r="D1275" t="s">
        <v>20</v>
      </c>
      <c r="E1275" t="s">
        <v>11</v>
      </c>
      <c r="F1275">
        <v>130.548</v>
      </c>
      <c r="G1275">
        <v>18</v>
      </c>
      <c r="L1275" t="s">
        <v>3827</v>
      </c>
      <c r="O1275" t="s">
        <v>3828</v>
      </c>
    </row>
    <row r="1276" spans="1:15" x14ac:dyDescent="0.25">
      <c r="A1276" t="s">
        <v>18</v>
      </c>
      <c r="B1276" t="s">
        <v>3827</v>
      </c>
      <c r="C1276" t="s">
        <v>3829</v>
      </c>
      <c r="D1276" t="s">
        <v>20</v>
      </c>
      <c r="E1276" t="s">
        <v>11</v>
      </c>
      <c r="F1276">
        <v>2088.768</v>
      </c>
      <c r="G1276">
        <v>18</v>
      </c>
      <c r="L1276" t="s">
        <v>3830</v>
      </c>
      <c r="O1276" t="s">
        <v>3831</v>
      </c>
    </row>
    <row r="1277" spans="1:15" x14ac:dyDescent="0.25">
      <c r="A1277" t="s">
        <v>18</v>
      </c>
      <c r="B1277" t="s">
        <v>3830</v>
      </c>
      <c r="C1277" t="s">
        <v>3832</v>
      </c>
      <c r="D1277" t="s">
        <v>20</v>
      </c>
      <c r="E1277" t="s">
        <v>11</v>
      </c>
      <c r="F1277">
        <v>261.096</v>
      </c>
      <c r="G1277">
        <v>18</v>
      </c>
      <c r="L1277" t="s">
        <v>3833</v>
      </c>
      <c r="O1277" t="s">
        <v>3834</v>
      </c>
    </row>
    <row r="1278" spans="1:15" x14ac:dyDescent="0.25">
      <c r="A1278" t="s">
        <v>18</v>
      </c>
      <c r="B1278" t="s">
        <v>3833</v>
      </c>
      <c r="C1278" t="s">
        <v>3835</v>
      </c>
      <c r="D1278" t="s">
        <v>20</v>
      </c>
      <c r="E1278" t="s">
        <v>11</v>
      </c>
      <c r="F1278">
        <v>2937.3300000000004</v>
      </c>
      <c r="G1278">
        <v>18</v>
      </c>
      <c r="L1278" t="s">
        <v>3836</v>
      </c>
      <c r="O1278" t="s">
        <v>3837</v>
      </c>
    </row>
    <row r="1279" spans="1:15" x14ac:dyDescent="0.25">
      <c r="A1279" t="s">
        <v>18</v>
      </c>
      <c r="B1279" t="s">
        <v>3836</v>
      </c>
      <c r="C1279" t="s">
        <v>3838</v>
      </c>
      <c r="D1279" t="s">
        <v>20</v>
      </c>
      <c r="E1279" t="s">
        <v>11</v>
      </c>
      <c r="F1279">
        <v>130.548</v>
      </c>
      <c r="G1279">
        <v>18</v>
      </c>
      <c r="L1279" t="s">
        <v>3839</v>
      </c>
      <c r="O1279" t="s">
        <v>3840</v>
      </c>
    </row>
    <row r="1280" spans="1:15" x14ac:dyDescent="0.25">
      <c r="A1280" t="s">
        <v>18</v>
      </c>
      <c r="B1280" t="s">
        <v>3839</v>
      </c>
      <c r="C1280" t="s">
        <v>3841</v>
      </c>
      <c r="D1280" t="s">
        <v>20</v>
      </c>
      <c r="E1280" t="s">
        <v>11</v>
      </c>
      <c r="F1280">
        <v>326.37</v>
      </c>
      <c r="G1280">
        <v>18</v>
      </c>
      <c r="L1280" t="s">
        <v>3842</v>
      </c>
      <c r="O1280" t="s">
        <v>3843</v>
      </c>
    </row>
    <row r="1281" spans="1:15" x14ac:dyDescent="0.25">
      <c r="A1281" t="s">
        <v>18</v>
      </c>
      <c r="B1281" t="s">
        <v>3842</v>
      </c>
      <c r="C1281" t="s">
        <v>3844</v>
      </c>
      <c r="D1281" t="s">
        <v>20</v>
      </c>
      <c r="E1281" t="s">
        <v>11</v>
      </c>
      <c r="F1281">
        <v>195.82199999999997</v>
      </c>
      <c r="G1281">
        <v>18</v>
      </c>
      <c r="L1281" t="s">
        <v>3845</v>
      </c>
      <c r="O1281" t="s">
        <v>3846</v>
      </c>
    </row>
    <row r="1282" spans="1:15" x14ac:dyDescent="0.25">
      <c r="A1282" t="s">
        <v>18</v>
      </c>
      <c r="B1282" t="s">
        <v>3845</v>
      </c>
      <c r="C1282" t="s">
        <v>3847</v>
      </c>
      <c r="D1282" t="s">
        <v>20</v>
      </c>
      <c r="E1282" t="s">
        <v>11</v>
      </c>
      <c r="F1282">
        <v>261.096</v>
      </c>
      <c r="G1282">
        <v>18</v>
      </c>
      <c r="L1282" t="s">
        <v>3848</v>
      </c>
      <c r="O1282" t="s">
        <v>3849</v>
      </c>
    </row>
    <row r="1283" spans="1:15" x14ac:dyDescent="0.25">
      <c r="A1283" t="s">
        <v>18</v>
      </c>
      <c r="B1283" t="s">
        <v>3848</v>
      </c>
      <c r="C1283" t="s">
        <v>3850</v>
      </c>
      <c r="D1283" t="s">
        <v>20</v>
      </c>
      <c r="E1283" t="s">
        <v>11</v>
      </c>
      <c r="F1283">
        <v>130.548</v>
      </c>
      <c r="G1283">
        <v>18</v>
      </c>
      <c r="L1283" t="s">
        <v>3851</v>
      </c>
      <c r="O1283" t="s">
        <v>3852</v>
      </c>
    </row>
    <row r="1284" spans="1:15" x14ac:dyDescent="0.25">
      <c r="A1284" t="s">
        <v>18</v>
      </c>
      <c r="B1284" t="s">
        <v>3851</v>
      </c>
      <c r="C1284" t="s">
        <v>3853</v>
      </c>
      <c r="D1284" t="s">
        <v>20</v>
      </c>
      <c r="E1284" t="s">
        <v>11</v>
      </c>
      <c r="F1284">
        <v>848.5619999999999</v>
      </c>
      <c r="G1284">
        <v>18</v>
      </c>
      <c r="L1284" t="s">
        <v>3854</v>
      </c>
      <c r="O1284" t="s">
        <v>3855</v>
      </c>
    </row>
    <row r="1285" spans="1:15" x14ac:dyDescent="0.25">
      <c r="A1285" t="s">
        <v>18</v>
      </c>
      <c r="B1285" t="s">
        <v>3854</v>
      </c>
      <c r="C1285" t="s">
        <v>3856</v>
      </c>
      <c r="D1285" t="s">
        <v>20</v>
      </c>
      <c r="E1285" t="s">
        <v>11</v>
      </c>
      <c r="F1285">
        <v>130.548</v>
      </c>
      <c r="G1285">
        <v>18</v>
      </c>
      <c r="L1285" t="s">
        <v>3857</v>
      </c>
      <c r="O1285" t="s">
        <v>3858</v>
      </c>
    </row>
    <row r="1286" spans="1:15" x14ac:dyDescent="0.25">
      <c r="A1286" t="s">
        <v>18</v>
      </c>
      <c r="B1286" t="s">
        <v>3857</v>
      </c>
      <c r="C1286" t="s">
        <v>3859</v>
      </c>
      <c r="D1286" t="s">
        <v>20</v>
      </c>
      <c r="E1286" t="s">
        <v>11</v>
      </c>
      <c r="F1286">
        <v>261.096</v>
      </c>
      <c r="G1286">
        <v>18</v>
      </c>
      <c r="L1286" t="s">
        <v>3860</v>
      </c>
      <c r="O1286" t="s">
        <v>3861</v>
      </c>
    </row>
    <row r="1287" spans="1:15" x14ac:dyDescent="0.25">
      <c r="A1287" t="s">
        <v>18</v>
      </c>
      <c r="B1287" t="s">
        <v>3860</v>
      </c>
      <c r="C1287" t="s">
        <v>3862</v>
      </c>
      <c r="D1287" t="s">
        <v>20</v>
      </c>
      <c r="E1287" t="s">
        <v>11</v>
      </c>
      <c r="F1287">
        <v>522.192</v>
      </c>
      <c r="G1287">
        <v>18</v>
      </c>
      <c r="L1287" t="s">
        <v>3863</v>
      </c>
      <c r="O1287" t="s">
        <v>3864</v>
      </c>
    </row>
    <row r="1288" spans="1:15" x14ac:dyDescent="0.25">
      <c r="A1288" t="s">
        <v>18</v>
      </c>
      <c r="B1288" t="s">
        <v>3863</v>
      </c>
      <c r="C1288" t="s">
        <v>3865</v>
      </c>
      <c r="D1288" t="s">
        <v>20</v>
      </c>
      <c r="E1288" t="s">
        <v>11</v>
      </c>
      <c r="F1288">
        <v>4765.0019999999995</v>
      </c>
      <c r="G1288">
        <v>18</v>
      </c>
      <c r="L1288" t="s">
        <v>3866</v>
      </c>
      <c r="O1288" t="s">
        <v>3867</v>
      </c>
    </row>
    <row r="1289" spans="1:15" x14ac:dyDescent="0.25">
      <c r="A1289" t="s">
        <v>18</v>
      </c>
      <c r="B1289" t="s">
        <v>3866</v>
      </c>
      <c r="C1289" t="s">
        <v>3868</v>
      </c>
      <c r="D1289" t="s">
        <v>20</v>
      </c>
      <c r="E1289" t="s">
        <v>11</v>
      </c>
      <c r="F1289">
        <v>1566.5759999999998</v>
      </c>
      <c r="G1289">
        <v>18</v>
      </c>
      <c r="L1289" t="s">
        <v>3869</v>
      </c>
      <c r="O1289" t="s">
        <v>3870</v>
      </c>
    </row>
    <row r="1290" spans="1:15" x14ac:dyDescent="0.25">
      <c r="A1290" t="s">
        <v>18</v>
      </c>
      <c r="B1290" t="s">
        <v>3869</v>
      </c>
      <c r="C1290" t="s">
        <v>3871</v>
      </c>
      <c r="D1290" t="s">
        <v>20</v>
      </c>
      <c r="E1290" t="s">
        <v>11</v>
      </c>
      <c r="F1290">
        <v>326.37</v>
      </c>
      <c r="G1290">
        <v>18</v>
      </c>
      <c r="L1290" t="s">
        <v>3872</v>
      </c>
      <c r="O1290" t="s">
        <v>3873</v>
      </c>
    </row>
    <row r="1291" spans="1:15" x14ac:dyDescent="0.25">
      <c r="A1291" t="s">
        <v>18</v>
      </c>
      <c r="B1291" t="s">
        <v>3872</v>
      </c>
      <c r="C1291" t="s">
        <v>3874</v>
      </c>
      <c r="D1291" t="s">
        <v>20</v>
      </c>
      <c r="E1291" t="s">
        <v>11</v>
      </c>
      <c r="F1291">
        <v>391.64399999999995</v>
      </c>
      <c r="G1291">
        <v>18</v>
      </c>
      <c r="L1291" t="s">
        <v>3875</v>
      </c>
      <c r="O1291" t="s">
        <v>3876</v>
      </c>
    </row>
    <row r="1292" spans="1:15" x14ac:dyDescent="0.25">
      <c r="A1292" t="s">
        <v>18</v>
      </c>
      <c r="B1292" t="s">
        <v>3875</v>
      </c>
      <c r="C1292" t="s">
        <v>3877</v>
      </c>
      <c r="D1292" t="s">
        <v>20</v>
      </c>
      <c r="E1292" t="s">
        <v>11</v>
      </c>
      <c r="F1292">
        <v>1436.028</v>
      </c>
      <c r="G1292">
        <v>18</v>
      </c>
      <c r="L1292" t="s">
        <v>3878</v>
      </c>
      <c r="O1292" t="s">
        <v>3879</v>
      </c>
    </row>
    <row r="1293" spans="1:15" x14ac:dyDescent="0.25">
      <c r="A1293" t="s">
        <v>18</v>
      </c>
      <c r="B1293" t="s">
        <v>3878</v>
      </c>
      <c r="C1293" t="s">
        <v>3880</v>
      </c>
      <c r="D1293" t="s">
        <v>20</v>
      </c>
      <c r="E1293" t="s">
        <v>11</v>
      </c>
      <c r="F1293">
        <v>1827.672</v>
      </c>
      <c r="G1293">
        <v>18</v>
      </c>
      <c r="L1293" t="s">
        <v>3881</v>
      </c>
      <c r="O1293" t="s">
        <v>3882</v>
      </c>
    </row>
    <row r="1294" spans="1:15" x14ac:dyDescent="0.25">
      <c r="A1294" t="s">
        <v>18</v>
      </c>
      <c r="B1294" t="s">
        <v>3881</v>
      </c>
      <c r="C1294" t="s">
        <v>3883</v>
      </c>
      <c r="D1294" t="s">
        <v>20</v>
      </c>
      <c r="E1294" t="s">
        <v>11</v>
      </c>
      <c r="F1294">
        <v>1109.658</v>
      </c>
      <c r="G1294">
        <v>18</v>
      </c>
      <c r="L1294" t="s">
        <v>3884</v>
      </c>
      <c r="O1294" t="s">
        <v>3885</v>
      </c>
    </row>
    <row r="1295" spans="1:15" x14ac:dyDescent="0.25">
      <c r="A1295" t="s">
        <v>18</v>
      </c>
      <c r="B1295" t="s">
        <v>3884</v>
      </c>
      <c r="C1295" t="s">
        <v>3886</v>
      </c>
      <c r="D1295" t="s">
        <v>20</v>
      </c>
      <c r="E1295" t="s">
        <v>11</v>
      </c>
      <c r="F1295">
        <v>848.5619999999999</v>
      </c>
      <c r="G1295">
        <v>18</v>
      </c>
      <c r="L1295" t="s">
        <v>3887</v>
      </c>
      <c r="O1295" t="s">
        <v>3888</v>
      </c>
    </row>
    <row r="1296" spans="1:15" x14ac:dyDescent="0.25">
      <c r="A1296" t="s">
        <v>18</v>
      </c>
      <c r="B1296" t="s">
        <v>3887</v>
      </c>
      <c r="C1296" t="s">
        <v>3889</v>
      </c>
      <c r="D1296" t="s">
        <v>20</v>
      </c>
      <c r="E1296" t="s">
        <v>11</v>
      </c>
      <c r="F1296">
        <v>43407.21</v>
      </c>
      <c r="G1296">
        <v>18</v>
      </c>
      <c r="L1296" t="s">
        <v>3890</v>
      </c>
      <c r="O1296" t="s">
        <v>3891</v>
      </c>
    </row>
    <row r="1297" spans="1:15" x14ac:dyDescent="0.25">
      <c r="A1297" t="s">
        <v>18</v>
      </c>
      <c r="B1297" t="s">
        <v>3890</v>
      </c>
      <c r="C1297" t="s">
        <v>3892</v>
      </c>
      <c r="D1297" t="s">
        <v>20</v>
      </c>
      <c r="E1297" t="s">
        <v>11</v>
      </c>
      <c r="F1297">
        <v>5548.29</v>
      </c>
      <c r="G1297">
        <v>18</v>
      </c>
      <c r="L1297" t="s">
        <v>3893</v>
      </c>
      <c r="O1297" t="s">
        <v>3894</v>
      </c>
    </row>
    <row r="1298" spans="1:15" x14ac:dyDescent="0.25">
      <c r="A1298" t="s">
        <v>18</v>
      </c>
      <c r="B1298" t="s">
        <v>3893</v>
      </c>
      <c r="C1298" t="s">
        <v>3895</v>
      </c>
      <c r="D1298" t="s">
        <v>20</v>
      </c>
      <c r="E1298" t="s">
        <v>11</v>
      </c>
      <c r="F1298">
        <v>6788.495999999999</v>
      </c>
      <c r="G1298">
        <v>18</v>
      </c>
      <c r="L1298" t="s">
        <v>3896</v>
      </c>
      <c r="O1298" t="s">
        <v>3897</v>
      </c>
    </row>
    <row r="1299" spans="1:15" x14ac:dyDescent="0.25">
      <c r="A1299" t="s">
        <v>18</v>
      </c>
      <c r="B1299" t="s">
        <v>3896</v>
      </c>
      <c r="C1299" t="s">
        <v>3898</v>
      </c>
      <c r="D1299" t="s">
        <v>20</v>
      </c>
      <c r="E1299" t="s">
        <v>11</v>
      </c>
      <c r="F1299">
        <v>49347.144</v>
      </c>
      <c r="G1299">
        <v>18</v>
      </c>
      <c r="L1299" t="s">
        <v>3899</v>
      </c>
      <c r="O1299" t="s">
        <v>3900</v>
      </c>
    </row>
    <row r="1300" spans="1:15" x14ac:dyDescent="0.25">
      <c r="A1300" t="s">
        <v>18</v>
      </c>
      <c r="B1300" t="s">
        <v>3899</v>
      </c>
      <c r="C1300" t="s">
        <v>3901</v>
      </c>
      <c r="D1300" t="s">
        <v>20</v>
      </c>
      <c r="E1300" t="s">
        <v>11</v>
      </c>
      <c r="F1300">
        <v>9138.36</v>
      </c>
      <c r="G1300">
        <v>18</v>
      </c>
      <c r="L1300" t="s">
        <v>3902</v>
      </c>
      <c r="O1300" t="s">
        <v>3903</v>
      </c>
    </row>
    <row r="1301" spans="1:15" x14ac:dyDescent="0.25">
      <c r="A1301" t="s">
        <v>18</v>
      </c>
      <c r="B1301" t="s">
        <v>3902</v>
      </c>
      <c r="C1301" t="s">
        <v>3904</v>
      </c>
      <c r="D1301" t="s">
        <v>20</v>
      </c>
      <c r="E1301" t="s">
        <v>11</v>
      </c>
      <c r="F1301">
        <v>6592.673999999999</v>
      </c>
      <c r="G1301">
        <v>18</v>
      </c>
      <c r="L1301" t="s">
        <v>3905</v>
      </c>
      <c r="O1301" t="s">
        <v>3906</v>
      </c>
    </row>
    <row r="1302" spans="1:15" x14ac:dyDescent="0.25">
      <c r="A1302" t="s">
        <v>18</v>
      </c>
      <c r="B1302" t="s">
        <v>3905</v>
      </c>
      <c r="C1302" t="s">
        <v>3907</v>
      </c>
      <c r="D1302" t="s">
        <v>20</v>
      </c>
      <c r="E1302" t="s">
        <v>11</v>
      </c>
      <c r="F1302">
        <v>13511.717999999999</v>
      </c>
      <c r="G1302">
        <v>18</v>
      </c>
      <c r="L1302" t="s">
        <v>3908</v>
      </c>
      <c r="O1302" t="s">
        <v>3909</v>
      </c>
    </row>
    <row r="1303" spans="1:15" x14ac:dyDescent="0.25">
      <c r="A1303" t="s">
        <v>18</v>
      </c>
      <c r="B1303" t="s">
        <v>3908</v>
      </c>
      <c r="C1303" t="s">
        <v>3910</v>
      </c>
      <c r="D1303" t="s">
        <v>20</v>
      </c>
      <c r="E1303" t="s">
        <v>11</v>
      </c>
      <c r="F1303">
        <v>12793.704</v>
      </c>
      <c r="G1303">
        <v>18</v>
      </c>
      <c r="L1303" t="s">
        <v>3911</v>
      </c>
      <c r="O1303" t="s">
        <v>3912</v>
      </c>
    </row>
    <row r="1304" spans="1:15" x14ac:dyDescent="0.25">
      <c r="A1304" t="s">
        <v>18</v>
      </c>
      <c r="B1304" t="s">
        <v>3911</v>
      </c>
      <c r="C1304" t="s">
        <v>3913</v>
      </c>
      <c r="D1304" t="s">
        <v>20</v>
      </c>
      <c r="E1304" t="s">
        <v>11</v>
      </c>
      <c r="F1304">
        <v>6592.673999999999</v>
      </c>
      <c r="G1304">
        <v>18</v>
      </c>
      <c r="L1304" t="s">
        <v>3914</v>
      </c>
      <c r="O1304" t="s">
        <v>3915</v>
      </c>
    </row>
    <row r="1305" spans="1:15" x14ac:dyDescent="0.25">
      <c r="A1305" t="s">
        <v>18</v>
      </c>
      <c r="B1305" t="s">
        <v>3914</v>
      </c>
      <c r="C1305" t="s">
        <v>3916</v>
      </c>
      <c r="D1305" t="s">
        <v>20</v>
      </c>
      <c r="E1305" t="s">
        <v>11</v>
      </c>
      <c r="F1305">
        <v>652.74</v>
      </c>
      <c r="G1305">
        <v>18</v>
      </c>
      <c r="L1305" t="s">
        <v>3917</v>
      </c>
      <c r="O1305" t="s">
        <v>3918</v>
      </c>
    </row>
    <row r="1306" spans="1:15" x14ac:dyDescent="0.25">
      <c r="A1306" t="s">
        <v>18</v>
      </c>
      <c r="B1306" t="s">
        <v>3917</v>
      </c>
      <c r="C1306" t="s">
        <v>3919</v>
      </c>
      <c r="D1306" t="s">
        <v>20</v>
      </c>
      <c r="E1306" t="s">
        <v>11</v>
      </c>
      <c r="F1306">
        <v>130.548</v>
      </c>
      <c r="G1306">
        <v>18</v>
      </c>
      <c r="L1306" t="s">
        <v>3920</v>
      </c>
      <c r="O1306" t="s">
        <v>3921</v>
      </c>
    </row>
    <row r="1307" spans="1:15" x14ac:dyDescent="0.25">
      <c r="A1307" t="s">
        <v>18</v>
      </c>
      <c r="B1307" t="s">
        <v>3920</v>
      </c>
      <c r="C1307" t="s">
        <v>3922</v>
      </c>
      <c r="D1307" t="s">
        <v>20</v>
      </c>
      <c r="E1307" t="s">
        <v>11</v>
      </c>
      <c r="F1307">
        <v>2154.042</v>
      </c>
      <c r="G1307">
        <v>18</v>
      </c>
      <c r="L1307" t="s">
        <v>3923</v>
      </c>
      <c r="O1307" t="s">
        <v>3924</v>
      </c>
    </row>
    <row r="1308" spans="1:15" x14ac:dyDescent="0.25">
      <c r="A1308" t="s">
        <v>18</v>
      </c>
      <c r="B1308" t="s">
        <v>3923</v>
      </c>
      <c r="C1308" t="s">
        <v>3925</v>
      </c>
      <c r="D1308" t="s">
        <v>20</v>
      </c>
      <c r="E1308" t="s">
        <v>11</v>
      </c>
      <c r="F1308">
        <v>3263.7</v>
      </c>
      <c r="G1308">
        <v>18</v>
      </c>
      <c r="L1308" t="s">
        <v>3926</v>
      </c>
      <c r="O1308" t="s">
        <v>3927</v>
      </c>
    </row>
    <row r="1309" spans="1:15" x14ac:dyDescent="0.25">
      <c r="A1309" t="s">
        <v>18</v>
      </c>
      <c r="B1309" t="s">
        <v>3926</v>
      </c>
      <c r="C1309" t="s">
        <v>3928</v>
      </c>
      <c r="D1309" t="s">
        <v>20</v>
      </c>
      <c r="E1309" t="s">
        <v>11</v>
      </c>
      <c r="F1309">
        <v>2676.234</v>
      </c>
      <c r="G1309">
        <v>18</v>
      </c>
      <c r="L1309" t="s">
        <v>3929</v>
      </c>
      <c r="O1309" t="s">
        <v>3930</v>
      </c>
    </row>
    <row r="1310" spans="1:15" x14ac:dyDescent="0.25">
      <c r="A1310" t="s">
        <v>18</v>
      </c>
      <c r="B1310" t="s">
        <v>3929</v>
      </c>
      <c r="C1310" t="s">
        <v>3931</v>
      </c>
      <c r="D1310" t="s">
        <v>20</v>
      </c>
      <c r="E1310" t="s">
        <v>11</v>
      </c>
      <c r="F1310">
        <v>2349.8639999999996</v>
      </c>
      <c r="G1310">
        <v>18</v>
      </c>
      <c r="L1310" t="s">
        <v>3932</v>
      </c>
      <c r="O1310" t="s">
        <v>3933</v>
      </c>
    </row>
    <row r="1311" spans="1:15" x14ac:dyDescent="0.25">
      <c r="A1311" t="s">
        <v>18</v>
      </c>
      <c r="B1311" t="s">
        <v>3932</v>
      </c>
      <c r="C1311" t="s">
        <v>3934</v>
      </c>
      <c r="D1311" t="s">
        <v>20</v>
      </c>
      <c r="E1311" t="s">
        <v>11</v>
      </c>
      <c r="F1311">
        <v>1631.85</v>
      </c>
      <c r="G1311">
        <v>18</v>
      </c>
      <c r="L1311" t="s">
        <v>3935</v>
      </c>
      <c r="O1311" t="s">
        <v>3936</v>
      </c>
    </row>
    <row r="1312" spans="1:15" x14ac:dyDescent="0.25">
      <c r="A1312" t="s">
        <v>18</v>
      </c>
      <c r="B1312" t="s">
        <v>3935</v>
      </c>
      <c r="C1312" t="s">
        <v>3937</v>
      </c>
      <c r="D1312" t="s">
        <v>20</v>
      </c>
      <c r="E1312" t="s">
        <v>11</v>
      </c>
      <c r="F1312">
        <v>456.918</v>
      </c>
      <c r="G1312">
        <v>18</v>
      </c>
      <c r="L1312" t="s">
        <v>3938</v>
      </c>
      <c r="O1312" t="s">
        <v>3939</v>
      </c>
    </row>
    <row r="1313" spans="1:15" x14ac:dyDescent="0.25">
      <c r="A1313" t="s">
        <v>18</v>
      </c>
      <c r="B1313" t="s">
        <v>3938</v>
      </c>
      <c r="C1313" t="s">
        <v>3940</v>
      </c>
      <c r="D1313" t="s">
        <v>20</v>
      </c>
      <c r="E1313" t="s">
        <v>11</v>
      </c>
      <c r="F1313">
        <v>1109.658</v>
      </c>
      <c r="G1313">
        <v>18</v>
      </c>
      <c r="L1313" t="s">
        <v>3941</v>
      </c>
      <c r="O1313" t="s">
        <v>3942</v>
      </c>
    </row>
    <row r="1314" spans="1:15" x14ac:dyDescent="0.25">
      <c r="A1314" t="s">
        <v>18</v>
      </c>
      <c r="B1314" t="s">
        <v>3941</v>
      </c>
      <c r="C1314" t="s">
        <v>3943</v>
      </c>
      <c r="D1314" t="s">
        <v>20</v>
      </c>
      <c r="E1314" t="s">
        <v>11</v>
      </c>
      <c r="F1314">
        <v>3002.604</v>
      </c>
      <c r="G1314">
        <v>18</v>
      </c>
      <c r="L1314" t="s">
        <v>3944</v>
      </c>
      <c r="O1314" t="s">
        <v>3945</v>
      </c>
    </row>
    <row r="1315" spans="1:15" x14ac:dyDescent="0.25">
      <c r="A1315" t="s">
        <v>18</v>
      </c>
      <c r="B1315" t="s">
        <v>3944</v>
      </c>
      <c r="C1315" t="s">
        <v>3946</v>
      </c>
      <c r="D1315" t="s">
        <v>20</v>
      </c>
      <c r="E1315" t="s">
        <v>11</v>
      </c>
      <c r="F1315">
        <v>4699.727999999999</v>
      </c>
      <c r="G1315">
        <v>18</v>
      </c>
      <c r="L1315" t="s">
        <v>3947</v>
      </c>
      <c r="O1315" t="s">
        <v>3948</v>
      </c>
    </row>
    <row r="1316" spans="1:15" x14ac:dyDescent="0.25">
      <c r="A1316" t="s">
        <v>18</v>
      </c>
      <c r="B1316" t="s">
        <v>3947</v>
      </c>
      <c r="C1316" t="s">
        <v>3949</v>
      </c>
      <c r="D1316" t="s">
        <v>20</v>
      </c>
      <c r="E1316" t="s">
        <v>11</v>
      </c>
      <c r="F1316">
        <v>3981.714</v>
      </c>
      <c r="G1316">
        <v>18</v>
      </c>
      <c r="L1316" t="s">
        <v>3950</v>
      </c>
      <c r="O1316" t="s">
        <v>3951</v>
      </c>
    </row>
    <row r="1317" spans="1:15" x14ac:dyDescent="0.25">
      <c r="A1317" t="s">
        <v>18</v>
      </c>
      <c r="B1317" t="s">
        <v>3950</v>
      </c>
      <c r="C1317" t="s">
        <v>3952</v>
      </c>
      <c r="D1317" t="s">
        <v>20</v>
      </c>
      <c r="E1317" t="s">
        <v>11</v>
      </c>
      <c r="F1317">
        <v>2937.3300000000004</v>
      </c>
      <c r="G1317">
        <v>18</v>
      </c>
      <c r="L1317" t="s">
        <v>3953</v>
      </c>
      <c r="O1317" t="s">
        <v>3954</v>
      </c>
    </row>
    <row r="1318" spans="1:15" x14ac:dyDescent="0.25">
      <c r="A1318" t="s">
        <v>18</v>
      </c>
      <c r="B1318" t="s">
        <v>3953</v>
      </c>
      <c r="C1318" t="s">
        <v>3955</v>
      </c>
      <c r="D1318" t="s">
        <v>20</v>
      </c>
      <c r="E1318" t="s">
        <v>11</v>
      </c>
      <c r="F1318">
        <v>3720.6179999999995</v>
      </c>
      <c r="G1318">
        <v>18</v>
      </c>
      <c r="L1318" t="s">
        <v>3956</v>
      </c>
      <c r="O1318" t="s">
        <v>3957</v>
      </c>
    </row>
    <row r="1319" spans="1:15" x14ac:dyDescent="0.25">
      <c r="A1319" t="s">
        <v>18</v>
      </c>
      <c r="B1319" t="s">
        <v>3956</v>
      </c>
      <c r="C1319" t="s">
        <v>3958</v>
      </c>
      <c r="D1319" t="s">
        <v>20</v>
      </c>
      <c r="E1319" t="s">
        <v>11</v>
      </c>
      <c r="F1319">
        <v>4699.727999999999</v>
      </c>
      <c r="G1319">
        <v>18</v>
      </c>
      <c r="L1319" t="s">
        <v>3959</v>
      </c>
      <c r="O1319" t="s">
        <v>3960</v>
      </c>
    </row>
    <row r="1320" spans="1:15" x14ac:dyDescent="0.25">
      <c r="A1320" t="s">
        <v>18</v>
      </c>
      <c r="B1320" t="s">
        <v>3959</v>
      </c>
      <c r="C1320" t="s">
        <v>3961</v>
      </c>
      <c r="D1320" t="s">
        <v>20</v>
      </c>
      <c r="E1320" t="s">
        <v>11</v>
      </c>
      <c r="F1320">
        <v>2088.768</v>
      </c>
      <c r="G1320">
        <v>18</v>
      </c>
      <c r="L1320" t="s">
        <v>3962</v>
      </c>
      <c r="O1320" t="s">
        <v>3963</v>
      </c>
    </row>
    <row r="1321" spans="1:15" x14ac:dyDescent="0.25">
      <c r="A1321" t="s">
        <v>18</v>
      </c>
      <c r="B1321" t="s">
        <v>3962</v>
      </c>
      <c r="C1321" t="s">
        <v>3964</v>
      </c>
      <c r="D1321" t="s">
        <v>20</v>
      </c>
      <c r="E1321" t="s">
        <v>11</v>
      </c>
      <c r="F1321">
        <v>4112.262</v>
      </c>
      <c r="G1321">
        <v>18</v>
      </c>
      <c r="L1321" t="s">
        <v>3965</v>
      </c>
      <c r="O1321" t="s">
        <v>3966</v>
      </c>
    </row>
    <row r="1322" spans="1:15" x14ac:dyDescent="0.25">
      <c r="A1322" t="s">
        <v>18</v>
      </c>
      <c r="B1322" t="s">
        <v>3965</v>
      </c>
      <c r="C1322" t="s">
        <v>3967</v>
      </c>
      <c r="D1322" t="s">
        <v>20</v>
      </c>
      <c r="E1322" t="s">
        <v>11</v>
      </c>
      <c r="F1322">
        <v>2545.6859999999997</v>
      </c>
      <c r="G1322">
        <v>18</v>
      </c>
      <c r="L1322" t="s">
        <v>3968</v>
      </c>
      <c r="O1322" t="s">
        <v>3969</v>
      </c>
    </row>
    <row r="1323" spans="1:15" x14ac:dyDescent="0.25">
      <c r="A1323" t="s">
        <v>18</v>
      </c>
      <c r="B1323" t="s">
        <v>3968</v>
      </c>
      <c r="C1323" t="s">
        <v>3970</v>
      </c>
      <c r="D1323" t="s">
        <v>20</v>
      </c>
      <c r="E1323" t="s">
        <v>11</v>
      </c>
      <c r="F1323">
        <v>3067.8779999999997</v>
      </c>
      <c r="G1323">
        <v>18</v>
      </c>
      <c r="L1323" t="s">
        <v>3971</v>
      </c>
      <c r="O1323" t="s">
        <v>3972</v>
      </c>
    </row>
    <row r="1324" spans="1:15" x14ac:dyDescent="0.25">
      <c r="A1324" t="s">
        <v>18</v>
      </c>
      <c r="B1324" t="s">
        <v>3971</v>
      </c>
      <c r="C1324" t="s">
        <v>3973</v>
      </c>
      <c r="D1324" t="s">
        <v>20</v>
      </c>
      <c r="E1324" t="s">
        <v>11</v>
      </c>
      <c r="F1324">
        <v>3263.7</v>
      </c>
      <c r="G1324">
        <v>18</v>
      </c>
      <c r="L1324" t="s">
        <v>3974</v>
      </c>
      <c r="O1324" t="s">
        <v>3975</v>
      </c>
    </row>
    <row r="1325" spans="1:15" x14ac:dyDescent="0.25">
      <c r="A1325" t="s">
        <v>18</v>
      </c>
      <c r="B1325" t="s">
        <v>3974</v>
      </c>
      <c r="C1325" t="s">
        <v>3976</v>
      </c>
      <c r="D1325" t="s">
        <v>20</v>
      </c>
      <c r="E1325" t="s">
        <v>11</v>
      </c>
      <c r="F1325">
        <v>5939.933999999999</v>
      </c>
      <c r="G1325">
        <v>18</v>
      </c>
      <c r="L1325" t="s">
        <v>3977</v>
      </c>
      <c r="O1325" t="s">
        <v>3978</v>
      </c>
    </row>
    <row r="1326" spans="1:15" x14ac:dyDescent="0.25">
      <c r="A1326" t="s">
        <v>18</v>
      </c>
      <c r="B1326" t="s">
        <v>3977</v>
      </c>
      <c r="C1326" t="s">
        <v>3979</v>
      </c>
      <c r="D1326" t="s">
        <v>20</v>
      </c>
      <c r="E1326" t="s">
        <v>11</v>
      </c>
      <c r="F1326">
        <v>1566.5759999999998</v>
      </c>
      <c r="G1326">
        <v>18</v>
      </c>
      <c r="L1326" t="s">
        <v>3980</v>
      </c>
      <c r="O1326" t="s">
        <v>3981</v>
      </c>
    </row>
    <row r="1327" spans="1:15" x14ac:dyDescent="0.25">
      <c r="A1327" t="s">
        <v>18</v>
      </c>
      <c r="B1327" t="s">
        <v>3980</v>
      </c>
      <c r="C1327" t="s">
        <v>3982</v>
      </c>
      <c r="D1327" t="s">
        <v>20</v>
      </c>
      <c r="E1327" t="s">
        <v>11</v>
      </c>
      <c r="F1327">
        <v>2349.8639999999996</v>
      </c>
      <c r="G1327">
        <v>18</v>
      </c>
      <c r="L1327" t="s">
        <v>3983</v>
      </c>
      <c r="O1327" t="s">
        <v>3984</v>
      </c>
    </row>
    <row r="1328" spans="1:15" x14ac:dyDescent="0.25">
      <c r="A1328" t="s">
        <v>18</v>
      </c>
      <c r="B1328" t="s">
        <v>3983</v>
      </c>
      <c r="C1328" t="s">
        <v>3985</v>
      </c>
      <c r="D1328" t="s">
        <v>20</v>
      </c>
      <c r="E1328" t="s">
        <v>11</v>
      </c>
      <c r="F1328">
        <v>2545.6859999999997</v>
      </c>
      <c r="G1328">
        <v>18</v>
      </c>
      <c r="L1328" t="s">
        <v>3986</v>
      </c>
      <c r="O1328" t="s">
        <v>3987</v>
      </c>
    </row>
    <row r="1329" spans="1:15" x14ac:dyDescent="0.25">
      <c r="A1329" t="s">
        <v>18</v>
      </c>
      <c r="B1329" t="s">
        <v>3986</v>
      </c>
      <c r="C1329" t="s">
        <v>3988</v>
      </c>
      <c r="D1329" t="s">
        <v>20</v>
      </c>
      <c r="E1329" t="s">
        <v>11</v>
      </c>
      <c r="F1329">
        <v>979.11</v>
      </c>
      <c r="G1329">
        <v>18</v>
      </c>
      <c r="L1329" t="s">
        <v>3989</v>
      </c>
      <c r="O1329" t="s">
        <v>3990</v>
      </c>
    </row>
    <row r="1330" spans="1:15" x14ac:dyDescent="0.25">
      <c r="A1330" t="s">
        <v>18</v>
      </c>
      <c r="B1330" t="s">
        <v>3989</v>
      </c>
      <c r="C1330" t="s">
        <v>3991</v>
      </c>
      <c r="D1330" t="s">
        <v>20</v>
      </c>
      <c r="E1330" t="s">
        <v>11</v>
      </c>
      <c r="F1330">
        <v>2937.3300000000004</v>
      </c>
      <c r="G1330">
        <v>18</v>
      </c>
      <c r="L1330" t="s">
        <v>3992</v>
      </c>
      <c r="O1330" t="s">
        <v>3993</v>
      </c>
    </row>
    <row r="1331" spans="1:15" x14ac:dyDescent="0.25">
      <c r="A1331" t="s">
        <v>18</v>
      </c>
      <c r="B1331" t="s">
        <v>3992</v>
      </c>
      <c r="C1331" t="s">
        <v>3994</v>
      </c>
      <c r="D1331" t="s">
        <v>20</v>
      </c>
      <c r="E1331" t="s">
        <v>11</v>
      </c>
      <c r="F1331">
        <v>4335.407999999999</v>
      </c>
      <c r="G1331">
        <v>18</v>
      </c>
      <c r="L1331" t="s">
        <v>3995</v>
      </c>
      <c r="O1331" t="s">
        <v>3996</v>
      </c>
    </row>
    <row r="1332" spans="1:15" x14ac:dyDescent="0.25">
      <c r="A1332" t="s">
        <v>18</v>
      </c>
      <c r="B1332" t="s">
        <v>3995</v>
      </c>
      <c r="C1332" t="s">
        <v>3997</v>
      </c>
      <c r="D1332" t="s">
        <v>20</v>
      </c>
      <c r="E1332" t="s">
        <v>11</v>
      </c>
      <c r="F1332">
        <v>652.74</v>
      </c>
      <c r="G1332">
        <v>18</v>
      </c>
      <c r="L1332" t="s">
        <v>3998</v>
      </c>
      <c r="O1332" t="s">
        <v>3999</v>
      </c>
    </row>
    <row r="1333" spans="1:15" x14ac:dyDescent="0.25">
      <c r="A1333" t="s">
        <v>18</v>
      </c>
      <c r="B1333" t="s">
        <v>3998</v>
      </c>
      <c r="C1333" t="s">
        <v>4000</v>
      </c>
      <c r="D1333" t="s">
        <v>20</v>
      </c>
      <c r="E1333" t="s">
        <v>11</v>
      </c>
      <c r="F1333">
        <v>4895.55</v>
      </c>
      <c r="G1333">
        <v>18</v>
      </c>
      <c r="L1333" t="s">
        <v>4001</v>
      </c>
      <c r="O1333" t="s">
        <v>4002</v>
      </c>
    </row>
    <row r="1334" spans="1:15" x14ac:dyDescent="0.25">
      <c r="A1334" t="s">
        <v>18</v>
      </c>
      <c r="B1334" t="s">
        <v>4001</v>
      </c>
      <c r="C1334" t="s">
        <v>4003</v>
      </c>
      <c r="D1334" t="s">
        <v>20</v>
      </c>
      <c r="E1334" t="s">
        <v>11</v>
      </c>
      <c r="F1334">
        <v>7245.414</v>
      </c>
      <c r="G1334">
        <v>18</v>
      </c>
      <c r="L1334" t="s">
        <v>4004</v>
      </c>
      <c r="O1334" t="s">
        <v>4005</v>
      </c>
    </row>
    <row r="1335" spans="1:15" x14ac:dyDescent="0.25">
      <c r="A1335" t="s">
        <v>18</v>
      </c>
      <c r="B1335" t="s">
        <v>4004</v>
      </c>
      <c r="C1335" t="s">
        <v>4006</v>
      </c>
      <c r="D1335" t="s">
        <v>20</v>
      </c>
      <c r="E1335" t="s">
        <v>11</v>
      </c>
      <c r="F1335">
        <v>9138.36</v>
      </c>
      <c r="G1335">
        <v>18</v>
      </c>
      <c r="L1335" t="s">
        <v>4007</v>
      </c>
      <c r="O1335" t="s">
        <v>4008</v>
      </c>
    </row>
    <row r="1336" spans="1:15" x14ac:dyDescent="0.25">
      <c r="A1336" t="s">
        <v>18</v>
      </c>
      <c r="B1336" t="s">
        <v>4007</v>
      </c>
      <c r="C1336" t="s">
        <v>4009</v>
      </c>
      <c r="D1336" t="s">
        <v>20</v>
      </c>
      <c r="E1336" t="s">
        <v>11</v>
      </c>
      <c r="F1336">
        <v>10117.470000000001</v>
      </c>
      <c r="G1336">
        <v>18</v>
      </c>
      <c r="L1336" t="s">
        <v>4010</v>
      </c>
      <c r="O1336" t="s">
        <v>4011</v>
      </c>
    </row>
    <row r="1337" spans="1:15" x14ac:dyDescent="0.25">
      <c r="A1337" t="s">
        <v>18</v>
      </c>
      <c r="B1337" t="s">
        <v>4010</v>
      </c>
      <c r="C1337" t="s">
        <v>4012</v>
      </c>
      <c r="D1337" t="s">
        <v>20</v>
      </c>
      <c r="E1337" t="s">
        <v>11</v>
      </c>
      <c r="F1337">
        <v>10443.84</v>
      </c>
      <c r="G1337">
        <v>18</v>
      </c>
      <c r="L1337" t="s">
        <v>4013</v>
      </c>
      <c r="O1337" t="s">
        <v>4014</v>
      </c>
    </row>
    <row r="1338" spans="1:15" x14ac:dyDescent="0.25">
      <c r="A1338" t="s">
        <v>18</v>
      </c>
      <c r="B1338" t="s">
        <v>4013</v>
      </c>
      <c r="C1338" t="s">
        <v>4015</v>
      </c>
      <c r="D1338" t="s">
        <v>20</v>
      </c>
      <c r="E1338" t="s">
        <v>11</v>
      </c>
      <c r="F1338">
        <v>11031.305999999999</v>
      </c>
      <c r="G1338">
        <v>18</v>
      </c>
      <c r="L1338" t="s">
        <v>4016</v>
      </c>
      <c r="O1338" t="s">
        <v>4017</v>
      </c>
    </row>
    <row r="1339" spans="1:15" x14ac:dyDescent="0.25">
      <c r="A1339" t="s">
        <v>18</v>
      </c>
      <c r="B1339" t="s">
        <v>4016</v>
      </c>
      <c r="C1339" t="s">
        <v>4018</v>
      </c>
      <c r="D1339" t="s">
        <v>20</v>
      </c>
      <c r="E1339" t="s">
        <v>11</v>
      </c>
      <c r="F1339">
        <v>5417.742</v>
      </c>
      <c r="G1339">
        <v>18</v>
      </c>
      <c r="L1339" t="s">
        <v>4019</v>
      </c>
      <c r="O1339" t="s">
        <v>4020</v>
      </c>
    </row>
    <row r="1340" spans="1:15" x14ac:dyDescent="0.25">
      <c r="A1340" t="s">
        <v>18</v>
      </c>
      <c r="B1340" t="s">
        <v>4019</v>
      </c>
      <c r="C1340" t="s">
        <v>4021</v>
      </c>
      <c r="D1340" t="s">
        <v>20</v>
      </c>
      <c r="E1340" t="s">
        <v>11</v>
      </c>
      <c r="F1340">
        <v>3981.714</v>
      </c>
      <c r="G1340">
        <v>18</v>
      </c>
      <c r="L1340" t="s">
        <v>4022</v>
      </c>
      <c r="O1340" t="s">
        <v>4023</v>
      </c>
    </row>
    <row r="1341" spans="1:15" x14ac:dyDescent="0.25">
      <c r="A1341" t="s">
        <v>18</v>
      </c>
      <c r="B1341" t="s">
        <v>4022</v>
      </c>
      <c r="C1341" t="s">
        <v>4024</v>
      </c>
      <c r="D1341" t="s">
        <v>20</v>
      </c>
      <c r="E1341" t="s">
        <v>11</v>
      </c>
      <c r="F1341">
        <v>2023.494</v>
      </c>
      <c r="G1341">
        <v>18</v>
      </c>
      <c r="L1341" t="s">
        <v>4025</v>
      </c>
      <c r="O1341" t="s">
        <v>4026</v>
      </c>
    </row>
    <row r="1342" spans="1:15" x14ac:dyDescent="0.25">
      <c r="A1342" t="s">
        <v>18</v>
      </c>
      <c r="B1342" t="s">
        <v>4025</v>
      </c>
      <c r="C1342" t="s">
        <v>4027</v>
      </c>
      <c r="D1342" t="s">
        <v>20</v>
      </c>
      <c r="E1342" t="s">
        <v>11</v>
      </c>
      <c r="F1342">
        <v>4699.727999999999</v>
      </c>
      <c r="G1342">
        <v>18</v>
      </c>
      <c r="L1342" t="s">
        <v>4028</v>
      </c>
      <c r="O1342" t="s">
        <v>4029</v>
      </c>
    </row>
    <row r="1343" spans="1:15" x14ac:dyDescent="0.25">
      <c r="A1343" t="s">
        <v>18</v>
      </c>
      <c r="B1343" t="s">
        <v>4028</v>
      </c>
      <c r="C1343" t="s">
        <v>4030</v>
      </c>
      <c r="D1343" t="s">
        <v>20</v>
      </c>
      <c r="E1343" t="s">
        <v>11</v>
      </c>
      <c r="F1343">
        <v>4765.0019999999995</v>
      </c>
      <c r="G1343">
        <v>18</v>
      </c>
      <c r="L1343" t="s">
        <v>4031</v>
      </c>
      <c r="O1343" t="s">
        <v>4032</v>
      </c>
    </row>
    <row r="1344" spans="1:15" x14ac:dyDescent="0.25">
      <c r="A1344" t="s">
        <v>18</v>
      </c>
      <c r="B1344" t="s">
        <v>4031</v>
      </c>
      <c r="C1344" t="s">
        <v>4033</v>
      </c>
      <c r="D1344" t="s">
        <v>20</v>
      </c>
      <c r="E1344" t="s">
        <v>11</v>
      </c>
      <c r="F1344">
        <v>8877.264</v>
      </c>
      <c r="G1344">
        <v>18</v>
      </c>
      <c r="L1344" t="s">
        <v>4034</v>
      </c>
      <c r="O1344" t="s">
        <v>4035</v>
      </c>
    </row>
    <row r="1345" spans="1:15" x14ac:dyDescent="0.25">
      <c r="A1345" t="s">
        <v>18</v>
      </c>
      <c r="B1345" t="s">
        <v>4034</v>
      </c>
      <c r="C1345" t="s">
        <v>4036</v>
      </c>
      <c r="D1345" t="s">
        <v>20</v>
      </c>
      <c r="E1345" t="s">
        <v>11</v>
      </c>
      <c r="F1345">
        <v>10574.387999999997</v>
      </c>
      <c r="G1345">
        <v>18</v>
      </c>
      <c r="L1345" t="s">
        <v>4037</v>
      </c>
      <c r="O1345" t="s">
        <v>4038</v>
      </c>
    </row>
    <row r="1346" spans="1:15" x14ac:dyDescent="0.25">
      <c r="A1346" t="s">
        <v>18</v>
      </c>
      <c r="B1346" t="s">
        <v>4037</v>
      </c>
      <c r="C1346" t="s">
        <v>4039</v>
      </c>
      <c r="D1346" t="s">
        <v>20</v>
      </c>
      <c r="E1346" t="s">
        <v>11</v>
      </c>
      <c r="F1346">
        <v>12663.155999999999</v>
      </c>
      <c r="G1346">
        <v>18</v>
      </c>
      <c r="L1346" t="s">
        <v>4040</v>
      </c>
      <c r="O1346" t="s">
        <v>4041</v>
      </c>
    </row>
    <row r="1347" spans="1:15" x14ac:dyDescent="0.25">
      <c r="A1347" t="s">
        <v>18</v>
      </c>
      <c r="B1347" t="s">
        <v>4040</v>
      </c>
      <c r="C1347" t="s">
        <v>4042</v>
      </c>
      <c r="D1347" t="s">
        <v>20</v>
      </c>
      <c r="E1347" t="s">
        <v>11</v>
      </c>
      <c r="F1347">
        <v>14751.924</v>
      </c>
      <c r="G1347">
        <v>18</v>
      </c>
      <c r="L1347" t="s">
        <v>4043</v>
      </c>
      <c r="O1347" t="s">
        <v>4044</v>
      </c>
    </row>
    <row r="1348" spans="1:15" x14ac:dyDescent="0.25">
      <c r="A1348" t="s">
        <v>18</v>
      </c>
      <c r="B1348" t="s">
        <v>4043</v>
      </c>
      <c r="C1348" t="s">
        <v>4045</v>
      </c>
      <c r="D1348" t="s">
        <v>20</v>
      </c>
      <c r="E1348" t="s">
        <v>11</v>
      </c>
      <c r="F1348">
        <v>16840.692</v>
      </c>
      <c r="G1348">
        <v>18</v>
      </c>
      <c r="L1348" t="s">
        <v>4046</v>
      </c>
      <c r="O1348" t="s">
        <v>4047</v>
      </c>
    </row>
    <row r="1349" spans="1:15" x14ac:dyDescent="0.25">
      <c r="A1349" t="s">
        <v>18</v>
      </c>
      <c r="B1349" t="s">
        <v>4046</v>
      </c>
      <c r="C1349" t="s">
        <v>4048</v>
      </c>
      <c r="D1349" t="s">
        <v>20</v>
      </c>
      <c r="E1349" t="s">
        <v>11</v>
      </c>
      <c r="F1349">
        <v>18603.09</v>
      </c>
      <c r="G1349">
        <v>18</v>
      </c>
      <c r="L1349" t="s">
        <v>4049</v>
      </c>
      <c r="O1349" t="s">
        <v>4050</v>
      </c>
    </row>
    <row r="1350" spans="1:15" x14ac:dyDescent="0.25">
      <c r="A1350" t="s">
        <v>18</v>
      </c>
      <c r="B1350" t="s">
        <v>4049</v>
      </c>
      <c r="C1350" t="s">
        <v>4051</v>
      </c>
      <c r="D1350" t="s">
        <v>20</v>
      </c>
      <c r="E1350" t="s">
        <v>11</v>
      </c>
      <c r="F1350">
        <v>21148.775999999994</v>
      </c>
      <c r="G1350">
        <v>18</v>
      </c>
      <c r="L1350" t="s">
        <v>4052</v>
      </c>
      <c r="O1350" t="s">
        <v>4053</v>
      </c>
    </row>
    <row r="1351" spans="1:15" x14ac:dyDescent="0.25">
      <c r="A1351" t="s">
        <v>18</v>
      </c>
      <c r="B1351" t="s">
        <v>4052</v>
      </c>
      <c r="C1351" t="s">
        <v>4054</v>
      </c>
      <c r="D1351" t="s">
        <v>20</v>
      </c>
      <c r="E1351" t="s">
        <v>11</v>
      </c>
      <c r="F1351">
        <v>22780.625999999997</v>
      </c>
      <c r="G1351">
        <v>18</v>
      </c>
      <c r="L1351" t="s">
        <v>4055</v>
      </c>
      <c r="O1351" t="s">
        <v>4056</v>
      </c>
    </row>
    <row r="1352" spans="1:15" x14ac:dyDescent="0.25">
      <c r="A1352" t="s">
        <v>18</v>
      </c>
      <c r="B1352" t="s">
        <v>4055</v>
      </c>
      <c r="C1352" t="s">
        <v>4057</v>
      </c>
      <c r="D1352" t="s">
        <v>20</v>
      </c>
      <c r="E1352" t="s">
        <v>11</v>
      </c>
      <c r="F1352">
        <v>24543.023999999998</v>
      </c>
      <c r="G1352">
        <v>18</v>
      </c>
      <c r="L1352" t="s">
        <v>4058</v>
      </c>
      <c r="O1352" t="s">
        <v>4059</v>
      </c>
    </row>
    <row r="1353" spans="1:15" x14ac:dyDescent="0.25">
      <c r="A1353" t="s">
        <v>18</v>
      </c>
      <c r="B1353" t="s">
        <v>4058</v>
      </c>
      <c r="C1353" t="s">
        <v>4060</v>
      </c>
      <c r="D1353" t="s">
        <v>20</v>
      </c>
      <c r="E1353" t="s">
        <v>11</v>
      </c>
      <c r="F1353">
        <v>26566.518</v>
      </c>
      <c r="G1353">
        <v>18</v>
      </c>
      <c r="L1353" t="s">
        <v>4061</v>
      </c>
      <c r="O1353" t="s">
        <v>4062</v>
      </c>
    </row>
    <row r="1354" spans="1:15" x14ac:dyDescent="0.25">
      <c r="A1354" t="s">
        <v>18</v>
      </c>
      <c r="B1354" t="s">
        <v>4061</v>
      </c>
      <c r="C1354" t="s">
        <v>4063</v>
      </c>
      <c r="D1354" t="s">
        <v>20</v>
      </c>
      <c r="E1354" t="s">
        <v>11</v>
      </c>
      <c r="F1354">
        <v>5352.468</v>
      </c>
      <c r="G1354">
        <v>18</v>
      </c>
      <c r="L1354" t="s">
        <v>4064</v>
      </c>
      <c r="O1354" t="s">
        <v>4065</v>
      </c>
    </row>
    <row r="1355" spans="1:15" x14ac:dyDescent="0.25">
      <c r="A1355" t="s">
        <v>18</v>
      </c>
      <c r="B1355" t="s">
        <v>4064</v>
      </c>
      <c r="C1355" t="s">
        <v>4066</v>
      </c>
      <c r="D1355" t="s">
        <v>20</v>
      </c>
      <c r="E1355" t="s">
        <v>11</v>
      </c>
      <c r="F1355">
        <v>9334.181999999999</v>
      </c>
      <c r="G1355">
        <v>18</v>
      </c>
      <c r="L1355" t="s">
        <v>4067</v>
      </c>
      <c r="O1355" t="s">
        <v>4068</v>
      </c>
    </row>
    <row r="1356" spans="1:15" x14ac:dyDescent="0.25">
      <c r="A1356" t="s">
        <v>18</v>
      </c>
      <c r="B1356" t="s">
        <v>4067</v>
      </c>
      <c r="C1356" t="s">
        <v>4069</v>
      </c>
      <c r="D1356" t="s">
        <v>20</v>
      </c>
      <c r="E1356" t="s">
        <v>11</v>
      </c>
      <c r="F1356">
        <v>195.82199999999997</v>
      </c>
      <c r="G1356">
        <v>18</v>
      </c>
      <c r="L1356" t="s">
        <v>4070</v>
      </c>
      <c r="O1356" t="s">
        <v>4071</v>
      </c>
    </row>
    <row r="1357" spans="1:15" x14ac:dyDescent="0.25">
      <c r="A1357" t="s">
        <v>18</v>
      </c>
      <c r="B1357" t="s">
        <v>4070</v>
      </c>
      <c r="C1357" t="s">
        <v>4072</v>
      </c>
      <c r="D1357" t="s">
        <v>20</v>
      </c>
      <c r="E1357" t="s">
        <v>11</v>
      </c>
      <c r="F1357">
        <v>1892.946</v>
      </c>
      <c r="G1357">
        <v>18</v>
      </c>
      <c r="L1357" t="s">
        <v>4073</v>
      </c>
      <c r="O1357" t="s">
        <v>4074</v>
      </c>
    </row>
    <row r="1358" spans="1:15" x14ac:dyDescent="0.25">
      <c r="A1358" t="s">
        <v>18</v>
      </c>
      <c r="B1358" t="s">
        <v>4073</v>
      </c>
      <c r="C1358" t="s">
        <v>4075</v>
      </c>
      <c r="D1358" t="s">
        <v>20</v>
      </c>
      <c r="E1358" t="s">
        <v>11</v>
      </c>
      <c r="F1358">
        <v>2154.042</v>
      </c>
      <c r="G1358">
        <v>18</v>
      </c>
      <c r="L1358" t="s">
        <v>4076</v>
      </c>
      <c r="O1358" t="s">
        <v>4077</v>
      </c>
    </row>
    <row r="1359" spans="1:15" x14ac:dyDescent="0.25">
      <c r="A1359" t="s">
        <v>18</v>
      </c>
      <c r="B1359" t="s">
        <v>4076</v>
      </c>
      <c r="C1359" t="s">
        <v>4078</v>
      </c>
      <c r="D1359" t="s">
        <v>20</v>
      </c>
      <c r="E1359" t="s">
        <v>11</v>
      </c>
      <c r="F1359">
        <v>8877.264</v>
      </c>
      <c r="G1359">
        <v>18</v>
      </c>
      <c r="L1359" t="s">
        <v>4079</v>
      </c>
      <c r="O1359" t="s">
        <v>4080</v>
      </c>
    </row>
    <row r="1360" spans="1:15" x14ac:dyDescent="0.25">
      <c r="A1360" t="s">
        <v>18</v>
      </c>
      <c r="B1360" t="s">
        <v>4079</v>
      </c>
      <c r="C1360" t="s">
        <v>4081</v>
      </c>
      <c r="D1360" t="s">
        <v>20</v>
      </c>
      <c r="E1360" t="s">
        <v>11</v>
      </c>
      <c r="F1360">
        <v>10574.387999999997</v>
      </c>
      <c r="G1360">
        <v>18</v>
      </c>
      <c r="L1360" t="s">
        <v>4082</v>
      </c>
      <c r="O1360" t="s">
        <v>4083</v>
      </c>
    </row>
    <row r="1361" spans="1:15" x14ac:dyDescent="0.25">
      <c r="A1361" t="s">
        <v>18</v>
      </c>
      <c r="B1361" t="s">
        <v>4082</v>
      </c>
      <c r="C1361" t="s">
        <v>4084</v>
      </c>
      <c r="D1361" t="s">
        <v>20</v>
      </c>
      <c r="E1361" t="s">
        <v>11</v>
      </c>
      <c r="F1361">
        <v>12663.155999999999</v>
      </c>
      <c r="G1361">
        <v>18</v>
      </c>
      <c r="L1361" t="s">
        <v>4085</v>
      </c>
      <c r="O1361" t="s">
        <v>4086</v>
      </c>
    </row>
    <row r="1362" spans="1:15" x14ac:dyDescent="0.25">
      <c r="A1362" t="s">
        <v>18</v>
      </c>
      <c r="B1362" t="s">
        <v>4085</v>
      </c>
      <c r="C1362" t="s">
        <v>4087</v>
      </c>
      <c r="D1362" t="s">
        <v>20</v>
      </c>
      <c r="E1362" t="s">
        <v>11</v>
      </c>
      <c r="F1362">
        <v>14751.924</v>
      </c>
      <c r="G1362">
        <v>18</v>
      </c>
      <c r="L1362" t="s">
        <v>4088</v>
      </c>
      <c r="O1362" t="s">
        <v>4089</v>
      </c>
    </row>
    <row r="1363" spans="1:15" x14ac:dyDescent="0.25">
      <c r="A1363" t="s">
        <v>18</v>
      </c>
      <c r="B1363" t="s">
        <v>4088</v>
      </c>
      <c r="C1363" t="s">
        <v>4090</v>
      </c>
      <c r="D1363" t="s">
        <v>20</v>
      </c>
      <c r="E1363" t="s">
        <v>11</v>
      </c>
      <c r="F1363">
        <v>16840.692</v>
      </c>
      <c r="G1363">
        <v>18</v>
      </c>
      <c r="L1363" t="s">
        <v>4091</v>
      </c>
      <c r="O1363" t="s">
        <v>4092</v>
      </c>
    </row>
    <row r="1364" spans="1:15" x14ac:dyDescent="0.25">
      <c r="A1364" t="s">
        <v>18</v>
      </c>
      <c r="B1364" t="s">
        <v>4091</v>
      </c>
      <c r="C1364" t="s">
        <v>4093</v>
      </c>
      <c r="D1364" t="s">
        <v>20</v>
      </c>
      <c r="E1364" t="s">
        <v>11</v>
      </c>
      <c r="F1364">
        <v>18603.09</v>
      </c>
      <c r="G1364">
        <v>18</v>
      </c>
      <c r="L1364" t="s">
        <v>4094</v>
      </c>
      <c r="O1364" t="s">
        <v>4095</v>
      </c>
    </row>
    <row r="1365" spans="1:15" x14ac:dyDescent="0.25">
      <c r="A1365" t="s">
        <v>18</v>
      </c>
      <c r="B1365" t="s">
        <v>4094</v>
      </c>
      <c r="C1365" t="s">
        <v>4096</v>
      </c>
      <c r="D1365" t="s">
        <v>20</v>
      </c>
      <c r="E1365" t="s">
        <v>11</v>
      </c>
      <c r="F1365">
        <v>20822.406</v>
      </c>
      <c r="G1365">
        <v>18</v>
      </c>
      <c r="L1365" t="s">
        <v>4097</v>
      </c>
      <c r="O1365" t="s">
        <v>4098</v>
      </c>
    </row>
    <row r="1366" spans="1:15" x14ac:dyDescent="0.25">
      <c r="A1366" t="s">
        <v>18</v>
      </c>
      <c r="B1366" t="s">
        <v>4097</v>
      </c>
      <c r="C1366" t="s">
        <v>4099</v>
      </c>
      <c r="D1366" t="s">
        <v>20</v>
      </c>
      <c r="E1366" t="s">
        <v>11</v>
      </c>
      <c r="F1366">
        <v>22780.625999999997</v>
      </c>
      <c r="G1366">
        <v>18</v>
      </c>
      <c r="L1366" t="s">
        <v>4100</v>
      </c>
      <c r="O1366" t="s">
        <v>4101</v>
      </c>
    </row>
    <row r="1367" spans="1:15" x14ac:dyDescent="0.25">
      <c r="A1367" t="s">
        <v>18</v>
      </c>
      <c r="B1367" t="s">
        <v>4100</v>
      </c>
      <c r="C1367" t="s">
        <v>4102</v>
      </c>
      <c r="D1367" t="s">
        <v>20</v>
      </c>
      <c r="E1367" t="s">
        <v>11</v>
      </c>
      <c r="F1367">
        <v>24543.023999999998</v>
      </c>
      <c r="G1367">
        <v>18</v>
      </c>
      <c r="L1367" t="s">
        <v>4103</v>
      </c>
      <c r="O1367" t="s">
        <v>4104</v>
      </c>
    </row>
    <row r="1368" spans="1:15" x14ac:dyDescent="0.25">
      <c r="A1368" t="s">
        <v>18</v>
      </c>
      <c r="B1368" t="s">
        <v>4103</v>
      </c>
      <c r="C1368" t="s">
        <v>4105</v>
      </c>
      <c r="D1368" t="s">
        <v>20</v>
      </c>
      <c r="E1368" t="s">
        <v>11</v>
      </c>
      <c r="F1368">
        <v>26566.518</v>
      </c>
      <c r="G1368">
        <v>18</v>
      </c>
      <c r="L1368" t="s">
        <v>4106</v>
      </c>
      <c r="O1368" t="s">
        <v>4107</v>
      </c>
    </row>
    <row r="1369" spans="1:15" x14ac:dyDescent="0.25">
      <c r="A1369" t="s">
        <v>18</v>
      </c>
      <c r="B1369" t="s">
        <v>4106</v>
      </c>
      <c r="C1369" t="s">
        <v>4108</v>
      </c>
      <c r="D1369" t="s">
        <v>20</v>
      </c>
      <c r="E1369" t="s">
        <v>11</v>
      </c>
      <c r="F1369">
        <v>3328.9739999999997</v>
      </c>
      <c r="G1369">
        <v>18</v>
      </c>
      <c r="L1369" t="s">
        <v>4109</v>
      </c>
      <c r="O1369" t="s">
        <v>4110</v>
      </c>
    </row>
    <row r="1370" spans="1:15" x14ac:dyDescent="0.25">
      <c r="A1370" t="s">
        <v>18</v>
      </c>
      <c r="B1370" t="s">
        <v>4109</v>
      </c>
      <c r="C1370" t="s">
        <v>4111</v>
      </c>
      <c r="D1370" t="s">
        <v>20</v>
      </c>
      <c r="E1370" t="s">
        <v>11</v>
      </c>
      <c r="F1370">
        <v>5352.468</v>
      </c>
      <c r="G1370">
        <v>18</v>
      </c>
      <c r="L1370" t="s">
        <v>4112</v>
      </c>
      <c r="O1370" t="s">
        <v>4113</v>
      </c>
    </row>
    <row r="1371" spans="1:15" x14ac:dyDescent="0.25">
      <c r="A1371" t="s">
        <v>18</v>
      </c>
      <c r="B1371" t="s">
        <v>4112</v>
      </c>
      <c r="C1371" t="s">
        <v>4114</v>
      </c>
      <c r="D1371" t="s">
        <v>20</v>
      </c>
      <c r="E1371" t="s">
        <v>11</v>
      </c>
      <c r="F1371">
        <v>22388.982</v>
      </c>
      <c r="G1371">
        <v>18</v>
      </c>
      <c r="L1371" t="s">
        <v>4115</v>
      </c>
      <c r="O1371" t="s">
        <v>4116</v>
      </c>
    </row>
    <row r="1372" spans="1:15" x14ac:dyDescent="0.25">
      <c r="A1372" t="s">
        <v>18</v>
      </c>
      <c r="B1372" t="s">
        <v>4115</v>
      </c>
      <c r="C1372" t="s">
        <v>4117</v>
      </c>
      <c r="D1372" t="s">
        <v>20</v>
      </c>
      <c r="E1372" t="s">
        <v>11</v>
      </c>
      <c r="F1372">
        <v>31200.972</v>
      </c>
      <c r="G1372">
        <v>18</v>
      </c>
      <c r="L1372" t="s">
        <v>4118</v>
      </c>
      <c r="O1372" t="s">
        <v>4119</v>
      </c>
    </row>
    <row r="1373" spans="1:15" x14ac:dyDescent="0.25">
      <c r="A1373" t="s">
        <v>18</v>
      </c>
      <c r="B1373" t="s">
        <v>4118</v>
      </c>
      <c r="C1373" t="s">
        <v>4120</v>
      </c>
      <c r="D1373" t="s">
        <v>20</v>
      </c>
      <c r="E1373" t="s">
        <v>11</v>
      </c>
      <c r="F1373">
        <v>34334.123999999996</v>
      </c>
      <c r="G1373">
        <v>18</v>
      </c>
      <c r="L1373" t="s">
        <v>4121</v>
      </c>
      <c r="O1373" t="s">
        <v>4122</v>
      </c>
    </row>
    <row r="1374" spans="1:15" x14ac:dyDescent="0.25">
      <c r="A1374" t="s">
        <v>18</v>
      </c>
      <c r="B1374" t="s">
        <v>4121</v>
      </c>
      <c r="C1374" t="s">
        <v>4123</v>
      </c>
      <c r="D1374" t="s">
        <v>20</v>
      </c>
      <c r="E1374" t="s">
        <v>11</v>
      </c>
      <c r="F1374">
        <v>848.5619999999999</v>
      </c>
      <c r="G1374">
        <v>18</v>
      </c>
      <c r="L1374" t="s">
        <v>4124</v>
      </c>
      <c r="O1374" t="s">
        <v>4125</v>
      </c>
    </row>
    <row r="1375" spans="1:15" x14ac:dyDescent="0.25">
      <c r="A1375" t="s">
        <v>18</v>
      </c>
      <c r="B1375" t="s">
        <v>4124</v>
      </c>
      <c r="C1375" t="s">
        <v>4126</v>
      </c>
      <c r="D1375" t="s">
        <v>20</v>
      </c>
      <c r="E1375" t="s">
        <v>11</v>
      </c>
      <c r="F1375">
        <v>848.5619999999999</v>
      </c>
      <c r="G1375">
        <v>18</v>
      </c>
      <c r="L1375" t="s">
        <v>4127</v>
      </c>
      <c r="O1375" t="s">
        <v>4128</v>
      </c>
    </row>
    <row r="1376" spans="1:15" x14ac:dyDescent="0.25">
      <c r="A1376" t="s">
        <v>18</v>
      </c>
      <c r="B1376" t="s">
        <v>4127</v>
      </c>
      <c r="C1376" t="s">
        <v>4129</v>
      </c>
      <c r="D1376" t="s">
        <v>20</v>
      </c>
      <c r="E1376" t="s">
        <v>11</v>
      </c>
      <c r="F1376">
        <v>1958.22</v>
      </c>
      <c r="G1376">
        <v>18</v>
      </c>
      <c r="L1376" t="s">
        <v>4130</v>
      </c>
      <c r="O1376" t="s">
        <v>4131</v>
      </c>
    </row>
    <row r="1377" spans="1:15" x14ac:dyDescent="0.25">
      <c r="A1377" t="s">
        <v>18</v>
      </c>
      <c r="B1377" t="s">
        <v>4130</v>
      </c>
      <c r="C1377" t="s">
        <v>4132</v>
      </c>
      <c r="D1377" t="s">
        <v>20</v>
      </c>
      <c r="E1377" t="s">
        <v>11</v>
      </c>
      <c r="F1377">
        <v>2088.768</v>
      </c>
      <c r="G1377">
        <v>18</v>
      </c>
      <c r="L1377" t="s">
        <v>4133</v>
      </c>
      <c r="O1377" t="s">
        <v>4134</v>
      </c>
    </row>
    <row r="1378" spans="1:15" x14ac:dyDescent="0.25">
      <c r="A1378" t="s">
        <v>18</v>
      </c>
      <c r="B1378" t="s">
        <v>4133</v>
      </c>
      <c r="C1378" t="s">
        <v>4135</v>
      </c>
      <c r="D1378" t="s">
        <v>20</v>
      </c>
      <c r="E1378" t="s">
        <v>11</v>
      </c>
      <c r="F1378">
        <v>2088.768</v>
      </c>
      <c r="G1378">
        <v>18</v>
      </c>
      <c r="L1378" t="s">
        <v>4136</v>
      </c>
      <c r="O1378" t="s">
        <v>4137</v>
      </c>
    </row>
    <row r="1379" spans="1:15" x14ac:dyDescent="0.25">
      <c r="A1379" t="s">
        <v>18</v>
      </c>
      <c r="B1379" t="s">
        <v>4136</v>
      </c>
      <c r="C1379" t="s">
        <v>4138</v>
      </c>
      <c r="D1379" t="s">
        <v>20</v>
      </c>
      <c r="E1379" t="s">
        <v>11</v>
      </c>
      <c r="F1379">
        <v>2219.316</v>
      </c>
      <c r="G1379">
        <v>18</v>
      </c>
      <c r="L1379" t="s">
        <v>4139</v>
      </c>
      <c r="O1379" t="s">
        <v>4140</v>
      </c>
    </row>
    <row r="1380" spans="1:15" x14ac:dyDescent="0.25">
      <c r="A1380" t="s">
        <v>18</v>
      </c>
      <c r="B1380" t="s">
        <v>4139</v>
      </c>
      <c r="C1380" t="s">
        <v>4141</v>
      </c>
      <c r="D1380" t="s">
        <v>20</v>
      </c>
      <c r="E1380" t="s">
        <v>11</v>
      </c>
      <c r="F1380">
        <v>2154.042</v>
      </c>
      <c r="G1380">
        <v>18</v>
      </c>
      <c r="L1380" t="s">
        <v>4142</v>
      </c>
      <c r="O1380" t="s">
        <v>4143</v>
      </c>
    </row>
    <row r="1381" spans="1:15" x14ac:dyDescent="0.25">
      <c r="A1381" t="s">
        <v>18</v>
      </c>
      <c r="B1381" t="s">
        <v>4142</v>
      </c>
      <c r="C1381" t="s">
        <v>4144</v>
      </c>
      <c r="D1381" t="s">
        <v>20</v>
      </c>
      <c r="E1381" t="s">
        <v>11</v>
      </c>
      <c r="F1381">
        <v>2349.8639999999996</v>
      </c>
      <c r="G1381">
        <v>18</v>
      </c>
      <c r="L1381" t="s">
        <v>4145</v>
      </c>
      <c r="O1381" t="s">
        <v>4146</v>
      </c>
    </row>
    <row r="1382" spans="1:15" x14ac:dyDescent="0.25">
      <c r="A1382" t="s">
        <v>18</v>
      </c>
      <c r="B1382" t="s">
        <v>4145</v>
      </c>
      <c r="C1382" t="s">
        <v>4147</v>
      </c>
      <c r="D1382" t="s">
        <v>20</v>
      </c>
      <c r="E1382" t="s">
        <v>11</v>
      </c>
      <c r="F1382">
        <v>3133.1519999999996</v>
      </c>
      <c r="G1382">
        <v>18</v>
      </c>
      <c r="L1382" t="s">
        <v>4148</v>
      </c>
      <c r="O1382" t="s">
        <v>4149</v>
      </c>
    </row>
    <row r="1383" spans="1:15" x14ac:dyDescent="0.25">
      <c r="A1383" t="s">
        <v>18</v>
      </c>
      <c r="B1383" t="s">
        <v>4148</v>
      </c>
      <c r="C1383" t="s">
        <v>4150</v>
      </c>
      <c r="D1383" t="s">
        <v>20</v>
      </c>
      <c r="E1383" t="s">
        <v>11</v>
      </c>
      <c r="F1383">
        <v>2676.234</v>
      </c>
      <c r="G1383">
        <v>18</v>
      </c>
      <c r="L1383" t="s">
        <v>4151</v>
      </c>
      <c r="O1383" t="s">
        <v>4152</v>
      </c>
    </row>
    <row r="1384" spans="1:15" x14ac:dyDescent="0.25">
      <c r="A1384" t="s">
        <v>18</v>
      </c>
      <c r="B1384" t="s">
        <v>4151</v>
      </c>
      <c r="C1384" t="s">
        <v>4153</v>
      </c>
      <c r="D1384" t="s">
        <v>20</v>
      </c>
      <c r="E1384" t="s">
        <v>11</v>
      </c>
      <c r="F1384">
        <v>3133.1519999999996</v>
      </c>
      <c r="G1384">
        <v>18</v>
      </c>
      <c r="L1384" t="s">
        <v>4154</v>
      </c>
      <c r="O1384" t="s">
        <v>4155</v>
      </c>
    </row>
    <row r="1385" spans="1:15" x14ac:dyDescent="0.25">
      <c r="A1385" t="s">
        <v>18</v>
      </c>
      <c r="B1385" t="s">
        <v>4154</v>
      </c>
      <c r="C1385" t="s">
        <v>4156</v>
      </c>
      <c r="D1385" t="s">
        <v>20</v>
      </c>
      <c r="E1385" t="s">
        <v>11</v>
      </c>
      <c r="F1385">
        <v>2545.6859999999997</v>
      </c>
      <c r="G1385">
        <v>18</v>
      </c>
      <c r="L1385" t="s">
        <v>4157</v>
      </c>
      <c r="O1385" t="s">
        <v>4158</v>
      </c>
    </row>
    <row r="1386" spans="1:15" x14ac:dyDescent="0.25">
      <c r="A1386" t="s">
        <v>18</v>
      </c>
      <c r="B1386" t="s">
        <v>4157</v>
      </c>
      <c r="C1386" t="s">
        <v>4159</v>
      </c>
      <c r="D1386" t="s">
        <v>20</v>
      </c>
      <c r="E1386" t="s">
        <v>11</v>
      </c>
      <c r="F1386">
        <v>4960.8240000000005</v>
      </c>
      <c r="G1386">
        <v>18</v>
      </c>
      <c r="L1386" t="s">
        <v>4160</v>
      </c>
      <c r="O1386" t="s">
        <v>4161</v>
      </c>
    </row>
    <row r="1387" spans="1:15" x14ac:dyDescent="0.25">
      <c r="A1387" t="s">
        <v>18</v>
      </c>
      <c r="B1387" t="s">
        <v>4160</v>
      </c>
      <c r="C1387" t="s">
        <v>4162</v>
      </c>
      <c r="D1387" t="s">
        <v>20</v>
      </c>
      <c r="E1387" t="s">
        <v>11</v>
      </c>
      <c r="F1387">
        <v>4699.727999999999</v>
      </c>
      <c r="G1387">
        <v>18</v>
      </c>
      <c r="L1387" t="s">
        <v>4163</v>
      </c>
      <c r="O1387" t="s">
        <v>4164</v>
      </c>
    </row>
    <row r="1388" spans="1:15" x14ac:dyDescent="0.25">
      <c r="A1388" t="s">
        <v>18</v>
      </c>
      <c r="B1388" t="s">
        <v>4163</v>
      </c>
      <c r="C1388" t="s">
        <v>4165</v>
      </c>
      <c r="D1388" t="s">
        <v>20</v>
      </c>
      <c r="E1388" t="s">
        <v>11</v>
      </c>
      <c r="F1388">
        <v>5678.838</v>
      </c>
      <c r="G1388">
        <v>18</v>
      </c>
      <c r="L1388" t="s">
        <v>4166</v>
      </c>
      <c r="O1388" t="s">
        <v>4167</v>
      </c>
    </row>
    <row r="1389" spans="1:15" x14ac:dyDescent="0.25">
      <c r="A1389" t="s">
        <v>18</v>
      </c>
      <c r="B1389" t="s">
        <v>4166</v>
      </c>
      <c r="C1389" t="s">
        <v>4168</v>
      </c>
      <c r="D1389" t="s">
        <v>20</v>
      </c>
      <c r="E1389" t="s">
        <v>11</v>
      </c>
      <c r="F1389">
        <v>4177.536</v>
      </c>
      <c r="G1389">
        <v>18</v>
      </c>
      <c r="L1389" t="s">
        <v>4169</v>
      </c>
      <c r="O1389" t="s">
        <v>4170</v>
      </c>
    </row>
    <row r="1390" spans="1:15" x14ac:dyDescent="0.25">
      <c r="A1390" t="s">
        <v>18</v>
      </c>
      <c r="B1390" t="s">
        <v>4169</v>
      </c>
      <c r="C1390" t="s">
        <v>4171</v>
      </c>
      <c r="D1390" t="s">
        <v>20</v>
      </c>
      <c r="E1390" t="s">
        <v>11</v>
      </c>
      <c r="F1390">
        <v>3394.2479999999996</v>
      </c>
      <c r="G1390">
        <v>18</v>
      </c>
      <c r="L1390" t="s">
        <v>4172</v>
      </c>
      <c r="O1390" t="s">
        <v>4173</v>
      </c>
    </row>
    <row r="1391" spans="1:15" x14ac:dyDescent="0.25">
      <c r="A1391" t="s">
        <v>18</v>
      </c>
      <c r="B1391" t="s">
        <v>4172</v>
      </c>
      <c r="C1391" t="s">
        <v>4174</v>
      </c>
      <c r="D1391" t="s">
        <v>20</v>
      </c>
      <c r="E1391" t="s">
        <v>11</v>
      </c>
      <c r="F1391">
        <v>261.096</v>
      </c>
      <c r="G1391">
        <v>18</v>
      </c>
      <c r="L1391" t="s">
        <v>4175</v>
      </c>
      <c r="O1391" t="s">
        <v>4176</v>
      </c>
    </row>
    <row r="1392" spans="1:15" x14ac:dyDescent="0.25">
      <c r="A1392" t="s">
        <v>18</v>
      </c>
      <c r="B1392" t="s">
        <v>4175</v>
      </c>
      <c r="C1392" t="s">
        <v>4177</v>
      </c>
      <c r="D1392" t="s">
        <v>20</v>
      </c>
      <c r="E1392" t="s">
        <v>11</v>
      </c>
      <c r="F1392">
        <v>2937.3300000000004</v>
      </c>
      <c r="G1392">
        <v>18</v>
      </c>
      <c r="L1392" t="s">
        <v>4178</v>
      </c>
      <c r="O1392" t="s">
        <v>4179</v>
      </c>
    </row>
    <row r="1393" spans="1:15" x14ac:dyDescent="0.25">
      <c r="A1393" t="s">
        <v>18</v>
      </c>
      <c r="B1393" t="s">
        <v>4178</v>
      </c>
      <c r="C1393" t="s">
        <v>4180</v>
      </c>
      <c r="D1393" t="s">
        <v>20</v>
      </c>
      <c r="E1393" t="s">
        <v>11</v>
      </c>
      <c r="F1393">
        <v>4112.262</v>
      </c>
      <c r="G1393">
        <v>18</v>
      </c>
      <c r="L1393" t="s">
        <v>4181</v>
      </c>
      <c r="O1393" t="s">
        <v>4182</v>
      </c>
    </row>
    <row r="1394" spans="1:15" x14ac:dyDescent="0.25">
      <c r="A1394" t="s">
        <v>18</v>
      </c>
      <c r="B1394" t="s">
        <v>4181</v>
      </c>
      <c r="C1394" t="s">
        <v>4183</v>
      </c>
      <c r="D1394" t="s">
        <v>20</v>
      </c>
      <c r="E1394" t="s">
        <v>11</v>
      </c>
      <c r="F1394">
        <v>261.096</v>
      </c>
      <c r="G1394">
        <v>18</v>
      </c>
      <c r="L1394" t="s">
        <v>4184</v>
      </c>
      <c r="O1394" t="s">
        <v>4185</v>
      </c>
    </row>
    <row r="1395" spans="1:15" x14ac:dyDescent="0.25">
      <c r="A1395" t="s">
        <v>18</v>
      </c>
      <c r="B1395" t="s">
        <v>4184</v>
      </c>
      <c r="C1395" t="s">
        <v>4186</v>
      </c>
      <c r="D1395" t="s">
        <v>20</v>
      </c>
      <c r="E1395" t="s">
        <v>11</v>
      </c>
      <c r="F1395">
        <v>5417.742</v>
      </c>
      <c r="G1395">
        <v>18</v>
      </c>
      <c r="L1395" t="s">
        <v>4187</v>
      </c>
      <c r="O1395" t="s">
        <v>4188</v>
      </c>
    </row>
    <row r="1396" spans="1:15" x14ac:dyDescent="0.25">
      <c r="A1396" t="s">
        <v>18</v>
      </c>
      <c r="B1396" t="s">
        <v>4187</v>
      </c>
      <c r="C1396" t="s">
        <v>4189</v>
      </c>
      <c r="D1396" t="s">
        <v>20</v>
      </c>
      <c r="E1396" t="s">
        <v>11</v>
      </c>
      <c r="F1396">
        <v>10378.565999999999</v>
      </c>
      <c r="G1396">
        <v>18</v>
      </c>
      <c r="L1396" t="s">
        <v>4190</v>
      </c>
      <c r="O1396" t="s">
        <v>4191</v>
      </c>
    </row>
    <row r="1397" spans="1:15" x14ac:dyDescent="0.25">
      <c r="A1397" t="s">
        <v>18</v>
      </c>
      <c r="B1397" t="s">
        <v>4190</v>
      </c>
      <c r="C1397" t="s">
        <v>4192</v>
      </c>
      <c r="D1397" t="s">
        <v>20</v>
      </c>
      <c r="E1397" t="s">
        <v>11</v>
      </c>
      <c r="F1397">
        <v>7963.428</v>
      </c>
      <c r="G1397">
        <v>18</v>
      </c>
      <c r="L1397" t="s">
        <v>4193</v>
      </c>
      <c r="O1397" t="s">
        <v>4194</v>
      </c>
    </row>
    <row r="1398" spans="1:15" x14ac:dyDescent="0.25">
      <c r="A1398" t="s">
        <v>18</v>
      </c>
      <c r="B1398" t="s">
        <v>4193</v>
      </c>
      <c r="C1398" t="s">
        <v>4195</v>
      </c>
      <c r="D1398" t="s">
        <v>20</v>
      </c>
      <c r="E1398" t="s">
        <v>11</v>
      </c>
      <c r="F1398">
        <v>8811.99</v>
      </c>
      <c r="G1398">
        <v>18</v>
      </c>
      <c r="L1398" t="s">
        <v>4196</v>
      </c>
      <c r="O1398" t="s">
        <v>4197</v>
      </c>
    </row>
    <row r="1399" spans="1:15" x14ac:dyDescent="0.25">
      <c r="A1399" t="s">
        <v>18</v>
      </c>
      <c r="B1399" t="s">
        <v>4196</v>
      </c>
      <c r="C1399" t="s">
        <v>4198</v>
      </c>
      <c r="D1399" t="s">
        <v>20</v>
      </c>
      <c r="E1399" t="s">
        <v>11</v>
      </c>
      <c r="F1399">
        <v>14556.101999999999</v>
      </c>
      <c r="G1399">
        <v>18</v>
      </c>
      <c r="L1399" t="s">
        <v>4199</v>
      </c>
      <c r="O1399" t="s">
        <v>4200</v>
      </c>
    </row>
    <row r="1400" spans="1:15" x14ac:dyDescent="0.25">
      <c r="A1400" t="s">
        <v>18</v>
      </c>
      <c r="B1400" t="s">
        <v>4199</v>
      </c>
      <c r="C1400" t="s">
        <v>4198</v>
      </c>
      <c r="D1400" t="s">
        <v>20</v>
      </c>
      <c r="E1400" t="s">
        <v>11</v>
      </c>
      <c r="F1400">
        <v>13185.347999999998</v>
      </c>
      <c r="G1400">
        <v>18</v>
      </c>
      <c r="L1400" t="s">
        <v>4201</v>
      </c>
      <c r="O1400" t="s">
        <v>4202</v>
      </c>
    </row>
    <row r="1401" spans="1:15" x14ac:dyDescent="0.25">
      <c r="A1401" t="s">
        <v>18</v>
      </c>
      <c r="B1401" t="s">
        <v>4201</v>
      </c>
      <c r="C1401" t="s">
        <v>4198</v>
      </c>
      <c r="D1401" t="s">
        <v>20</v>
      </c>
      <c r="E1401" t="s">
        <v>11</v>
      </c>
      <c r="F1401">
        <v>15274.116</v>
      </c>
      <c r="G1401">
        <v>18</v>
      </c>
      <c r="L1401" t="s">
        <v>4203</v>
      </c>
      <c r="O1401" t="s">
        <v>4204</v>
      </c>
    </row>
    <row r="1402" spans="1:15" x14ac:dyDescent="0.25">
      <c r="A1402" t="s">
        <v>18</v>
      </c>
      <c r="B1402" t="s">
        <v>4203</v>
      </c>
      <c r="C1402" t="s">
        <v>4205</v>
      </c>
      <c r="D1402" t="s">
        <v>20</v>
      </c>
      <c r="E1402" t="s">
        <v>11</v>
      </c>
      <c r="F1402">
        <v>7441.235999999999</v>
      </c>
      <c r="G1402">
        <v>18</v>
      </c>
      <c r="L1402" t="s">
        <v>4206</v>
      </c>
      <c r="O1402" t="s">
        <v>4207</v>
      </c>
    </row>
    <row r="1403" spans="1:15" x14ac:dyDescent="0.25">
      <c r="A1403" t="s">
        <v>18</v>
      </c>
      <c r="B1403" t="s">
        <v>4206</v>
      </c>
      <c r="C1403" t="s">
        <v>4208</v>
      </c>
      <c r="D1403" t="s">
        <v>20</v>
      </c>
      <c r="E1403" t="s">
        <v>11</v>
      </c>
      <c r="F1403">
        <v>5678.838</v>
      </c>
      <c r="G1403">
        <v>18</v>
      </c>
      <c r="L1403" t="s">
        <v>4209</v>
      </c>
      <c r="O1403" t="s">
        <v>4210</v>
      </c>
    </row>
    <row r="1404" spans="1:15" x14ac:dyDescent="0.25">
      <c r="A1404" t="s">
        <v>18</v>
      </c>
      <c r="B1404" t="s">
        <v>4209</v>
      </c>
      <c r="C1404" t="s">
        <v>4211</v>
      </c>
      <c r="D1404" t="s">
        <v>20</v>
      </c>
      <c r="E1404" t="s">
        <v>11</v>
      </c>
      <c r="F1404">
        <v>7245.414</v>
      </c>
      <c r="G1404">
        <v>18</v>
      </c>
      <c r="L1404" t="s">
        <v>4212</v>
      </c>
      <c r="O1404" t="s">
        <v>4213</v>
      </c>
    </row>
    <row r="1405" spans="1:15" x14ac:dyDescent="0.25">
      <c r="A1405" t="s">
        <v>18</v>
      </c>
      <c r="B1405" t="s">
        <v>4212</v>
      </c>
      <c r="C1405" t="s">
        <v>4214</v>
      </c>
      <c r="D1405" t="s">
        <v>20</v>
      </c>
      <c r="E1405" t="s">
        <v>11</v>
      </c>
      <c r="F1405">
        <v>30287.136</v>
      </c>
      <c r="G1405">
        <v>18</v>
      </c>
      <c r="L1405" t="s">
        <v>4215</v>
      </c>
      <c r="O1405" t="s">
        <v>4216</v>
      </c>
    </row>
    <row r="1406" spans="1:15" x14ac:dyDescent="0.25">
      <c r="A1406" t="s">
        <v>18</v>
      </c>
      <c r="B1406" t="s">
        <v>4215</v>
      </c>
      <c r="C1406" t="s">
        <v>4217</v>
      </c>
      <c r="D1406" t="s">
        <v>20</v>
      </c>
      <c r="E1406" t="s">
        <v>11</v>
      </c>
      <c r="F1406">
        <v>2480.4120000000003</v>
      </c>
      <c r="G1406">
        <v>18</v>
      </c>
      <c r="L1406" t="s">
        <v>4218</v>
      </c>
      <c r="O1406" t="s">
        <v>4219</v>
      </c>
    </row>
    <row r="1407" spans="1:15" x14ac:dyDescent="0.25">
      <c r="A1407" t="s">
        <v>18</v>
      </c>
      <c r="B1407" t="s">
        <v>4218</v>
      </c>
      <c r="C1407" t="s">
        <v>4220</v>
      </c>
      <c r="D1407" t="s">
        <v>20</v>
      </c>
      <c r="E1407" t="s">
        <v>11</v>
      </c>
      <c r="F1407">
        <v>9073.086</v>
      </c>
      <c r="G1407">
        <v>18</v>
      </c>
      <c r="L1407" t="s">
        <v>4221</v>
      </c>
      <c r="O1407" t="s">
        <v>4222</v>
      </c>
    </row>
    <row r="1408" spans="1:15" x14ac:dyDescent="0.25">
      <c r="A1408" t="s">
        <v>18</v>
      </c>
      <c r="B1408" t="s">
        <v>4221</v>
      </c>
      <c r="C1408" t="s">
        <v>4223</v>
      </c>
      <c r="D1408" t="s">
        <v>20</v>
      </c>
      <c r="E1408" t="s">
        <v>11</v>
      </c>
      <c r="F1408">
        <v>1827.672</v>
      </c>
      <c r="G1408">
        <v>18</v>
      </c>
      <c r="L1408" t="s">
        <v>4224</v>
      </c>
      <c r="O1408" t="s">
        <v>4225</v>
      </c>
    </row>
    <row r="1409" spans="1:15" x14ac:dyDescent="0.25">
      <c r="A1409" t="s">
        <v>18</v>
      </c>
      <c r="B1409" t="s">
        <v>4224</v>
      </c>
      <c r="C1409" t="s">
        <v>4226</v>
      </c>
      <c r="D1409" t="s">
        <v>20</v>
      </c>
      <c r="E1409" t="s">
        <v>11</v>
      </c>
      <c r="F1409">
        <v>2741.508</v>
      </c>
      <c r="G1409">
        <v>18</v>
      </c>
      <c r="L1409" t="s">
        <v>4227</v>
      </c>
      <c r="O1409" t="s">
        <v>4228</v>
      </c>
    </row>
    <row r="1410" spans="1:15" x14ac:dyDescent="0.25">
      <c r="A1410" t="s">
        <v>18</v>
      </c>
      <c r="B1410" t="s">
        <v>4227</v>
      </c>
      <c r="C1410" t="s">
        <v>4229</v>
      </c>
      <c r="D1410" t="s">
        <v>20</v>
      </c>
      <c r="E1410" t="s">
        <v>11</v>
      </c>
      <c r="F1410">
        <v>8681.442000000001</v>
      </c>
      <c r="G1410">
        <v>18</v>
      </c>
      <c r="L1410" t="s">
        <v>4230</v>
      </c>
      <c r="O1410" t="s">
        <v>4231</v>
      </c>
    </row>
    <row r="1411" spans="1:15" x14ac:dyDescent="0.25">
      <c r="A1411" t="s">
        <v>18</v>
      </c>
      <c r="B1411" t="s">
        <v>4230</v>
      </c>
      <c r="C1411" t="s">
        <v>4232</v>
      </c>
      <c r="D1411" t="s">
        <v>20</v>
      </c>
      <c r="E1411" t="s">
        <v>11</v>
      </c>
      <c r="F1411">
        <v>14882.471999999998</v>
      </c>
      <c r="G1411">
        <v>18</v>
      </c>
      <c r="L1411" t="s">
        <v>4233</v>
      </c>
      <c r="O1411" t="s">
        <v>4234</v>
      </c>
    </row>
    <row r="1412" spans="1:15" x14ac:dyDescent="0.25">
      <c r="A1412" t="s">
        <v>18</v>
      </c>
      <c r="B1412" t="s">
        <v>4233</v>
      </c>
      <c r="C1412" t="s">
        <v>4235</v>
      </c>
      <c r="D1412" t="s">
        <v>20</v>
      </c>
      <c r="E1412" t="s">
        <v>11</v>
      </c>
      <c r="F1412">
        <v>14360.279999999999</v>
      </c>
      <c r="G1412">
        <v>18</v>
      </c>
      <c r="L1412" t="s">
        <v>4236</v>
      </c>
      <c r="O1412" t="s">
        <v>4237</v>
      </c>
    </row>
    <row r="1413" spans="1:15" x14ac:dyDescent="0.25">
      <c r="A1413" t="s">
        <v>18</v>
      </c>
      <c r="B1413" t="s">
        <v>4236</v>
      </c>
      <c r="C1413" t="s">
        <v>4238</v>
      </c>
      <c r="D1413" t="s">
        <v>20</v>
      </c>
      <c r="E1413" t="s">
        <v>11</v>
      </c>
      <c r="F1413">
        <v>4960.8240000000005</v>
      </c>
      <c r="G1413">
        <v>18</v>
      </c>
      <c r="L1413" t="s">
        <v>4239</v>
      </c>
      <c r="O1413" t="s">
        <v>4240</v>
      </c>
    </row>
    <row r="1414" spans="1:15" x14ac:dyDescent="0.25">
      <c r="A1414" t="s">
        <v>18</v>
      </c>
      <c r="B1414" t="s">
        <v>4239</v>
      </c>
      <c r="C1414" t="s">
        <v>4241</v>
      </c>
      <c r="D1414" t="s">
        <v>20</v>
      </c>
      <c r="E1414" t="s">
        <v>11</v>
      </c>
      <c r="F1414">
        <v>10966.032</v>
      </c>
      <c r="G1414">
        <v>18</v>
      </c>
      <c r="L1414" t="s">
        <v>4242</v>
      </c>
      <c r="O1414" t="s">
        <v>4243</v>
      </c>
    </row>
    <row r="1415" spans="1:15" x14ac:dyDescent="0.25">
      <c r="A1415" t="s">
        <v>18</v>
      </c>
      <c r="B1415" t="s">
        <v>4242</v>
      </c>
      <c r="C1415" t="s">
        <v>4244</v>
      </c>
      <c r="D1415" t="s">
        <v>20</v>
      </c>
      <c r="E1415" t="s">
        <v>11</v>
      </c>
      <c r="F1415">
        <v>3328.9739999999997</v>
      </c>
      <c r="G1415">
        <v>18</v>
      </c>
      <c r="L1415" t="s">
        <v>4245</v>
      </c>
      <c r="O1415" t="s">
        <v>4246</v>
      </c>
    </row>
    <row r="1416" spans="1:15" x14ac:dyDescent="0.25">
      <c r="A1416" t="s">
        <v>18</v>
      </c>
      <c r="B1416" t="s">
        <v>4245</v>
      </c>
      <c r="C1416" t="s">
        <v>4247</v>
      </c>
      <c r="D1416" t="s">
        <v>20</v>
      </c>
      <c r="E1416" t="s">
        <v>11</v>
      </c>
      <c r="F1416">
        <v>16710.144</v>
      </c>
      <c r="G1416">
        <v>18</v>
      </c>
      <c r="L1416" t="s">
        <v>4248</v>
      </c>
      <c r="O1416" t="s">
        <v>4249</v>
      </c>
    </row>
    <row r="1417" spans="1:15" x14ac:dyDescent="0.25">
      <c r="A1417" t="s">
        <v>18</v>
      </c>
      <c r="B1417" t="s">
        <v>4248</v>
      </c>
      <c r="C1417" t="s">
        <v>4250</v>
      </c>
      <c r="D1417" t="s">
        <v>20</v>
      </c>
      <c r="E1417" t="s">
        <v>11</v>
      </c>
      <c r="F1417">
        <v>3785.892</v>
      </c>
      <c r="G1417">
        <v>18</v>
      </c>
      <c r="L1417" t="s">
        <v>4251</v>
      </c>
      <c r="O1417" t="s">
        <v>4252</v>
      </c>
    </row>
    <row r="1418" spans="1:15" x14ac:dyDescent="0.25">
      <c r="A1418" t="s">
        <v>18</v>
      </c>
      <c r="B1418" t="s">
        <v>4251</v>
      </c>
      <c r="C1418" t="s">
        <v>4253</v>
      </c>
      <c r="D1418" t="s">
        <v>20</v>
      </c>
      <c r="E1418" t="s">
        <v>11</v>
      </c>
      <c r="F1418">
        <v>1109.658</v>
      </c>
      <c r="G1418">
        <v>18</v>
      </c>
      <c r="L1418" t="s">
        <v>4254</v>
      </c>
      <c r="O1418" t="s">
        <v>4255</v>
      </c>
    </row>
    <row r="1419" spans="1:15" x14ac:dyDescent="0.25">
      <c r="A1419" t="s">
        <v>18</v>
      </c>
      <c r="B1419" t="s">
        <v>4254</v>
      </c>
      <c r="C1419" t="s">
        <v>4256</v>
      </c>
      <c r="D1419" t="s">
        <v>20</v>
      </c>
      <c r="E1419" t="s">
        <v>11</v>
      </c>
      <c r="F1419">
        <v>326.37</v>
      </c>
      <c r="G1419">
        <v>18</v>
      </c>
      <c r="L1419" t="s">
        <v>4257</v>
      </c>
      <c r="O1419" t="s">
        <v>4258</v>
      </c>
    </row>
    <row r="1420" spans="1:15" x14ac:dyDescent="0.25">
      <c r="A1420" t="s">
        <v>18</v>
      </c>
      <c r="B1420" t="s">
        <v>4257</v>
      </c>
      <c r="C1420" t="s">
        <v>4259</v>
      </c>
      <c r="D1420" t="s">
        <v>20</v>
      </c>
      <c r="E1420" t="s">
        <v>11</v>
      </c>
      <c r="F1420">
        <v>15078.294000000002</v>
      </c>
      <c r="G1420">
        <v>18</v>
      </c>
      <c r="L1420" t="s">
        <v>4260</v>
      </c>
      <c r="O1420" t="s">
        <v>4261</v>
      </c>
    </row>
    <row r="1421" spans="1:15" x14ac:dyDescent="0.25">
      <c r="A1421" t="s">
        <v>18</v>
      </c>
      <c r="B1421" t="s">
        <v>4260</v>
      </c>
      <c r="C1421" t="s">
        <v>4262</v>
      </c>
      <c r="D1421" t="s">
        <v>20</v>
      </c>
      <c r="E1421" t="s">
        <v>11</v>
      </c>
      <c r="F1421">
        <v>33811.932</v>
      </c>
      <c r="G1421">
        <v>18</v>
      </c>
      <c r="L1421" t="s">
        <v>4263</v>
      </c>
      <c r="O1421" t="s">
        <v>4264</v>
      </c>
    </row>
    <row r="1422" spans="1:15" x14ac:dyDescent="0.25">
      <c r="A1422" t="s">
        <v>18</v>
      </c>
      <c r="B1422" t="s">
        <v>4263</v>
      </c>
      <c r="C1422" t="s">
        <v>4265</v>
      </c>
      <c r="D1422" t="s">
        <v>20</v>
      </c>
      <c r="E1422" t="s">
        <v>11</v>
      </c>
      <c r="F1422">
        <v>24086.106</v>
      </c>
      <c r="G1422">
        <v>18</v>
      </c>
      <c r="L1422" t="s">
        <v>4266</v>
      </c>
      <c r="O1422" t="s">
        <v>4267</v>
      </c>
    </row>
    <row r="1423" spans="1:15" x14ac:dyDescent="0.25">
      <c r="A1423" t="s">
        <v>18</v>
      </c>
      <c r="B1423" t="s">
        <v>4266</v>
      </c>
      <c r="C1423" t="s">
        <v>4268</v>
      </c>
      <c r="D1423" t="s">
        <v>20</v>
      </c>
      <c r="E1423" t="s">
        <v>11</v>
      </c>
      <c r="F1423">
        <v>22193.16</v>
      </c>
      <c r="G1423">
        <v>18</v>
      </c>
      <c r="L1423" t="s">
        <v>4269</v>
      </c>
      <c r="O1423" t="s">
        <v>4270</v>
      </c>
    </row>
    <row r="1424" spans="1:15" x14ac:dyDescent="0.25">
      <c r="A1424" t="s">
        <v>18</v>
      </c>
      <c r="B1424" t="s">
        <v>4269</v>
      </c>
      <c r="C1424" t="s">
        <v>4271</v>
      </c>
      <c r="D1424" t="s">
        <v>20</v>
      </c>
      <c r="E1424" t="s">
        <v>11</v>
      </c>
      <c r="F1424">
        <v>3981.714</v>
      </c>
      <c r="G1424">
        <v>18</v>
      </c>
      <c r="L1424" t="s">
        <v>4272</v>
      </c>
      <c r="O1424" t="s">
        <v>4273</v>
      </c>
    </row>
    <row r="1425" spans="1:15" x14ac:dyDescent="0.25">
      <c r="A1425" t="s">
        <v>18</v>
      </c>
      <c r="B1425" t="s">
        <v>4272</v>
      </c>
      <c r="C1425" t="s">
        <v>4274</v>
      </c>
      <c r="D1425" t="s">
        <v>20</v>
      </c>
      <c r="E1425" t="s">
        <v>11</v>
      </c>
      <c r="F1425">
        <v>4503.906</v>
      </c>
      <c r="G1425">
        <v>18</v>
      </c>
      <c r="L1425" t="s">
        <v>4275</v>
      </c>
      <c r="O1425" t="s">
        <v>4276</v>
      </c>
    </row>
    <row r="1426" spans="1:15" x14ac:dyDescent="0.25">
      <c r="A1426" t="s">
        <v>18</v>
      </c>
      <c r="B1426" t="s">
        <v>4275</v>
      </c>
      <c r="C1426" t="s">
        <v>4277</v>
      </c>
      <c r="D1426" t="s">
        <v>20</v>
      </c>
      <c r="E1426" t="s">
        <v>11</v>
      </c>
      <c r="F1426">
        <v>7245.414</v>
      </c>
      <c r="G1426">
        <v>18</v>
      </c>
      <c r="L1426" t="s">
        <v>4278</v>
      </c>
      <c r="O1426" t="s">
        <v>4279</v>
      </c>
    </row>
    <row r="1427" spans="1:15" x14ac:dyDescent="0.25">
      <c r="A1427" t="s">
        <v>18</v>
      </c>
      <c r="B1427" t="s">
        <v>4278</v>
      </c>
      <c r="C1427" t="s">
        <v>4280</v>
      </c>
      <c r="D1427" t="s">
        <v>20</v>
      </c>
      <c r="E1427" t="s">
        <v>11</v>
      </c>
      <c r="F1427">
        <v>10117.470000000001</v>
      </c>
      <c r="G1427">
        <v>18</v>
      </c>
      <c r="L1427" t="s">
        <v>4281</v>
      </c>
      <c r="O1427" t="s">
        <v>4282</v>
      </c>
    </row>
    <row r="1428" spans="1:15" x14ac:dyDescent="0.25">
      <c r="A1428" t="s">
        <v>18</v>
      </c>
      <c r="B1428" t="s">
        <v>4281</v>
      </c>
      <c r="C1428" t="s">
        <v>4283</v>
      </c>
      <c r="D1428" t="s">
        <v>20</v>
      </c>
      <c r="E1428" t="s">
        <v>11</v>
      </c>
      <c r="F1428">
        <v>10052.195999999998</v>
      </c>
      <c r="G1428">
        <v>18</v>
      </c>
      <c r="L1428" t="s">
        <v>4284</v>
      </c>
      <c r="O1428" t="s">
        <v>4285</v>
      </c>
    </row>
    <row r="1429" spans="1:15" x14ac:dyDescent="0.25">
      <c r="A1429" t="s">
        <v>18</v>
      </c>
      <c r="B1429" t="s">
        <v>4284</v>
      </c>
      <c r="C1429" t="s">
        <v>4286</v>
      </c>
      <c r="D1429" t="s">
        <v>20</v>
      </c>
      <c r="E1429" t="s">
        <v>11</v>
      </c>
      <c r="F1429">
        <v>12271.511999999999</v>
      </c>
      <c r="G1429">
        <v>18</v>
      </c>
      <c r="L1429" t="s">
        <v>4287</v>
      </c>
      <c r="O1429" t="s">
        <v>4288</v>
      </c>
    </row>
    <row r="1430" spans="1:15" x14ac:dyDescent="0.25">
      <c r="A1430" t="s">
        <v>18</v>
      </c>
      <c r="B1430" t="s">
        <v>4287</v>
      </c>
      <c r="C1430" t="s">
        <v>4289</v>
      </c>
      <c r="D1430" t="s">
        <v>20</v>
      </c>
      <c r="E1430" t="s">
        <v>11</v>
      </c>
      <c r="F1430">
        <v>1631.85</v>
      </c>
      <c r="G1430">
        <v>18</v>
      </c>
      <c r="L1430" t="s">
        <v>4290</v>
      </c>
      <c r="O1430" t="s">
        <v>4291</v>
      </c>
    </row>
    <row r="1431" spans="1:15" x14ac:dyDescent="0.25">
      <c r="A1431" t="s">
        <v>18</v>
      </c>
      <c r="B1431" t="s">
        <v>4290</v>
      </c>
      <c r="C1431" t="s">
        <v>4292</v>
      </c>
      <c r="D1431" t="s">
        <v>20</v>
      </c>
      <c r="E1431" t="s">
        <v>11</v>
      </c>
      <c r="F1431">
        <v>8289.797999999999</v>
      </c>
      <c r="G1431">
        <v>18</v>
      </c>
      <c r="L1431" t="s">
        <v>4293</v>
      </c>
      <c r="O1431" t="s">
        <v>4294</v>
      </c>
    </row>
    <row r="1432" spans="1:15" x14ac:dyDescent="0.25">
      <c r="A1432" t="s">
        <v>18</v>
      </c>
      <c r="B1432" t="s">
        <v>4293</v>
      </c>
      <c r="C1432" t="s">
        <v>4295</v>
      </c>
      <c r="D1432" t="s">
        <v>20</v>
      </c>
      <c r="E1432" t="s">
        <v>11</v>
      </c>
      <c r="F1432">
        <v>7114.866</v>
      </c>
      <c r="G1432">
        <v>18</v>
      </c>
      <c r="L1432" t="s">
        <v>4296</v>
      </c>
      <c r="O1432" t="s">
        <v>4297</v>
      </c>
    </row>
    <row r="1433" spans="1:15" x14ac:dyDescent="0.25">
      <c r="A1433" t="s">
        <v>18</v>
      </c>
      <c r="B1433" t="s">
        <v>4296</v>
      </c>
      <c r="C1433" t="s">
        <v>4298</v>
      </c>
      <c r="D1433" t="s">
        <v>20</v>
      </c>
      <c r="E1433" t="s">
        <v>11</v>
      </c>
      <c r="F1433">
        <v>456.918</v>
      </c>
      <c r="G1433">
        <v>18</v>
      </c>
      <c r="L1433" t="s">
        <v>4299</v>
      </c>
      <c r="O1433" t="s">
        <v>4300</v>
      </c>
    </row>
    <row r="1434" spans="1:15" x14ac:dyDescent="0.25">
      <c r="A1434" t="s">
        <v>18</v>
      </c>
      <c r="B1434" t="s">
        <v>4299</v>
      </c>
      <c r="C1434" t="s">
        <v>4301</v>
      </c>
      <c r="D1434" t="s">
        <v>20</v>
      </c>
      <c r="E1434" t="s">
        <v>11</v>
      </c>
      <c r="F1434">
        <v>5874.660000000001</v>
      </c>
      <c r="G1434">
        <v>18</v>
      </c>
      <c r="L1434" t="s">
        <v>4302</v>
      </c>
      <c r="O1434" t="s">
        <v>4303</v>
      </c>
    </row>
    <row r="1435" spans="1:15" x14ac:dyDescent="0.25">
      <c r="A1435" t="s">
        <v>18</v>
      </c>
      <c r="B1435" t="s">
        <v>4302</v>
      </c>
      <c r="C1435" t="s">
        <v>4304</v>
      </c>
      <c r="D1435" t="s">
        <v>20</v>
      </c>
      <c r="E1435" t="s">
        <v>11</v>
      </c>
      <c r="F1435">
        <v>1109.658</v>
      </c>
      <c r="G1435">
        <v>18</v>
      </c>
      <c r="L1435" t="s">
        <v>4305</v>
      </c>
      <c r="O1435" t="s">
        <v>4306</v>
      </c>
    </row>
    <row r="1436" spans="1:15" x14ac:dyDescent="0.25">
      <c r="A1436" t="s">
        <v>18</v>
      </c>
      <c r="B1436" t="s">
        <v>4305</v>
      </c>
      <c r="C1436" t="s">
        <v>4307</v>
      </c>
      <c r="D1436" t="s">
        <v>20</v>
      </c>
      <c r="E1436" t="s">
        <v>11</v>
      </c>
      <c r="F1436">
        <v>1501.302</v>
      </c>
      <c r="G1436">
        <v>18</v>
      </c>
      <c r="L1436" t="s">
        <v>4308</v>
      </c>
      <c r="O1436" t="s">
        <v>4309</v>
      </c>
    </row>
    <row r="1437" spans="1:15" x14ac:dyDescent="0.25">
      <c r="A1437" t="s">
        <v>18</v>
      </c>
      <c r="B1437" t="s">
        <v>4308</v>
      </c>
      <c r="C1437" t="s">
        <v>4310</v>
      </c>
      <c r="D1437" t="s">
        <v>20</v>
      </c>
      <c r="E1437" t="s">
        <v>11</v>
      </c>
      <c r="F1437">
        <v>1370.754</v>
      </c>
      <c r="G1437">
        <v>18</v>
      </c>
      <c r="L1437" t="s">
        <v>4311</v>
      </c>
      <c r="O1437" t="s">
        <v>4312</v>
      </c>
    </row>
    <row r="1438" spans="1:15" x14ac:dyDescent="0.25">
      <c r="A1438" t="s">
        <v>18</v>
      </c>
      <c r="B1438" t="s">
        <v>4311</v>
      </c>
      <c r="C1438" t="s">
        <v>4313</v>
      </c>
      <c r="D1438" t="s">
        <v>20</v>
      </c>
      <c r="E1438" t="s">
        <v>11</v>
      </c>
      <c r="F1438">
        <v>2610.96</v>
      </c>
      <c r="G1438">
        <v>18</v>
      </c>
      <c r="L1438" t="s">
        <v>4314</v>
      </c>
      <c r="O1438" t="s">
        <v>4315</v>
      </c>
    </row>
    <row r="1439" spans="1:15" x14ac:dyDescent="0.25">
      <c r="A1439" t="s">
        <v>18</v>
      </c>
      <c r="B1439" t="s">
        <v>4314</v>
      </c>
      <c r="C1439" t="s">
        <v>4316</v>
      </c>
      <c r="D1439" t="s">
        <v>20</v>
      </c>
      <c r="E1439" t="s">
        <v>11</v>
      </c>
      <c r="F1439">
        <v>6005.208</v>
      </c>
      <c r="G1439">
        <v>18</v>
      </c>
      <c r="L1439" t="s">
        <v>4317</v>
      </c>
      <c r="O1439" t="s">
        <v>4318</v>
      </c>
    </row>
    <row r="1440" spans="1:15" x14ac:dyDescent="0.25">
      <c r="A1440" t="s">
        <v>18</v>
      </c>
      <c r="B1440" t="s">
        <v>4317</v>
      </c>
      <c r="C1440" t="s">
        <v>4319</v>
      </c>
      <c r="D1440" t="s">
        <v>20</v>
      </c>
      <c r="E1440" t="s">
        <v>11</v>
      </c>
      <c r="F1440">
        <v>9073.086</v>
      </c>
      <c r="G1440">
        <v>18</v>
      </c>
      <c r="L1440" t="s">
        <v>4320</v>
      </c>
      <c r="O1440" t="s">
        <v>4321</v>
      </c>
    </row>
    <row r="1441" spans="1:15" x14ac:dyDescent="0.25">
      <c r="A1441" t="s">
        <v>18</v>
      </c>
      <c r="B1441" t="s">
        <v>4320</v>
      </c>
      <c r="C1441" t="s">
        <v>4322</v>
      </c>
      <c r="D1441" t="s">
        <v>20</v>
      </c>
      <c r="E1441" t="s">
        <v>11</v>
      </c>
      <c r="F1441">
        <v>1631.85</v>
      </c>
      <c r="G1441">
        <v>18</v>
      </c>
      <c r="L1441" t="s">
        <v>4323</v>
      </c>
      <c r="O1441" t="s">
        <v>4324</v>
      </c>
    </row>
    <row r="1442" spans="1:15" x14ac:dyDescent="0.25">
      <c r="A1442" t="s">
        <v>18</v>
      </c>
      <c r="B1442" t="s">
        <v>4323</v>
      </c>
      <c r="C1442" t="s">
        <v>4325</v>
      </c>
      <c r="D1442" t="s">
        <v>20</v>
      </c>
      <c r="E1442" t="s">
        <v>11</v>
      </c>
      <c r="F1442">
        <v>1631.85</v>
      </c>
      <c r="G1442">
        <v>18</v>
      </c>
      <c r="L1442" t="s">
        <v>4326</v>
      </c>
      <c r="O1442" t="s">
        <v>4327</v>
      </c>
    </row>
    <row r="1443" spans="1:15" x14ac:dyDescent="0.25">
      <c r="A1443" t="s">
        <v>18</v>
      </c>
      <c r="B1443" t="s">
        <v>4326</v>
      </c>
      <c r="C1443" t="s">
        <v>4328</v>
      </c>
      <c r="D1443" t="s">
        <v>20</v>
      </c>
      <c r="E1443" t="s">
        <v>11</v>
      </c>
      <c r="F1443">
        <v>848.5619999999999</v>
      </c>
      <c r="G1443">
        <v>18</v>
      </c>
      <c r="L1443" t="s">
        <v>4329</v>
      </c>
      <c r="O1443" t="s">
        <v>4330</v>
      </c>
    </row>
    <row r="1444" spans="1:15" x14ac:dyDescent="0.25">
      <c r="A1444" t="s">
        <v>18</v>
      </c>
      <c r="B1444" t="s">
        <v>4329</v>
      </c>
      <c r="C1444" t="s">
        <v>4331</v>
      </c>
      <c r="D1444" t="s">
        <v>20</v>
      </c>
      <c r="E1444" t="s">
        <v>11</v>
      </c>
      <c r="F1444">
        <v>848.5619999999999</v>
      </c>
      <c r="G1444">
        <v>18</v>
      </c>
      <c r="L1444" t="s">
        <v>4332</v>
      </c>
      <c r="O1444" t="s">
        <v>4333</v>
      </c>
    </row>
    <row r="1445" spans="1:15" x14ac:dyDescent="0.25">
      <c r="A1445" t="s">
        <v>18</v>
      </c>
      <c r="B1445" t="s">
        <v>4332</v>
      </c>
      <c r="C1445" t="s">
        <v>4334</v>
      </c>
      <c r="D1445" t="s">
        <v>20</v>
      </c>
      <c r="E1445" t="s">
        <v>11</v>
      </c>
      <c r="F1445">
        <v>6331.5779999999995</v>
      </c>
      <c r="G1445">
        <v>18</v>
      </c>
      <c r="L1445" t="s">
        <v>4335</v>
      </c>
      <c r="O1445" t="s">
        <v>4336</v>
      </c>
    </row>
    <row r="1446" spans="1:15" x14ac:dyDescent="0.25">
      <c r="A1446" t="s">
        <v>18</v>
      </c>
      <c r="B1446" t="s">
        <v>4335</v>
      </c>
      <c r="C1446" t="s">
        <v>4283</v>
      </c>
      <c r="D1446" t="s">
        <v>20</v>
      </c>
      <c r="E1446" t="s">
        <v>11</v>
      </c>
      <c r="F1446">
        <v>10900.757999999998</v>
      </c>
      <c r="G1446">
        <v>18</v>
      </c>
      <c r="L1446" t="s">
        <v>4337</v>
      </c>
      <c r="O1446" t="s">
        <v>4338</v>
      </c>
    </row>
    <row r="1447" spans="1:15" x14ac:dyDescent="0.25">
      <c r="A1447" t="s">
        <v>18</v>
      </c>
      <c r="B1447" t="s">
        <v>4337</v>
      </c>
      <c r="C1447" t="s">
        <v>4286</v>
      </c>
      <c r="D1447" t="s">
        <v>20</v>
      </c>
      <c r="E1447" t="s">
        <v>11</v>
      </c>
      <c r="F1447">
        <v>13772.814</v>
      </c>
      <c r="G1447">
        <v>18</v>
      </c>
      <c r="L1447" t="s">
        <v>4339</v>
      </c>
      <c r="O1447" t="s">
        <v>4340</v>
      </c>
    </row>
    <row r="1448" spans="1:15" x14ac:dyDescent="0.25">
      <c r="A1448" t="s">
        <v>18</v>
      </c>
      <c r="B1448" t="s">
        <v>4339</v>
      </c>
      <c r="C1448" t="s">
        <v>4341</v>
      </c>
      <c r="D1448" t="s">
        <v>20</v>
      </c>
      <c r="E1448" t="s">
        <v>11</v>
      </c>
      <c r="F1448">
        <v>1109.658</v>
      </c>
      <c r="G1448">
        <v>18</v>
      </c>
      <c r="L1448" t="s">
        <v>4342</v>
      </c>
      <c r="O1448" t="s">
        <v>4343</v>
      </c>
    </row>
    <row r="1449" spans="1:15" x14ac:dyDescent="0.25">
      <c r="A1449" t="s">
        <v>18</v>
      </c>
      <c r="B1449" t="s">
        <v>4342</v>
      </c>
      <c r="C1449" t="s">
        <v>4344</v>
      </c>
      <c r="D1449" t="s">
        <v>20</v>
      </c>
      <c r="E1449" t="s">
        <v>11</v>
      </c>
      <c r="F1449">
        <v>2872.056</v>
      </c>
      <c r="G1449">
        <v>18</v>
      </c>
      <c r="L1449" t="s">
        <v>4345</v>
      </c>
      <c r="O1449" t="s">
        <v>4346</v>
      </c>
    </row>
    <row r="1450" spans="1:15" x14ac:dyDescent="0.25">
      <c r="A1450" t="s">
        <v>18</v>
      </c>
      <c r="B1450" t="s">
        <v>4345</v>
      </c>
      <c r="C1450" t="s">
        <v>4347</v>
      </c>
      <c r="D1450" t="s">
        <v>20</v>
      </c>
      <c r="E1450" t="s">
        <v>11</v>
      </c>
      <c r="F1450">
        <v>2284.59</v>
      </c>
      <c r="G1450">
        <v>18</v>
      </c>
      <c r="L1450" t="s">
        <v>4348</v>
      </c>
      <c r="O1450" t="s">
        <v>4349</v>
      </c>
    </row>
    <row r="1451" spans="1:15" x14ac:dyDescent="0.25">
      <c r="A1451" t="s">
        <v>18</v>
      </c>
      <c r="B1451" t="s">
        <v>4348</v>
      </c>
      <c r="C1451" t="s">
        <v>4350</v>
      </c>
      <c r="D1451" t="s">
        <v>20</v>
      </c>
      <c r="E1451" t="s">
        <v>11</v>
      </c>
      <c r="F1451">
        <v>1501.302</v>
      </c>
      <c r="G1451">
        <v>18</v>
      </c>
      <c r="L1451" t="s">
        <v>4351</v>
      </c>
      <c r="O1451" t="s">
        <v>4352</v>
      </c>
    </row>
    <row r="1452" spans="1:15" x14ac:dyDescent="0.25">
      <c r="A1452" t="s">
        <v>18</v>
      </c>
      <c r="B1452" t="s">
        <v>4351</v>
      </c>
      <c r="C1452" t="s">
        <v>4353</v>
      </c>
      <c r="D1452" t="s">
        <v>20</v>
      </c>
      <c r="E1452" t="s">
        <v>11</v>
      </c>
      <c r="F1452">
        <v>718.014</v>
      </c>
      <c r="G1452">
        <v>18</v>
      </c>
      <c r="L1452" t="s">
        <v>4354</v>
      </c>
      <c r="O1452" t="s">
        <v>4355</v>
      </c>
    </row>
    <row r="1453" spans="1:15" x14ac:dyDescent="0.25">
      <c r="A1453" t="s">
        <v>18</v>
      </c>
      <c r="B1453" t="s">
        <v>4354</v>
      </c>
      <c r="C1453" t="s">
        <v>4356</v>
      </c>
      <c r="D1453" t="s">
        <v>20</v>
      </c>
      <c r="E1453" t="s">
        <v>11</v>
      </c>
      <c r="F1453">
        <v>2349.8639999999996</v>
      </c>
      <c r="G1453">
        <v>18</v>
      </c>
      <c r="L1453" t="s">
        <v>4357</v>
      </c>
      <c r="O1453" t="s">
        <v>4358</v>
      </c>
    </row>
    <row r="1454" spans="1:15" x14ac:dyDescent="0.25">
      <c r="A1454" t="s">
        <v>18</v>
      </c>
      <c r="B1454" t="s">
        <v>4357</v>
      </c>
      <c r="C1454" t="s">
        <v>4359</v>
      </c>
      <c r="D1454" t="s">
        <v>20</v>
      </c>
      <c r="E1454" t="s">
        <v>11</v>
      </c>
      <c r="F1454">
        <v>2349.8639999999996</v>
      </c>
      <c r="G1454">
        <v>18</v>
      </c>
      <c r="L1454" t="s">
        <v>4360</v>
      </c>
      <c r="O1454" t="s">
        <v>4361</v>
      </c>
    </row>
    <row r="1455" spans="1:15" x14ac:dyDescent="0.25">
      <c r="A1455" t="s">
        <v>18</v>
      </c>
      <c r="B1455" t="s">
        <v>4360</v>
      </c>
      <c r="C1455" t="s">
        <v>4362</v>
      </c>
      <c r="D1455" t="s">
        <v>20</v>
      </c>
      <c r="E1455" t="s">
        <v>11</v>
      </c>
      <c r="F1455">
        <v>62010.3</v>
      </c>
      <c r="G1455">
        <v>18</v>
      </c>
      <c r="L1455" t="s">
        <v>4363</v>
      </c>
      <c r="O1455" t="s">
        <v>4364</v>
      </c>
    </row>
    <row r="1456" spans="1:15" x14ac:dyDescent="0.25">
      <c r="A1456" t="s">
        <v>18</v>
      </c>
      <c r="B1456" t="s">
        <v>4363</v>
      </c>
      <c r="C1456" t="s">
        <v>4365</v>
      </c>
      <c r="D1456" t="s">
        <v>20</v>
      </c>
      <c r="E1456" t="s">
        <v>11</v>
      </c>
      <c r="F1456">
        <v>57702.216</v>
      </c>
      <c r="G1456">
        <v>18</v>
      </c>
      <c r="L1456" t="s">
        <v>4366</v>
      </c>
      <c r="O1456" t="s">
        <v>4367</v>
      </c>
    </row>
    <row r="1457" spans="1:15" x14ac:dyDescent="0.25">
      <c r="A1457" t="s">
        <v>18</v>
      </c>
      <c r="B1457" t="s">
        <v>4366</v>
      </c>
      <c r="C1457" t="s">
        <v>4368</v>
      </c>
      <c r="D1457" t="s">
        <v>20</v>
      </c>
      <c r="E1457" t="s">
        <v>11</v>
      </c>
      <c r="F1457">
        <v>587.4659999999999</v>
      </c>
      <c r="G1457">
        <v>18</v>
      </c>
      <c r="L1457" t="s">
        <v>4369</v>
      </c>
      <c r="O1457" t="s">
        <v>4370</v>
      </c>
    </row>
    <row r="1458" spans="1:15" x14ac:dyDescent="0.25">
      <c r="A1458" t="s">
        <v>18</v>
      </c>
      <c r="B1458" t="s">
        <v>4369</v>
      </c>
      <c r="C1458" t="s">
        <v>4371</v>
      </c>
      <c r="D1458" t="s">
        <v>20</v>
      </c>
      <c r="E1458" t="s">
        <v>11</v>
      </c>
      <c r="F1458">
        <v>1370.754</v>
      </c>
      <c r="G1458">
        <v>18</v>
      </c>
      <c r="L1458" t="s">
        <v>4372</v>
      </c>
      <c r="O1458" t="s">
        <v>4373</v>
      </c>
    </row>
    <row r="1459" spans="1:15" x14ac:dyDescent="0.25">
      <c r="A1459" t="s">
        <v>18</v>
      </c>
      <c r="B1459" t="s">
        <v>4372</v>
      </c>
      <c r="C1459" t="s">
        <v>4374</v>
      </c>
      <c r="D1459" t="s">
        <v>20</v>
      </c>
      <c r="E1459" t="s">
        <v>11</v>
      </c>
      <c r="F1459">
        <v>848.5619999999999</v>
      </c>
      <c r="G1459">
        <v>18</v>
      </c>
      <c r="L1459" t="s">
        <v>4375</v>
      </c>
      <c r="O1459" t="s">
        <v>4376</v>
      </c>
    </row>
    <row r="1460" spans="1:15" x14ac:dyDescent="0.25">
      <c r="A1460" t="s">
        <v>18</v>
      </c>
      <c r="B1460" t="s">
        <v>4375</v>
      </c>
      <c r="C1460" t="s">
        <v>4377</v>
      </c>
      <c r="D1460" t="s">
        <v>20</v>
      </c>
      <c r="E1460" t="s">
        <v>11</v>
      </c>
      <c r="F1460">
        <v>8093.976</v>
      </c>
      <c r="G1460">
        <v>18</v>
      </c>
      <c r="L1460" t="s">
        <v>4378</v>
      </c>
      <c r="O1460" t="s">
        <v>4379</v>
      </c>
    </row>
    <row r="1461" spans="1:15" x14ac:dyDescent="0.25">
      <c r="A1461" t="s">
        <v>18</v>
      </c>
      <c r="B1461" t="s">
        <v>4378</v>
      </c>
      <c r="C1461" t="s">
        <v>4380</v>
      </c>
      <c r="D1461" t="s">
        <v>20</v>
      </c>
      <c r="E1461" t="s">
        <v>11</v>
      </c>
      <c r="F1461">
        <v>2741.508</v>
      </c>
      <c r="G1461">
        <v>18</v>
      </c>
      <c r="L1461" t="s">
        <v>4381</v>
      </c>
      <c r="O1461" t="s">
        <v>4382</v>
      </c>
    </row>
    <row r="1462" spans="1:15" x14ac:dyDescent="0.25">
      <c r="A1462" t="s">
        <v>18</v>
      </c>
      <c r="B1462" t="s">
        <v>4381</v>
      </c>
      <c r="C1462" t="s">
        <v>4383</v>
      </c>
      <c r="D1462" t="s">
        <v>20</v>
      </c>
      <c r="E1462" t="s">
        <v>11</v>
      </c>
      <c r="F1462">
        <v>1044.384</v>
      </c>
      <c r="G1462">
        <v>18</v>
      </c>
      <c r="L1462" t="s">
        <v>4384</v>
      </c>
      <c r="O1462" t="s">
        <v>4385</v>
      </c>
    </row>
    <row r="1463" spans="1:15" x14ac:dyDescent="0.25">
      <c r="A1463" t="s">
        <v>18</v>
      </c>
      <c r="B1463" t="s">
        <v>4384</v>
      </c>
      <c r="C1463" t="s">
        <v>4386</v>
      </c>
      <c r="D1463" t="s">
        <v>20</v>
      </c>
      <c r="E1463" t="s">
        <v>11</v>
      </c>
      <c r="F1463">
        <v>3590.0699999999997</v>
      </c>
      <c r="G1463">
        <v>18</v>
      </c>
      <c r="L1463" t="s">
        <v>4387</v>
      </c>
      <c r="O1463" t="s">
        <v>4388</v>
      </c>
    </row>
    <row r="1464" spans="1:15" x14ac:dyDescent="0.25">
      <c r="A1464" t="s">
        <v>18</v>
      </c>
      <c r="B1464" t="s">
        <v>4387</v>
      </c>
      <c r="C1464" t="s">
        <v>4389</v>
      </c>
      <c r="D1464" t="s">
        <v>20</v>
      </c>
      <c r="E1464" t="s">
        <v>11</v>
      </c>
      <c r="F1464">
        <v>1631.85</v>
      </c>
      <c r="G1464">
        <v>18</v>
      </c>
      <c r="L1464" t="s">
        <v>4390</v>
      </c>
      <c r="O1464" t="s">
        <v>4391</v>
      </c>
    </row>
    <row r="1465" spans="1:15" x14ac:dyDescent="0.25">
      <c r="A1465" t="s">
        <v>18</v>
      </c>
      <c r="B1465" t="s">
        <v>4390</v>
      </c>
      <c r="C1465" t="s">
        <v>4392</v>
      </c>
      <c r="D1465" t="s">
        <v>20</v>
      </c>
      <c r="E1465" t="s">
        <v>11</v>
      </c>
      <c r="F1465">
        <v>848.5619999999999</v>
      </c>
      <c r="G1465">
        <v>18</v>
      </c>
      <c r="L1465" t="s">
        <v>4393</v>
      </c>
      <c r="O1465" t="s">
        <v>4394</v>
      </c>
    </row>
    <row r="1466" spans="1:15" x14ac:dyDescent="0.25">
      <c r="A1466" t="s">
        <v>18</v>
      </c>
      <c r="B1466" t="s">
        <v>4393</v>
      </c>
      <c r="C1466" t="s">
        <v>4395</v>
      </c>
      <c r="D1466" t="s">
        <v>20</v>
      </c>
      <c r="E1466" t="s">
        <v>11</v>
      </c>
      <c r="F1466">
        <v>1697.1239999999998</v>
      </c>
      <c r="G1466">
        <v>18</v>
      </c>
      <c r="L1466" t="s">
        <v>4396</v>
      </c>
      <c r="O1466" t="s">
        <v>4397</v>
      </c>
    </row>
    <row r="1467" spans="1:15" x14ac:dyDescent="0.25">
      <c r="A1467" t="s">
        <v>18</v>
      </c>
      <c r="B1467" t="s">
        <v>4396</v>
      </c>
      <c r="C1467" t="s">
        <v>4398</v>
      </c>
      <c r="D1467" t="s">
        <v>20</v>
      </c>
      <c r="E1467" t="s">
        <v>11</v>
      </c>
      <c r="F1467">
        <v>3067.8779999999997</v>
      </c>
      <c r="G1467">
        <v>18</v>
      </c>
      <c r="L1467" t="s">
        <v>4399</v>
      </c>
      <c r="O1467" t="s">
        <v>4400</v>
      </c>
    </row>
    <row r="1468" spans="1:15" x14ac:dyDescent="0.25">
      <c r="A1468" t="s">
        <v>18</v>
      </c>
      <c r="B1468" t="s">
        <v>4399</v>
      </c>
      <c r="C1468" t="s">
        <v>4401</v>
      </c>
      <c r="D1468" t="s">
        <v>20</v>
      </c>
      <c r="E1468" t="s">
        <v>11</v>
      </c>
      <c r="F1468">
        <v>10509.114</v>
      </c>
      <c r="G1468">
        <v>18</v>
      </c>
      <c r="L1468" t="s">
        <v>4402</v>
      </c>
      <c r="O1468" t="s">
        <v>4403</v>
      </c>
    </row>
    <row r="1469" spans="1:15" x14ac:dyDescent="0.25">
      <c r="A1469" t="s">
        <v>18</v>
      </c>
      <c r="B1469" t="s">
        <v>4402</v>
      </c>
      <c r="C1469" t="s">
        <v>4404</v>
      </c>
      <c r="D1469" t="s">
        <v>20</v>
      </c>
      <c r="E1469" t="s">
        <v>11</v>
      </c>
      <c r="F1469">
        <v>24086.106</v>
      </c>
      <c r="G1469">
        <v>18</v>
      </c>
      <c r="L1469" t="s">
        <v>4405</v>
      </c>
      <c r="O1469" t="s">
        <v>4406</v>
      </c>
    </row>
    <row r="1470" spans="1:15" x14ac:dyDescent="0.25">
      <c r="A1470" t="s">
        <v>18</v>
      </c>
      <c r="B1470" t="s">
        <v>4405</v>
      </c>
      <c r="C1470" t="s">
        <v>4407</v>
      </c>
      <c r="D1470" t="s">
        <v>20</v>
      </c>
      <c r="E1470" t="s">
        <v>11</v>
      </c>
      <c r="F1470">
        <v>587.4659999999999</v>
      </c>
      <c r="G1470">
        <v>18</v>
      </c>
      <c r="L1470" t="s">
        <v>4408</v>
      </c>
      <c r="O1470" t="s">
        <v>4409</v>
      </c>
    </row>
    <row r="1471" spans="1:15" x14ac:dyDescent="0.25">
      <c r="A1471" t="s">
        <v>18</v>
      </c>
      <c r="B1471" t="s">
        <v>4408</v>
      </c>
      <c r="C1471" t="s">
        <v>4410</v>
      </c>
      <c r="D1471" t="s">
        <v>20</v>
      </c>
      <c r="E1471" t="s">
        <v>11</v>
      </c>
      <c r="F1471">
        <v>0</v>
      </c>
      <c r="G1471">
        <v>18</v>
      </c>
      <c r="L1471" t="s">
        <v>4411</v>
      </c>
      <c r="O1471" t="s">
        <v>4412</v>
      </c>
    </row>
    <row r="1472" spans="1:15" x14ac:dyDescent="0.25">
      <c r="A1472" t="s">
        <v>18</v>
      </c>
      <c r="B1472" t="s">
        <v>4411</v>
      </c>
      <c r="C1472" t="s">
        <v>4413</v>
      </c>
      <c r="D1472" t="s">
        <v>20</v>
      </c>
      <c r="E1472" t="s">
        <v>11</v>
      </c>
      <c r="F1472">
        <v>4177.536</v>
      </c>
      <c r="G1472">
        <v>18</v>
      </c>
      <c r="L1472" t="s">
        <v>4414</v>
      </c>
      <c r="O1472" t="s">
        <v>4415</v>
      </c>
    </row>
    <row r="1473" spans="1:15" x14ac:dyDescent="0.25">
      <c r="A1473" t="s">
        <v>18</v>
      </c>
      <c r="B1473" t="s">
        <v>4414</v>
      </c>
      <c r="C1473" t="s">
        <v>4416</v>
      </c>
      <c r="D1473" t="s">
        <v>20</v>
      </c>
      <c r="E1473" t="s">
        <v>11</v>
      </c>
      <c r="F1473">
        <v>1174.9319999999998</v>
      </c>
      <c r="G1473">
        <v>18</v>
      </c>
      <c r="L1473" t="s">
        <v>4417</v>
      </c>
      <c r="O1473" t="s">
        <v>4418</v>
      </c>
    </row>
    <row r="1474" spans="1:15" x14ac:dyDescent="0.25">
      <c r="A1474" t="s">
        <v>18</v>
      </c>
      <c r="B1474" t="s">
        <v>4417</v>
      </c>
      <c r="C1474" t="s">
        <v>4419</v>
      </c>
      <c r="D1474" t="s">
        <v>20</v>
      </c>
      <c r="E1474" t="s">
        <v>11</v>
      </c>
      <c r="F1474">
        <v>2023.494</v>
      </c>
      <c r="G1474">
        <v>18</v>
      </c>
      <c r="L1474" t="s">
        <v>4420</v>
      </c>
      <c r="O1474" t="s">
        <v>4421</v>
      </c>
    </row>
    <row r="1475" spans="1:15" x14ac:dyDescent="0.25">
      <c r="A1475" t="s">
        <v>18</v>
      </c>
      <c r="B1475" t="s">
        <v>4420</v>
      </c>
      <c r="C1475" t="s">
        <v>4422</v>
      </c>
      <c r="D1475" t="s">
        <v>20</v>
      </c>
      <c r="E1475" t="s">
        <v>11</v>
      </c>
      <c r="F1475">
        <v>652.74</v>
      </c>
      <c r="G1475">
        <v>18</v>
      </c>
      <c r="L1475" t="s">
        <v>4423</v>
      </c>
      <c r="O1475" t="s">
        <v>4424</v>
      </c>
    </row>
    <row r="1476" spans="1:15" x14ac:dyDescent="0.25">
      <c r="A1476" t="s">
        <v>18</v>
      </c>
      <c r="B1476" t="s">
        <v>4423</v>
      </c>
      <c r="C1476" t="s">
        <v>4425</v>
      </c>
      <c r="D1476" t="s">
        <v>20</v>
      </c>
      <c r="E1476" t="s">
        <v>11</v>
      </c>
      <c r="F1476">
        <v>391.64399999999995</v>
      </c>
      <c r="G1476">
        <v>18</v>
      </c>
      <c r="L1476" t="s">
        <v>4426</v>
      </c>
      <c r="O1476" t="s">
        <v>4427</v>
      </c>
    </row>
    <row r="1477" spans="1:15" x14ac:dyDescent="0.25">
      <c r="A1477" t="s">
        <v>18</v>
      </c>
      <c r="B1477" t="s">
        <v>4426</v>
      </c>
      <c r="C1477" t="s">
        <v>4428</v>
      </c>
      <c r="D1477" t="s">
        <v>20</v>
      </c>
      <c r="E1477" t="s">
        <v>11</v>
      </c>
      <c r="F1477">
        <v>848.5619999999999</v>
      </c>
      <c r="G1477">
        <v>18</v>
      </c>
      <c r="L1477" t="s">
        <v>4429</v>
      </c>
      <c r="O1477" t="s">
        <v>4430</v>
      </c>
    </row>
    <row r="1478" spans="1:15" x14ac:dyDescent="0.25">
      <c r="A1478" t="s">
        <v>18</v>
      </c>
      <c r="B1478" t="s">
        <v>4429</v>
      </c>
      <c r="C1478" t="s">
        <v>4431</v>
      </c>
      <c r="D1478" t="s">
        <v>20</v>
      </c>
      <c r="E1478" t="s">
        <v>11</v>
      </c>
      <c r="F1478">
        <v>10639.661999999998</v>
      </c>
      <c r="G1478">
        <v>18</v>
      </c>
      <c r="L1478" t="s">
        <v>4432</v>
      </c>
      <c r="O1478" t="s">
        <v>4433</v>
      </c>
    </row>
    <row r="1479" spans="1:15" x14ac:dyDescent="0.25">
      <c r="A1479" t="s">
        <v>18</v>
      </c>
      <c r="B1479" t="s">
        <v>4432</v>
      </c>
      <c r="C1479" t="s">
        <v>4434</v>
      </c>
      <c r="D1479" t="s">
        <v>20</v>
      </c>
      <c r="E1479" t="s">
        <v>11</v>
      </c>
      <c r="F1479">
        <v>20626.584</v>
      </c>
      <c r="G1479">
        <v>18</v>
      </c>
      <c r="L1479" t="s">
        <v>4435</v>
      </c>
      <c r="O1479" t="s">
        <v>4436</v>
      </c>
    </row>
    <row r="1480" spans="1:15" x14ac:dyDescent="0.25">
      <c r="A1480" t="s">
        <v>18</v>
      </c>
      <c r="B1480" t="s">
        <v>4435</v>
      </c>
      <c r="C1480" t="s">
        <v>4437</v>
      </c>
      <c r="D1480" t="s">
        <v>20</v>
      </c>
      <c r="E1480" t="s">
        <v>11</v>
      </c>
      <c r="F1480">
        <v>913.836</v>
      </c>
      <c r="G1480">
        <v>18</v>
      </c>
      <c r="L1480" t="s">
        <v>4438</v>
      </c>
      <c r="O1480" t="s">
        <v>4439</v>
      </c>
    </row>
    <row r="1481" spans="1:15" x14ac:dyDescent="0.25">
      <c r="A1481" t="s">
        <v>18</v>
      </c>
      <c r="B1481" t="s">
        <v>4438</v>
      </c>
      <c r="C1481" t="s">
        <v>4440</v>
      </c>
      <c r="D1481" t="s">
        <v>20</v>
      </c>
      <c r="E1481" t="s">
        <v>11</v>
      </c>
      <c r="F1481">
        <v>29569.122</v>
      </c>
      <c r="G1481">
        <v>18</v>
      </c>
      <c r="L1481" t="s">
        <v>4441</v>
      </c>
      <c r="O1481" t="s">
        <v>4442</v>
      </c>
    </row>
    <row r="1482" spans="1:15" x14ac:dyDescent="0.25">
      <c r="A1482" t="s">
        <v>18</v>
      </c>
      <c r="B1482" t="s">
        <v>4441</v>
      </c>
      <c r="C1482" t="s">
        <v>4443</v>
      </c>
      <c r="D1482" t="s">
        <v>20</v>
      </c>
      <c r="E1482" t="s">
        <v>11</v>
      </c>
      <c r="F1482">
        <v>913.836</v>
      </c>
      <c r="G1482">
        <v>18</v>
      </c>
      <c r="L1482" t="s">
        <v>4444</v>
      </c>
      <c r="O1482" t="s">
        <v>4445</v>
      </c>
    </row>
    <row r="1483" spans="1:15" x14ac:dyDescent="0.25">
      <c r="A1483" t="s">
        <v>18</v>
      </c>
      <c r="B1483" t="s">
        <v>4444</v>
      </c>
      <c r="C1483" t="s">
        <v>4446</v>
      </c>
      <c r="D1483" t="s">
        <v>20</v>
      </c>
      <c r="E1483" t="s">
        <v>11</v>
      </c>
      <c r="F1483">
        <v>587.4659999999999</v>
      </c>
      <c r="G1483">
        <v>18</v>
      </c>
      <c r="L1483" t="s">
        <v>4447</v>
      </c>
      <c r="O1483" t="s">
        <v>4448</v>
      </c>
    </row>
    <row r="1484" spans="1:15" x14ac:dyDescent="0.25">
      <c r="A1484" t="s">
        <v>18</v>
      </c>
      <c r="B1484" t="s">
        <v>4447</v>
      </c>
      <c r="C1484" t="s">
        <v>4449</v>
      </c>
      <c r="D1484" t="s">
        <v>20</v>
      </c>
      <c r="E1484" t="s">
        <v>11</v>
      </c>
      <c r="F1484">
        <v>587.4659999999999</v>
      </c>
      <c r="G1484">
        <v>18</v>
      </c>
      <c r="L1484" t="s">
        <v>4450</v>
      </c>
      <c r="O1484" t="s">
        <v>4451</v>
      </c>
    </row>
    <row r="1485" spans="1:15" x14ac:dyDescent="0.25">
      <c r="A1485" t="s">
        <v>18</v>
      </c>
      <c r="B1485" t="s">
        <v>4450</v>
      </c>
      <c r="C1485" t="s">
        <v>4452</v>
      </c>
      <c r="D1485" t="s">
        <v>20</v>
      </c>
      <c r="E1485" t="s">
        <v>11</v>
      </c>
      <c r="F1485">
        <v>43798.854</v>
      </c>
      <c r="G1485">
        <v>18</v>
      </c>
      <c r="L1485" t="s">
        <v>4453</v>
      </c>
      <c r="O1485" t="s">
        <v>4454</v>
      </c>
    </row>
    <row r="1486" spans="1:15" x14ac:dyDescent="0.25">
      <c r="A1486" t="s">
        <v>18</v>
      </c>
      <c r="B1486" t="s">
        <v>4453</v>
      </c>
      <c r="C1486" t="s">
        <v>4455</v>
      </c>
      <c r="D1486" t="s">
        <v>20</v>
      </c>
      <c r="E1486" t="s">
        <v>11</v>
      </c>
      <c r="F1486">
        <v>3263.7</v>
      </c>
      <c r="G1486">
        <v>18</v>
      </c>
      <c r="L1486" t="s">
        <v>4456</v>
      </c>
      <c r="O1486" t="s">
        <v>4457</v>
      </c>
    </row>
    <row r="1487" spans="1:15" x14ac:dyDescent="0.25">
      <c r="A1487" t="s">
        <v>18</v>
      </c>
      <c r="B1487" t="s">
        <v>4456</v>
      </c>
      <c r="C1487" t="s">
        <v>4458</v>
      </c>
      <c r="D1487" t="s">
        <v>20</v>
      </c>
      <c r="E1487" t="s">
        <v>11</v>
      </c>
      <c r="F1487">
        <v>8420.346</v>
      </c>
      <c r="G1487">
        <v>18</v>
      </c>
      <c r="L1487" t="s">
        <v>4459</v>
      </c>
      <c r="O1487" t="s">
        <v>4460</v>
      </c>
    </row>
    <row r="1488" spans="1:15" x14ac:dyDescent="0.25">
      <c r="A1488" t="s">
        <v>18</v>
      </c>
      <c r="B1488" t="s">
        <v>4459</v>
      </c>
      <c r="C1488" t="s">
        <v>4461</v>
      </c>
      <c r="D1488" t="s">
        <v>20</v>
      </c>
      <c r="E1488" t="s">
        <v>11</v>
      </c>
      <c r="F1488">
        <v>3851.166</v>
      </c>
      <c r="G1488">
        <v>18</v>
      </c>
      <c r="L1488" t="s">
        <v>4462</v>
      </c>
      <c r="O1488" t="s">
        <v>4463</v>
      </c>
    </row>
    <row r="1489" spans="1:15" x14ac:dyDescent="0.25">
      <c r="A1489" t="s">
        <v>18</v>
      </c>
      <c r="B1489" t="s">
        <v>4462</v>
      </c>
      <c r="C1489" t="s">
        <v>4464</v>
      </c>
      <c r="D1489" t="s">
        <v>20</v>
      </c>
      <c r="E1489" t="s">
        <v>11</v>
      </c>
      <c r="F1489">
        <v>11618.771999999999</v>
      </c>
      <c r="G1489">
        <v>18</v>
      </c>
      <c r="L1489" t="s">
        <v>4465</v>
      </c>
      <c r="O1489" t="s">
        <v>4466</v>
      </c>
    </row>
    <row r="1490" spans="1:15" x14ac:dyDescent="0.25">
      <c r="A1490" t="s">
        <v>18</v>
      </c>
      <c r="B1490" t="s">
        <v>4465</v>
      </c>
      <c r="C1490" t="s">
        <v>4467</v>
      </c>
      <c r="D1490" t="s">
        <v>20</v>
      </c>
      <c r="E1490" t="s">
        <v>11</v>
      </c>
      <c r="F1490">
        <v>1174.9319999999998</v>
      </c>
      <c r="G1490">
        <v>18</v>
      </c>
      <c r="L1490" t="s">
        <v>4468</v>
      </c>
      <c r="O1490" t="s">
        <v>4469</v>
      </c>
    </row>
    <row r="1491" spans="1:15" x14ac:dyDescent="0.25">
      <c r="A1491" t="s">
        <v>18</v>
      </c>
      <c r="B1491" t="s">
        <v>4468</v>
      </c>
      <c r="C1491" t="s">
        <v>4470</v>
      </c>
      <c r="D1491" t="s">
        <v>20</v>
      </c>
      <c r="E1491" t="s">
        <v>11</v>
      </c>
      <c r="F1491">
        <v>101174.7</v>
      </c>
      <c r="G1491">
        <v>18</v>
      </c>
      <c r="L1491" t="s">
        <v>4471</v>
      </c>
      <c r="O1491" t="s">
        <v>4472</v>
      </c>
    </row>
    <row r="1492" spans="1:15" x14ac:dyDescent="0.25">
      <c r="A1492" t="s">
        <v>18</v>
      </c>
      <c r="B1492" t="s">
        <v>4471</v>
      </c>
      <c r="C1492" t="s">
        <v>4473</v>
      </c>
      <c r="D1492" t="s">
        <v>20</v>
      </c>
      <c r="E1492" t="s">
        <v>11</v>
      </c>
      <c r="F1492">
        <v>153981.366</v>
      </c>
      <c r="G1492">
        <v>18</v>
      </c>
      <c r="L1492" t="s">
        <v>4474</v>
      </c>
      <c r="O1492" t="s">
        <v>4475</v>
      </c>
    </row>
    <row r="1493" spans="1:15" x14ac:dyDescent="0.25">
      <c r="A1493" t="s">
        <v>18</v>
      </c>
      <c r="B1493" t="s">
        <v>4474</v>
      </c>
      <c r="C1493" t="s">
        <v>4476</v>
      </c>
      <c r="D1493" t="s">
        <v>20</v>
      </c>
      <c r="E1493" t="s">
        <v>11</v>
      </c>
      <c r="F1493">
        <v>25913.778</v>
      </c>
      <c r="G1493">
        <v>18</v>
      </c>
      <c r="L1493" t="s">
        <v>4477</v>
      </c>
      <c r="O1493" t="s">
        <v>4478</v>
      </c>
    </row>
    <row r="1494" spans="1:15" x14ac:dyDescent="0.25">
      <c r="A1494" t="s">
        <v>18</v>
      </c>
      <c r="B1494" t="s">
        <v>4477</v>
      </c>
      <c r="C1494" t="s">
        <v>4479</v>
      </c>
      <c r="D1494" t="s">
        <v>20</v>
      </c>
      <c r="E1494" t="s">
        <v>11</v>
      </c>
      <c r="F1494">
        <v>7441.235999999999</v>
      </c>
      <c r="G1494">
        <v>18</v>
      </c>
      <c r="L1494" t="s">
        <v>4480</v>
      </c>
      <c r="O1494" t="s">
        <v>4481</v>
      </c>
    </row>
    <row r="1495" spans="1:15" x14ac:dyDescent="0.25">
      <c r="A1495" t="s">
        <v>18</v>
      </c>
      <c r="B1495" t="s">
        <v>4480</v>
      </c>
      <c r="C1495" t="s">
        <v>4482</v>
      </c>
      <c r="D1495" t="s">
        <v>20</v>
      </c>
      <c r="E1495" t="s">
        <v>11</v>
      </c>
      <c r="F1495">
        <v>81135.582</v>
      </c>
      <c r="G1495">
        <v>18</v>
      </c>
      <c r="L1495" t="s">
        <v>4483</v>
      </c>
      <c r="O1495" t="s">
        <v>4484</v>
      </c>
    </row>
    <row r="1496" spans="1:15" x14ac:dyDescent="0.25">
      <c r="A1496" t="s">
        <v>18</v>
      </c>
      <c r="B1496" t="s">
        <v>4483</v>
      </c>
      <c r="C1496" t="s">
        <v>4485</v>
      </c>
      <c r="D1496" t="s">
        <v>20</v>
      </c>
      <c r="E1496" t="s">
        <v>11</v>
      </c>
      <c r="F1496">
        <v>1827.672</v>
      </c>
      <c r="G1496">
        <v>18</v>
      </c>
      <c r="L1496" t="s">
        <v>4486</v>
      </c>
      <c r="O1496" t="s">
        <v>4487</v>
      </c>
    </row>
    <row r="1497" spans="1:15" x14ac:dyDescent="0.25">
      <c r="A1497" t="s">
        <v>18</v>
      </c>
      <c r="B1497" t="s">
        <v>4486</v>
      </c>
      <c r="C1497" t="s">
        <v>4488</v>
      </c>
      <c r="D1497" t="s">
        <v>20</v>
      </c>
      <c r="E1497" t="s">
        <v>11</v>
      </c>
      <c r="F1497">
        <v>3524.7960000000003</v>
      </c>
      <c r="G1497">
        <v>18</v>
      </c>
      <c r="L1497" t="s">
        <v>4489</v>
      </c>
      <c r="O1497" t="s">
        <v>4490</v>
      </c>
    </row>
    <row r="1498" spans="1:15" x14ac:dyDescent="0.25">
      <c r="A1498" t="s">
        <v>18</v>
      </c>
      <c r="B1498" t="s">
        <v>4489</v>
      </c>
      <c r="C1498" t="s">
        <v>4491</v>
      </c>
      <c r="D1498" t="s">
        <v>20</v>
      </c>
      <c r="E1498" t="s">
        <v>11</v>
      </c>
      <c r="F1498">
        <v>4373.358</v>
      </c>
      <c r="G1498">
        <v>18</v>
      </c>
      <c r="L1498" t="s">
        <v>4492</v>
      </c>
      <c r="O1498" t="s">
        <v>4493</v>
      </c>
    </row>
    <row r="1499" spans="1:15" x14ac:dyDescent="0.25">
      <c r="A1499" t="s">
        <v>18</v>
      </c>
      <c r="B1499" t="s">
        <v>4492</v>
      </c>
      <c r="C1499" t="s">
        <v>4494</v>
      </c>
      <c r="D1499" t="s">
        <v>20</v>
      </c>
      <c r="E1499" t="s">
        <v>11</v>
      </c>
      <c r="F1499">
        <v>27545.628</v>
      </c>
      <c r="G1499">
        <v>18</v>
      </c>
      <c r="L1499" t="s">
        <v>4495</v>
      </c>
      <c r="O1499" t="s">
        <v>4496</v>
      </c>
    </row>
    <row r="1500" spans="1:15" x14ac:dyDescent="0.25">
      <c r="A1500" t="s">
        <v>18</v>
      </c>
      <c r="B1500" t="s">
        <v>4495</v>
      </c>
      <c r="C1500" t="s">
        <v>4482</v>
      </c>
      <c r="D1500" t="s">
        <v>20</v>
      </c>
      <c r="E1500" t="s">
        <v>11</v>
      </c>
      <c r="F1500">
        <v>60378.45</v>
      </c>
      <c r="G1500">
        <v>18</v>
      </c>
      <c r="L1500" t="s">
        <v>4497</v>
      </c>
      <c r="O1500" t="s">
        <v>4498</v>
      </c>
    </row>
    <row r="1501" spans="1:15" x14ac:dyDescent="0.25">
      <c r="A1501" t="s">
        <v>18</v>
      </c>
      <c r="B1501" t="s">
        <v>4497</v>
      </c>
      <c r="C1501" t="s">
        <v>4488</v>
      </c>
      <c r="D1501" t="s">
        <v>20</v>
      </c>
      <c r="E1501" t="s">
        <v>11</v>
      </c>
      <c r="F1501">
        <v>3655.344</v>
      </c>
      <c r="G1501">
        <v>18</v>
      </c>
      <c r="L1501" t="s">
        <v>4499</v>
      </c>
      <c r="O1501" t="s">
        <v>4500</v>
      </c>
    </row>
    <row r="1502" spans="1:15" x14ac:dyDescent="0.25">
      <c r="A1502" t="s">
        <v>18</v>
      </c>
      <c r="B1502" t="s">
        <v>4499</v>
      </c>
      <c r="C1502" t="s">
        <v>4491</v>
      </c>
      <c r="D1502" t="s">
        <v>20</v>
      </c>
      <c r="E1502" t="s">
        <v>11</v>
      </c>
      <c r="F1502">
        <v>4242.8099999999995</v>
      </c>
      <c r="G1502">
        <v>18</v>
      </c>
      <c r="L1502" t="s">
        <v>4501</v>
      </c>
      <c r="O1502" t="s">
        <v>4502</v>
      </c>
    </row>
    <row r="1503" spans="1:15" x14ac:dyDescent="0.25">
      <c r="A1503" t="s">
        <v>18</v>
      </c>
      <c r="B1503" t="s">
        <v>4501</v>
      </c>
      <c r="C1503" t="s">
        <v>4464</v>
      </c>
      <c r="D1503" t="s">
        <v>20</v>
      </c>
      <c r="E1503" t="s">
        <v>11</v>
      </c>
      <c r="F1503">
        <v>31853.712</v>
      </c>
      <c r="G1503">
        <v>18</v>
      </c>
      <c r="L1503" t="s">
        <v>4503</v>
      </c>
      <c r="O1503" t="s">
        <v>4504</v>
      </c>
    </row>
    <row r="1504" spans="1:15" x14ac:dyDescent="0.25">
      <c r="A1504" t="s">
        <v>18</v>
      </c>
      <c r="B1504" t="s">
        <v>4503</v>
      </c>
      <c r="C1504" t="s">
        <v>4467</v>
      </c>
      <c r="D1504" t="s">
        <v>20</v>
      </c>
      <c r="E1504" t="s">
        <v>11</v>
      </c>
      <c r="F1504">
        <v>2676.234</v>
      </c>
      <c r="G1504">
        <v>18</v>
      </c>
      <c r="L1504" t="s">
        <v>4505</v>
      </c>
      <c r="O1504" t="s">
        <v>4506</v>
      </c>
    </row>
    <row r="1505" spans="1:15" x14ac:dyDescent="0.25">
      <c r="A1505" t="s">
        <v>18</v>
      </c>
      <c r="B1505" t="s">
        <v>4505</v>
      </c>
      <c r="C1505" t="s">
        <v>4476</v>
      </c>
      <c r="D1505" t="s">
        <v>20</v>
      </c>
      <c r="E1505" t="s">
        <v>11</v>
      </c>
      <c r="F1505">
        <v>25065.215999999997</v>
      </c>
      <c r="G1505">
        <v>18</v>
      </c>
      <c r="L1505" t="s">
        <v>4507</v>
      </c>
      <c r="O1505" t="s">
        <v>4508</v>
      </c>
    </row>
    <row r="1506" spans="1:15" x14ac:dyDescent="0.25">
      <c r="A1506" t="s">
        <v>18</v>
      </c>
      <c r="B1506" t="s">
        <v>4507</v>
      </c>
      <c r="C1506" t="s">
        <v>4482</v>
      </c>
      <c r="D1506" t="s">
        <v>20</v>
      </c>
      <c r="E1506" t="s">
        <v>11</v>
      </c>
      <c r="F1506">
        <v>94516.75200000001</v>
      </c>
      <c r="G1506">
        <v>18</v>
      </c>
      <c r="L1506" t="s">
        <v>4509</v>
      </c>
      <c r="O1506" t="s">
        <v>4510</v>
      </c>
    </row>
    <row r="1507" spans="1:15" x14ac:dyDescent="0.25">
      <c r="A1507" t="s">
        <v>18</v>
      </c>
      <c r="B1507" t="s">
        <v>4509</v>
      </c>
      <c r="C1507" t="s">
        <v>4485</v>
      </c>
      <c r="D1507" t="s">
        <v>20</v>
      </c>
      <c r="E1507" t="s">
        <v>11</v>
      </c>
      <c r="F1507">
        <v>2088.768</v>
      </c>
      <c r="G1507">
        <v>18</v>
      </c>
      <c r="L1507" t="s">
        <v>4511</v>
      </c>
      <c r="O1507" t="s">
        <v>4512</v>
      </c>
    </row>
    <row r="1508" spans="1:15" x14ac:dyDescent="0.25">
      <c r="A1508" t="s">
        <v>18</v>
      </c>
      <c r="B1508" t="s">
        <v>4511</v>
      </c>
      <c r="C1508" t="s">
        <v>4513</v>
      </c>
      <c r="D1508" t="s">
        <v>20</v>
      </c>
      <c r="E1508" t="s">
        <v>11</v>
      </c>
      <c r="F1508">
        <v>2480.4120000000003</v>
      </c>
      <c r="G1508">
        <v>18</v>
      </c>
      <c r="L1508" t="s">
        <v>4514</v>
      </c>
      <c r="O1508" t="s">
        <v>4515</v>
      </c>
    </row>
    <row r="1509" spans="1:15" x14ac:dyDescent="0.25">
      <c r="A1509" t="s">
        <v>18</v>
      </c>
      <c r="B1509" t="s">
        <v>4514</v>
      </c>
      <c r="C1509" t="s">
        <v>4513</v>
      </c>
      <c r="D1509" t="s">
        <v>20</v>
      </c>
      <c r="E1509" t="s">
        <v>11</v>
      </c>
      <c r="F1509">
        <v>3067.8779999999997</v>
      </c>
      <c r="G1509">
        <v>18</v>
      </c>
      <c r="L1509" t="s">
        <v>4516</v>
      </c>
      <c r="O1509" t="s">
        <v>4517</v>
      </c>
    </row>
    <row r="1510" spans="1:15" x14ac:dyDescent="0.25">
      <c r="A1510" t="s">
        <v>18</v>
      </c>
      <c r="B1510" t="s">
        <v>4516</v>
      </c>
      <c r="C1510" t="s">
        <v>4518</v>
      </c>
      <c r="D1510" t="s">
        <v>20</v>
      </c>
      <c r="E1510" t="s">
        <v>11</v>
      </c>
      <c r="F1510">
        <v>12336.786</v>
      </c>
      <c r="G1510">
        <v>18</v>
      </c>
      <c r="L1510" t="s">
        <v>4519</v>
      </c>
      <c r="O1510" t="s">
        <v>4520</v>
      </c>
    </row>
    <row r="1511" spans="1:15" x14ac:dyDescent="0.25">
      <c r="A1511" t="s">
        <v>18</v>
      </c>
      <c r="B1511" t="s">
        <v>4519</v>
      </c>
      <c r="C1511" t="s">
        <v>4521</v>
      </c>
      <c r="D1511" t="s">
        <v>20</v>
      </c>
      <c r="E1511" t="s">
        <v>11</v>
      </c>
      <c r="F1511">
        <v>2741.508</v>
      </c>
      <c r="G1511">
        <v>18</v>
      </c>
      <c r="L1511" t="s">
        <v>4522</v>
      </c>
      <c r="O1511" t="s">
        <v>4523</v>
      </c>
    </row>
    <row r="1512" spans="1:15" x14ac:dyDescent="0.25">
      <c r="A1512" t="s">
        <v>18</v>
      </c>
      <c r="B1512" t="s">
        <v>4522</v>
      </c>
      <c r="C1512" t="s">
        <v>4524</v>
      </c>
      <c r="D1512" t="s">
        <v>20</v>
      </c>
      <c r="E1512" t="s">
        <v>11</v>
      </c>
      <c r="F1512">
        <v>3590.0699999999997</v>
      </c>
      <c r="G1512">
        <v>18</v>
      </c>
      <c r="L1512" t="s">
        <v>4525</v>
      </c>
      <c r="O1512" t="s">
        <v>4526</v>
      </c>
    </row>
    <row r="1513" spans="1:15" x14ac:dyDescent="0.25">
      <c r="A1513" t="s">
        <v>18</v>
      </c>
      <c r="B1513" t="s">
        <v>4525</v>
      </c>
      <c r="C1513" t="s">
        <v>4527</v>
      </c>
      <c r="D1513" t="s">
        <v>20</v>
      </c>
      <c r="E1513" t="s">
        <v>11</v>
      </c>
      <c r="F1513">
        <v>156331.22999999998</v>
      </c>
      <c r="G1513">
        <v>18</v>
      </c>
      <c r="L1513" t="s">
        <v>4528</v>
      </c>
      <c r="O1513" t="s">
        <v>4529</v>
      </c>
    </row>
    <row r="1514" spans="1:15" x14ac:dyDescent="0.25">
      <c r="A1514" t="s">
        <v>18</v>
      </c>
      <c r="B1514" t="s">
        <v>4528</v>
      </c>
      <c r="C1514" t="s">
        <v>4530</v>
      </c>
      <c r="D1514" t="s">
        <v>20</v>
      </c>
      <c r="E1514" t="s">
        <v>11</v>
      </c>
      <c r="F1514">
        <v>137075.4</v>
      </c>
      <c r="G1514">
        <v>18</v>
      </c>
      <c r="L1514" t="s">
        <v>4531</v>
      </c>
      <c r="O1514" t="s">
        <v>4532</v>
      </c>
    </row>
    <row r="1515" spans="1:15" x14ac:dyDescent="0.25">
      <c r="A1515" t="s">
        <v>18</v>
      </c>
      <c r="B1515" t="s">
        <v>4531</v>
      </c>
      <c r="C1515" t="s">
        <v>4533</v>
      </c>
      <c r="D1515" t="s">
        <v>20</v>
      </c>
      <c r="E1515" t="s">
        <v>11</v>
      </c>
      <c r="F1515">
        <v>132375.67200000002</v>
      </c>
      <c r="G1515">
        <v>18</v>
      </c>
      <c r="L1515" t="s">
        <v>4534</v>
      </c>
      <c r="O1515" t="s">
        <v>4535</v>
      </c>
    </row>
    <row r="1516" spans="1:15" x14ac:dyDescent="0.25">
      <c r="A1516" t="s">
        <v>18</v>
      </c>
      <c r="B1516" t="s">
        <v>4534</v>
      </c>
      <c r="C1516" t="s">
        <v>4536</v>
      </c>
      <c r="D1516" t="s">
        <v>20</v>
      </c>
      <c r="E1516" t="s">
        <v>11</v>
      </c>
      <c r="F1516">
        <v>128002.31399999998</v>
      </c>
      <c r="G1516">
        <v>18</v>
      </c>
      <c r="L1516" t="s">
        <v>4537</v>
      </c>
      <c r="O1516" t="s">
        <v>4538</v>
      </c>
    </row>
    <row r="1517" spans="1:15" x14ac:dyDescent="0.25">
      <c r="A1517" t="s">
        <v>18</v>
      </c>
      <c r="B1517" t="s">
        <v>4537</v>
      </c>
      <c r="C1517" t="s">
        <v>4539</v>
      </c>
      <c r="D1517" t="s">
        <v>20</v>
      </c>
      <c r="E1517" t="s">
        <v>11</v>
      </c>
      <c r="F1517">
        <v>145299.924</v>
      </c>
      <c r="G1517">
        <v>18</v>
      </c>
      <c r="L1517" t="s">
        <v>4540</v>
      </c>
      <c r="O1517" t="s">
        <v>4541</v>
      </c>
    </row>
    <row r="1518" spans="1:15" x14ac:dyDescent="0.25">
      <c r="A1518" t="s">
        <v>18</v>
      </c>
      <c r="B1518" t="s">
        <v>4540</v>
      </c>
      <c r="C1518" t="s">
        <v>4464</v>
      </c>
      <c r="D1518" t="s">
        <v>20</v>
      </c>
      <c r="E1518" t="s">
        <v>11</v>
      </c>
      <c r="F1518">
        <v>9073.086</v>
      </c>
      <c r="G1518">
        <v>18</v>
      </c>
      <c r="L1518" t="s">
        <v>4542</v>
      </c>
      <c r="O1518" t="s">
        <v>4543</v>
      </c>
    </row>
    <row r="1519" spans="1:15" x14ac:dyDescent="0.25">
      <c r="A1519" t="s">
        <v>18</v>
      </c>
      <c r="B1519" t="s">
        <v>4542</v>
      </c>
      <c r="C1519" t="s">
        <v>4488</v>
      </c>
      <c r="D1519" t="s">
        <v>20</v>
      </c>
      <c r="E1519" t="s">
        <v>11</v>
      </c>
      <c r="F1519">
        <v>2219.316</v>
      </c>
      <c r="G1519">
        <v>18</v>
      </c>
      <c r="L1519" t="s">
        <v>4544</v>
      </c>
      <c r="O1519" t="s">
        <v>4545</v>
      </c>
    </row>
    <row r="1520" spans="1:15" x14ac:dyDescent="0.25">
      <c r="A1520" t="s">
        <v>18</v>
      </c>
      <c r="B1520" t="s">
        <v>4544</v>
      </c>
      <c r="C1520" t="s">
        <v>4494</v>
      </c>
      <c r="D1520" t="s">
        <v>20</v>
      </c>
      <c r="E1520" t="s">
        <v>11</v>
      </c>
      <c r="F1520">
        <v>14033.91</v>
      </c>
      <c r="G1520">
        <v>18</v>
      </c>
      <c r="L1520" t="s">
        <v>4546</v>
      </c>
      <c r="O1520" t="s">
        <v>4547</v>
      </c>
    </row>
    <row r="1521" spans="1:15" x14ac:dyDescent="0.25">
      <c r="A1521" t="s">
        <v>18</v>
      </c>
      <c r="B1521" t="s">
        <v>4546</v>
      </c>
      <c r="C1521" t="s">
        <v>4548</v>
      </c>
      <c r="D1521" t="s">
        <v>20</v>
      </c>
      <c r="E1521" t="s">
        <v>11</v>
      </c>
      <c r="F1521">
        <v>16449.048</v>
      </c>
      <c r="G1521">
        <v>18</v>
      </c>
      <c r="L1521" t="s">
        <v>4549</v>
      </c>
      <c r="O1521" t="s">
        <v>4550</v>
      </c>
    </row>
    <row r="1522" spans="1:15" x14ac:dyDescent="0.25">
      <c r="A1522" t="s">
        <v>18</v>
      </c>
      <c r="B1522" t="s">
        <v>4549</v>
      </c>
      <c r="C1522" t="s">
        <v>4476</v>
      </c>
      <c r="D1522" t="s">
        <v>20</v>
      </c>
      <c r="E1522" t="s">
        <v>11</v>
      </c>
      <c r="F1522">
        <v>13185.347999999998</v>
      </c>
      <c r="G1522">
        <v>18</v>
      </c>
      <c r="L1522" t="s">
        <v>4551</v>
      </c>
      <c r="O1522" t="s">
        <v>4552</v>
      </c>
    </row>
    <row r="1523" spans="1:15" x14ac:dyDescent="0.25">
      <c r="A1523" t="s">
        <v>18</v>
      </c>
      <c r="B1523" t="s">
        <v>4551</v>
      </c>
      <c r="C1523" t="s">
        <v>4488</v>
      </c>
      <c r="D1523" t="s">
        <v>20</v>
      </c>
      <c r="E1523" t="s">
        <v>11</v>
      </c>
      <c r="F1523">
        <v>2219.316</v>
      </c>
      <c r="G1523">
        <v>18</v>
      </c>
      <c r="L1523" t="s">
        <v>4553</v>
      </c>
      <c r="O1523" t="s">
        <v>4554</v>
      </c>
    </row>
    <row r="1524" spans="1:15" x14ac:dyDescent="0.25">
      <c r="A1524" t="s">
        <v>18</v>
      </c>
      <c r="B1524" t="s">
        <v>4553</v>
      </c>
      <c r="C1524" t="s">
        <v>4494</v>
      </c>
      <c r="D1524" t="s">
        <v>20</v>
      </c>
      <c r="E1524" t="s">
        <v>11</v>
      </c>
      <c r="F1524">
        <v>36553.44</v>
      </c>
      <c r="G1524">
        <v>18</v>
      </c>
      <c r="L1524" t="s">
        <v>4555</v>
      </c>
      <c r="O1524" t="s">
        <v>4556</v>
      </c>
    </row>
    <row r="1525" spans="1:15" x14ac:dyDescent="0.25">
      <c r="A1525" t="s">
        <v>18</v>
      </c>
      <c r="B1525" t="s">
        <v>4555</v>
      </c>
      <c r="C1525" t="s">
        <v>4494</v>
      </c>
      <c r="D1525" t="s">
        <v>20</v>
      </c>
      <c r="E1525" t="s">
        <v>11</v>
      </c>
      <c r="F1525">
        <v>16905.966</v>
      </c>
      <c r="G1525">
        <v>18</v>
      </c>
      <c r="L1525" t="s">
        <v>4557</v>
      </c>
      <c r="O1525" t="s">
        <v>4558</v>
      </c>
    </row>
    <row r="1526" spans="1:15" x14ac:dyDescent="0.25">
      <c r="A1526" t="s">
        <v>18</v>
      </c>
      <c r="B1526" t="s">
        <v>4557</v>
      </c>
      <c r="C1526" t="s">
        <v>4482</v>
      </c>
      <c r="D1526" t="s">
        <v>20</v>
      </c>
      <c r="E1526" t="s">
        <v>11</v>
      </c>
      <c r="F1526">
        <v>73498.52399999999</v>
      </c>
      <c r="G1526">
        <v>18</v>
      </c>
      <c r="L1526" t="s">
        <v>4559</v>
      </c>
      <c r="O1526" t="s">
        <v>4560</v>
      </c>
    </row>
    <row r="1527" spans="1:15" x14ac:dyDescent="0.25">
      <c r="A1527" t="s">
        <v>18</v>
      </c>
      <c r="B1527" t="s">
        <v>4559</v>
      </c>
      <c r="C1527" t="s">
        <v>4488</v>
      </c>
      <c r="D1527" t="s">
        <v>20</v>
      </c>
      <c r="E1527" t="s">
        <v>11</v>
      </c>
      <c r="F1527">
        <v>1566.5759999999998</v>
      </c>
      <c r="G1527">
        <v>18</v>
      </c>
      <c r="L1527" t="s">
        <v>4561</v>
      </c>
      <c r="O1527" t="s">
        <v>4562</v>
      </c>
    </row>
    <row r="1528" spans="1:15" x14ac:dyDescent="0.25">
      <c r="A1528" t="s">
        <v>18</v>
      </c>
      <c r="B1528" t="s">
        <v>4561</v>
      </c>
      <c r="C1528" t="s">
        <v>4491</v>
      </c>
      <c r="D1528" t="s">
        <v>20</v>
      </c>
      <c r="E1528" t="s">
        <v>11</v>
      </c>
      <c r="F1528">
        <v>4373.358</v>
      </c>
      <c r="G1528">
        <v>18</v>
      </c>
      <c r="L1528" t="s">
        <v>4563</v>
      </c>
      <c r="O1528" t="s">
        <v>4564</v>
      </c>
    </row>
    <row r="1529" spans="1:15" x14ac:dyDescent="0.25">
      <c r="A1529" t="s">
        <v>18</v>
      </c>
      <c r="B1529" t="s">
        <v>4563</v>
      </c>
      <c r="C1529" t="s">
        <v>4467</v>
      </c>
      <c r="D1529" t="s">
        <v>20</v>
      </c>
      <c r="E1529" t="s">
        <v>11</v>
      </c>
      <c r="F1529">
        <v>1892.946</v>
      </c>
      <c r="G1529">
        <v>18</v>
      </c>
      <c r="L1529" t="s">
        <v>4565</v>
      </c>
      <c r="O1529" t="s">
        <v>4566</v>
      </c>
    </row>
    <row r="1530" spans="1:15" x14ac:dyDescent="0.25">
      <c r="A1530" t="s">
        <v>18</v>
      </c>
      <c r="B1530" t="s">
        <v>4565</v>
      </c>
      <c r="C1530" t="s">
        <v>4494</v>
      </c>
      <c r="D1530" t="s">
        <v>20</v>
      </c>
      <c r="E1530" t="s">
        <v>11</v>
      </c>
      <c r="F1530">
        <v>55678.721999999994</v>
      </c>
      <c r="G1530">
        <v>18</v>
      </c>
      <c r="L1530" t="s">
        <v>4567</v>
      </c>
      <c r="O1530" t="s">
        <v>4568</v>
      </c>
    </row>
    <row r="1531" spans="1:15" x14ac:dyDescent="0.25">
      <c r="A1531" t="s">
        <v>18</v>
      </c>
      <c r="B1531" t="s">
        <v>4567</v>
      </c>
      <c r="C1531" t="s">
        <v>4513</v>
      </c>
      <c r="D1531" t="s">
        <v>20</v>
      </c>
      <c r="E1531" t="s">
        <v>11</v>
      </c>
      <c r="F1531">
        <v>9138.36</v>
      </c>
      <c r="G1531">
        <v>18</v>
      </c>
      <c r="L1531" t="s">
        <v>4569</v>
      </c>
      <c r="O1531" t="s">
        <v>4570</v>
      </c>
    </row>
    <row r="1532" spans="1:15" x14ac:dyDescent="0.25">
      <c r="A1532" t="s">
        <v>18</v>
      </c>
      <c r="B1532" t="s">
        <v>4569</v>
      </c>
      <c r="C1532" t="s">
        <v>4482</v>
      </c>
      <c r="D1532" t="s">
        <v>20</v>
      </c>
      <c r="E1532" t="s">
        <v>11</v>
      </c>
      <c r="F1532">
        <v>84399.28199999999</v>
      </c>
      <c r="G1532">
        <v>18</v>
      </c>
      <c r="L1532" t="s">
        <v>4571</v>
      </c>
      <c r="O1532" t="s">
        <v>4572</v>
      </c>
    </row>
    <row r="1533" spans="1:15" x14ac:dyDescent="0.25">
      <c r="A1533" t="s">
        <v>18</v>
      </c>
      <c r="B1533" t="s">
        <v>4571</v>
      </c>
      <c r="C1533" t="s">
        <v>4485</v>
      </c>
      <c r="D1533" t="s">
        <v>20</v>
      </c>
      <c r="E1533" t="s">
        <v>11</v>
      </c>
      <c r="F1533">
        <v>9725.826</v>
      </c>
      <c r="G1533">
        <v>18</v>
      </c>
      <c r="L1533" t="s">
        <v>4573</v>
      </c>
      <c r="O1533" t="s">
        <v>4574</v>
      </c>
    </row>
    <row r="1534" spans="1:15" x14ac:dyDescent="0.25">
      <c r="A1534" t="s">
        <v>18</v>
      </c>
      <c r="B1534" t="s">
        <v>4573</v>
      </c>
      <c r="C1534" t="s">
        <v>4488</v>
      </c>
      <c r="D1534" t="s">
        <v>20</v>
      </c>
      <c r="E1534" t="s">
        <v>11</v>
      </c>
      <c r="F1534">
        <v>3198.426</v>
      </c>
      <c r="G1534">
        <v>18</v>
      </c>
      <c r="L1534" t="s">
        <v>4575</v>
      </c>
      <c r="O1534" t="s">
        <v>4576</v>
      </c>
    </row>
    <row r="1535" spans="1:15" x14ac:dyDescent="0.25">
      <c r="A1535" t="s">
        <v>18</v>
      </c>
      <c r="B1535" t="s">
        <v>4575</v>
      </c>
      <c r="C1535" t="s">
        <v>4482</v>
      </c>
      <c r="D1535" t="s">
        <v>20</v>
      </c>
      <c r="E1535" t="s">
        <v>11</v>
      </c>
      <c r="F1535">
        <v>73563.798</v>
      </c>
      <c r="G1535">
        <v>18</v>
      </c>
      <c r="L1535" t="s">
        <v>4577</v>
      </c>
      <c r="O1535" t="s">
        <v>4578</v>
      </c>
    </row>
    <row r="1536" spans="1:15" x14ac:dyDescent="0.25">
      <c r="A1536" t="s">
        <v>18</v>
      </c>
      <c r="B1536" t="s">
        <v>4577</v>
      </c>
      <c r="C1536" t="s">
        <v>4488</v>
      </c>
      <c r="D1536" t="s">
        <v>20</v>
      </c>
      <c r="E1536" t="s">
        <v>11</v>
      </c>
      <c r="F1536">
        <v>2023.494</v>
      </c>
      <c r="G1536">
        <v>18</v>
      </c>
      <c r="L1536" t="s">
        <v>4579</v>
      </c>
      <c r="O1536" t="s">
        <v>4580</v>
      </c>
    </row>
    <row r="1537" spans="1:15" x14ac:dyDescent="0.25">
      <c r="A1537" t="s">
        <v>18</v>
      </c>
      <c r="B1537" t="s">
        <v>4579</v>
      </c>
      <c r="C1537" t="s">
        <v>4491</v>
      </c>
      <c r="D1537" t="s">
        <v>20</v>
      </c>
      <c r="E1537" t="s">
        <v>11</v>
      </c>
      <c r="F1537">
        <v>3198.426</v>
      </c>
      <c r="G1537">
        <v>18</v>
      </c>
      <c r="L1537" t="s">
        <v>4581</v>
      </c>
      <c r="O1537" t="s">
        <v>4582</v>
      </c>
    </row>
    <row r="1538" spans="1:15" x14ac:dyDescent="0.25">
      <c r="A1538" t="s">
        <v>18</v>
      </c>
      <c r="B1538" t="s">
        <v>4581</v>
      </c>
      <c r="C1538" t="s">
        <v>4461</v>
      </c>
      <c r="D1538" t="s">
        <v>20</v>
      </c>
      <c r="E1538" t="s">
        <v>11</v>
      </c>
      <c r="F1538">
        <v>6135.755999999999</v>
      </c>
      <c r="G1538">
        <v>18</v>
      </c>
      <c r="L1538" t="s">
        <v>4583</v>
      </c>
      <c r="O1538" t="s">
        <v>4584</v>
      </c>
    </row>
    <row r="1539" spans="1:15" x14ac:dyDescent="0.25">
      <c r="A1539" t="s">
        <v>18</v>
      </c>
      <c r="B1539" t="s">
        <v>4583</v>
      </c>
      <c r="C1539" t="s">
        <v>4464</v>
      </c>
      <c r="D1539" t="s">
        <v>20</v>
      </c>
      <c r="E1539" t="s">
        <v>11</v>
      </c>
      <c r="F1539">
        <v>11488.224</v>
      </c>
      <c r="G1539">
        <v>18</v>
      </c>
      <c r="L1539" t="s">
        <v>4585</v>
      </c>
      <c r="O1539" t="s">
        <v>4586</v>
      </c>
    </row>
    <row r="1540" spans="1:15" x14ac:dyDescent="0.25">
      <c r="A1540" t="s">
        <v>18</v>
      </c>
      <c r="B1540" t="s">
        <v>4585</v>
      </c>
      <c r="C1540" t="s">
        <v>4482</v>
      </c>
      <c r="D1540" t="s">
        <v>20</v>
      </c>
      <c r="E1540" t="s">
        <v>11</v>
      </c>
      <c r="F1540">
        <v>66122.562</v>
      </c>
      <c r="G1540">
        <v>18</v>
      </c>
      <c r="L1540" t="s">
        <v>4587</v>
      </c>
      <c r="O1540" t="s">
        <v>4588</v>
      </c>
    </row>
    <row r="1541" spans="1:15" x14ac:dyDescent="0.25">
      <c r="A1541" t="s">
        <v>18</v>
      </c>
      <c r="B1541" t="s">
        <v>4587</v>
      </c>
      <c r="C1541" t="s">
        <v>4488</v>
      </c>
      <c r="D1541" t="s">
        <v>20</v>
      </c>
      <c r="E1541" t="s">
        <v>11</v>
      </c>
      <c r="F1541">
        <v>3720.6179999999995</v>
      </c>
      <c r="G1541">
        <v>18</v>
      </c>
      <c r="L1541" t="s">
        <v>4589</v>
      </c>
      <c r="O1541" t="s">
        <v>4590</v>
      </c>
    </row>
    <row r="1542" spans="1:15" x14ac:dyDescent="0.25">
      <c r="A1542" t="s">
        <v>18</v>
      </c>
      <c r="B1542" t="s">
        <v>4589</v>
      </c>
      <c r="C1542" t="s">
        <v>4464</v>
      </c>
      <c r="D1542" t="s">
        <v>20</v>
      </c>
      <c r="E1542" t="s">
        <v>11</v>
      </c>
      <c r="F1542">
        <v>32245.356</v>
      </c>
      <c r="G1542">
        <v>18</v>
      </c>
      <c r="L1542" t="s">
        <v>4591</v>
      </c>
      <c r="O1542" t="s">
        <v>4592</v>
      </c>
    </row>
    <row r="1543" spans="1:15" x14ac:dyDescent="0.25">
      <c r="A1543" t="s">
        <v>18</v>
      </c>
      <c r="B1543" t="s">
        <v>4591</v>
      </c>
      <c r="C1543" t="s">
        <v>4482</v>
      </c>
      <c r="D1543" t="s">
        <v>20</v>
      </c>
      <c r="E1543" t="s">
        <v>11</v>
      </c>
      <c r="F1543">
        <v>73563.798</v>
      </c>
      <c r="G1543">
        <v>18</v>
      </c>
      <c r="L1543" t="s">
        <v>4593</v>
      </c>
      <c r="O1543" t="s">
        <v>4594</v>
      </c>
    </row>
    <row r="1544" spans="1:15" x14ac:dyDescent="0.25">
      <c r="A1544" t="s">
        <v>18</v>
      </c>
      <c r="B1544" t="s">
        <v>4593</v>
      </c>
      <c r="C1544" t="s">
        <v>4548</v>
      </c>
      <c r="D1544" t="s">
        <v>20</v>
      </c>
      <c r="E1544" t="s">
        <v>11</v>
      </c>
      <c r="F1544">
        <v>10378.565999999999</v>
      </c>
      <c r="G1544">
        <v>18</v>
      </c>
      <c r="L1544" t="s">
        <v>4595</v>
      </c>
      <c r="O1544" t="s">
        <v>4596</v>
      </c>
    </row>
    <row r="1545" spans="1:15" x14ac:dyDescent="0.25">
      <c r="A1545" t="s">
        <v>18</v>
      </c>
      <c r="B1545" t="s">
        <v>4595</v>
      </c>
      <c r="C1545" t="s">
        <v>4482</v>
      </c>
      <c r="D1545" t="s">
        <v>20</v>
      </c>
      <c r="E1545" t="s">
        <v>11</v>
      </c>
      <c r="F1545">
        <v>66122.562</v>
      </c>
      <c r="G1545">
        <v>18</v>
      </c>
      <c r="L1545" t="s">
        <v>4597</v>
      </c>
      <c r="O1545" t="s">
        <v>4598</v>
      </c>
    </row>
    <row r="1546" spans="1:15" x14ac:dyDescent="0.25">
      <c r="A1546" t="s">
        <v>18</v>
      </c>
      <c r="B1546" t="s">
        <v>4597</v>
      </c>
      <c r="C1546" t="s">
        <v>4464</v>
      </c>
      <c r="D1546" t="s">
        <v>20</v>
      </c>
      <c r="E1546" t="s">
        <v>11</v>
      </c>
      <c r="F1546">
        <v>11096.58</v>
      </c>
      <c r="G1546">
        <v>18</v>
      </c>
      <c r="L1546" t="s">
        <v>4599</v>
      </c>
      <c r="O1546" t="s">
        <v>4600</v>
      </c>
    </row>
    <row r="1547" spans="1:15" x14ac:dyDescent="0.25">
      <c r="A1547" t="s">
        <v>18</v>
      </c>
      <c r="B1547" t="s">
        <v>4599</v>
      </c>
      <c r="C1547" t="s">
        <v>4467</v>
      </c>
      <c r="D1547" t="s">
        <v>20</v>
      </c>
      <c r="E1547" t="s">
        <v>11</v>
      </c>
      <c r="F1547">
        <v>1631.85</v>
      </c>
      <c r="G1547">
        <v>18</v>
      </c>
      <c r="L1547" t="s">
        <v>4601</v>
      </c>
      <c r="O1547" t="s">
        <v>4602</v>
      </c>
    </row>
    <row r="1548" spans="1:15" x14ac:dyDescent="0.25">
      <c r="A1548" t="s">
        <v>18</v>
      </c>
      <c r="B1548" t="s">
        <v>4601</v>
      </c>
      <c r="C1548" t="s">
        <v>4494</v>
      </c>
      <c r="D1548" t="s">
        <v>20</v>
      </c>
      <c r="E1548" t="s">
        <v>11</v>
      </c>
      <c r="F1548">
        <v>24216.654</v>
      </c>
      <c r="G1548">
        <v>18</v>
      </c>
      <c r="L1548" t="s">
        <v>4603</v>
      </c>
      <c r="O1548" t="s">
        <v>4604</v>
      </c>
    </row>
    <row r="1549" spans="1:15" x14ac:dyDescent="0.25">
      <c r="A1549" t="s">
        <v>18</v>
      </c>
      <c r="B1549" t="s">
        <v>4603</v>
      </c>
      <c r="C1549" t="s">
        <v>4548</v>
      </c>
      <c r="D1549" t="s">
        <v>20</v>
      </c>
      <c r="E1549" t="s">
        <v>11</v>
      </c>
      <c r="F1549">
        <v>30352.41</v>
      </c>
      <c r="G1549">
        <v>18</v>
      </c>
      <c r="L1549" t="s">
        <v>4605</v>
      </c>
      <c r="O1549" t="s">
        <v>4606</v>
      </c>
    </row>
    <row r="1550" spans="1:15" x14ac:dyDescent="0.25">
      <c r="A1550" t="s">
        <v>18</v>
      </c>
      <c r="B1550" t="s">
        <v>4605</v>
      </c>
      <c r="C1550" t="s">
        <v>4488</v>
      </c>
      <c r="D1550" t="s">
        <v>20</v>
      </c>
      <c r="E1550" t="s">
        <v>11</v>
      </c>
      <c r="F1550">
        <v>1566.5759999999998</v>
      </c>
      <c r="G1550">
        <v>18</v>
      </c>
      <c r="L1550" t="s">
        <v>4607</v>
      </c>
      <c r="O1550" t="s">
        <v>4608</v>
      </c>
    </row>
    <row r="1551" spans="1:15" x14ac:dyDescent="0.25">
      <c r="A1551" t="s">
        <v>18</v>
      </c>
      <c r="B1551" t="s">
        <v>4607</v>
      </c>
      <c r="C1551" t="s">
        <v>4491</v>
      </c>
      <c r="D1551" t="s">
        <v>20</v>
      </c>
      <c r="E1551" t="s">
        <v>11</v>
      </c>
      <c r="F1551">
        <v>2741.508</v>
      </c>
      <c r="G1551">
        <v>18</v>
      </c>
      <c r="L1551" t="s">
        <v>4609</v>
      </c>
      <c r="O1551" t="s">
        <v>4610</v>
      </c>
    </row>
    <row r="1552" spans="1:15" x14ac:dyDescent="0.25">
      <c r="A1552" t="s">
        <v>18</v>
      </c>
      <c r="B1552" t="s">
        <v>4609</v>
      </c>
      <c r="C1552" t="s">
        <v>4482</v>
      </c>
      <c r="D1552" t="s">
        <v>20</v>
      </c>
      <c r="E1552" t="s">
        <v>11</v>
      </c>
      <c r="F1552">
        <v>60574.272</v>
      </c>
      <c r="G1552">
        <v>18</v>
      </c>
      <c r="L1552" t="s">
        <v>4611</v>
      </c>
      <c r="O1552" t="s">
        <v>4612</v>
      </c>
    </row>
    <row r="1553" spans="1:15" x14ac:dyDescent="0.25">
      <c r="A1553" t="s">
        <v>18</v>
      </c>
      <c r="B1553" t="s">
        <v>4611</v>
      </c>
      <c r="C1553" t="s">
        <v>4488</v>
      </c>
      <c r="D1553" t="s">
        <v>20</v>
      </c>
      <c r="E1553" t="s">
        <v>11</v>
      </c>
      <c r="F1553">
        <v>1044.384</v>
      </c>
      <c r="G1553">
        <v>18</v>
      </c>
      <c r="L1553" t="s">
        <v>4613</v>
      </c>
      <c r="O1553" t="s">
        <v>4614</v>
      </c>
    </row>
    <row r="1554" spans="1:15" x14ac:dyDescent="0.25">
      <c r="A1554" t="s">
        <v>18</v>
      </c>
      <c r="B1554" t="s">
        <v>4613</v>
      </c>
      <c r="C1554" t="s">
        <v>4615</v>
      </c>
      <c r="D1554" t="s">
        <v>20</v>
      </c>
      <c r="E1554" t="s">
        <v>11</v>
      </c>
      <c r="F1554">
        <v>13968.636</v>
      </c>
      <c r="G1554">
        <v>18</v>
      </c>
      <c r="L1554" t="s">
        <v>4616</v>
      </c>
      <c r="O1554" t="s">
        <v>4617</v>
      </c>
    </row>
    <row r="1555" spans="1:15" x14ac:dyDescent="0.25">
      <c r="A1555" t="s">
        <v>18</v>
      </c>
      <c r="B1555" t="s">
        <v>4616</v>
      </c>
      <c r="C1555" t="s">
        <v>4618</v>
      </c>
      <c r="D1555" t="s">
        <v>20</v>
      </c>
      <c r="E1555" t="s">
        <v>11</v>
      </c>
      <c r="F1555">
        <v>108550.662</v>
      </c>
      <c r="G1555">
        <v>18</v>
      </c>
      <c r="L1555" t="s">
        <v>4619</v>
      </c>
      <c r="O1555" t="s">
        <v>4620</v>
      </c>
    </row>
    <row r="1556" spans="1:15" x14ac:dyDescent="0.25">
      <c r="A1556" t="s">
        <v>18</v>
      </c>
      <c r="B1556" t="s">
        <v>4619</v>
      </c>
      <c r="C1556" t="s">
        <v>4621</v>
      </c>
      <c r="D1556" t="s">
        <v>20</v>
      </c>
      <c r="E1556" t="s">
        <v>11</v>
      </c>
      <c r="F1556">
        <v>114294.774</v>
      </c>
      <c r="G1556">
        <v>18</v>
      </c>
      <c r="L1556" t="s">
        <v>4622</v>
      </c>
      <c r="O1556" t="s">
        <v>4623</v>
      </c>
    </row>
    <row r="1557" spans="1:15" x14ac:dyDescent="0.25">
      <c r="A1557" t="s">
        <v>18</v>
      </c>
      <c r="B1557" t="s">
        <v>4622</v>
      </c>
      <c r="C1557" t="s">
        <v>4624</v>
      </c>
      <c r="D1557" t="s">
        <v>20</v>
      </c>
      <c r="E1557" t="s">
        <v>11</v>
      </c>
      <c r="F1557">
        <v>152480.06399999998</v>
      </c>
      <c r="G1557">
        <v>18</v>
      </c>
      <c r="L1557" t="s">
        <v>4625</v>
      </c>
      <c r="O1557" t="s">
        <v>4626</v>
      </c>
    </row>
    <row r="1558" spans="1:15" x14ac:dyDescent="0.25">
      <c r="A1558" t="s">
        <v>18</v>
      </c>
      <c r="B1558" t="s">
        <v>4625</v>
      </c>
      <c r="C1558" t="s">
        <v>4627</v>
      </c>
      <c r="D1558" t="s">
        <v>20</v>
      </c>
      <c r="E1558" t="s">
        <v>11</v>
      </c>
      <c r="F1558">
        <v>142558.416</v>
      </c>
      <c r="G1558">
        <v>18</v>
      </c>
      <c r="L1558" t="s">
        <v>4628</v>
      </c>
      <c r="O1558" t="s">
        <v>4629</v>
      </c>
    </row>
    <row r="1559" spans="1:15" x14ac:dyDescent="0.25">
      <c r="A1559" t="s">
        <v>18</v>
      </c>
      <c r="B1559" t="s">
        <v>4628</v>
      </c>
      <c r="C1559" t="s">
        <v>4630</v>
      </c>
      <c r="D1559" t="s">
        <v>20</v>
      </c>
      <c r="E1559" t="s">
        <v>11</v>
      </c>
      <c r="F1559">
        <v>143015.33399999997</v>
      </c>
      <c r="G1559">
        <v>18</v>
      </c>
      <c r="L1559" t="s">
        <v>4631</v>
      </c>
      <c r="O1559" t="s">
        <v>4632</v>
      </c>
    </row>
    <row r="1560" spans="1:15" x14ac:dyDescent="0.25">
      <c r="A1560" t="s">
        <v>18</v>
      </c>
      <c r="B1560" t="s">
        <v>4631</v>
      </c>
      <c r="C1560" t="s">
        <v>4633</v>
      </c>
      <c r="D1560" t="s">
        <v>20</v>
      </c>
      <c r="E1560" t="s">
        <v>11</v>
      </c>
      <c r="F1560">
        <v>134986.63199999998</v>
      </c>
      <c r="G1560">
        <v>18</v>
      </c>
      <c r="L1560" t="s">
        <v>4634</v>
      </c>
      <c r="O1560" t="s">
        <v>4635</v>
      </c>
    </row>
    <row r="1561" spans="1:15" x14ac:dyDescent="0.25">
      <c r="A1561" t="s">
        <v>18</v>
      </c>
      <c r="B1561" t="s">
        <v>4634</v>
      </c>
      <c r="C1561" t="s">
        <v>4636</v>
      </c>
      <c r="D1561" t="s">
        <v>20</v>
      </c>
      <c r="E1561" t="s">
        <v>11</v>
      </c>
      <c r="F1561">
        <v>203197.96199999997</v>
      </c>
      <c r="G1561">
        <v>18</v>
      </c>
      <c r="L1561" t="s">
        <v>4637</v>
      </c>
      <c r="O1561" t="s">
        <v>4638</v>
      </c>
    </row>
    <row r="1562" spans="1:15" x14ac:dyDescent="0.25">
      <c r="A1562" t="s">
        <v>18</v>
      </c>
      <c r="B1562" t="s">
        <v>4637</v>
      </c>
      <c r="C1562" t="s">
        <v>4639</v>
      </c>
      <c r="D1562" t="s">
        <v>20</v>
      </c>
      <c r="E1562" t="s">
        <v>11</v>
      </c>
      <c r="F1562">
        <v>3133.1519999999996</v>
      </c>
      <c r="G1562">
        <v>18</v>
      </c>
      <c r="L1562" t="s">
        <v>4640</v>
      </c>
      <c r="O1562" t="s">
        <v>4641</v>
      </c>
    </row>
    <row r="1563" spans="1:15" x14ac:dyDescent="0.25">
      <c r="A1563" t="s">
        <v>18</v>
      </c>
      <c r="B1563" t="s">
        <v>4640</v>
      </c>
      <c r="C1563" t="s">
        <v>4639</v>
      </c>
      <c r="D1563" t="s">
        <v>20</v>
      </c>
      <c r="E1563" t="s">
        <v>11</v>
      </c>
      <c r="F1563">
        <v>3916.44</v>
      </c>
      <c r="G1563">
        <v>18</v>
      </c>
      <c r="L1563" t="s">
        <v>4642</v>
      </c>
      <c r="O1563" t="s">
        <v>4643</v>
      </c>
    </row>
    <row r="1564" spans="1:15" x14ac:dyDescent="0.25">
      <c r="A1564" t="s">
        <v>18</v>
      </c>
      <c r="B1564" t="s">
        <v>4642</v>
      </c>
      <c r="C1564" t="s">
        <v>4639</v>
      </c>
      <c r="D1564" t="s">
        <v>20</v>
      </c>
      <c r="E1564" t="s">
        <v>11</v>
      </c>
      <c r="F1564">
        <v>3263.7</v>
      </c>
      <c r="G1564">
        <v>18</v>
      </c>
      <c r="L1564" t="s">
        <v>4644</v>
      </c>
      <c r="O1564" t="s">
        <v>4645</v>
      </c>
    </row>
    <row r="1565" spans="1:15" x14ac:dyDescent="0.25">
      <c r="A1565" t="s">
        <v>18</v>
      </c>
      <c r="B1565" t="s">
        <v>4644</v>
      </c>
      <c r="C1565" t="s">
        <v>4639</v>
      </c>
      <c r="D1565" t="s">
        <v>20</v>
      </c>
      <c r="E1565" t="s">
        <v>11</v>
      </c>
      <c r="F1565">
        <v>3394.2479999999996</v>
      </c>
      <c r="G1565">
        <v>18</v>
      </c>
      <c r="L1565" t="s">
        <v>4646</v>
      </c>
      <c r="O1565" t="s">
        <v>4647</v>
      </c>
    </row>
    <row r="1566" spans="1:15" x14ac:dyDescent="0.25">
      <c r="A1566" t="s">
        <v>18</v>
      </c>
      <c r="B1566" t="s">
        <v>4646</v>
      </c>
      <c r="C1566" t="s">
        <v>4639</v>
      </c>
      <c r="D1566" t="s">
        <v>20</v>
      </c>
      <c r="E1566" t="s">
        <v>11</v>
      </c>
      <c r="F1566">
        <v>3133.1519999999996</v>
      </c>
      <c r="G1566">
        <v>18</v>
      </c>
      <c r="L1566" t="s">
        <v>4648</v>
      </c>
      <c r="O1566" t="s">
        <v>4649</v>
      </c>
    </row>
    <row r="1567" spans="1:15" x14ac:dyDescent="0.25">
      <c r="A1567" t="s">
        <v>18</v>
      </c>
      <c r="B1567" t="s">
        <v>4648</v>
      </c>
      <c r="C1567" t="s">
        <v>4639</v>
      </c>
      <c r="D1567" t="s">
        <v>20</v>
      </c>
      <c r="E1567" t="s">
        <v>11</v>
      </c>
      <c r="F1567">
        <v>1892.946</v>
      </c>
      <c r="G1567">
        <v>18</v>
      </c>
      <c r="L1567" t="s">
        <v>4650</v>
      </c>
      <c r="O1567" t="s">
        <v>4651</v>
      </c>
    </row>
    <row r="1568" spans="1:15" x14ac:dyDescent="0.25">
      <c r="A1568" t="s">
        <v>18</v>
      </c>
      <c r="B1568" t="s">
        <v>4650</v>
      </c>
      <c r="C1568" t="s">
        <v>4639</v>
      </c>
      <c r="D1568" t="s">
        <v>20</v>
      </c>
      <c r="E1568" t="s">
        <v>11</v>
      </c>
      <c r="F1568">
        <v>2480.4120000000003</v>
      </c>
      <c r="G1568">
        <v>18</v>
      </c>
      <c r="L1568" t="s">
        <v>4652</v>
      </c>
      <c r="O1568" t="s">
        <v>4653</v>
      </c>
    </row>
    <row r="1569" spans="1:15" x14ac:dyDescent="0.25">
      <c r="A1569" t="s">
        <v>18</v>
      </c>
      <c r="B1569" t="s">
        <v>4652</v>
      </c>
      <c r="C1569" t="s">
        <v>4639</v>
      </c>
      <c r="D1569" t="s">
        <v>20</v>
      </c>
      <c r="E1569" t="s">
        <v>11</v>
      </c>
      <c r="F1569">
        <v>2741.508</v>
      </c>
      <c r="G1569">
        <v>18</v>
      </c>
      <c r="L1569" t="s">
        <v>4654</v>
      </c>
      <c r="O1569" t="s">
        <v>4655</v>
      </c>
    </row>
    <row r="1570" spans="1:15" x14ac:dyDescent="0.25">
      <c r="A1570" t="s">
        <v>18</v>
      </c>
      <c r="B1570" t="s">
        <v>4654</v>
      </c>
      <c r="C1570" t="s">
        <v>4639</v>
      </c>
      <c r="D1570" t="s">
        <v>20</v>
      </c>
      <c r="E1570" t="s">
        <v>11</v>
      </c>
      <c r="F1570">
        <v>2741.508</v>
      </c>
      <c r="G1570">
        <v>18</v>
      </c>
      <c r="L1570" t="s">
        <v>4656</v>
      </c>
      <c r="O1570" t="s">
        <v>4657</v>
      </c>
    </row>
    <row r="1571" spans="1:15" x14ac:dyDescent="0.25">
      <c r="A1571" t="s">
        <v>18</v>
      </c>
      <c r="B1571" t="s">
        <v>4656</v>
      </c>
      <c r="C1571" t="s">
        <v>4639</v>
      </c>
      <c r="D1571" t="s">
        <v>20</v>
      </c>
      <c r="E1571" t="s">
        <v>11</v>
      </c>
      <c r="F1571">
        <v>1566.5759999999998</v>
      </c>
      <c r="G1571">
        <v>18</v>
      </c>
      <c r="L1571" t="s">
        <v>4658</v>
      </c>
      <c r="O1571" t="s">
        <v>4659</v>
      </c>
    </row>
    <row r="1572" spans="1:15" x14ac:dyDescent="0.25">
      <c r="A1572" t="s">
        <v>18</v>
      </c>
      <c r="B1572" t="s">
        <v>4658</v>
      </c>
      <c r="C1572" t="s">
        <v>4639</v>
      </c>
      <c r="D1572" t="s">
        <v>20</v>
      </c>
      <c r="E1572" t="s">
        <v>11</v>
      </c>
      <c r="F1572">
        <v>1566.5759999999998</v>
      </c>
      <c r="G1572">
        <v>18</v>
      </c>
      <c r="L1572" t="s">
        <v>4660</v>
      </c>
      <c r="O1572" t="s">
        <v>4661</v>
      </c>
    </row>
    <row r="1573" spans="1:15" x14ac:dyDescent="0.25">
      <c r="A1573" t="s">
        <v>18</v>
      </c>
      <c r="B1573" t="s">
        <v>4660</v>
      </c>
      <c r="C1573" t="s">
        <v>4662</v>
      </c>
      <c r="D1573" t="s">
        <v>20</v>
      </c>
      <c r="E1573" t="s">
        <v>11</v>
      </c>
      <c r="F1573">
        <v>15013.02</v>
      </c>
      <c r="G1573">
        <v>18</v>
      </c>
      <c r="L1573" t="s">
        <v>4663</v>
      </c>
      <c r="O1573" t="s">
        <v>4664</v>
      </c>
    </row>
    <row r="1574" spans="1:15" x14ac:dyDescent="0.25">
      <c r="A1574" t="s">
        <v>18</v>
      </c>
      <c r="B1574" t="s">
        <v>4663</v>
      </c>
      <c r="C1574" t="s">
        <v>4482</v>
      </c>
      <c r="D1574" t="s">
        <v>20</v>
      </c>
      <c r="E1574" t="s">
        <v>11</v>
      </c>
      <c r="F1574">
        <v>64229.615999999995</v>
      </c>
      <c r="G1574">
        <v>18</v>
      </c>
      <c r="L1574" t="s">
        <v>4665</v>
      </c>
      <c r="O1574" t="s">
        <v>4666</v>
      </c>
    </row>
    <row r="1575" spans="1:15" x14ac:dyDescent="0.25">
      <c r="A1575" t="s">
        <v>18</v>
      </c>
      <c r="B1575" t="s">
        <v>4665</v>
      </c>
      <c r="C1575" t="s">
        <v>4488</v>
      </c>
      <c r="D1575" t="s">
        <v>20</v>
      </c>
      <c r="E1575" t="s">
        <v>11</v>
      </c>
      <c r="F1575">
        <v>1631.85</v>
      </c>
      <c r="G1575">
        <v>18</v>
      </c>
      <c r="L1575" t="s">
        <v>4667</v>
      </c>
      <c r="O1575" t="s">
        <v>4668</v>
      </c>
    </row>
    <row r="1576" spans="1:15" x14ac:dyDescent="0.25">
      <c r="A1576" t="s">
        <v>18</v>
      </c>
      <c r="B1576" t="s">
        <v>4667</v>
      </c>
      <c r="C1576" t="s">
        <v>4491</v>
      </c>
      <c r="D1576" t="s">
        <v>20</v>
      </c>
      <c r="E1576" t="s">
        <v>11</v>
      </c>
      <c r="F1576">
        <v>2088.768</v>
      </c>
      <c r="G1576">
        <v>18</v>
      </c>
      <c r="L1576" t="s">
        <v>4669</v>
      </c>
      <c r="O1576" t="s">
        <v>4670</v>
      </c>
    </row>
    <row r="1577" spans="1:15" x14ac:dyDescent="0.25">
      <c r="A1577" t="s">
        <v>18</v>
      </c>
      <c r="B1577" t="s">
        <v>4669</v>
      </c>
      <c r="C1577" t="s">
        <v>4639</v>
      </c>
      <c r="D1577" t="s">
        <v>20</v>
      </c>
      <c r="E1577" t="s">
        <v>11</v>
      </c>
      <c r="F1577">
        <v>2088.768</v>
      </c>
      <c r="G1577">
        <v>18</v>
      </c>
      <c r="L1577" t="s">
        <v>4671</v>
      </c>
      <c r="O1577" t="s">
        <v>4672</v>
      </c>
    </row>
    <row r="1578" spans="1:15" x14ac:dyDescent="0.25">
      <c r="A1578" t="s">
        <v>18</v>
      </c>
      <c r="B1578" t="s">
        <v>4671</v>
      </c>
      <c r="C1578" t="s">
        <v>4482</v>
      </c>
      <c r="D1578" t="s">
        <v>20</v>
      </c>
      <c r="E1578" t="s">
        <v>11</v>
      </c>
      <c r="F1578">
        <v>70234.824</v>
      </c>
      <c r="G1578">
        <v>18</v>
      </c>
      <c r="L1578" t="s">
        <v>4673</v>
      </c>
      <c r="O1578" t="s">
        <v>4674</v>
      </c>
    </row>
    <row r="1579" spans="1:15" x14ac:dyDescent="0.25">
      <c r="A1579" t="s">
        <v>18</v>
      </c>
      <c r="B1579" t="s">
        <v>4673</v>
      </c>
      <c r="C1579" t="s">
        <v>4488</v>
      </c>
      <c r="D1579" t="s">
        <v>20</v>
      </c>
      <c r="E1579" t="s">
        <v>11</v>
      </c>
      <c r="F1579">
        <v>1697.1239999999998</v>
      </c>
      <c r="G1579">
        <v>18</v>
      </c>
      <c r="L1579" t="s">
        <v>4675</v>
      </c>
      <c r="O1579" t="s">
        <v>4676</v>
      </c>
    </row>
    <row r="1580" spans="1:15" x14ac:dyDescent="0.25">
      <c r="A1580" t="s">
        <v>18</v>
      </c>
      <c r="B1580" t="s">
        <v>4675</v>
      </c>
      <c r="C1580" t="s">
        <v>4491</v>
      </c>
      <c r="D1580" t="s">
        <v>20</v>
      </c>
      <c r="E1580" t="s">
        <v>11</v>
      </c>
      <c r="F1580">
        <v>2219.316</v>
      </c>
      <c r="G1580">
        <v>18</v>
      </c>
      <c r="L1580" t="s">
        <v>4677</v>
      </c>
      <c r="O1580" t="s">
        <v>4678</v>
      </c>
    </row>
    <row r="1581" spans="1:15" x14ac:dyDescent="0.25">
      <c r="A1581" t="s">
        <v>18</v>
      </c>
      <c r="B1581" t="s">
        <v>4677</v>
      </c>
      <c r="C1581" t="s">
        <v>4639</v>
      </c>
      <c r="D1581" t="s">
        <v>20</v>
      </c>
      <c r="E1581" t="s">
        <v>11</v>
      </c>
      <c r="F1581">
        <v>1501.302</v>
      </c>
      <c r="G1581">
        <v>18</v>
      </c>
      <c r="L1581" t="s">
        <v>4679</v>
      </c>
      <c r="O1581" t="s">
        <v>4680</v>
      </c>
    </row>
    <row r="1582" spans="1:15" x14ac:dyDescent="0.25">
      <c r="A1582" t="s">
        <v>18</v>
      </c>
      <c r="B1582" t="s">
        <v>4679</v>
      </c>
      <c r="C1582" t="s">
        <v>4681</v>
      </c>
      <c r="D1582" t="s">
        <v>20</v>
      </c>
      <c r="E1582" t="s">
        <v>11</v>
      </c>
      <c r="F1582">
        <v>7245.414</v>
      </c>
      <c r="G1582">
        <v>18</v>
      </c>
      <c r="L1582" t="s">
        <v>4682</v>
      </c>
      <c r="O1582" t="s">
        <v>4683</v>
      </c>
    </row>
    <row r="1583" spans="1:15" x14ac:dyDescent="0.25">
      <c r="A1583" t="s">
        <v>18</v>
      </c>
      <c r="B1583" t="s">
        <v>4682</v>
      </c>
      <c r="C1583" t="s">
        <v>4684</v>
      </c>
      <c r="D1583" t="s">
        <v>20</v>
      </c>
      <c r="E1583" t="s">
        <v>11</v>
      </c>
      <c r="F1583">
        <v>4699.727999999999</v>
      </c>
      <c r="G1583">
        <v>18</v>
      </c>
      <c r="L1583" t="s">
        <v>4685</v>
      </c>
      <c r="O1583" t="s">
        <v>4686</v>
      </c>
    </row>
    <row r="1584" spans="1:15" x14ac:dyDescent="0.25">
      <c r="A1584" t="s">
        <v>18</v>
      </c>
      <c r="B1584" t="s">
        <v>4685</v>
      </c>
      <c r="C1584" t="s">
        <v>4464</v>
      </c>
      <c r="D1584" t="s">
        <v>20</v>
      </c>
      <c r="E1584" t="s">
        <v>11</v>
      </c>
      <c r="F1584">
        <v>9725.826</v>
      </c>
      <c r="G1584">
        <v>18</v>
      </c>
      <c r="L1584" t="s">
        <v>4687</v>
      </c>
      <c r="O1584" t="s">
        <v>4688</v>
      </c>
    </row>
    <row r="1585" spans="1:15" x14ac:dyDescent="0.25">
      <c r="A1585" t="s">
        <v>18</v>
      </c>
      <c r="B1585" t="s">
        <v>4687</v>
      </c>
      <c r="C1585" t="s">
        <v>4494</v>
      </c>
      <c r="D1585" t="s">
        <v>20</v>
      </c>
      <c r="E1585" t="s">
        <v>11</v>
      </c>
      <c r="F1585">
        <v>29764.943999999996</v>
      </c>
      <c r="G1585">
        <v>18</v>
      </c>
      <c r="L1585" t="s">
        <v>4689</v>
      </c>
      <c r="O1585" t="s">
        <v>4690</v>
      </c>
    </row>
    <row r="1586" spans="1:15" x14ac:dyDescent="0.25">
      <c r="A1586" t="s">
        <v>18</v>
      </c>
      <c r="B1586" t="s">
        <v>4689</v>
      </c>
      <c r="C1586" t="s">
        <v>4691</v>
      </c>
      <c r="D1586" t="s">
        <v>20</v>
      </c>
      <c r="E1586" t="s">
        <v>11</v>
      </c>
      <c r="F1586">
        <v>15731.034</v>
      </c>
      <c r="G1586">
        <v>18</v>
      </c>
      <c r="L1586" t="s">
        <v>4692</v>
      </c>
      <c r="O1586" t="s">
        <v>4693</v>
      </c>
    </row>
    <row r="1587" spans="1:15" x14ac:dyDescent="0.25">
      <c r="A1587" t="s">
        <v>18</v>
      </c>
      <c r="B1587" t="s">
        <v>4692</v>
      </c>
      <c r="C1587" t="s">
        <v>4482</v>
      </c>
      <c r="D1587" t="s">
        <v>20</v>
      </c>
      <c r="E1587" t="s">
        <v>11</v>
      </c>
      <c r="F1587">
        <v>129373.06799999998</v>
      </c>
      <c r="G1587">
        <v>18</v>
      </c>
      <c r="L1587" t="s">
        <v>4694</v>
      </c>
      <c r="O1587" t="s">
        <v>4695</v>
      </c>
    </row>
    <row r="1588" spans="1:15" x14ac:dyDescent="0.25">
      <c r="A1588" t="s">
        <v>18</v>
      </c>
      <c r="B1588" t="s">
        <v>4694</v>
      </c>
      <c r="C1588" t="s">
        <v>4488</v>
      </c>
      <c r="D1588" t="s">
        <v>20</v>
      </c>
      <c r="E1588" t="s">
        <v>11</v>
      </c>
      <c r="F1588">
        <v>9203.633999999998</v>
      </c>
      <c r="G1588">
        <v>18</v>
      </c>
      <c r="L1588" t="s">
        <v>4696</v>
      </c>
      <c r="O1588" t="s">
        <v>4697</v>
      </c>
    </row>
    <row r="1589" spans="1:15" x14ac:dyDescent="0.25">
      <c r="A1589" t="s">
        <v>18</v>
      </c>
      <c r="B1589" t="s">
        <v>4696</v>
      </c>
      <c r="C1589" t="s">
        <v>4491</v>
      </c>
      <c r="D1589" t="s">
        <v>20</v>
      </c>
      <c r="E1589" t="s">
        <v>11</v>
      </c>
      <c r="F1589">
        <v>3981.714</v>
      </c>
      <c r="G1589">
        <v>18</v>
      </c>
      <c r="L1589" t="s">
        <v>4698</v>
      </c>
      <c r="O1589" t="s">
        <v>4699</v>
      </c>
    </row>
    <row r="1590" spans="1:15" x14ac:dyDescent="0.25">
      <c r="A1590" t="s">
        <v>18</v>
      </c>
      <c r="B1590" t="s">
        <v>4698</v>
      </c>
      <c r="C1590" t="s">
        <v>4700</v>
      </c>
      <c r="D1590" t="s">
        <v>20</v>
      </c>
      <c r="E1590" t="s">
        <v>11</v>
      </c>
      <c r="F1590">
        <v>7767.605999999999</v>
      </c>
      <c r="G1590">
        <v>18</v>
      </c>
      <c r="L1590" t="s">
        <v>4701</v>
      </c>
      <c r="O1590" t="s">
        <v>4702</v>
      </c>
    </row>
    <row r="1591" spans="1:15" x14ac:dyDescent="0.25">
      <c r="A1591" t="s">
        <v>18</v>
      </c>
      <c r="B1591" t="s">
        <v>4701</v>
      </c>
      <c r="C1591" t="s">
        <v>4703</v>
      </c>
      <c r="D1591" t="s">
        <v>20</v>
      </c>
      <c r="E1591" t="s">
        <v>11</v>
      </c>
      <c r="F1591">
        <v>13120.074</v>
      </c>
      <c r="G1591">
        <v>18</v>
      </c>
      <c r="L1591" t="s">
        <v>4704</v>
      </c>
      <c r="O1591" t="s">
        <v>4705</v>
      </c>
    </row>
    <row r="1592" spans="1:15" x14ac:dyDescent="0.25">
      <c r="A1592" t="s">
        <v>18</v>
      </c>
      <c r="B1592" t="s">
        <v>4704</v>
      </c>
      <c r="C1592" t="s">
        <v>4513</v>
      </c>
      <c r="D1592" t="s">
        <v>20</v>
      </c>
      <c r="E1592" t="s">
        <v>11</v>
      </c>
      <c r="F1592">
        <v>1892.946</v>
      </c>
      <c r="G1592">
        <v>18</v>
      </c>
      <c r="L1592" t="s">
        <v>4706</v>
      </c>
      <c r="O1592" t="s">
        <v>4707</v>
      </c>
    </row>
    <row r="1593" spans="1:15" x14ac:dyDescent="0.25">
      <c r="A1593" t="s">
        <v>18</v>
      </c>
      <c r="B1593" t="s">
        <v>4706</v>
      </c>
      <c r="C1593" t="s">
        <v>4482</v>
      </c>
      <c r="D1593" t="s">
        <v>20</v>
      </c>
      <c r="E1593" t="s">
        <v>11</v>
      </c>
      <c r="F1593">
        <v>68146.056</v>
      </c>
      <c r="G1593">
        <v>18</v>
      </c>
      <c r="L1593" t="s">
        <v>4708</v>
      </c>
      <c r="O1593" t="s">
        <v>4709</v>
      </c>
    </row>
    <row r="1594" spans="1:15" x14ac:dyDescent="0.25">
      <c r="A1594" t="s">
        <v>18</v>
      </c>
      <c r="B1594" t="s">
        <v>4708</v>
      </c>
      <c r="C1594" t="s">
        <v>4488</v>
      </c>
      <c r="D1594" t="s">
        <v>20</v>
      </c>
      <c r="E1594" t="s">
        <v>11</v>
      </c>
      <c r="F1594">
        <v>1566.5759999999998</v>
      </c>
      <c r="G1594">
        <v>18</v>
      </c>
      <c r="L1594" t="s">
        <v>4710</v>
      </c>
      <c r="O1594" t="s">
        <v>4711</v>
      </c>
    </row>
    <row r="1595" spans="1:15" x14ac:dyDescent="0.25">
      <c r="A1595" t="s">
        <v>18</v>
      </c>
      <c r="B1595" t="s">
        <v>4710</v>
      </c>
      <c r="C1595" t="s">
        <v>4639</v>
      </c>
      <c r="D1595" t="s">
        <v>20</v>
      </c>
      <c r="E1595" t="s">
        <v>11</v>
      </c>
      <c r="F1595">
        <v>1827.672</v>
      </c>
      <c r="G1595">
        <v>18</v>
      </c>
      <c r="L1595" t="s">
        <v>4712</v>
      </c>
      <c r="O1595" t="s">
        <v>4713</v>
      </c>
    </row>
    <row r="1596" spans="1:15" x14ac:dyDescent="0.25">
      <c r="A1596" t="s">
        <v>18</v>
      </c>
      <c r="B1596" t="s">
        <v>4712</v>
      </c>
      <c r="C1596" t="s">
        <v>4482</v>
      </c>
      <c r="D1596" t="s">
        <v>20</v>
      </c>
      <c r="E1596" t="s">
        <v>11</v>
      </c>
      <c r="F1596">
        <v>60639.546</v>
      </c>
      <c r="G1596">
        <v>18</v>
      </c>
      <c r="L1596" t="s">
        <v>4714</v>
      </c>
      <c r="O1596" t="s">
        <v>4715</v>
      </c>
    </row>
    <row r="1597" spans="1:15" x14ac:dyDescent="0.25">
      <c r="A1597" t="s">
        <v>18</v>
      </c>
      <c r="B1597" t="s">
        <v>4714</v>
      </c>
      <c r="C1597" t="s">
        <v>4488</v>
      </c>
      <c r="D1597" t="s">
        <v>20</v>
      </c>
      <c r="E1597" t="s">
        <v>11</v>
      </c>
      <c r="F1597">
        <v>1631.85</v>
      </c>
      <c r="G1597">
        <v>18</v>
      </c>
      <c r="L1597" t="s">
        <v>4716</v>
      </c>
      <c r="O1597" t="s">
        <v>4717</v>
      </c>
    </row>
    <row r="1598" spans="1:15" x14ac:dyDescent="0.25">
      <c r="A1598" t="s">
        <v>18</v>
      </c>
      <c r="B1598" t="s">
        <v>4716</v>
      </c>
      <c r="C1598" t="s">
        <v>4491</v>
      </c>
      <c r="D1598" t="s">
        <v>20</v>
      </c>
      <c r="E1598" t="s">
        <v>11</v>
      </c>
      <c r="F1598">
        <v>1631.85</v>
      </c>
      <c r="G1598">
        <v>18</v>
      </c>
      <c r="L1598" t="s">
        <v>4718</v>
      </c>
      <c r="O1598" t="s">
        <v>4719</v>
      </c>
    </row>
    <row r="1599" spans="1:15" x14ac:dyDescent="0.25">
      <c r="A1599" t="s">
        <v>18</v>
      </c>
      <c r="B1599" t="s">
        <v>4718</v>
      </c>
      <c r="C1599" t="s">
        <v>4639</v>
      </c>
      <c r="D1599" t="s">
        <v>20</v>
      </c>
      <c r="E1599" t="s">
        <v>11</v>
      </c>
      <c r="F1599">
        <v>1174.9319999999998</v>
      </c>
      <c r="G1599">
        <v>18</v>
      </c>
      <c r="L1599" t="s">
        <v>4720</v>
      </c>
      <c r="O1599" t="s">
        <v>4721</v>
      </c>
    </row>
    <row r="1600" spans="1:15" x14ac:dyDescent="0.25">
      <c r="A1600" t="s">
        <v>18</v>
      </c>
      <c r="B1600" t="s">
        <v>4720</v>
      </c>
      <c r="C1600" t="s">
        <v>4482</v>
      </c>
      <c r="D1600" t="s">
        <v>20</v>
      </c>
      <c r="E1600" t="s">
        <v>11</v>
      </c>
      <c r="F1600">
        <v>137140.674</v>
      </c>
      <c r="G1600">
        <v>18</v>
      </c>
      <c r="L1600" t="s">
        <v>4722</v>
      </c>
      <c r="O1600" t="s">
        <v>4723</v>
      </c>
    </row>
    <row r="1601" spans="1:15" x14ac:dyDescent="0.25">
      <c r="A1601" t="s">
        <v>18</v>
      </c>
      <c r="B1601" t="s">
        <v>4722</v>
      </c>
      <c r="C1601" t="s">
        <v>4488</v>
      </c>
      <c r="D1601" t="s">
        <v>20</v>
      </c>
      <c r="E1601" t="s">
        <v>11</v>
      </c>
      <c r="F1601">
        <v>8746.716</v>
      </c>
      <c r="G1601">
        <v>18</v>
      </c>
      <c r="L1601" t="s">
        <v>4724</v>
      </c>
      <c r="O1601" t="s">
        <v>4725</v>
      </c>
    </row>
    <row r="1602" spans="1:15" x14ac:dyDescent="0.25">
      <c r="A1602" t="s">
        <v>18</v>
      </c>
      <c r="B1602" t="s">
        <v>4724</v>
      </c>
      <c r="C1602" t="s">
        <v>4491</v>
      </c>
      <c r="D1602" t="s">
        <v>20</v>
      </c>
      <c r="E1602" t="s">
        <v>11</v>
      </c>
      <c r="F1602">
        <v>4634.454</v>
      </c>
      <c r="G1602">
        <v>18</v>
      </c>
      <c r="L1602" t="s">
        <v>4726</v>
      </c>
      <c r="O1602" t="s">
        <v>4727</v>
      </c>
    </row>
    <row r="1603" spans="1:15" x14ac:dyDescent="0.25">
      <c r="A1603" t="s">
        <v>18</v>
      </c>
      <c r="B1603" t="s">
        <v>4726</v>
      </c>
      <c r="C1603" t="s">
        <v>4700</v>
      </c>
      <c r="D1603" t="s">
        <v>20</v>
      </c>
      <c r="E1603" t="s">
        <v>11</v>
      </c>
      <c r="F1603">
        <v>5548.29</v>
      </c>
      <c r="G1603">
        <v>18</v>
      </c>
      <c r="L1603" t="s">
        <v>4728</v>
      </c>
      <c r="O1603" t="s">
        <v>4729</v>
      </c>
    </row>
    <row r="1604" spans="1:15" x14ac:dyDescent="0.25">
      <c r="A1604" t="s">
        <v>18</v>
      </c>
      <c r="B1604" t="s">
        <v>4728</v>
      </c>
      <c r="C1604" t="s">
        <v>4639</v>
      </c>
      <c r="D1604" t="s">
        <v>20</v>
      </c>
      <c r="E1604" t="s">
        <v>11</v>
      </c>
      <c r="F1604">
        <v>1892.946</v>
      </c>
      <c r="G1604">
        <v>18</v>
      </c>
      <c r="L1604" t="s">
        <v>4730</v>
      </c>
      <c r="O1604" t="s">
        <v>4731</v>
      </c>
    </row>
    <row r="1605" spans="1:15" x14ac:dyDescent="0.25">
      <c r="A1605" t="s">
        <v>18</v>
      </c>
      <c r="B1605" t="s">
        <v>4730</v>
      </c>
      <c r="C1605" t="s">
        <v>4732</v>
      </c>
      <c r="D1605" t="s">
        <v>20</v>
      </c>
      <c r="E1605" t="s">
        <v>11</v>
      </c>
      <c r="F1605">
        <v>1827.672</v>
      </c>
      <c r="G1605">
        <v>18</v>
      </c>
      <c r="L1605" t="s">
        <v>4733</v>
      </c>
      <c r="O1605" t="s">
        <v>4734</v>
      </c>
    </row>
    <row r="1606" spans="1:15" x14ac:dyDescent="0.25">
      <c r="A1606" t="s">
        <v>18</v>
      </c>
      <c r="B1606" t="s">
        <v>4733</v>
      </c>
      <c r="C1606" t="s">
        <v>4735</v>
      </c>
      <c r="D1606" t="s">
        <v>20</v>
      </c>
      <c r="E1606" t="s">
        <v>11</v>
      </c>
      <c r="F1606">
        <v>8028.701999999999</v>
      </c>
      <c r="G1606">
        <v>18</v>
      </c>
      <c r="L1606" t="s">
        <v>4736</v>
      </c>
      <c r="O1606" t="s">
        <v>4737</v>
      </c>
    </row>
    <row r="1607" spans="1:15" x14ac:dyDescent="0.25">
      <c r="A1607" t="s">
        <v>18</v>
      </c>
      <c r="B1607" t="s">
        <v>4736</v>
      </c>
      <c r="C1607" t="s">
        <v>4738</v>
      </c>
      <c r="D1607" t="s">
        <v>20</v>
      </c>
      <c r="E1607" t="s">
        <v>11</v>
      </c>
      <c r="F1607">
        <v>11945.142</v>
      </c>
      <c r="G1607">
        <v>18</v>
      </c>
      <c r="L1607" t="s">
        <v>4739</v>
      </c>
      <c r="O1607" t="s">
        <v>4740</v>
      </c>
    </row>
    <row r="1608" spans="1:15" x14ac:dyDescent="0.25">
      <c r="A1608" t="s">
        <v>18</v>
      </c>
      <c r="B1608" t="s">
        <v>4739</v>
      </c>
      <c r="C1608" t="s">
        <v>4741</v>
      </c>
      <c r="D1608" t="s">
        <v>20</v>
      </c>
      <c r="E1608" t="s">
        <v>11</v>
      </c>
      <c r="F1608">
        <v>6853.7699999999995</v>
      </c>
      <c r="G1608">
        <v>18</v>
      </c>
      <c r="L1608" t="s">
        <v>4742</v>
      </c>
      <c r="O1608" t="s">
        <v>4743</v>
      </c>
    </row>
    <row r="1609" spans="1:15" x14ac:dyDescent="0.25">
      <c r="A1609" t="s">
        <v>18</v>
      </c>
      <c r="B1609" t="s">
        <v>4742</v>
      </c>
      <c r="C1609" t="s">
        <v>4744</v>
      </c>
      <c r="D1609" t="s">
        <v>20</v>
      </c>
      <c r="E1609" t="s">
        <v>11</v>
      </c>
      <c r="F1609">
        <v>6657.947999999999</v>
      </c>
      <c r="G1609">
        <v>18</v>
      </c>
      <c r="L1609" t="s">
        <v>4745</v>
      </c>
      <c r="O1609" t="s">
        <v>4746</v>
      </c>
    </row>
    <row r="1610" spans="1:15" x14ac:dyDescent="0.25">
      <c r="A1610" t="s">
        <v>18</v>
      </c>
      <c r="B1610" t="s">
        <v>4745</v>
      </c>
      <c r="C1610" t="s">
        <v>4747</v>
      </c>
      <c r="D1610" t="s">
        <v>20</v>
      </c>
      <c r="E1610" t="s">
        <v>11</v>
      </c>
      <c r="F1610">
        <v>10509.114</v>
      </c>
      <c r="G1610">
        <v>18</v>
      </c>
      <c r="L1610" t="s">
        <v>4748</v>
      </c>
      <c r="O1610" t="s">
        <v>4749</v>
      </c>
    </row>
    <row r="1611" spans="1:15" x14ac:dyDescent="0.25">
      <c r="A1611" t="s">
        <v>18</v>
      </c>
      <c r="B1611" t="s">
        <v>4748</v>
      </c>
      <c r="C1611" t="s">
        <v>4750</v>
      </c>
      <c r="D1611" t="s">
        <v>20</v>
      </c>
      <c r="E1611" t="s">
        <v>11</v>
      </c>
      <c r="F1611">
        <v>13054.8</v>
      </c>
      <c r="G1611">
        <v>18</v>
      </c>
      <c r="L1611" t="s">
        <v>4751</v>
      </c>
      <c r="O1611" t="s">
        <v>4752</v>
      </c>
    </row>
    <row r="1612" spans="1:15" x14ac:dyDescent="0.25">
      <c r="A1612" t="s">
        <v>18</v>
      </c>
      <c r="B1612" t="s">
        <v>4751</v>
      </c>
      <c r="C1612" t="s">
        <v>4753</v>
      </c>
      <c r="D1612" t="s">
        <v>20</v>
      </c>
      <c r="E1612" t="s">
        <v>11</v>
      </c>
      <c r="F1612">
        <v>15078.294000000002</v>
      </c>
      <c r="G1612">
        <v>18</v>
      </c>
      <c r="L1612" t="s">
        <v>4754</v>
      </c>
      <c r="O1612" t="s">
        <v>4755</v>
      </c>
    </row>
    <row r="1613" spans="1:15" x14ac:dyDescent="0.25">
      <c r="A1613" t="s">
        <v>18</v>
      </c>
      <c r="B1613" t="s">
        <v>4754</v>
      </c>
      <c r="C1613" t="s">
        <v>4756</v>
      </c>
      <c r="D1613" t="s">
        <v>20</v>
      </c>
      <c r="E1613" t="s">
        <v>11</v>
      </c>
      <c r="F1613">
        <v>17297.61</v>
      </c>
      <c r="G1613">
        <v>18</v>
      </c>
      <c r="L1613" t="s">
        <v>4757</v>
      </c>
      <c r="O1613" t="s">
        <v>4758</v>
      </c>
    </row>
    <row r="1614" spans="1:15" x14ac:dyDescent="0.25">
      <c r="A1614" t="s">
        <v>18</v>
      </c>
      <c r="B1614" t="s">
        <v>4757</v>
      </c>
      <c r="C1614" t="s">
        <v>4759</v>
      </c>
      <c r="D1614" t="s">
        <v>20</v>
      </c>
      <c r="E1614" t="s">
        <v>11</v>
      </c>
      <c r="F1614">
        <v>19516.926</v>
      </c>
      <c r="G1614">
        <v>18</v>
      </c>
      <c r="L1614" t="s">
        <v>4760</v>
      </c>
      <c r="O1614" t="s">
        <v>4761</v>
      </c>
    </row>
    <row r="1615" spans="1:15" x14ac:dyDescent="0.25">
      <c r="A1615" t="s">
        <v>18</v>
      </c>
      <c r="B1615" t="s">
        <v>4760</v>
      </c>
      <c r="C1615" t="s">
        <v>4762</v>
      </c>
      <c r="D1615" t="s">
        <v>20</v>
      </c>
      <c r="E1615" t="s">
        <v>11</v>
      </c>
      <c r="F1615">
        <v>21540.420000000002</v>
      </c>
      <c r="G1615">
        <v>18</v>
      </c>
      <c r="L1615" t="s">
        <v>4763</v>
      </c>
      <c r="O1615" t="s">
        <v>4764</v>
      </c>
    </row>
    <row r="1616" spans="1:15" x14ac:dyDescent="0.25">
      <c r="A1616" t="s">
        <v>18</v>
      </c>
      <c r="B1616" t="s">
        <v>4763</v>
      </c>
      <c r="C1616" t="s">
        <v>4765</v>
      </c>
      <c r="D1616" t="s">
        <v>20</v>
      </c>
      <c r="E1616" t="s">
        <v>11</v>
      </c>
      <c r="F1616">
        <v>22650.078</v>
      </c>
      <c r="G1616">
        <v>18</v>
      </c>
      <c r="L1616" t="s">
        <v>4766</v>
      </c>
      <c r="O1616" t="s">
        <v>4767</v>
      </c>
    </row>
    <row r="1617" spans="1:15" x14ac:dyDescent="0.25">
      <c r="A1617" t="s">
        <v>18</v>
      </c>
      <c r="B1617" t="s">
        <v>4766</v>
      </c>
      <c r="C1617" t="s">
        <v>4768</v>
      </c>
      <c r="D1617" t="s">
        <v>20</v>
      </c>
      <c r="E1617" t="s">
        <v>11</v>
      </c>
      <c r="F1617">
        <v>13772.814</v>
      </c>
      <c r="G1617">
        <v>18</v>
      </c>
      <c r="L1617" t="s">
        <v>4769</v>
      </c>
      <c r="O1617" t="s">
        <v>4770</v>
      </c>
    </row>
    <row r="1618" spans="1:15" x14ac:dyDescent="0.25">
      <c r="A1618" t="s">
        <v>18</v>
      </c>
      <c r="B1618" t="s">
        <v>4769</v>
      </c>
      <c r="C1618" t="s">
        <v>4771</v>
      </c>
      <c r="D1618" t="s">
        <v>20</v>
      </c>
      <c r="E1618" t="s">
        <v>11</v>
      </c>
      <c r="F1618">
        <v>15796.307999999999</v>
      </c>
      <c r="G1618">
        <v>18</v>
      </c>
      <c r="L1618" t="s">
        <v>4772</v>
      </c>
      <c r="O1618" t="s">
        <v>4773</v>
      </c>
    </row>
    <row r="1619" spans="1:15" x14ac:dyDescent="0.25">
      <c r="A1619" t="s">
        <v>18</v>
      </c>
      <c r="B1619" t="s">
        <v>4772</v>
      </c>
      <c r="C1619" t="s">
        <v>4774</v>
      </c>
      <c r="D1619" t="s">
        <v>20</v>
      </c>
      <c r="E1619" t="s">
        <v>11</v>
      </c>
      <c r="F1619">
        <v>17689.254</v>
      </c>
      <c r="G1619">
        <v>18</v>
      </c>
      <c r="L1619" t="s">
        <v>4775</v>
      </c>
      <c r="O1619" t="s">
        <v>4776</v>
      </c>
    </row>
    <row r="1620" spans="1:15" x14ac:dyDescent="0.25">
      <c r="A1620" t="s">
        <v>18</v>
      </c>
      <c r="B1620" t="s">
        <v>4775</v>
      </c>
      <c r="C1620" t="s">
        <v>4777</v>
      </c>
      <c r="D1620" t="s">
        <v>20</v>
      </c>
      <c r="E1620" t="s">
        <v>11</v>
      </c>
      <c r="F1620">
        <v>19973.843999999997</v>
      </c>
      <c r="G1620">
        <v>18</v>
      </c>
      <c r="L1620" t="s">
        <v>4778</v>
      </c>
      <c r="O1620" t="s">
        <v>4779</v>
      </c>
    </row>
    <row r="1621" spans="1:15" x14ac:dyDescent="0.25">
      <c r="A1621" t="s">
        <v>18</v>
      </c>
      <c r="B1621" t="s">
        <v>4778</v>
      </c>
      <c r="C1621" t="s">
        <v>4780</v>
      </c>
      <c r="D1621" t="s">
        <v>20</v>
      </c>
      <c r="E1621" t="s">
        <v>11</v>
      </c>
      <c r="F1621">
        <v>21997.338000000003</v>
      </c>
      <c r="G1621">
        <v>18</v>
      </c>
      <c r="L1621" t="s">
        <v>4781</v>
      </c>
      <c r="O1621" t="s">
        <v>4782</v>
      </c>
    </row>
    <row r="1622" spans="1:15" x14ac:dyDescent="0.25">
      <c r="A1622" t="s">
        <v>18</v>
      </c>
      <c r="B1622" t="s">
        <v>4781</v>
      </c>
      <c r="C1622" t="s">
        <v>4783</v>
      </c>
      <c r="D1622" t="s">
        <v>20</v>
      </c>
      <c r="E1622" t="s">
        <v>11</v>
      </c>
      <c r="F1622">
        <v>23172.27</v>
      </c>
      <c r="G1622">
        <v>18</v>
      </c>
      <c r="L1622" t="s">
        <v>4784</v>
      </c>
      <c r="O1622" t="s">
        <v>4785</v>
      </c>
    </row>
    <row r="1623" spans="1:15" x14ac:dyDescent="0.25">
      <c r="A1623" t="s">
        <v>18</v>
      </c>
      <c r="B1623" t="s">
        <v>4784</v>
      </c>
      <c r="C1623" t="s">
        <v>4786</v>
      </c>
      <c r="D1623" t="s">
        <v>20</v>
      </c>
      <c r="E1623" t="s">
        <v>11</v>
      </c>
      <c r="F1623">
        <v>2284.59</v>
      </c>
      <c r="G1623">
        <v>18</v>
      </c>
      <c r="L1623" t="s">
        <v>4787</v>
      </c>
      <c r="O1623" t="s">
        <v>4788</v>
      </c>
    </row>
    <row r="1624" spans="1:15" x14ac:dyDescent="0.25">
      <c r="A1624" t="s">
        <v>18</v>
      </c>
      <c r="B1624" t="s">
        <v>4787</v>
      </c>
      <c r="C1624" t="s">
        <v>4789</v>
      </c>
      <c r="D1624" t="s">
        <v>20</v>
      </c>
      <c r="E1624" t="s">
        <v>11</v>
      </c>
      <c r="F1624">
        <v>2219.316</v>
      </c>
      <c r="G1624">
        <v>18</v>
      </c>
      <c r="L1624" t="s">
        <v>4790</v>
      </c>
      <c r="O1624" t="s">
        <v>4791</v>
      </c>
    </row>
    <row r="1625" spans="1:15" x14ac:dyDescent="0.25">
      <c r="A1625" t="s">
        <v>18</v>
      </c>
      <c r="B1625" t="s">
        <v>4790</v>
      </c>
      <c r="C1625" t="s">
        <v>4792</v>
      </c>
      <c r="D1625" t="s">
        <v>20</v>
      </c>
      <c r="E1625" t="s">
        <v>11</v>
      </c>
      <c r="F1625">
        <v>718.014</v>
      </c>
      <c r="G1625">
        <v>18</v>
      </c>
      <c r="L1625" t="s">
        <v>4793</v>
      </c>
      <c r="O1625" t="s">
        <v>4794</v>
      </c>
    </row>
    <row r="1626" spans="1:15" x14ac:dyDescent="0.25">
      <c r="A1626" t="s">
        <v>18</v>
      </c>
      <c r="B1626" t="s">
        <v>4793</v>
      </c>
      <c r="C1626" t="s">
        <v>4795</v>
      </c>
      <c r="D1626" t="s">
        <v>20</v>
      </c>
      <c r="E1626" t="s">
        <v>11</v>
      </c>
      <c r="F1626">
        <v>8355.072</v>
      </c>
      <c r="G1626">
        <v>18</v>
      </c>
      <c r="L1626" t="s">
        <v>4796</v>
      </c>
      <c r="O1626" t="s">
        <v>4797</v>
      </c>
    </row>
    <row r="1627" spans="1:15" x14ac:dyDescent="0.25">
      <c r="A1627" t="s">
        <v>18</v>
      </c>
      <c r="B1627" t="s">
        <v>4796</v>
      </c>
      <c r="C1627" t="s">
        <v>4798</v>
      </c>
      <c r="D1627" t="s">
        <v>20</v>
      </c>
      <c r="E1627" t="s">
        <v>11</v>
      </c>
      <c r="F1627">
        <v>130.548</v>
      </c>
      <c r="G1627">
        <v>18</v>
      </c>
      <c r="L1627" t="s">
        <v>4799</v>
      </c>
      <c r="O1627" t="s">
        <v>4800</v>
      </c>
    </row>
    <row r="1628" spans="1:15" x14ac:dyDescent="0.25">
      <c r="A1628" t="s">
        <v>18</v>
      </c>
      <c r="B1628" t="s">
        <v>4799</v>
      </c>
      <c r="C1628" t="s">
        <v>4801</v>
      </c>
      <c r="D1628" t="s">
        <v>20</v>
      </c>
      <c r="E1628" t="s">
        <v>11</v>
      </c>
      <c r="F1628">
        <v>1827.672</v>
      </c>
      <c r="G1628">
        <v>18</v>
      </c>
      <c r="L1628" t="s">
        <v>4802</v>
      </c>
      <c r="O1628" t="s">
        <v>4803</v>
      </c>
    </row>
    <row r="1629" spans="1:15" x14ac:dyDescent="0.25">
      <c r="A1629" t="s">
        <v>18</v>
      </c>
      <c r="B1629" t="s">
        <v>4802</v>
      </c>
      <c r="C1629" t="s">
        <v>4804</v>
      </c>
      <c r="D1629" t="s">
        <v>20</v>
      </c>
      <c r="E1629" t="s">
        <v>11</v>
      </c>
      <c r="F1629">
        <v>1697.1239999999998</v>
      </c>
      <c r="G1629">
        <v>18</v>
      </c>
      <c r="L1629" t="s">
        <v>4805</v>
      </c>
      <c r="O1629" t="s">
        <v>4806</v>
      </c>
    </row>
    <row r="1630" spans="1:15" x14ac:dyDescent="0.25">
      <c r="A1630" t="s">
        <v>18</v>
      </c>
      <c r="B1630" t="s">
        <v>4805</v>
      </c>
      <c r="C1630" t="s">
        <v>4807</v>
      </c>
      <c r="D1630" t="s">
        <v>20</v>
      </c>
      <c r="E1630" t="s">
        <v>11</v>
      </c>
      <c r="F1630">
        <v>2023.494</v>
      </c>
      <c r="G1630">
        <v>18</v>
      </c>
      <c r="L1630" t="s">
        <v>4808</v>
      </c>
      <c r="O1630" t="s">
        <v>4809</v>
      </c>
    </row>
    <row r="1631" spans="1:15" x14ac:dyDescent="0.25">
      <c r="A1631" t="s">
        <v>18</v>
      </c>
      <c r="B1631" t="s">
        <v>4808</v>
      </c>
      <c r="C1631" t="s">
        <v>4810</v>
      </c>
      <c r="D1631" t="s">
        <v>20</v>
      </c>
      <c r="E1631" t="s">
        <v>11</v>
      </c>
      <c r="F1631">
        <v>1566.5759999999998</v>
      </c>
      <c r="G1631">
        <v>18</v>
      </c>
      <c r="L1631" t="s">
        <v>4811</v>
      </c>
      <c r="O1631" t="s">
        <v>4812</v>
      </c>
    </row>
    <row r="1632" spans="1:15" x14ac:dyDescent="0.25">
      <c r="A1632" t="s">
        <v>18</v>
      </c>
      <c r="B1632" t="s">
        <v>4811</v>
      </c>
      <c r="C1632" t="s">
        <v>4813</v>
      </c>
      <c r="D1632" t="s">
        <v>20</v>
      </c>
      <c r="E1632" t="s">
        <v>11</v>
      </c>
      <c r="F1632">
        <v>5613.563999999999</v>
      </c>
      <c r="G1632">
        <v>18</v>
      </c>
      <c r="L1632" t="s">
        <v>4814</v>
      </c>
      <c r="O1632" t="s">
        <v>4815</v>
      </c>
    </row>
    <row r="1633" spans="1:15" x14ac:dyDescent="0.25">
      <c r="A1633" t="s">
        <v>18</v>
      </c>
      <c r="B1633" t="s">
        <v>4814</v>
      </c>
      <c r="C1633" t="s">
        <v>4816</v>
      </c>
      <c r="D1633" t="s">
        <v>20</v>
      </c>
      <c r="E1633" t="s">
        <v>11</v>
      </c>
      <c r="F1633">
        <v>8028.701999999999</v>
      </c>
      <c r="G1633">
        <v>18</v>
      </c>
      <c r="L1633" t="s">
        <v>4817</v>
      </c>
      <c r="O1633" t="s">
        <v>4818</v>
      </c>
    </row>
    <row r="1634" spans="1:15" x14ac:dyDescent="0.25">
      <c r="A1634" t="s">
        <v>18</v>
      </c>
      <c r="B1634" t="s">
        <v>4817</v>
      </c>
      <c r="C1634" t="s">
        <v>4819</v>
      </c>
      <c r="D1634" t="s">
        <v>20</v>
      </c>
      <c r="E1634" t="s">
        <v>11</v>
      </c>
      <c r="F1634">
        <v>130.548</v>
      </c>
      <c r="G1634">
        <v>18</v>
      </c>
      <c r="L1634" t="s">
        <v>4820</v>
      </c>
      <c r="O1634" t="s">
        <v>4821</v>
      </c>
    </row>
    <row r="1635" spans="1:15" x14ac:dyDescent="0.25">
      <c r="A1635" t="s">
        <v>18</v>
      </c>
      <c r="B1635" t="s">
        <v>4820</v>
      </c>
      <c r="C1635" t="s">
        <v>4822</v>
      </c>
      <c r="D1635" t="s">
        <v>20</v>
      </c>
      <c r="E1635" t="s">
        <v>11</v>
      </c>
      <c r="F1635">
        <v>1109.658</v>
      </c>
      <c r="G1635">
        <v>18</v>
      </c>
      <c r="L1635" t="s">
        <v>4823</v>
      </c>
      <c r="O1635" t="s">
        <v>4824</v>
      </c>
    </row>
    <row r="1636" spans="1:15" x14ac:dyDescent="0.25">
      <c r="A1636" t="s">
        <v>18</v>
      </c>
      <c r="B1636" t="s">
        <v>4823</v>
      </c>
      <c r="C1636" t="s">
        <v>4825</v>
      </c>
      <c r="D1636" t="s">
        <v>20</v>
      </c>
      <c r="E1636" t="s">
        <v>11</v>
      </c>
      <c r="F1636">
        <v>587.4659999999999</v>
      </c>
      <c r="G1636">
        <v>18</v>
      </c>
      <c r="L1636" t="s">
        <v>4826</v>
      </c>
      <c r="O1636" t="s">
        <v>4827</v>
      </c>
    </row>
    <row r="1637" spans="1:15" x14ac:dyDescent="0.25">
      <c r="A1637" t="s">
        <v>18</v>
      </c>
      <c r="B1637" t="s">
        <v>4826</v>
      </c>
      <c r="C1637" t="s">
        <v>4828</v>
      </c>
      <c r="D1637" t="s">
        <v>20</v>
      </c>
      <c r="E1637" t="s">
        <v>11</v>
      </c>
      <c r="F1637">
        <v>1631.85</v>
      </c>
      <c r="G1637">
        <v>18</v>
      </c>
      <c r="L1637" t="s">
        <v>4829</v>
      </c>
      <c r="O1637" t="s">
        <v>4830</v>
      </c>
    </row>
    <row r="1638" spans="1:15" x14ac:dyDescent="0.25">
      <c r="A1638" t="s">
        <v>18</v>
      </c>
      <c r="B1638" t="s">
        <v>4829</v>
      </c>
      <c r="C1638" t="s">
        <v>4831</v>
      </c>
      <c r="D1638" t="s">
        <v>20</v>
      </c>
      <c r="E1638" t="s">
        <v>11</v>
      </c>
      <c r="F1638">
        <v>1631.85</v>
      </c>
      <c r="G1638">
        <v>18</v>
      </c>
      <c r="L1638" t="s">
        <v>4832</v>
      </c>
      <c r="O1638" t="s">
        <v>4833</v>
      </c>
    </row>
    <row r="1639" spans="1:15" x14ac:dyDescent="0.25">
      <c r="A1639" t="s">
        <v>18</v>
      </c>
      <c r="B1639" t="s">
        <v>4832</v>
      </c>
      <c r="C1639" t="s">
        <v>4834</v>
      </c>
      <c r="D1639" t="s">
        <v>20</v>
      </c>
      <c r="E1639" t="s">
        <v>11</v>
      </c>
      <c r="F1639">
        <v>1892.946</v>
      </c>
      <c r="G1639">
        <v>18</v>
      </c>
      <c r="L1639" t="s">
        <v>4835</v>
      </c>
      <c r="O1639" t="s">
        <v>4836</v>
      </c>
    </row>
    <row r="1640" spans="1:15" x14ac:dyDescent="0.25">
      <c r="A1640" t="s">
        <v>18</v>
      </c>
      <c r="B1640" t="s">
        <v>4835</v>
      </c>
      <c r="C1640" t="s">
        <v>4837</v>
      </c>
      <c r="D1640" t="s">
        <v>20</v>
      </c>
      <c r="E1640" t="s">
        <v>11</v>
      </c>
      <c r="F1640">
        <v>195.82199999999997</v>
      </c>
      <c r="G1640">
        <v>18</v>
      </c>
      <c r="L1640" t="s">
        <v>4838</v>
      </c>
      <c r="O1640" t="s">
        <v>4839</v>
      </c>
    </row>
    <row r="1641" spans="1:15" x14ac:dyDescent="0.25">
      <c r="A1641" t="s">
        <v>18</v>
      </c>
      <c r="B1641" t="s">
        <v>4838</v>
      </c>
      <c r="C1641" t="s">
        <v>4840</v>
      </c>
      <c r="D1641" t="s">
        <v>20</v>
      </c>
      <c r="E1641" t="s">
        <v>11</v>
      </c>
      <c r="F1641">
        <v>456.918</v>
      </c>
      <c r="G1641">
        <v>18</v>
      </c>
      <c r="L1641" t="s">
        <v>4841</v>
      </c>
      <c r="O1641" t="s">
        <v>4842</v>
      </c>
    </row>
    <row r="1642" spans="1:15" x14ac:dyDescent="0.25">
      <c r="A1642" t="s">
        <v>18</v>
      </c>
      <c r="B1642" t="s">
        <v>4841</v>
      </c>
      <c r="C1642" t="s">
        <v>4843</v>
      </c>
      <c r="D1642" t="s">
        <v>20</v>
      </c>
      <c r="E1642" t="s">
        <v>11</v>
      </c>
      <c r="F1642">
        <v>718.014</v>
      </c>
      <c r="G1642">
        <v>18</v>
      </c>
      <c r="L1642" t="s">
        <v>4844</v>
      </c>
      <c r="O1642" t="s">
        <v>4845</v>
      </c>
    </row>
    <row r="1643" spans="1:15" x14ac:dyDescent="0.25">
      <c r="A1643" t="s">
        <v>18</v>
      </c>
      <c r="B1643" t="s">
        <v>4844</v>
      </c>
      <c r="C1643" t="s">
        <v>4846</v>
      </c>
      <c r="D1643" t="s">
        <v>20</v>
      </c>
      <c r="E1643" t="s">
        <v>11</v>
      </c>
      <c r="F1643">
        <v>652.74</v>
      </c>
      <c r="G1643">
        <v>18</v>
      </c>
      <c r="L1643" t="s">
        <v>4847</v>
      </c>
      <c r="O1643" t="s">
        <v>4848</v>
      </c>
    </row>
    <row r="1644" spans="1:15" x14ac:dyDescent="0.25">
      <c r="A1644" t="s">
        <v>18</v>
      </c>
      <c r="B1644" t="s">
        <v>4847</v>
      </c>
      <c r="C1644" t="s">
        <v>4849</v>
      </c>
      <c r="D1644" t="s">
        <v>20</v>
      </c>
      <c r="E1644" t="s">
        <v>11</v>
      </c>
      <c r="F1644">
        <v>1631.85</v>
      </c>
      <c r="G1644">
        <v>18</v>
      </c>
      <c r="L1644" t="s">
        <v>4850</v>
      </c>
      <c r="O1644" t="s">
        <v>4851</v>
      </c>
    </row>
    <row r="1645" spans="1:15" x14ac:dyDescent="0.25">
      <c r="A1645" t="s">
        <v>18</v>
      </c>
      <c r="B1645" t="s">
        <v>4850</v>
      </c>
      <c r="C1645" t="s">
        <v>4852</v>
      </c>
      <c r="D1645" t="s">
        <v>20</v>
      </c>
      <c r="E1645" t="s">
        <v>11</v>
      </c>
      <c r="F1645">
        <v>2088.768</v>
      </c>
      <c r="G1645">
        <v>18</v>
      </c>
      <c r="L1645" t="s">
        <v>4853</v>
      </c>
      <c r="O1645" t="s">
        <v>4854</v>
      </c>
    </row>
    <row r="1646" spans="1:15" x14ac:dyDescent="0.25">
      <c r="A1646" t="s">
        <v>18</v>
      </c>
      <c r="B1646" t="s">
        <v>4853</v>
      </c>
      <c r="C1646" t="s">
        <v>4855</v>
      </c>
      <c r="D1646" t="s">
        <v>20</v>
      </c>
      <c r="E1646" t="s">
        <v>11</v>
      </c>
      <c r="F1646">
        <v>15208.841999999999</v>
      </c>
      <c r="G1646">
        <v>18</v>
      </c>
      <c r="L1646" t="s">
        <v>4856</v>
      </c>
      <c r="O1646" t="s">
        <v>4857</v>
      </c>
    </row>
    <row r="1647" spans="1:15" x14ac:dyDescent="0.25">
      <c r="A1647" t="s">
        <v>18</v>
      </c>
      <c r="B1647" t="s">
        <v>4856</v>
      </c>
      <c r="C1647" t="s">
        <v>4858</v>
      </c>
      <c r="D1647" t="s">
        <v>20</v>
      </c>
      <c r="E1647" t="s">
        <v>11</v>
      </c>
      <c r="F1647">
        <v>391.64399999999995</v>
      </c>
      <c r="G1647">
        <v>18</v>
      </c>
      <c r="L1647" t="s">
        <v>4859</v>
      </c>
      <c r="O1647" t="s">
        <v>4860</v>
      </c>
    </row>
    <row r="1648" spans="1:15" x14ac:dyDescent="0.25">
      <c r="A1648" t="s">
        <v>18</v>
      </c>
      <c r="B1648" t="s">
        <v>4859</v>
      </c>
      <c r="C1648" t="s">
        <v>4861</v>
      </c>
      <c r="D1648" t="s">
        <v>20</v>
      </c>
      <c r="E1648" t="s">
        <v>11</v>
      </c>
      <c r="F1648">
        <v>456.918</v>
      </c>
      <c r="G1648">
        <v>18</v>
      </c>
      <c r="L1648" t="s">
        <v>4862</v>
      </c>
      <c r="O1648" t="s">
        <v>4863</v>
      </c>
    </row>
    <row r="1649" spans="1:15" x14ac:dyDescent="0.25">
      <c r="A1649" t="s">
        <v>18</v>
      </c>
      <c r="B1649" t="s">
        <v>4862</v>
      </c>
      <c r="C1649" t="s">
        <v>4864</v>
      </c>
      <c r="D1649" t="s">
        <v>20</v>
      </c>
      <c r="E1649" t="s">
        <v>11</v>
      </c>
      <c r="F1649">
        <v>848.5619999999999</v>
      </c>
      <c r="G1649">
        <v>18</v>
      </c>
      <c r="L1649" t="s">
        <v>4865</v>
      </c>
      <c r="O1649" t="s">
        <v>4866</v>
      </c>
    </row>
    <row r="1650" spans="1:15" x14ac:dyDescent="0.25">
      <c r="A1650" t="s">
        <v>18</v>
      </c>
      <c r="B1650" t="s">
        <v>4865</v>
      </c>
      <c r="C1650" t="s">
        <v>4867</v>
      </c>
      <c r="D1650" t="s">
        <v>20</v>
      </c>
      <c r="E1650" t="s">
        <v>11</v>
      </c>
      <c r="F1650">
        <v>587.4659999999999</v>
      </c>
      <c r="G1650">
        <v>18</v>
      </c>
      <c r="L1650" t="s">
        <v>4868</v>
      </c>
      <c r="O1650" t="s">
        <v>4869</v>
      </c>
    </row>
    <row r="1651" spans="1:15" x14ac:dyDescent="0.25">
      <c r="A1651" t="s">
        <v>18</v>
      </c>
      <c r="B1651" t="s">
        <v>4868</v>
      </c>
      <c r="C1651" t="s">
        <v>4870</v>
      </c>
      <c r="D1651" t="s">
        <v>20</v>
      </c>
      <c r="E1651" t="s">
        <v>11</v>
      </c>
      <c r="F1651">
        <v>522.192</v>
      </c>
      <c r="G1651">
        <v>18</v>
      </c>
      <c r="L1651" t="s">
        <v>4871</v>
      </c>
      <c r="O1651" t="s">
        <v>4872</v>
      </c>
    </row>
    <row r="1652" spans="1:15" x14ac:dyDescent="0.25">
      <c r="A1652" t="s">
        <v>18</v>
      </c>
      <c r="B1652" t="s">
        <v>4871</v>
      </c>
      <c r="C1652" t="s">
        <v>4873</v>
      </c>
      <c r="D1652" t="s">
        <v>20</v>
      </c>
      <c r="E1652" t="s">
        <v>11</v>
      </c>
      <c r="F1652">
        <v>783.2879999999999</v>
      </c>
      <c r="G1652">
        <v>18</v>
      </c>
      <c r="L1652" t="s">
        <v>4874</v>
      </c>
      <c r="O1652" t="s">
        <v>4875</v>
      </c>
    </row>
    <row r="1653" spans="1:15" x14ac:dyDescent="0.25">
      <c r="A1653" t="s">
        <v>18</v>
      </c>
      <c r="B1653" t="s">
        <v>4874</v>
      </c>
      <c r="C1653" t="s">
        <v>4876</v>
      </c>
      <c r="D1653" t="s">
        <v>20</v>
      </c>
      <c r="E1653" t="s">
        <v>11</v>
      </c>
      <c r="F1653">
        <v>391.64399999999995</v>
      </c>
      <c r="G1653">
        <v>18</v>
      </c>
      <c r="L1653" t="s">
        <v>4877</v>
      </c>
      <c r="O1653" t="s">
        <v>4878</v>
      </c>
    </row>
    <row r="1654" spans="1:15" x14ac:dyDescent="0.25">
      <c r="A1654" t="s">
        <v>18</v>
      </c>
      <c r="B1654" t="s">
        <v>4877</v>
      </c>
      <c r="C1654" t="s">
        <v>4879</v>
      </c>
      <c r="D1654" t="s">
        <v>20</v>
      </c>
      <c r="E1654" t="s">
        <v>11</v>
      </c>
      <c r="F1654">
        <v>848.5619999999999</v>
      </c>
      <c r="G1654">
        <v>18</v>
      </c>
      <c r="L1654" t="s">
        <v>4880</v>
      </c>
      <c r="O1654" t="s">
        <v>4881</v>
      </c>
    </row>
    <row r="1655" spans="1:15" x14ac:dyDescent="0.25">
      <c r="A1655" t="s">
        <v>18</v>
      </c>
      <c r="B1655" t="s">
        <v>4880</v>
      </c>
      <c r="C1655" t="s">
        <v>4882</v>
      </c>
      <c r="D1655" t="s">
        <v>20</v>
      </c>
      <c r="E1655" t="s">
        <v>11</v>
      </c>
      <c r="F1655">
        <v>456.918</v>
      </c>
      <c r="G1655">
        <v>18</v>
      </c>
      <c r="L1655" t="s">
        <v>4883</v>
      </c>
      <c r="O1655" t="s">
        <v>4884</v>
      </c>
    </row>
    <row r="1656" spans="1:15" x14ac:dyDescent="0.25">
      <c r="A1656" t="s">
        <v>18</v>
      </c>
      <c r="B1656" t="s">
        <v>4883</v>
      </c>
      <c r="C1656" t="s">
        <v>4885</v>
      </c>
      <c r="D1656" t="s">
        <v>20</v>
      </c>
      <c r="E1656" t="s">
        <v>11</v>
      </c>
      <c r="F1656">
        <v>4830.276</v>
      </c>
      <c r="G1656">
        <v>18</v>
      </c>
      <c r="L1656" t="s">
        <v>4886</v>
      </c>
      <c r="O1656" t="s">
        <v>4887</v>
      </c>
    </row>
    <row r="1657" spans="1:15" x14ac:dyDescent="0.25">
      <c r="A1657" t="s">
        <v>18</v>
      </c>
      <c r="B1657" t="s">
        <v>4886</v>
      </c>
      <c r="C1657" t="s">
        <v>4888</v>
      </c>
      <c r="D1657" t="s">
        <v>20</v>
      </c>
      <c r="E1657" t="s">
        <v>11</v>
      </c>
      <c r="F1657">
        <v>391.64399999999995</v>
      </c>
      <c r="G1657">
        <v>18</v>
      </c>
      <c r="L1657" t="s">
        <v>4889</v>
      </c>
      <c r="O1657" t="s">
        <v>4890</v>
      </c>
    </row>
    <row r="1658" spans="1:15" x14ac:dyDescent="0.25">
      <c r="A1658" t="s">
        <v>18</v>
      </c>
      <c r="B1658" t="s">
        <v>4889</v>
      </c>
      <c r="C1658" t="s">
        <v>4891</v>
      </c>
      <c r="D1658" t="s">
        <v>20</v>
      </c>
      <c r="E1658" t="s">
        <v>11</v>
      </c>
      <c r="F1658">
        <v>783.2879999999999</v>
      </c>
      <c r="G1658">
        <v>18</v>
      </c>
      <c r="L1658" t="s">
        <v>4892</v>
      </c>
      <c r="O1658" t="s">
        <v>4893</v>
      </c>
    </row>
    <row r="1659" spans="1:15" x14ac:dyDescent="0.25">
      <c r="A1659" t="s">
        <v>18</v>
      </c>
      <c r="B1659" t="s">
        <v>4892</v>
      </c>
      <c r="C1659" t="s">
        <v>4894</v>
      </c>
      <c r="D1659" t="s">
        <v>20</v>
      </c>
      <c r="E1659" t="s">
        <v>11</v>
      </c>
      <c r="F1659">
        <v>522.192</v>
      </c>
      <c r="G1659">
        <v>18</v>
      </c>
      <c r="L1659" t="s">
        <v>4895</v>
      </c>
      <c r="O1659" t="s">
        <v>4896</v>
      </c>
    </row>
    <row r="1660" spans="1:15" x14ac:dyDescent="0.25">
      <c r="A1660" t="s">
        <v>18</v>
      </c>
      <c r="B1660" t="s">
        <v>4895</v>
      </c>
      <c r="C1660" t="s">
        <v>4897</v>
      </c>
      <c r="D1660" t="s">
        <v>20</v>
      </c>
      <c r="E1660" t="s">
        <v>11</v>
      </c>
      <c r="F1660">
        <v>848.5619999999999</v>
      </c>
      <c r="G1660">
        <v>18</v>
      </c>
      <c r="L1660" t="s">
        <v>4898</v>
      </c>
      <c r="O1660" t="s">
        <v>4899</v>
      </c>
    </row>
    <row r="1661" spans="1:15" x14ac:dyDescent="0.25">
      <c r="A1661" t="s">
        <v>18</v>
      </c>
      <c r="B1661" t="s">
        <v>4898</v>
      </c>
      <c r="C1661" t="s">
        <v>4900</v>
      </c>
      <c r="D1661" t="s">
        <v>20</v>
      </c>
      <c r="E1661" t="s">
        <v>11</v>
      </c>
      <c r="F1661">
        <v>130.548</v>
      </c>
      <c r="G1661">
        <v>18</v>
      </c>
      <c r="L1661" t="s">
        <v>4901</v>
      </c>
      <c r="O1661" t="s">
        <v>4902</v>
      </c>
    </row>
    <row r="1662" spans="1:15" x14ac:dyDescent="0.25">
      <c r="A1662" t="s">
        <v>18</v>
      </c>
      <c r="B1662" t="s">
        <v>4901</v>
      </c>
      <c r="C1662" t="s">
        <v>4903</v>
      </c>
      <c r="D1662" t="s">
        <v>20</v>
      </c>
      <c r="E1662" t="s">
        <v>11</v>
      </c>
      <c r="F1662">
        <v>391.64399999999995</v>
      </c>
      <c r="G1662">
        <v>18</v>
      </c>
      <c r="L1662" t="s">
        <v>4904</v>
      </c>
      <c r="O1662" t="s">
        <v>4905</v>
      </c>
    </row>
    <row r="1663" spans="1:15" x14ac:dyDescent="0.25">
      <c r="A1663" t="s">
        <v>18</v>
      </c>
      <c r="B1663" t="s">
        <v>4904</v>
      </c>
      <c r="C1663" t="s">
        <v>4906</v>
      </c>
      <c r="D1663" t="s">
        <v>20</v>
      </c>
      <c r="E1663" t="s">
        <v>11</v>
      </c>
      <c r="F1663">
        <v>391.64399999999995</v>
      </c>
      <c r="G1663">
        <v>18</v>
      </c>
      <c r="L1663" t="s">
        <v>4907</v>
      </c>
      <c r="O1663" t="s">
        <v>4908</v>
      </c>
    </row>
    <row r="1664" spans="1:15" x14ac:dyDescent="0.25">
      <c r="A1664" t="s">
        <v>18</v>
      </c>
      <c r="B1664" t="s">
        <v>4907</v>
      </c>
      <c r="C1664" t="s">
        <v>4909</v>
      </c>
      <c r="D1664" t="s">
        <v>20</v>
      </c>
      <c r="E1664" t="s">
        <v>11</v>
      </c>
      <c r="F1664">
        <v>783.2879999999999</v>
      </c>
      <c r="G1664">
        <v>18</v>
      </c>
      <c r="L1664" t="s">
        <v>4910</v>
      </c>
      <c r="O1664" t="s">
        <v>4911</v>
      </c>
    </row>
    <row r="1665" spans="1:15" x14ac:dyDescent="0.25">
      <c r="A1665" t="s">
        <v>18</v>
      </c>
      <c r="B1665" t="s">
        <v>4910</v>
      </c>
      <c r="C1665" t="s">
        <v>4912</v>
      </c>
      <c r="D1665" t="s">
        <v>20</v>
      </c>
      <c r="E1665" t="s">
        <v>11</v>
      </c>
      <c r="F1665">
        <v>130.548</v>
      </c>
      <c r="G1665">
        <v>18</v>
      </c>
      <c r="L1665" t="s">
        <v>4913</v>
      </c>
      <c r="O1665" t="s">
        <v>4914</v>
      </c>
    </row>
    <row r="1666" spans="1:15" x14ac:dyDescent="0.25">
      <c r="A1666" t="s">
        <v>18</v>
      </c>
      <c r="B1666" t="s">
        <v>4913</v>
      </c>
      <c r="C1666" t="s">
        <v>4915</v>
      </c>
      <c r="D1666" t="s">
        <v>20</v>
      </c>
      <c r="E1666" t="s">
        <v>11</v>
      </c>
      <c r="F1666">
        <v>391.64399999999995</v>
      </c>
      <c r="G1666">
        <v>18</v>
      </c>
      <c r="L1666" t="s">
        <v>4916</v>
      </c>
      <c r="O1666" t="s">
        <v>4917</v>
      </c>
    </row>
    <row r="1667" spans="1:15" x14ac:dyDescent="0.25">
      <c r="A1667" t="s">
        <v>18</v>
      </c>
      <c r="B1667" t="s">
        <v>4916</v>
      </c>
      <c r="C1667" t="s">
        <v>4918</v>
      </c>
      <c r="D1667" t="s">
        <v>20</v>
      </c>
      <c r="E1667" t="s">
        <v>11</v>
      </c>
      <c r="F1667">
        <v>522.192</v>
      </c>
      <c r="G1667">
        <v>18</v>
      </c>
      <c r="L1667" t="s">
        <v>4919</v>
      </c>
      <c r="O1667" t="s">
        <v>4920</v>
      </c>
    </row>
    <row r="1668" spans="1:15" x14ac:dyDescent="0.25">
      <c r="A1668" t="s">
        <v>18</v>
      </c>
      <c r="B1668" t="s">
        <v>4919</v>
      </c>
      <c r="C1668" t="s">
        <v>4921</v>
      </c>
      <c r="D1668" t="s">
        <v>20</v>
      </c>
      <c r="E1668" t="s">
        <v>11</v>
      </c>
      <c r="F1668">
        <v>195.82199999999997</v>
      </c>
      <c r="G1668">
        <v>18</v>
      </c>
      <c r="L1668" t="s">
        <v>4922</v>
      </c>
      <c r="O1668" t="s">
        <v>4923</v>
      </c>
    </row>
    <row r="1669" spans="1:15" x14ac:dyDescent="0.25">
      <c r="A1669" t="s">
        <v>18</v>
      </c>
      <c r="B1669" t="s">
        <v>4922</v>
      </c>
      <c r="C1669" t="s">
        <v>4924</v>
      </c>
      <c r="D1669" t="s">
        <v>20</v>
      </c>
      <c r="E1669" t="s">
        <v>11</v>
      </c>
      <c r="F1669">
        <v>130.548</v>
      </c>
      <c r="G1669">
        <v>18</v>
      </c>
      <c r="L1669" t="s">
        <v>4925</v>
      </c>
      <c r="O1669" t="s">
        <v>4926</v>
      </c>
    </row>
    <row r="1670" spans="1:15" x14ac:dyDescent="0.25">
      <c r="A1670" t="s">
        <v>18</v>
      </c>
      <c r="B1670" t="s">
        <v>4925</v>
      </c>
      <c r="C1670" t="s">
        <v>4927</v>
      </c>
      <c r="D1670" t="s">
        <v>20</v>
      </c>
      <c r="E1670" t="s">
        <v>11</v>
      </c>
      <c r="F1670">
        <v>1109.658</v>
      </c>
      <c r="G1670">
        <v>18</v>
      </c>
      <c r="L1670" t="s">
        <v>4928</v>
      </c>
      <c r="O1670" t="s">
        <v>4929</v>
      </c>
    </row>
    <row r="1671" spans="1:15" x14ac:dyDescent="0.25">
      <c r="A1671" t="s">
        <v>18</v>
      </c>
      <c r="B1671" t="s">
        <v>4928</v>
      </c>
      <c r="C1671" t="s">
        <v>4930</v>
      </c>
      <c r="D1671" t="s">
        <v>20</v>
      </c>
      <c r="E1671" t="s">
        <v>11</v>
      </c>
      <c r="F1671">
        <v>587.4659999999999</v>
      </c>
      <c r="G1671">
        <v>18</v>
      </c>
      <c r="L1671" t="s">
        <v>4931</v>
      </c>
      <c r="O1671" t="s">
        <v>4932</v>
      </c>
    </row>
    <row r="1672" spans="1:15" x14ac:dyDescent="0.25">
      <c r="A1672" t="s">
        <v>18</v>
      </c>
      <c r="B1672" t="s">
        <v>4931</v>
      </c>
      <c r="C1672" t="s">
        <v>4933</v>
      </c>
      <c r="D1672" t="s">
        <v>20</v>
      </c>
      <c r="E1672" t="s">
        <v>11</v>
      </c>
      <c r="F1672">
        <v>326.37</v>
      </c>
      <c r="G1672">
        <v>18</v>
      </c>
      <c r="L1672" t="s">
        <v>4934</v>
      </c>
      <c r="O1672" t="s">
        <v>4935</v>
      </c>
    </row>
    <row r="1673" spans="1:15" x14ac:dyDescent="0.25">
      <c r="A1673" t="s">
        <v>18</v>
      </c>
      <c r="B1673" t="s">
        <v>4934</v>
      </c>
      <c r="C1673" t="s">
        <v>4936</v>
      </c>
      <c r="D1673" t="s">
        <v>20</v>
      </c>
      <c r="E1673" t="s">
        <v>11</v>
      </c>
      <c r="F1673">
        <v>14947.746</v>
      </c>
      <c r="G1673">
        <v>18</v>
      </c>
      <c r="L1673" t="s">
        <v>4937</v>
      </c>
      <c r="O1673" t="s">
        <v>4938</v>
      </c>
    </row>
    <row r="1674" spans="1:15" x14ac:dyDescent="0.25">
      <c r="A1674" t="s">
        <v>18</v>
      </c>
      <c r="B1674" t="s">
        <v>4937</v>
      </c>
      <c r="C1674" t="s">
        <v>4939</v>
      </c>
      <c r="D1674" t="s">
        <v>20</v>
      </c>
      <c r="E1674" t="s">
        <v>11</v>
      </c>
      <c r="F1674">
        <v>2023.494</v>
      </c>
      <c r="G1674">
        <v>18</v>
      </c>
      <c r="L1674" t="s">
        <v>4940</v>
      </c>
      <c r="O1674" t="s">
        <v>4941</v>
      </c>
    </row>
    <row r="1675" spans="1:15" x14ac:dyDescent="0.25">
      <c r="A1675" t="s">
        <v>18</v>
      </c>
      <c r="B1675" t="s">
        <v>4940</v>
      </c>
      <c r="C1675" t="s">
        <v>4942</v>
      </c>
      <c r="D1675" t="s">
        <v>20</v>
      </c>
      <c r="E1675" t="s">
        <v>11</v>
      </c>
      <c r="F1675">
        <v>1370.754</v>
      </c>
      <c r="G1675">
        <v>18</v>
      </c>
      <c r="L1675" t="s">
        <v>4943</v>
      </c>
      <c r="O1675" t="s">
        <v>4944</v>
      </c>
    </row>
    <row r="1676" spans="1:15" x14ac:dyDescent="0.25">
      <c r="A1676" t="s">
        <v>18</v>
      </c>
      <c r="B1676" t="s">
        <v>4943</v>
      </c>
      <c r="C1676" t="s">
        <v>4945</v>
      </c>
      <c r="D1676" t="s">
        <v>20</v>
      </c>
      <c r="E1676" t="s">
        <v>11</v>
      </c>
      <c r="F1676">
        <v>652.74</v>
      </c>
      <c r="G1676">
        <v>18</v>
      </c>
      <c r="L1676" t="s">
        <v>4946</v>
      </c>
      <c r="O1676" t="s">
        <v>4947</v>
      </c>
    </row>
    <row r="1677" spans="1:15" x14ac:dyDescent="0.25">
      <c r="A1677" t="s">
        <v>18</v>
      </c>
      <c r="B1677" t="s">
        <v>4946</v>
      </c>
      <c r="C1677" t="s">
        <v>4948</v>
      </c>
      <c r="D1677" t="s">
        <v>20</v>
      </c>
      <c r="E1677" t="s">
        <v>11</v>
      </c>
      <c r="F1677">
        <v>848.5619999999999</v>
      </c>
      <c r="G1677">
        <v>18</v>
      </c>
      <c r="L1677" t="s">
        <v>4949</v>
      </c>
      <c r="O1677" t="s">
        <v>4950</v>
      </c>
    </row>
    <row r="1678" spans="1:15" x14ac:dyDescent="0.25">
      <c r="A1678" t="s">
        <v>18</v>
      </c>
      <c r="B1678" t="s">
        <v>4949</v>
      </c>
      <c r="C1678" t="s">
        <v>4951</v>
      </c>
      <c r="D1678" t="s">
        <v>20</v>
      </c>
      <c r="E1678" t="s">
        <v>11</v>
      </c>
      <c r="F1678">
        <v>913.836</v>
      </c>
      <c r="G1678">
        <v>18</v>
      </c>
      <c r="L1678" t="s">
        <v>4952</v>
      </c>
      <c r="O1678" t="s">
        <v>4953</v>
      </c>
    </row>
    <row r="1679" spans="1:15" x14ac:dyDescent="0.25">
      <c r="A1679" t="s">
        <v>18</v>
      </c>
      <c r="B1679" t="s">
        <v>4952</v>
      </c>
      <c r="C1679" t="s">
        <v>4954</v>
      </c>
      <c r="D1679" t="s">
        <v>20</v>
      </c>
      <c r="E1679" t="s">
        <v>11</v>
      </c>
      <c r="F1679">
        <v>130.548</v>
      </c>
      <c r="G1679">
        <v>18</v>
      </c>
      <c r="L1679" t="s">
        <v>4955</v>
      </c>
      <c r="O1679" t="s">
        <v>4956</v>
      </c>
    </row>
    <row r="1680" spans="1:15" x14ac:dyDescent="0.25">
      <c r="A1680" t="s">
        <v>18</v>
      </c>
      <c r="B1680" t="s">
        <v>4955</v>
      </c>
      <c r="C1680" t="s">
        <v>4957</v>
      </c>
      <c r="D1680" t="s">
        <v>20</v>
      </c>
      <c r="E1680" t="s">
        <v>11</v>
      </c>
      <c r="F1680">
        <v>130.548</v>
      </c>
      <c r="G1680">
        <v>18</v>
      </c>
      <c r="L1680" t="s">
        <v>4958</v>
      </c>
      <c r="O1680" t="s">
        <v>4959</v>
      </c>
    </row>
    <row r="1681" spans="1:15" x14ac:dyDescent="0.25">
      <c r="A1681" t="s">
        <v>18</v>
      </c>
      <c r="B1681" t="s">
        <v>4958</v>
      </c>
      <c r="C1681" t="s">
        <v>4960</v>
      </c>
      <c r="D1681" t="s">
        <v>20</v>
      </c>
      <c r="E1681" t="s">
        <v>11</v>
      </c>
      <c r="F1681">
        <v>195.82199999999997</v>
      </c>
      <c r="G1681">
        <v>18</v>
      </c>
      <c r="L1681" t="s">
        <v>4961</v>
      </c>
      <c r="O1681" t="s">
        <v>4962</v>
      </c>
    </row>
    <row r="1682" spans="1:15" x14ac:dyDescent="0.25">
      <c r="A1682" t="s">
        <v>18</v>
      </c>
      <c r="B1682" t="s">
        <v>4961</v>
      </c>
      <c r="C1682" t="s">
        <v>4963</v>
      </c>
      <c r="D1682" t="s">
        <v>20</v>
      </c>
      <c r="E1682" t="s">
        <v>11</v>
      </c>
      <c r="F1682">
        <v>130.548</v>
      </c>
      <c r="G1682">
        <v>18</v>
      </c>
      <c r="L1682" t="s">
        <v>4964</v>
      </c>
      <c r="O1682" t="s">
        <v>4965</v>
      </c>
    </row>
    <row r="1683" spans="1:15" x14ac:dyDescent="0.25">
      <c r="A1683" t="s">
        <v>18</v>
      </c>
      <c r="B1683" t="s">
        <v>4964</v>
      </c>
      <c r="C1683" t="s">
        <v>4966</v>
      </c>
      <c r="D1683" t="s">
        <v>20</v>
      </c>
      <c r="E1683" t="s">
        <v>11</v>
      </c>
      <c r="F1683">
        <v>2349.8639999999996</v>
      </c>
      <c r="G1683">
        <v>18</v>
      </c>
      <c r="L1683" t="s">
        <v>4967</v>
      </c>
      <c r="O1683" t="s">
        <v>4968</v>
      </c>
    </row>
    <row r="1684" spans="1:15" x14ac:dyDescent="0.25">
      <c r="A1684" t="s">
        <v>18</v>
      </c>
      <c r="B1684" t="s">
        <v>4967</v>
      </c>
      <c r="C1684" t="s">
        <v>4969</v>
      </c>
      <c r="D1684" t="s">
        <v>20</v>
      </c>
      <c r="E1684" t="s">
        <v>11</v>
      </c>
      <c r="F1684">
        <v>783.2879999999999</v>
      </c>
      <c r="G1684">
        <v>18</v>
      </c>
      <c r="L1684" t="s">
        <v>4970</v>
      </c>
      <c r="O1684" t="s">
        <v>4971</v>
      </c>
    </row>
    <row r="1685" spans="1:15" x14ac:dyDescent="0.25">
      <c r="A1685" t="s">
        <v>18</v>
      </c>
      <c r="B1685" t="s">
        <v>4970</v>
      </c>
      <c r="C1685" t="s">
        <v>4972</v>
      </c>
      <c r="D1685" t="s">
        <v>20</v>
      </c>
      <c r="E1685" t="s">
        <v>11</v>
      </c>
      <c r="F1685">
        <v>130.548</v>
      </c>
      <c r="G1685">
        <v>18</v>
      </c>
      <c r="L1685" t="s">
        <v>4973</v>
      </c>
      <c r="O1685" t="s">
        <v>4974</v>
      </c>
    </row>
    <row r="1686" spans="1:15" x14ac:dyDescent="0.25">
      <c r="A1686" t="s">
        <v>18</v>
      </c>
      <c r="B1686" t="s">
        <v>4973</v>
      </c>
      <c r="C1686" t="s">
        <v>4975</v>
      </c>
      <c r="D1686" t="s">
        <v>20</v>
      </c>
      <c r="E1686" t="s">
        <v>11</v>
      </c>
      <c r="F1686">
        <v>31592.615999999998</v>
      </c>
      <c r="G1686">
        <v>18</v>
      </c>
      <c r="L1686" t="s">
        <v>4976</v>
      </c>
      <c r="O1686" t="s">
        <v>4977</v>
      </c>
    </row>
    <row r="1687" spans="1:15" x14ac:dyDescent="0.25">
      <c r="A1687" t="s">
        <v>18</v>
      </c>
      <c r="B1687" t="s">
        <v>4976</v>
      </c>
      <c r="C1687" t="s">
        <v>4978</v>
      </c>
      <c r="D1687" t="s">
        <v>20</v>
      </c>
      <c r="E1687" t="s">
        <v>11</v>
      </c>
      <c r="F1687">
        <v>652.74</v>
      </c>
      <c r="G1687">
        <v>18</v>
      </c>
      <c r="L1687" t="s">
        <v>4979</v>
      </c>
      <c r="O1687" t="s">
        <v>4980</v>
      </c>
    </row>
    <row r="1688" spans="1:15" x14ac:dyDescent="0.25">
      <c r="A1688" t="s">
        <v>18</v>
      </c>
      <c r="B1688" t="s">
        <v>4979</v>
      </c>
      <c r="C1688" t="s">
        <v>4981</v>
      </c>
      <c r="D1688" t="s">
        <v>20</v>
      </c>
      <c r="E1688" t="s">
        <v>11</v>
      </c>
      <c r="F1688">
        <v>4569.18</v>
      </c>
      <c r="G1688">
        <v>18</v>
      </c>
      <c r="L1688" t="s">
        <v>4982</v>
      </c>
      <c r="O1688" t="s">
        <v>4983</v>
      </c>
    </row>
    <row r="1689" spans="1:15" x14ac:dyDescent="0.25">
      <c r="A1689" t="s">
        <v>18</v>
      </c>
      <c r="B1689" t="s">
        <v>4982</v>
      </c>
      <c r="C1689" t="s">
        <v>4984</v>
      </c>
      <c r="D1689" t="s">
        <v>20</v>
      </c>
      <c r="E1689" t="s">
        <v>11</v>
      </c>
      <c r="F1689">
        <v>14229.732</v>
      </c>
      <c r="G1689">
        <v>18</v>
      </c>
      <c r="L1689" t="s">
        <v>4985</v>
      </c>
      <c r="O1689" t="s">
        <v>4986</v>
      </c>
    </row>
    <row r="1690" spans="1:15" x14ac:dyDescent="0.25">
      <c r="A1690" t="s">
        <v>18</v>
      </c>
      <c r="B1690" t="s">
        <v>4985</v>
      </c>
      <c r="C1690" t="s">
        <v>4987</v>
      </c>
      <c r="D1690" t="s">
        <v>20</v>
      </c>
      <c r="E1690" t="s">
        <v>11</v>
      </c>
      <c r="F1690">
        <v>4830.276</v>
      </c>
      <c r="G1690">
        <v>18</v>
      </c>
      <c r="L1690" t="s">
        <v>4988</v>
      </c>
      <c r="O1690" t="s">
        <v>4989</v>
      </c>
    </row>
    <row r="1691" spans="1:15" x14ac:dyDescent="0.25">
      <c r="A1691" t="s">
        <v>18</v>
      </c>
      <c r="B1691" t="s">
        <v>4988</v>
      </c>
      <c r="C1691" t="s">
        <v>4990</v>
      </c>
      <c r="D1691" t="s">
        <v>20</v>
      </c>
      <c r="E1691" t="s">
        <v>11</v>
      </c>
      <c r="F1691">
        <v>8420.346</v>
      </c>
      <c r="G1691">
        <v>18</v>
      </c>
      <c r="L1691" t="s">
        <v>4991</v>
      </c>
      <c r="O1691" t="s">
        <v>4992</v>
      </c>
    </row>
    <row r="1692" spans="1:15" x14ac:dyDescent="0.25">
      <c r="A1692" t="s">
        <v>18</v>
      </c>
      <c r="B1692" t="s">
        <v>4991</v>
      </c>
      <c r="C1692" t="s">
        <v>4993</v>
      </c>
      <c r="D1692" t="s">
        <v>20</v>
      </c>
      <c r="E1692" t="s">
        <v>11</v>
      </c>
      <c r="F1692">
        <v>1044.384</v>
      </c>
      <c r="G1692">
        <v>18</v>
      </c>
      <c r="L1692" t="s">
        <v>4994</v>
      </c>
      <c r="O1692" t="s">
        <v>4995</v>
      </c>
    </row>
    <row r="1693" spans="1:15" x14ac:dyDescent="0.25">
      <c r="A1693" t="s">
        <v>18</v>
      </c>
      <c r="B1693" t="s">
        <v>4994</v>
      </c>
      <c r="C1693" t="s">
        <v>4996</v>
      </c>
      <c r="D1693" t="s">
        <v>20</v>
      </c>
      <c r="E1693" t="s">
        <v>11</v>
      </c>
      <c r="F1693">
        <v>326.37</v>
      </c>
      <c r="G1693">
        <v>18</v>
      </c>
      <c r="L1693" t="s">
        <v>4997</v>
      </c>
      <c r="O1693" t="s">
        <v>4998</v>
      </c>
    </row>
    <row r="1694" spans="1:15" x14ac:dyDescent="0.25">
      <c r="A1694" t="s">
        <v>18</v>
      </c>
      <c r="B1694" t="s">
        <v>4997</v>
      </c>
      <c r="C1694" t="s">
        <v>4999</v>
      </c>
      <c r="D1694" t="s">
        <v>20</v>
      </c>
      <c r="E1694" t="s">
        <v>11</v>
      </c>
      <c r="F1694">
        <v>2872.056</v>
      </c>
      <c r="G1694">
        <v>18</v>
      </c>
      <c r="L1694" t="s">
        <v>5000</v>
      </c>
      <c r="O1694" t="s">
        <v>5001</v>
      </c>
    </row>
    <row r="1695" spans="1:15" x14ac:dyDescent="0.25">
      <c r="A1695" t="s">
        <v>18</v>
      </c>
      <c r="B1695" t="s">
        <v>5000</v>
      </c>
      <c r="C1695" t="s">
        <v>5002</v>
      </c>
      <c r="D1695" t="s">
        <v>20</v>
      </c>
      <c r="E1695" t="s">
        <v>11</v>
      </c>
      <c r="F1695">
        <v>130.548</v>
      </c>
      <c r="G1695">
        <v>18</v>
      </c>
      <c r="L1695" t="s">
        <v>5003</v>
      </c>
      <c r="O1695" t="s">
        <v>5004</v>
      </c>
    </row>
    <row r="1696" spans="1:15" x14ac:dyDescent="0.25">
      <c r="A1696" t="s">
        <v>18</v>
      </c>
      <c r="B1696" t="s">
        <v>5003</v>
      </c>
      <c r="C1696" t="s">
        <v>5005</v>
      </c>
      <c r="D1696" t="s">
        <v>20</v>
      </c>
      <c r="E1696" t="s">
        <v>11</v>
      </c>
      <c r="F1696">
        <v>718.014</v>
      </c>
      <c r="G1696">
        <v>18</v>
      </c>
      <c r="L1696" t="s">
        <v>5006</v>
      </c>
      <c r="O1696" t="s">
        <v>5007</v>
      </c>
    </row>
    <row r="1697" spans="1:15" x14ac:dyDescent="0.25">
      <c r="A1697" t="s">
        <v>18</v>
      </c>
      <c r="B1697" t="s">
        <v>5006</v>
      </c>
      <c r="C1697" t="s">
        <v>5008</v>
      </c>
      <c r="D1697" t="s">
        <v>20</v>
      </c>
      <c r="E1697" t="s">
        <v>11</v>
      </c>
      <c r="F1697">
        <v>587.4659999999999</v>
      </c>
      <c r="G1697">
        <v>18</v>
      </c>
      <c r="L1697" t="s">
        <v>5009</v>
      </c>
      <c r="O1697" t="s">
        <v>5010</v>
      </c>
    </row>
    <row r="1698" spans="1:15" x14ac:dyDescent="0.25">
      <c r="A1698" t="s">
        <v>18</v>
      </c>
      <c r="B1698" t="s">
        <v>5009</v>
      </c>
      <c r="C1698" t="s">
        <v>5011</v>
      </c>
      <c r="D1698" t="s">
        <v>20</v>
      </c>
      <c r="E1698" t="s">
        <v>11</v>
      </c>
      <c r="F1698">
        <v>130.548</v>
      </c>
      <c r="G1698">
        <v>18</v>
      </c>
      <c r="L1698" t="s">
        <v>5012</v>
      </c>
      <c r="O1698" t="s">
        <v>5013</v>
      </c>
    </row>
    <row r="1699" spans="1:15" x14ac:dyDescent="0.25">
      <c r="A1699" t="s">
        <v>18</v>
      </c>
      <c r="B1699" t="s">
        <v>5012</v>
      </c>
      <c r="C1699" t="s">
        <v>5014</v>
      </c>
      <c r="D1699" t="s">
        <v>20</v>
      </c>
      <c r="E1699" t="s">
        <v>11</v>
      </c>
      <c r="F1699">
        <v>4112.262</v>
      </c>
      <c r="G1699">
        <v>18</v>
      </c>
      <c r="L1699" t="s">
        <v>5015</v>
      </c>
      <c r="O1699" t="s">
        <v>5016</v>
      </c>
    </row>
    <row r="1700" spans="1:15" x14ac:dyDescent="0.25">
      <c r="A1700" t="s">
        <v>18</v>
      </c>
      <c r="B1700" t="s">
        <v>5015</v>
      </c>
      <c r="C1700" t="s">
        <v>5017</v>
      </c>
      <c r="D1700" t="s">
        <v>20</v>
      </c>
      <c r="E1700" t="s">
        <v>11</v>
      </c>
      <c r="F1700">
        <v>5809.3859999999995</v>
      </c>
      <c r="G1700">
        <v>18</v>
      </c>
      <c r="L1700" t="s">
        <v>5018</v>
      </c>
      <c r="O1700" t="s">
        <v>5019</v>
      </c>
    </row>
    <row r="1701" spans="1:15" x14ac:dyDescent="0.25">
      <c r="A1701" t="s">
        <v>18</v>
      </c>
      <c r="B1701" t="s">
        <v>5018</v>
      </c>
      <c r="C1701" t="s">
        <v>5020</v>
      </c>
      <c r="D1701" t="s">
        <v>20</v>
      </c>
      <c r="E1701" t="s">
        <v>11</v>
      </c>
      <c r="F1701">
        <v>2349.8639999999996</v>
      </c>
      <c r="G1701">
        <v>18</v>
      </c>
      <c r="L1701" t="s">
        <v>5021</v>
      </c>
      <c r="O1701" t="s">
        <v>5022</v>
      </c>
    </row>
    <row r="1702" spans="1:15" x14ac:dyDescent="0.25">
      <c r="A1702" t="s">
        <v>18</v>
      </c>
      <c r="B1702" t="s">
        <v>5021</v>
      </c>
      <c r="C1702" t="s">
        <v>5023</v>
      </c>
      <c r="D1702" t="s">
        <v>20</v>
      </c>
      <c r="E1702" t="s">
        <v>11</v>
      </c>
      <c r="F1702">
        <v>261.096</v>
      </c>
      <c r="G1702">
        <v>18</v>
      </c>
      <c r="L1702" t="s">
        <v>5024</v>
      </c>
      <c r="O1702" t="s">
        <v>5025</v>
      </c>
    </row>
    <row r="1703" spans="1:15" x14ac:dyDescent="0.25">
      <c r="A1703" t="s">
        <v>18</v>
      </c>
      <c r="B1703" t="s">
        <v>5024</v>
      </c>
      <c r="C1703" t="s">
        <v>5026</v>
      </c>
      <c r="D1703" t="s">
        <v>20</v>
      </c>
      <c r="E1703" t="s">
        <v>11</v>
      </c>
      <c r="F1703">
        <v>1631.85</v>
      </c>
      <c r="G1703">
        <v>18</v>
      </c>
      <c r="L1703" t="s">
        <v>5027</v>
      </c>
      <c r="O1703" t="s">
        <v>5028</v>
      </c>
    </row>
    <row r="1704" spans="1:15" x14ac:dyDescent="0.25">
      <c r="A1704" t="s">
        <v>18</v>
      </c>
      <c r="B1704" t="s">
        <v>5027</v>
      </c>
      <c r="C1704" t="s">
        <v>5029</v>
      </c>
      <c r="D1704" t="s">
        <v>20</v>
      </c>
      <c r="E1704" t="s">
        <v>11</v>
      </c>
      <c r="F1704">
        <v>10443.84</v>
      </c>
      <c r="G1704">
        <v>18</v>
      </c>
      <c r="L1704" t="s">
        <v>5030</v>
      </c>
      <c r="O1704" t="s">
        <v>5031</v>
      </c>
    </row>
    <row r="1705" spans="1:15" x14ac:dyDescent="0.25">
      <c r="A1705" t="s">
        <v>18</v>
      </c>
      <c r="B1705" t="s">
        <v>5030</v>
      </c>
      <c r="C1705" t="s">
        <v>5032</v>
      </c>
      <c r="D1705" t="s">
        <v>20</v>
      </c>
      <c r="E1705" t="s">
        <v>11</v>
      </c>
      <c r="F1705">
        <v>7702.332</v>
      </c>
      <c r="G1705">
        <v>18</v>
      </c>
      <c r="L1705" t="s">
        <v>5033</v>
      </c>
      <c r="O1705" t="s">
        <v>5034</v>
      </c>
    </row>
    <row r="1706" spans="1:15" x14ac:dyDescent="0.25">
      <c r="A1706" t="s">
        <v>18</v>
      </c>
      <c r="B1706" t="s">
        <v>5033</v>
      </c>
      <c r="C1706" t="s">
        <v>5035</v>
      </c>
      <c r="D1706" t="s">
        <v>20</v>
      </c>
      <c r="E1706" t="s">
        <v>11</v>
      </c>
      <c r="F1706">
        <v>7702.332</v>
      </c>
      <c r="G1706">
        <v>18</v>
      </c>
      <c r="L1706" t="s">
        <v>5036</v>
      </c>
      <c r="O1706" t="s">
        <v>5037</v>
      </c>
    </row>
    <row r="1707" spans="1:15" x14ac:dyDescent="0.25">
      <c r="A1707" t="s">
        <v>18</v>
      </c>
      <c r="B1707" t="s">
        <v>5036</v>
      </c>
      <c r="C1707" t="s">
        <v>5038</v>
      </c>
      <c r="D1707" t="s">
        <v>20</v>
      </c>
      <c r="E1707" t="s">
        <v>11</v>
      </c>
      <c r="F1707">
        <v>21409.872</v>
      </c>
      <c r="G1707">
        <v>18</v>
      </c>
      <c r="L1707" t="s">
        <v>5039</v>
      </c>
      <c r="O1707" t="s">
        <v>5040</v>
      </c>
    </row>
    <row r="1708" spans="1:15" x14ac:dyDescent="0.25">
      <c r="A1708" t="s">
        <v>18</v>
      </c>
      <c r="B1708" t="s">
        <v>5039</v>
      </c>
      <c r="C1708" t="s">
        <v>5041</v>
      </c>
      <c r="D1708" t="s">
        <v>20</v>
      </c>
      <c r="E1708" t="s">
        <v>11</v>
      </c>
      <c r="F1708">
        <v>13381.17</v>
      </c>
      <c r="G1708">
        <v>18</v>
      </c>
      <c r="L1708" t="s">
        <v>5042</v>
      </c>
      <c r="O1708" t="s">
        <v>5043</v>
      </c>
    </row>
    <row r="1709" spans="1:15" x14ac:dyDescent="0.25">
      <c r="A1709" t="s">
        <v>18</v>
      </c>
      <c r="B1709" t="s">
        <v>5042</v>
      </c>
      <c r="C1709" t="s">
        <v>5044</v>
      </c>
      <c r="D1709" t="s">
        <v>20</v>
      </c>
      <c r="E1709" t="s">
        <v>11</v>
      </c>
      <c r="F1709">
        <v>2937.3300000000004</v>
      </c>
      <c r="G1709">
        <v>18</v>
      </c>
      <c r="L1709" t="s">
        <v>5045</v>
      </c>
      <c r="O1709" t="s">
        <v>5046</v>
      </c>
    </row>
    <row r="1710" spans="1:15" x14ac:dyDescent="0.25">
      <c r="A1710" t="s">
        <v>18</v>
      </c>
      <c r="B1710" t="s">
        <v>5045</v>
      </c>
      <c r="C1710" t="s">
        <v>5047</v>
      </c>
      <c r="D1710" t="s">
        <v>20</v>
      </c>
      <c r="E1710" t="s">
        <v>11</v>
      </c>
      <c r="F1710">
        <v>4308.084</v>
      </c>
      <c r="G1710">
        <v>18</v>
      </c>
      <c r="L1710" t="s">
        <v>5048</v>
      </c>
      <c r="O1710" t="s">
        <v>5049</v>
      </c>
    </row>
    <row r="1711" spans="1:15" x14ac:dyDescent="0.25">
      <c r="A1711" t="s">
        <v>18</v>
      </c>
      <c r="B1711" t="s">
        <v>5048</v>
      </c>
      <c r="C1711" t="s">
        <v>5050</v>
      </c>
      <c r="D1711" t="s">
        <v>20</v>
      </c>
      <c r="E1711" t="s">
        <v>11</v>
      </c>
      <c r="F1711">
        <v>2741.508</v>
      </c>
      <c r="G1711">
        <v>18</v>
      </c>
      <c r="L1711" t="s">
        <v>5051</v>
      </c>
      <c r="O1711" t="s">
        <v>5052</v>
      </c>
    </row>
    <row r="1712" spans="1:15" x14ac:dyDescent="0.25">
      <c r="A1712" t="s">
        <v>18</v>
      </c>
      <c r="B1712" t="s">
        <v>5051</v>
      </c>
      <c r="C1712" t="s">
        <v>5053</v>
      </c>
      <c r="D1712" t="s">
        <v>20</v>
      </c>
      <c r="E1712" t="s">
        <v>11</v>
      </c>
      <c r="F1712">
        <v>1044.384</v>
      </c>
      <c r="G1712">
        <v>18</v>
      </c>
      <c r="L1712" t="s">
        <v>5054</v>
      </c>
      <c r="O1712" t="s">
        <v>5055</v>
      </c>
    </row>
    <row r="1713" spans="1:15" x14ac:dyDescent="0.25">
      <c r="A1713" t="s">
        <v>18</v>
      </c>
      <c r="B1713" t="s">
        <v>5054</v>
      </c>
      <c r="C1713" t="s">
        <v>5056</v>
      </c>
      <c r="D1713" t="s">
        <v>20</v>
      </c>
      <c r="E1713" t="s">
        <v>11</v>
      </c>
      <c r="F1713">
        <v>1631.85</v>
      </c>
      <c r="G1713">
        <v>18</v>
      </c>
      <c r="L1713" t="s">
        <v>5057</v>
      </c>
      <c r="O1713" t="s">
        <v>5058</v>
      </c>
    </row>
    <row r="1714" spans="1:15" x14ac:dyDescent="0.25">
      <c r="A1714" t="s">
        <v>18</v>
      </c>
      <c r="B1714" t="s">
        <v>5057</v>
      </c>
      <c r="C1714" t="s">
        <v>5059</v>
      </c>
      <c r="D1714" t="s">
        <v>20</v>
      </c>
      <c r="E1714" t="s">
        <v>11</v>
      </c>
      <c r="F1714">
        <v>783.2879999999999</v>
      </c>
      <c r="G1714">
        <v>18</v>
      </c>
      <c r="L1714" t="s">
        <v>5060</v>
      </c>
      <c r="O1714" t="s">
        <v>5061</v>
      </c>
    </row>
    <row r="1715" spans="1:15" x14ac:dyDescent="0.25">
      <c r="A1715" t="s">
        <v>18</v>
      </c>
      <c r="B1715" t="s">
        <v>5060</v>
      </c>
      <c r="C1715" t="s">
        <v>5062</v>
      </c>
      <c r="D1715" t="s">
        <v>20</v>
      </c>
      <c r="E1715" t="s">
        <v>11</v>
      </c>
      <c r="F1715">
        <v>1044.384</v>
      </c>
      <c r="G1715">
        <v>18</v>
      </c>
      <c r="L1715" t="s">
        <v>5063</v>
      </c>
      <c r="O1715" t="s">
        <v>5064</v>
      </c>
    </row>
    <row r="1716" spans="1:15" x14ac:dyDescent="0.25">
      <c r="A1716" t="s">
        <v>18</v>
      </c>
      <c r="B1716" t="s">
        <v>5063</v>
      </c>
      <c r="C1716" t="s">
        <v>5065</v>
      </c>
      <c r="D1716" t="s">
        <v>20</v>
      </c>
      <c r="E1716" t="s">
        <v>11</v>
      </c>
      <c r="F1716">
        <v>1044.384</v>
      </c>
      <c r="G1716">
        <v>18</v>
      </c>
      <c r="L1716" t="s">
        <v>5066</v>
      </c>
      <c r="O1716" t="s">
        <v>5067</v>
      </c>
    </row>
    <row r="1717" spans="1:15" x14ac:dyDescent="0.25">
      <c r="A1717" t="s">
        <v>18</v>
      </c>
      <c r="B1717" t="s">
        <v>5066</v>
      </c>
      <c r="C1717" t="s">
        <v>5068</v>
      </c>
      <c r="D1717" t="s">
        <v>20</v>
      </c>
      <c r="E1717" t="s">
        <v>11</v>
      </c>
      <c r="F1717">
        <v>12336.786</v>
      </c>
      <c r="G1717">
        <v>18</v>
      </c>
      <c r="L1717" t="s">
        <v>5069</v>
      </c>
      <c r="O1717" t="s">
        <v>5070</v>
      </c>
    </row>
    <row r="1718" spans="1:15" x14ac:dyDescent="0.25">
      <c r="A1718" t="s">
        <v>18</v>
      </c>
      <c r="B1718" t="s">
        <v>5069</v>
      </c>
      <c r="C1718" t="s">
        <v>5071</v>
      </c>
      <c r="D1718" t="s">
        <v>20</v>
      </c>
      <c r="E1718" t="s">
        <v>11</v>
      </c>
      <c r="F1718">
        <v>6005.208</v>
      </c>
      <c r="G1718">
        <v>18</v>
      </c>
      <c r="L1718" t="s">
        <v>5072</v>
      </c>
      <c r="O1718" t="s">
        <v>5073</v>
      </c>
    </row>
    <row r="1719" spans="1:15" x14ac:dyDescent="0.25">
      <c r="A1719" t="s">
        <v>18</v>
      </c>
      <c r="B1719" t="s">
        <v>5072</v>
      </c>
      <c r="C1719" t="s">
        <v>5074</v>
      </c>
      <c r="D1719" t="s">
        <v>20</v>
      </c>
      <c r="E1719" t="s">
        <v>11</v>
      </c>
      <c r="F1719">
        <v>6462.126</v>
      </c>
      <c r="G1719">
        <v>18</v>
      </c>
      <c r="L1719" t="s">
        <v>5075</v>
      </c>
      <c r="O1719" t="s">
        <v>5076</v>
      </c>
    </row>
    <row r="1720" spans="1:15" x14ac:dyDescent="0.25">
      <c r="A1720" t="s">
        <v>18</v>
      </c>
      <c r="B1720" t="s">
        <v>5075</v>
      </c>
      <c r="C1720" t="s">
        <v>5077</v>
      </c>
      <c r="D1720" t="s">
        <v>20</v>
      </c>
      <c r="E1720" t="s">
        <v>11</v>
      </c>
      <c r="F1720">
        <v>6331.5779999999995</v>
      </c>
      <c r="G1720">
        <v>18</v>
      </c>
      <c r="L1720" t="s">
        <v>5078</v>
      </c>
      <c r="O1720" t="s">
        <v>5079</v>
      </c>
    </row>
    <row r="1721" spans="1:15" x14ac:dyDescent="0.25">
      <c r="A1721" t="s">
        <v>18</v>
      </c>
      <c r="B1721" t="s">
        <v>5078</v>
      </c>
      <c r="C1721" t="s">
        <v>5080</v>
      </c>
      <c r="D1721" t="s">
        <v>20</v>
      </c>
      <c r="E1721" t="s">
        <v>11</v>
      </c>
      <c r="F1721">
        <v>2415.138</v>
      </c>
      <c r="G1721">
        <v>18</v>
      </c>
      <c r="L1721" t="s">
        <v>5081</v>
      </c>
      <c r="O1721" t="s">
        <v>5082</v>
      </c>
    </row>
    <row r="1722" spans="1:15" x14ac:dyDescent="0.25">
      <c r="A1722" t="s">
        <v>18</v>
      </c>
      <c r="B1722" t="s">
        <v>5081</v>
      </c>
      <c r="C1722" t="s">
        <v>5083</v>
      </c>
      <c r="D1722" t="s">
        <v>20</v>
      </c>
      <c r="E1722" t="s">
        <v>11</v>
      </c>
      <c r="F1722">
        <v>3524.7960000000003</v>
      </c>
      <c r="G1722">
        <v>18</v>
      </c>
      <c r="L1722" t="s">
        <v>5084</v>
      </c>
      <c r="O1722" t="s">
        <v>5085</v>
      </c>
    </row>
    <row r="1723" spans="1:15" x14ac:dyDescent="0.25">
      <c r="A1723" t="s">
        <v>18</v>
      </c>
      <c r="B1723" t="s">
        <v>5084</v>
      </c>
      <c r="C1723" t="s">
        <v>5086</v>
      </c>
      <c r="D1723" t="s">
        <v>20</v>
      </c>
      <c r="E1723" t="s">
        <v>11</v>
      </c>
      <c r="F1723">
        <v>3851.166</v>
      </c>
      <c r="G1723">
        <v>18</v>
      </c>
      <c r="L1723" t="s">
        <v>5087</v>
      </c>
      <c r="O1723" t="s">
        <v>5088</v>
      </c>
    </row>
    <row r="1724" spans="1:15" x14ac:dyDescent="0.25">
      <c r="A1724" t="s">
        <v>18</v>
      </c>
      <c r="B1724" t="s">
        <v>5087</v>
      </c>
      <c r="C1724" t="s">
        <v>5089</v>
      </c>
      <c r="D1724" t="s">
        <v>20</v>
      </c>
      <c r="E1724" t="s">
        <v>11</v>
      </c>
      <c r="F1724">
        <v>3002.604</v>
      </c>
      <c r="G1724">
        <v>18</v>
      </c>
      <c r="L1724" t="s">
        <v>5090</v>
      </c>
      <c r="O1724" t="s">
        <v>5091</v>
      </c>
    </row>
    <row r="1725" spans="1:15" x14ac:dyDescent="0.25">
      <c r="A1725" t="s">
        <v>18</v>
      </c>
      <c r="B1725" t="s">
        <v>5090</v>
      </c>
      <c r="C1725" t="s">
        <v>5092</v>
      </c>
      <c r="D1725" t="s">
        <v>20</v>
      </c>
      <c r="E1725" t="s">
        <v>11</v>
      </c>
      <c r="F1725">
        <v>4765.0019999999995</v>
      </c>
      <c r="G1725">
        <v>18</v>
      </c>
      <c r="L1725" t="s">
        <v>5093</v>
      </c>
      <c r="O1725" t="s">
        <v>5094</v>
      </c>
    </row>
    <row r="1726" spans="1:15" x14ac:dyDescent="0.25">
      <c r="A1726" t="s">
        <v>18</v>
      </c>
      <c r="B1726" t="s">
        <v>5093</v>
      </c>
      <c r="C1726" t="s">
        <v>5095</v>
      </c>
      <c r="D1726" t="s">
        <v>20</v>
      </c>
      <c r="E1726" t="s">
        <v>11</v>
      </c>
      <c r="F1726">
        <v>3720.6179999999995</v>
      </c>
      <c r="G1726">
        <v>18</v>
      </c>
      <c r="L1726" t="s">
        <v>5096</v>
      </c>
      <c r="O1726" t="s">
        <v>5097</v>
      </c>
    </row>
    <row r="1727" spans="1:15" x14ac:dyDescent="0.25">
      <c r="A1727" t="s">
        <v>18</v>
      </c>
      <c r="B1727" t="s">
        <v>5096</v>
      </c>
      <c r="C1727" t="s">
        <v>5098</v>
      </c>
      <c r="D1727" t="s">
        <v>20</v>
      </c>
      <c r="E1727" t="s">
        <v>11</v>
      </c>
      <c r="F1727">
        <v>10378.565999999999</v>
      </c>
      <c r="G1727">
        <v>18</v>
      </c>
      <c r="L1727" t="s">
        <v>5099</v>
      </c>
      <c r="O1727" t="s">
        <v>5100</v>
      </c>
    </row>
    <row r="1728" spans="1:15" x14ac:dyDescent="0.25">
      <c r="A1728" t="s">
        <v>18</v>
      </c>
      <c r="B1728" t="s">
        <v>5099</v>
      </c>
      <c r="C1728" t="s">
        <v>5101</v>
      </c>
      <c r="D1728" t="s">
        <v>20</v>
      </c>
      <c r="E1728" t="s">
        <v>11</v>
      </c>
      <c r="F1728">
        <v>9268.908</v>
      </c>
      <c r="G1728">
        <v>18</v>
      </c>
      <c r="L1728" t="s">
        <v>5102</v>
      </c>
      <c r="O1728" t="s">
        <v>5103</v>
      </c>
    </row>
    <row r="1729" spans="1:15" x14ac:dyDescent="0.25">
      <c r="A1729" t="s">
        <v>18</v>
      </c>
      <c r="B1729" t="s">
        <v>5102</v>
      </c>
      <c r="C1729" t="s">
        <v>5104</v>
      </c>
      <c r="D1729" t="s">
        <v>20</v>
      </c>
      <c r="E1729" t="s">
        <v>11</v>
      </c>
      <c r="F1729">
        <v>3133.1519999999996</v>
      </c>
      <c r="G1729">
        <v>18</v>
      </c>
      <c r="L1729" t="s">
        <v>5105</v>
      </c>
      <c r="O1729" t="s">
        <v>5106</v>
      </c>
    </row>
    <row r="1730" spans="1:15" x14ac:dyDescent="0.25">
      <c r="A1730" t="s">
        <v>18</v>
      </c>
      <c r="B1730" t="s">
        <v>5105</v>
      </c>
      <c r="C1730" t="s">
        <v>5107</v>
      </c>
      <c r="D1730" t="s">
        <v>20</v>
      </c>
      <c r="E1730" t="s">
        <v>11</v>
      </c>
      <c r="F1730">
        <v>4569.18</v>
      </c>
      <c r="G1730">
        <v>18</v>
      </c>
      <c r="L1730" t="s">
        <v>5108</v>
      </c>
      <c r="O1730" t="s">
        <v>5109</v>
      </c>
    </row>
    <row r="1731" spans="1:15" x14ac:dyDescent="0.25">
      <c r="A1731" t="s">
        <v>18</v>
      </c>
      <c r="B1731" t="s">
        <v>5108</v>
      </c>
      <c r="C1731" t="s">
        <v>5110</v>
      </c>
      <c r="D1731" t="s">
        <v>20</v>
      </c>
      <c r="E1731" t="s">
        <v>11</v>
      </c>
      <c r="F1731">
        <v>130.548</v>
      </c>
      <c r="G1731">
        <v>18</v>
      </c>
      <c r="L1731" t="s">
        <v>5111</v>
      </c>
      <c r="O1731" t="s">
        <v>5112</v>
      </c>
    </row>
    <row r="1732" spans="1:15" x14ac:dyDescent="0.25">
      <c r="A1732" t="s">
        <v>18</v>
      </c>
      <c r="B1732" t="s">
        <v>5111</v>
      </c>
      <c r="C1732" t="s">
        <v>5113</v>
      </c>
      <c r="D1732" t="s">
        <v>20</v>
      </c>
      <c r="E1732" t="s">
        <v>11</v>
      </c>
      <c r="F1732">
        <v>587.4659999999999</v>
      </c>
      <c r="G1732">
        <v>18</v>
      </c>
      <c r="L1732" t="s">
        <v>5114</v>
      </c>
      <c r="O1732" t="s">
        <v>5115</v>
      </c>
    </row>
    <row r="1733" spans="1:15" x14ac:dyDescent="0.25">
      <c r="A1733" t="s">
        <v>18</v>
      </c>
      <c r="B1733" t="s">
        <v>5114</v>
      </c>
      <c r="C1733" t="s">
        <v>5116</v>
      </c>
      <c r="D1733" t="s">
        <v>20</v>
      </c>
      <c r="E1733" t="s">
        <v>11</v>
      </c>
      <c r="F1733">
        <v>130.548</v>
      </c>
      <c r="G1733">
        <v>18</v>
      </c>
      <c r="L1733" t="s">
        <v>5117</v>
      </c>
      <c r="O1733" t="s">
        <v>5118</v>
      </c>
    </row>
    <row r="1734" spans="1:15" x14ac:dyDescent="0.25">
      <c r="A1734" t="s">
        <v>18</v>
      </c>
      <c r="B1734" t="s">
        <v>5117</v>
      </c>
      <c r="C1734" t="s">
        <v>5119</v>
      </c>
      <c r="D1734" t="s">
        <v>20</v>
      </c>
      <c r="E1734" t="s">
        <v>11</v>
      </c>
      <c r="F1734">
        <v>195.82199999999997</v>
      </c>
      <c r="G1734">
        <v>18</v>
      </c>
      <c r="L1734" t="s">
        <v>5120</v>
      </c>
      <c r="O1734" t="s">
        <v>5121</v>
      </c>
    </row>
    <row r="1735" spans="1:15" x14ac:dyDescent="0.25">
      <c r="A1735" t="s">
        <v>18</v>
      </c>
      <c r="B1735" t="s">
        <v>5120</v>
      </c>
      <c r="C1735" t="s">
        <v>5122</v>
      </c>
      <c r="D1735" t="s">
        <v>20</v>
      </c>
      <c r="E1735" t="s">
        <v>11</v>
      </c>
      <c r="F1735">
        <v>195.82199999999997</v>
      </c>
      <c r="G1735">
        <v>18</v>
      </c>
      <c r="L1735" t="s">
        <v>5123</v>
      </c>
      <c r="O1735" t="s">
        <v>5124</v>
      </c>
    </row>
    <row r="1736" spans="1:15" x14ac:dyDescent="0.25">
      <c r="A1736" t="s">
        <v>18</v>
      </c>
      <c r="B1736" t="s">
        <v>5123</v>
      </c>
      <c r="C1736" t="s">
        <v>5125</v>
      </c>
      <c r="D1736" t="s">
        <v>20</v>
      </c>
      <c r="E1736" t="s">
        <v>11</v>
      </c>
      <c r="F1736">
        <v>8942.538</v>
      </c>
      <c r="G1736">
        <v>18</v>
      </c>
      <c r="L1736" t="s">
        <v>5126</v>
      </c>
      <c r="O1736" t="s">
        <v>5127</v>
      </c>
    </row>
    <row r="1737" spans="1:15" x14ac:dyDescent="0.25">
      <c r="A1737" t="s">
        <v>18</v>
      </c>
      <c r="B1737" t="s">
        <v>5126</v>
      </c>
      <c r="C1737" t="s">
        <v>5128</v>
      </c>
      <c r="D1737" t="s">
        <v>20</v>
      </c>
      <c r="E1737" t="s">
        <v>11</v>
      </c>
      <c r="F1737">
        <v>7702.332</v>
      </c>
      <c r="G1737">
        <v>18</v>
      </c>
      <c r="L1737" t="s">
        <v>5129</v>
      </c>
      <c r="O1737" t="s">
        <v>5130</v>
      </c>
    </row>
    <row r="1738" spans="1:15" x14ac:dyDescent="0.25">
      <c r="A1738" t="s">
        <v>18</v>
      </c>
      <c r="B1738" t="s">
        <v>5129</v>
      </c>
      <c r="C1738" t="s">
        <v>5131</v>
      </c>
      <c r="D1738" t="s">
        <v>20</v>
      </c>
      <c r="E1738" t="s">
        <v>11</v>
      </c>
      <c r="F1738">
        <v>7180.139999999999</v>
      </c>
      <c r="G1738">
        <v>18</v>
      </c>
      <c r="L1738" t="s">
        <v>5132</v>
      </c>
      <c r="O1738" t="s">
        <v>5133</v>
      </c>
    </row>
    <row r="1739" spans="1:15" x14ac:dyDescent="0.25">
      <c r="A1739" t="s">
        <v>18</v>
      </c>
      <c r="B1739" t="s">
        <v>5132</v>
      </c>
      <c r="C1739" t="s">
        <v>5134</v>
      </c>
      <c r="D1739" t="s">
        <v>20</v>
      </c>
      <c r="E1739" t="s">
        <v>11</v>
      </c>
      <c r="F1739">
        <v>5091.371999999999</v>
      </c>
      <c r="G1739">
        <v>18</v>
      </c>
      <c r="L1739" t="s">
        <v>5135</v>
      </c>
      <c r="O1739" t="s">
        <v>5136</v>
      </c>
    </row>
    <row r="1740" spans="1:15" x14ac:dyDescent="0.25">
      <c r="A1740" t="s">
        <v>18</v>
      </c>
      <c r="B1740" t="s">
        <v>5135</v>
      </c>
      <c r="C1740" t="s">
        <v>5137</v>
      </c>
      <c r="D1740" t="s">
        <v>20</v>
      </c>
      <c r="E1740" t="s">
        <v>11</v>
      </c>
      <c r="F1740">
        <v>4830.276</v>
      </c>
      <c r="G1740">
        <v>18</v>
      </c>
      <c r="L1740" t="s">
        <v>5138</v>
      </c>
      <c r="O1740" t="s">
        <v>5139</v>
      </c>
    </row>
    <row r="1741" spans="1:15" x14ac:dyDescent="0.25">
      <c r="A1741" t="s">
        <v>18</v>
      </c>
      <c r="B1741" t="s">
        <v>5138</v>
      </c>
      <c r="C1741" t="s">
        <v>5140</v>
      </c>
      <c r="D1741" t="s">
        <v>20</v>
      </c>
      <c r="E1741" t="s">
        <v>11</v>
      </c>
      <c r="F1741">
        <v>9073.086</v>
      </c>
      <c r="G1741">
        <v>18</v>
      </c>
      <c r="L1741" t="s">
        <v>5141</v>
      </c>
      <c r="O1741" t="s">
        <v>5142</v>
      </c>
    </row>
    <row r="1742" spans="1:15" x14ac:dyDescent="0.25">
      <c r="A1742" t="s">
        <v>18</v>
      </c>
      <c r="B1742" t="s">
        <v>5141</v>
      </c>
      <c r="C1742" t="s">
        <v>5143</v>
      </c>
      <c r="D1742" t="s">
        <v>20</v>
      </c>
      <c r="E1742" t="s">
        <v>11</v>
      </c>
      <c r="F1742">
        <v>6788.495999999999</v>
      </c>
      <c r="G1742">
        <v>18</v>
      </c>
      <c r="L1742" t="s">
        <v>5144</v>
      </c>
      <c r="O1742" t="s">
        <v>5145</v>
      </c>
    </row>
    <row r="1743" spans="1:15" x14ac:dyDescent="0.25">
      <c r="A1743" t="s">
        <v>18</v>
      </c>
      <c r="B1743" t="s">
        <v>5144</v>
      </c>
      <c r="C1743" t="s">
        <v>5146</v>
      </c>
      <c r="D1743" t="s">
        <v>20</v>
      </c>
      <c r="E1743" t="s">
        <v>11</v>
      </c>
      <c r="F1743">
        <v>9138.36</v>
      </c>
      <c r="G1743">
        <v>18</v>
      </c>
      <c r="L1743" t="s">
        <v>5147</v>
      </c>
      <c r="O1743" t="s">
        <v>5148</v>
      </c>
    </row>
    <row r="1744" spans="1:15" x14ac:dyDescent="0.25">
      <c r="A1744" t="s">
        <v>18</v>
      </c>
      <c r="B1744" t="s">
        <v>5147</v>
      </c>
      <c r="C1744" t="s">
        <v>5149</v>
      </c>
      <c r="D1744" t="s">
        <v>20</v>
      </c>
      <c r="E1744" t="s">
        <v>11</v>
      </c>
      <c r="F1744">
        <v>1305.48</v>
      </c>
      <c r="G1744">
        <v>18</v>
      </c>
      <c r="L1744" t="s">
        <v>5150</v>
      </c>
      <c r="O1744" t="s">
        <v>5151</v>
      </c>
    </row>
    <row r="1745" spans="1:15" x14ac:dyDescent="0.25">
      <c r="A1745" t="s">
        <v>18</v>
      </c>
      <c r="B1745" t="s">
        <v>5150</v>
      </c>
      <c r="C1745" t="s">
        <v>5152</v>
      </c>
      <c r="D1745" t="s">
        <v>20</v>
      </c>
      <c r="E1745" t="s">
        <v>11</v>
      </c>
      <c r="F1745">
        <v>3067.8779999999997</v>
      </c>
      <c r="G1745">
        <v>18</v>
      </c>
      <c r="L1745" t="s">
        <v>5153</v>
      </c>
      <c r="O1745" t="s">
        <v>5154</v>
      </c>
    </row>
    <row r="1746" spans="1:15" x14ac:dyDescent="0.25">
      <c r="A1746" t="s">
        <v>18</v>
      </c>
      <c r="B1746" t="s">
        <v>5153</v>
      </c>
      <c r="C1746" t="s">
        <v>5155</v>
      </c>
      <c r="D1746" t="s">
        <v>20</v>
      </c>
      <c r="E1746" t="s">
        <v>11</v>
      </c>
      <c r="F1746">
        <v>718.014</v>
      </c>
      <c r="G1746">
        <v>18</v>
      </c>
      <c r="L1746" t="s">
        <v>5156</v>
      </c>
      <c r="O1746" t="s">
        <v>5157</v>
      </c>
    </row>
    <row r="1747" spans="1:15" x14ac:dyDescent="0.25">
      <c r="A1747" t="s">
        <v>18</v>
      </c>
      <c r="B1747" t="s">
        <v>5156</v>
      </c>
      <c r="C1747" t="s">
        <v>5158</v>
      </c>
      <c r="D1747" t="s">
        <v>20</v>
      </c>
      <c r="E1747" t="s">
        <v>11</v>
      </c>
      <c r="F1747">
        <v>5091.371999999999</v>
      </c>
      <c r="G1747">
        <v>18</v>
      </c>
      <c r="L1747" t="s">
        <v>5159</v>
      </c>
      <c r="O1747" t="s">
        <v>5160</v>
      </c>
    </row>
    <row r="1748" spans="1:15" x14ac:dyDescent="0.25">
      <c r="A1748" t="s">
        <v>18</v>
      </c>
      <c r="B1748" t="s">
        <v>5159</v>
      </c>
      <c r="C1748" t="s">
        <v>5161</v>
      </c>
      <c r="D1748" t="s">
        <v>20</v>
      </c>
      <c r="E1748" t="s">
        <v>11</v>
      </c>
      <c r="F1748">
        <v>2741.508</v>
      </c>
      <c r="G1748">
        <v>18</v>
      </c>
      <c r="L1748" t="s">
        <v>5162</v>
      </c>
      <c r="O1748" t="s">
        <v>5163</v>
      </c>
    </row>
    <row r="1749" spans="1:15" x14ac:dyDescent="0.25">
      <c r="A1749" t="s">
        <v>18</v>
      </c>
      <c r="B1749" t="s">
        <v>5162</v>
      </c>
      <c r="C1749" t="s">
        <v>5164</v>
      </c>
      <c r="D1749" t="s">
        <v>20</v>
      </c>
      <c r="E1749" t="s">
        <v>11</v>
      </c>
      <c r="F1749">
        <v>718.014</v>
      </c>
      <c r="G1749">
        <v>18</v>
      </c>
      <c r="L1749" t="s">
        <v>5165</v>
      </c>
      <c r="O1749" t="s">
        <v>5166</v>
      </c>
    </row>
    <row r="1750" spans="1:15" x14ac:dyDescent="0.25">
      <c r="A1750" t="s">
        <v>18</v>
      </c>
      <c r="B1750" t="s">
        <v>5165</v>
      </c>
      <c r="C1750" t="s">
        <v>5167</v>
      </c>
      <c r="D1750" t="s">
        <v>20</v>
      </c>
      <c r="E1750" t="s">
        <v>11</v>
      </c>
      <c r="F1750">
        <v>11422.95</v>
      </c>
      <c r="G1750">
        <v>18</v>
      </c>
      <c r="L1750" t="s">
        <v>5168</v>
      </c>
      <c r="O1750" t="s">
        <v>5169</v>
      </c>
    </row>
    <row r="1751" spans="1:15" x14ac:dyDescent="0.25">
      <c r="A1751" t="s">
        <v>18</v>
      </c>
      <c r="B1751" t="s">
        <v>5168</v>
      </c>
      <c r="C1751" t="s">
        <v>5170</v>
      </c>
      <c r="D1751" t="s">
        <v>20</v>
      </c>
      <c r="E1751" t="s">
        <v>11</v>
      </c>
      <c r="F1751">
        <v>783.2879999999999</v>
      </c>
      <c r="G1751">
        <v>18</v>
      </c>
      <c r="L1751" t="s">
        <v>5171</v>
      </c>
      <c r="O1751" t="s">
        <v>5172</v>
      </c>
    </row>
    <row r="1752" spans="1:15" x14ac:dyDescent="0.25">
      <c r="A1752" t="s">
        <v>18</v>
      </c>
      <c r="B1752" t="s">
        <v>5171</v>
      </c>
      <c r="C1752" t="s">
        <v>5173</v>
      </c>
      <c r="D1752" t="s">
        <v>20</v>
      </c>
      <c r="E1752" t="s">
        <v>11</v>
      </c>
      <c r="F1752">
        <v>5091.371999999999</v>
      </c>
      <c r="G1752">
        <v>18</v>
      </c>
      <c r="L1752" t="s">
        <v>5174</v>
      </c>
      <c r="O1752" t="s">
        <v>5175</v>
      </c>
    </row>
    <row r="1753" spans="1:15" x14ac:dyDescent="0.25">
      <c r="A1753" t="s">
        <v>18</v>
      </c>
      <c r="B1753" t="s">
        <v>5174</v>
      </c>
      <c r="C1753" t="s">
        <v>5176</v>
      </c>
      <c r="D1753" t="s">
        <v>20</v>
      </c>
      <c r="E1753" t="s">
        <v>11</v>
      </c>
      <c r="F1753">
        <v>2480.4120000000003</v>
      </c>
      <c r="G1753">
        <v>18</v>
      </c>
      <c r="L1753" t="s">
        <v>5177</v>
      </c>
      <c r="O1753" t="s">
        <v>5178</v>
      </c>
    </row>
    <row r="1754" spans="1:15" x14ac:dyDescent="0.25">
      <c r="A1754" t="s">
        <v>18</v>
      </c>
      <c r="B1754" t="s">
        <v>5177</v>
      </c>
      <c r="C1754" t="s">
        <v>5179</v>
      </c>
      <c r="D1754" t="s">
        <v>20</v>
      </c>
      <c r="E1754" t="s">
        <v>11</v>
      </c>
      <c r="F1754">
        <v>522.192</v>
      </c>
      <c r="G1754">
        <v>18</v>
      </c>
      <c r="L1754" t="s">
        <v>5180</v>
      </c>
      <c r="O1754" t="s">
        <v>5181</v>
      </c>
    </row>
    <row r="1755" spans="1:15" x14ac:dyDescent="0.25">
      <c r="A1755" t="s">
        <v>18</v>
      </c>
      <c r="B1755" t="s">
        <v>5180</v>
      </c>
      <c r="C1755" t="s">
        <v>5182</v>
      </c>
      <c r="D1755" t="s">
        <v>20</v>
      </c>
      <c r="E1755" t="s">
        <v>11</v>
      </c>
      <c r="F1755">
        <v>2284.59</v>
      </c>
      <c r="G1755">
        <v>18</v>
      </c>
      <c r="L1755" t="s">
        <v>5183</v>
      </c>
      <c r="O1755" t="s">
        <v>5184</v>
      </c>
    </row>
    <row r="1756" spans="1:15" x14ac:dyDescent="0.25">
      <c r="A1756" t="s">
        <v>18</v>
      </c>
      <c r="B1756" t="s">
        <v>5183</v>
      </c>
      <c r="C1756" t="s">
        <v>5185</v>
      </c>
      <c r="D1756" t="s">
        <v>20</v>
      </c>
      <c r="E1756" t="s">
        <v>11</v>
      </c>
      <c r="F1756">
        <v>1109.658</v>
      </c>
      <c r="G1756">
        <v>18</v>
      </c>
      <c r="L1756" t="s">
        <v>5186</v>
      </c>
      <c r="O1756" t="s">
        <v>5187</v>
      </c>
    </row>
    <row r="1757" spans="1:15" x14ac:dyDescent="0.25">
      <c r="A1757" t="s">
        <v>18</v>
      </c>
      <c r="B1757" t="s">
        <v>5186</v>
      </c>
      <c r="C1757" t="s">
        <v>5188</v>
      </c>
      <c r="D1757" t="s">
        <v>20</v>
      </c>
      <c r="E1757" t="s">
        <v>11</v>
      </c>
      <c r="F1757">
        <v>1827.672</v>
      </c>
      <c r="G1757">
        <v>18</v>
      </c>
      <c r="L1757" t="s">
        <v>5189</v>
      </c>
      <c r="O1757" t="s">
        <v>5190</v>
      </c>
    </row>
    <row r="1758" spans="1:15" x14ac:dyDescent="0.25">
      <c r="A1758" t="s">
        <v>18</v>
      </c>
      <c r="B1758" t="s">
        <v>5189</v>
      </c>
      <c r="C1758" t="s">
        <v>5191</v>
      </c>
      <c r="D1758" t="s">
        <v>20</v>
      </c>
      <c r="E1758" t="s">
        <v>11</v>
      </c>
      <c r="F1758">
        <v>2741.508</v>
      </c>
      <c r="G1758">
        <v>18</v>
      </c>
      <c r="L1758" t="s">
        <v>5192</v>
      </c>
      <c r="O1758" t="s">
        <v>5193</v>
      </c>
    </row>
    <row r="1759" spans="1:15" x14ac:dyDescent="0.25">
      <c r="A1759" t="s">
        <v>18</v>
      </c>
      <c r="B1759" t="s">
        <v>5192</v>
      </c>
      <c r="C1759" t="s">
        <v>5194</v>
      </c>
      <c r="D1759" t="s">
        <v>20</v>
      </c>
      <c r="E1759" t="s">
        <v>11</v>
      </c>
      <c r="F1759">
        <v>2219.316</v>
      </c>
      <c r="G1759">
        <v>18</v>
      </c>
      <c r="L1759" t="s">
        <v>5195</v>
      </c>
      <c r="O1759" t="s">
        <v>5196</v>
      </c>
    </row>
    <row r="1760" spans="1:15" x14ac:dyDescent="0.25">
      <c r="A1760" t="s">
        <v>18</v>
      </c>
      <c r="B1760" t="s">
        <v>5195</v>
      </c>
      <c r="C1760" t="s">
        <v>5197</v>
      </c>
      <c r="D1760" t="s">
        <v>20</v>
      </c>
      <c r="E1760" t="s">
        <v>11</v>
      </c>
      <c r="F1760">
        <v>391.64399999999995</v>
      </c>
      <c r="G1760">
        <v>18</v>
      </c>
      <c r="L1760" t="s">
        <v>5198</v>
      </c>
      <c r="O1760" t="s">
        <v>5199</v>
      </c>
    </row>
    <row r="1761" spans="1:15" x14ac:dyDescent="0.25">
      <c r="A1761" t="s">
        <v>18</v>
      </c>
      <c r="B1761" t="s">
        <v>5198</v>
      </c>
      <c r="C1761" t="s">
        <v>5200</v>
      </c>
      <c r="D1761" t="s">
        <v>20</v>
      </c>
      <c r="E1761" t="s">
        <v>11</v>
      </c>
      <c r="F1761">
        <v>979.11</v>
      </c>
      <c r="G1761">
        <v>18</v>
      </c>
      <c r="L1761" t="s">
        <v>5201</v>
      </c>
      <c r="O1761" t="s">
        <v>5202</v>
      </c>
    </row>
    <row r="1762" spans="1:15" x14ac:dyDescent="0.25">
      <c r="A1762" t="s">
        <v>18</v>
      </c>
      <c r="B1762" t="s">
        <v>5201</v>
      </c>
      <c r="C1762" t="s">
        <v>5203</v>
      </c>
      <c r="D1762" t="s">
        <v>20</v>
      </c>
      <c r="E1762" t="s">
        <v>11</v>
      </c>
      <c r="F1762">
        <v>391.64399999999995</v>
      </c>
      <c r="G1762">
        <v>18</v>
      </c>
      <c r="L1762" t="s">
        <v>5204</v>
      </c>
      <c r="O1762" t="s">
        <v>5205</v>
      </c>
    </row>
    <row r="1763" spans="1:15" x14ac:dyDescent="0.25">
      <c r="A1763" t="s">
        <v>18</v>
      </c>
      <c r="B1763" t="s">
        <v>5204</v>
      </c>
      <c r="C1763" t="s">
        <v>5206</v>
      </c>
      <c r="D1763" t="s">
        <v>20</v>
      </c>
      <c r="E1763" t="s">
        <v>11</v>
      </c>
      <c r="F1763">
        <v>3328.9739999999997</v>
      </c>
      <c r="G1763">
        <v>18</v>
      </c>
      <c r="L1763" t="s">
        <v>5207</v>
      </c>
      <c r="O1763" t="s">
        <v>5208</v>
      </c>
    </row>
    <row r="1764" spans="1:15" x14ac:dyDescent="0.25">
      <c r="A1764" t="s">
        <v>18</v>
      </c>
      <c r="B1764" t="s">
        <v>5207</v>
      </c>
      <c r="C1764" t="s">
        <v>5209</v>
      </c>
      <c r="D1764" t="s">
        <v>20</v>
      </c>
      <c r="E1764" t="s">
        <v>11</v>
      </c>
      <c r="F1764">
        <v>2349.8639999999996</v>
      </c>
      <c r="G1764">
        <v>18</v>
      </c>
      <c r="L1764" t="s">
        <v>5210</v>
      </c>
      <c r="O1764" t="s">
        <v>5211</v>
      </c>
    </row>
    <row r="1765" spans="1:15" x14ac:dyDescent="0.25">
      <c r="A1765" t="s">
        <v>18</v>
      </c>
      <c r="B1765" t="s">
        <v>5210</v>
      </c>
      <c r="C1765" t="s">
        <v>5212</v>
      </c>
      <c r="D1765" t="s">
        <v>20</v>
      </c>
      <c r="E1765" t="s">
        <v>11</v>
      </c>
      <c r="F1765">
        <v>2349.8639999999996</v>
      </c>
      <c r="G1765">
        <v>18</v>
      </c>
      <c r="L1765" t="s">
        <v>5213</v>
      </c>
      <c r="O1765" t="s">
        <v>5214</v>
      </c>
    </row>
    <row r="1766" spans="1:15" x14ac:dyDescent="0.25">
      <c r="A1766" t="s">
        <v>18</v>
      </c>
      <c r="B1766" t="s">
        <v>5213</v>
      </c>
      <c r="C1766" t="s">
        <v>5215</v>
      </c>
      <c r="D1766" t="s">
        <v>20</v>
      </c>
      <c r="E1766" t="s">
        <v>11</v>
      </c>
      <c r="F1766">
        <v>6201.030000000001</v>
      </c>
      <c r="G1766">
        <v>18</v>
      </c>
      <c r="L1766" t="s">
        <v>5216</v>
      </c>
      <c r="O1766" t="s">
        <v>5217</v>
      </c>
    </row>
    <row r="1767" spans="1:15" x14ac:dyDescent="0.25">
      <c r="A1767" t="s">
        <v>18</v>
      </c>
      <c r="B1767" t="s">
        <v>5216</v>
      </c>
      <c r="C1767" t="s">
        <v>5218</v>
      </c>
      <c r="D1767" t="s">
        <v>20</v>
      </c>
      <c r="E1767" t="s">
        <v>11</v>
      </c>
      <c r="F1767">
        <v>6201.030000000001</v>
      </c>
      <c r="G1767">
        <v>18</v>
      </c>
      <c r="L1767" t="s">
        <v>5219</v>
      </c>
      <c r="O1767" t="s">
        <v>5220</v>
      </c>
    </row>
    <row r="1768" spans="1:15" x14ac:dyDescent="0.25">
      <c r="A1768" t="s">
        <v>18</v>
      </c>
      <c r="B1768" t="s">
        <v>5219</v>
      </c>
      <c r="C1768" t="s">
        <v>5221</v>
      </c>
      <c r="D1768" t="s">
        <v>20</v>
      </c>
      <c r="E1768" t="s">
        <v>11</v>
      </c>
      <c r="F1768">
        <v>2741.508</v>
      </c>
      <c r="G1768">
        <v>18</v>
      </c>
      <c r="L1768" t="s">
        <v>5222</v>
      </c>
      <c r="O1768" t="s">
        <v>5223</v>
      </c>
    </row>
    <row r="1769" spans="1:15" x14ac:dyDescent="0.25">
      <c r="A1769" t="s">
        <v>18</v>
      </c>
      <c r="B1769" t="s">
        <v>5222</v>
      </c>
      <c r="C1769" t="s">
        <v>5224</v>
      </c>
      <c r="D1769" t="s">
        <v>20</v>
      </c>
      <c r="E1769" t="s">
        <v>11</v>
      </c>
      <c r="F1769">
        <v>4016.6279999999997</v>
      </c>
      <c r="G1769">
        <v>18</v>
      </c>
      <c r="L1769" t="s">
        <v>5225</v>
      </c>
      <c r="O1769" t="s">
        <v>5226</v>
      </c>
    </row>
    <row r="1770" spans="1:15" x14ac:dyDescent="0.25">
      <c r="A1770" t="s">
        <v>18</v>
      </c>
      <c r="B1770" t="s">
        <v>5225</v>
      </c>
      <c r="C1770" t="s">
        <v>5227</v>
      </c>
      <c r="D1770" t="s">
        <v>20</v>
      </c>
      <c r="E1770" t="s">
        <v>11</v>
      </c>
      <c r="F1770">
        <v>2023.494</v>
      </c>
      <c r="G1770">
        <v>18</v>
      </c>
      <c r="L1770" t="s">
        <v>5228</v>
      </c>
      <c r="O1770" t="s">
        <v>5229</v>
      </c>
    </row>
    <row r="1771" spans="1:15" x14ac:dyDescent="0.25">
      <c r="A1771" t="s">
        <v>18</v>
      </c>
      <c r="B1771" t="s">
        <v>5228</v>
      </c>
      <c r="C1771" t="s">
        <v>5230</v>
      </c>
      <c r="D1771" t="s">
        <v>20</v>
      </c>
      <c r="E1771" t="s">
        <v>11</v>
      </c>
      <c r="F1771">
        <v>3067.8779999999997</v>
      </c>
      <c r="G1771">
        <v>18</v>
      </c>
      <c r="L1771" t="s">
        <v>5231</v>
      </c>
      <c r="O1771" t="s">
        <v>5232</v>
      </c>
    </row>
    <row r="1772" spans="1:15" x14ac:dyDescent="0.25">
      <c r="A1772" t="s">
        <v>18</v>
      </c>
      <c r="B1772" t="s">
        <v>5231</v>
      </c>
      <c r="C1772" t="s">
        <v>5233</v>
      </c>
      <c r="D1772" t="s">
        <v>20</v>
      </c>
      <c r="E1772" t="s">
        <v>11</v>
      </c>
      <c r="F1772">
        <v>2023.494</v>
      </c>
      <c r="G1772">
        <v>18</v>
      </c>
      <c r="L1772" t="s">
        <v>5234</v>
      </c>
      <c r="O1772" t="s">
        <v>5235</v>
      </c>
    </row>
    <row r="1773" spans="1:15" x14ac:dyDescent="0.25">
      <c r="A1773" t="s">
        <v>18</v>
      </c>
      <c r="B1773" t="s">
        <v>5234</v>
      </c>
      <c r="C1773" t="s">
        <v>5236</v>
      </c>
      <c r="D1773" t="s">
        <v>20</v>
      </c>
      <c r="E1773" t="s">
        <v>11</v>
      </c>
      <c r="F1773">
        <v>2806.7819999999997</v>
      </c>
      <c r="G1773">
        <v>18</v>
      </c>
      <c r="L1773" t="s">
        <v>5237</v>
      </c>
      <c r="O1773" t="s">
        <v>5238</v>
      </c>
    </row>
    <row r="1774" spans="1:15" x14ac:dyDescent="0.25">
      <c r="A1774" t="s">
        <v>18</v>
      </c>
      <c r="B1774" t="s">
        <v>5237</v>
      </c>
      <c r="C1774" t="s">
        <v>5239</v>
      </c>
      <c r="D1774" t="s">
        <v>20</v>
      </c>
      <c r="E1774" t="s">
        <v>11</v>
      </c>
      <c r="F1774">
        <v>2284.59</v>
      </c>
      <c r="G1774">
        <v>18</v>
      </c>
      <c r="L1774" t="s">
        <v>5240</v>
      </c>
      <c r="O1774" t="s">
        <v>5241</v>
      </c>
    </row>
    <row r="1775" spans="1:15" x14ac:dyDescent="0.25">
      <c r="A1775" t="s">
        <v>18</v>
      </c>
      <c r="B1775" t="s">
        <v>5240</v>
      </c>
      <c r="C1775" t="s">
        <v>5242</v>
      </c>
      <c r="D1775" t="s">
        <v>20</v>
      </c>
      <c r="E1775" t="s">
        <v>11</v>
      </c>
      <c r="F1775">
        <v>2088.768</v>
      </c>
      <c r="G1775">
        <v>18</v>
      </c>
      <c r="L1775" t="s">
        <v>5243</v>
      </c>
      <c r="O1775" t="s">
        <v>5244</v>
      </c>
    </row>
    <row r="1776" spans="1:15" x14ac:dyDescent="0.25">
      <c r="A1776" t="s">
        <v>18</v>
      </c>
      <c r="B1776" t="s">
        <v>5243</v>
      </c>
      <c r="C1776" t="s">
        <v>5245</v>
      </c>
      <c r="D1776" t="s">
        <v>20</v>
      </c>
      <c r="E1776" t="s">
        <v>11</v>
      </c>
      <c r="F1776">
        <v>848.5619999999999</v>
      </c>
      <c r="G1776">
        <v>18</v>
      </c>
      <c r="L1776" t="s">
        <v>5246</v>
      </c>
      <c r="O1776" t="s">
        <v>5247</v>
      </c>
    </row>
    <row r="1777" spans="1:15" x14ac:dyDescent="0.25">
      <c r="A1777" t="s">
        <v>18</v>
      </c>
      <c r="B1777" t="s">
        <v>5246</v>
      </c>
      <c r="C1777" t="s">
        <v>5248</v>
      </c>
      <c r="D1777" t="s">
        <v>20</v>
      </c>
      <c r="E1777" t="s">
        <v>11</v>
      </c>
      <c r="F1777">
        <v>2284.59</v>
      </c>
      <c r="G1777">
        <v>18</v>
      </c>
      <c r="L1777" t="s">
        <v>5249</v>
      </c>
      <c r="O1777" t="s">
        <v>5250</v>
      </c>
    </row>
    <row r="1778" spans="1:15" x14ac:dyDescent="0.25">
      <c r="A1778" t="s">
        <v>18</v>
      </c>
      <c r="B1778" t="s">
        <v>5249</v>
      </c>
      <c r="C1778" t="s">
        <v>5251</v>
      </c>
      <c r="D1778" t="s">
        <v>20</v>
      </c>
      <c r="E1778" t="s">
        <v>11</v>
      </c>
      <c r="F1778">
        <v>3133.1519999999996</v>
      </c>
      <c r="G1778">
        <v>18</v>
      </c>
      <c r="L1778" t="s">
        <v>5252</v>
      </c>
      <c r="O1778" t="s">
        <v>5253</v>
      </c>
    </row>
    <row r="1779" spans="1:15" x14ac:dyDescent="0.25">
      <c r="A1779" t="s">
        <v>18</v>
      </c>
      <c r="B1779" t="s">
        <v>5252</v>
      </c>
      <c r="C1779" t="s">
        <v>5254</v>
      </c>
      <c r="D1779" t="s">
        <v>20</v>
      </c>
      <c r="E1779" t="s">
        <v>11</v>
      </c>
      <c r="F1779">
        <v>1109.658</v>
      </c>
      <c r="G1779">
        <v>18</v>
      </c>
      <c r="L1779" t="s">
        <v>5255</v>
      </c>
      <c r="O1779" t="s">
        <v>5256</v>
      </c>
    </row>
    <row r="1780" spans="1:15" x14ac:dyDescent="0.25">
      <c r="A1780" t="s">
        <v>18</v>
      </c>
      <c r="B1780" t="s">
        <v>5255</v>
      </c>
      <c r="C1780" t="s">
        <v>5257</v>
      </c>
      <c r="D1780" t="s">
        <v>20</v>
      </c>
      <c r="E1780" t="s">
        <v>11</v>
      </c>
      <c r="F1780">
        <v>2088.768</v>
      </c>
      <c r="G1780">
        <v>18</v>
      </c>
      <c r="L1780" t="s">
        <v>5258</v>
      </c>
      <c r="O1780" t="s">
        <v>5259</v>
      </c>
    </row>
    <row r="1781" spans="1:15" x14ac:dyDescent="0.25">
      <c r="A1781" t="s">
        <v>18</v>
      </c>
      <c r="B1781" t="s">
        <v>5258</v>
      </c>
      <c r="C1781" t="s">
        <v>5260</v>
      </c>
      <c r="D1781" t="s">
        <v>20</v>
      </c>
      <c r="E1781" t="s">
        <v>11</v>
      </c>
      <c r="F1781">
        <v>4895.55</v>
      </c>
      <c r="G1781">
        <v>18</v>
      </c>
      <c r="L1781" t="s">
        <v>5261</v>
      </c>
      <c r="O1781" t="s">
        <v>5262</v>
      </c>
    </row>
    <row r="1782" spans="1:15" x14ac:dyDescent="0.25">
      <c r="A1782" t="s">
        <v>18</v>
      </c>
      <c r="B1782" t="s">
        <v>5261</v>
      </c>
      <c r="C1782" t="s">
        <v>5263</v>
      </c>
      <c r="D1782" t="s">
        <v>20</v>
      </c>
      <c r="E1782" t="s">
        <v>11</v>
      </c>
      <c r="F1782">
        <v>2676.234</v>
      </c>
      <c r="G1782">
        <v>18</v>
      </c>
      <c r="L1782" t="s">
        <v>5264</v>
      </c>
      <c r="O1782" t="s">
        <v>5265</v>
      </c>
    </row>
    <row r="1783" spans="1:15" x14ac:dyDescent="0.25">
      <c r="A1783" t="s">
        <v>18</v>
      </c>
      <c r="B1783" t="s">
        <v>5264</v>
      </c>
      <c r="C1783" t="s">
        <v>5266</v>
      </c>
      <c r="D1783" t="s">
        <v>20</v>
      </c>
      <c r="E1783" t="s">
        <v>11</v>
      </c>
      <c r="F1783">
        <v>2676.234</v>
      </c>
      <c r="G1783">
        <v>18</v>
      </c>
      <c r="L1783" t="s">
        <v>5267</v>
      </c>
      <c r="O1783" t="s">
        <v>5268</v>
      </c>
    </row>
    <row r="1784" spans="1:15" x14ac:dyDescent="0.25">
      <c r="A1784" t="s">
        <v>18</v>
      </c>
      <c r="B1784" t="s">
        <v>5267</v>
      </c>
      <c r="C1784" t="s">
        <v>5269</v>
      </c>
      <c r="D1784" t="s">
        <v>20</v>
      </c>
      <c r="E1784" t="s">
        <v>11</v>
      </c>
      <c r="F1784">
        <v>1892.946</v>
      </c>
      <c r="G1784">
        <v>18</v>
      </c>
      <c r="L1784" t="s">
        <v>5270</v>
      </c>
      <c r="O1784" t="s">
        <v>5271</v>
      </c>
    </row>
    <row r="1785" spans="1:15" x14ac:dyDescent="0.25">
      <c r="A1785" t="s">
        <v>18</v>
      </c>
      <c r="B1785" t="s">
        <v>5270</v>
      </c>
      <c r="C1785" t="s">
        <v>5272</v>
      </c>
      <c r="D1785" t="s">
        <v>20</v>
      </c>
      <c r="E1785" t="s">
        <v>11</v>
      </c>
      <c r="F1785">
        <v>2284.59</v>
      </c>
      <c r="G1785">
        <v>18</v>
      </c>
      <c r="L1785" t="s">
        <v>5273</v>
      </c>
      <c r="O1785" t="s">
        <v>5274</v>
      </c>
    </row>
    <row r="1786" spans="1:15" x14ac:dyDescent="0.25">
      <c r="A1786" t="s">
        <v>18</v>
      </c>
      <c r="B1786" t="s">
        <v>5273</v>
      </c>
      <c r="C1786" t="s">
        <v>5275</v>
      </c>
      <c r="D1786" t="s">
        <v>20</v>
      </c>
      <c r="E1786" t="s">
        <v>11</v>
      </c>
      <c r="F1786">
        <v>718.014</v>
      </c>
      <c r="G1786">
        <v>18</v>
      </c>
      <c r="L1786" t="s">
        <v>5276</v>
      </c>
      <c r="O1786" t="s">
        <v>5277</v>
      </c>
    </row>
    <row r="1787" spans="1:15" x14ac:dyDescent="0.25">
      <c r="A1787" t="s">
        <v>18</v>
      </c>
      <c r="B1787" t="s">
        <v>5276</v>
      </c>
      <c r="C1787" t="s">
        <v>5278</v>
      </c>
      <c r="D1787" t="s">
        <v>20</v>
      </c>
      <c r="E1787" t="s">
        <v>11</v>
      </c>
      <c r="F1787">
        <v>522.192</v>
      </c>
      <c r="G1787">
        <v>18</v>
      </c>
      <c r="L1787" t="s">
        <v>5279</v>
      </c>
      <c r="O1787" t="s">
        <v>5280</v>
      </c>
    </row>
    <row r="1788" spans="1:15" x14ac:dyDescent="0.25">
      <c r="A1788" t="s">
        <v>18</v>
      </c>
      <c r="B1788" t="s">
        <v>5279</v>
      </c>
      <c r="C1788" t="s">
        <v>5281</v>
      </c>
      <c r="D1788" t="s">
        <v>20</v>
      </c>
      <c r="E1788" t="s">
        <v>11</v>
      </c>
      <c r="F1788">
        <v>5026.097999999999</v>
      </c>
      <c r="G1788">
        <v>18</v>
      </c>
      <c r="L1788" t="s">
        <v>5282</v>
      </c>
      <c r="O1788" t="s">
        <v>5283</v>
      </c>
    </row>
    <row r="1789" spans="1:15" x14ac:dyDescent="0.25">
      <c r="A1789" t="s">
        <v>18</v>
      </c>
      <c r="B1789" t="s">
        <v>5282</v>
      </c>
      <c r="C1789" t="s">
        <v>5284</v>
      </c>
      <c r="D1789" t="s">
        <v>20</v>
      </c>
      <c r="E1789" t="s">
        <v>11</v>
      </c>
      <c r="F1789">
        <v>2610.96</v>
      </c>
      <c r="G1789">
        <v>18</v>
      </c>
      <c r="L1789" t="s">
        <v>5285</v>
      </c>
      <c r="O1789" t="s">
        <v>5286</v>
      </c>
    </row>
    <row r="1790" spans="1:15" x14ac:dyDescent="0.25">
      <c r="A1790" t="s">
        <v>18</v>
      </c>
      <c r="B1790" t="s">
        <v>5285</v>
      </c>
      <c r="C1790" t="s">
        <v>5287</v>
      </c>
      <c r="D1790" t="s">
        <v>20</v>
      </c>
      <c r="E1790" t="s">
        <v>11</v>
      </c>
      <c r="F1790">
        <v>7310.688</v>
      </c>
      <c r="G1790">
        <v>18</v>
      </c>
      <c r="L1790" t="s">
        <v>5288</v>
      </c>
      <c r="O1790" t="s">
        <v>5289</v>
      </c>
    </row>
    <row r="1791" spans="1:15" x14ac:dyDescent="0.25">
      <c r="A1791" t="s">
        <v>18</v>
      </c>
      <c r="B1791" t="s">
        <v>5288</v>
      </c>
      <c r="C1791" t="s">
        <v>5290</v>
      </c>
      <c r="D1791" t="s">
        <v>20</v>
      </c>
      <c r="E1791" t="s">
        <v>11</v>
      </c>
      <c r="F1791">
        <v>7963.428</v>
      </c>
      <c r="G1791">
        <v>18</v>
      </c>
      <c r="L1791" t="s">
        <v>5291</v>
      </c>
      <c r="O1791" t="s">
        <v>5292</v>
      </c>
    </row>
    <row r="1792" spans="1:15" x14ac:dyDescent="0.25">
      <c r="A1792" t="s">
        <v>18</v>
      </c>
      <c r="B1792" t="s">
        <v>5291</v>
      </c>
      <c r="C1792" t="s">
        <v>5293</v>
      </c>
      <c r="D1792" t="s">
        <v>20</v>
      </c>
      <c r="E1792" t="s">
        <v>11</v>
      </c>
      <c r="F1792">
        <v>848.5619999999999</v>
      </c>
      <c r="G1792">
        <v>18</v>
      </c>
      <c r="L1792" t="s">
        <v>5294</v>
      </c>
      <c r="O1792" t="s">
        <v>5295</v>
      </c>
    </row>
    <row r="1793" spans="1:15" x14ac:dyDescent="0.25">
      <c r="A1793" t="s">
        <v>18</v>
      </c>
      <c r="B1793" t="s">
        <v>5294</v>
      </c>
      <c r="C1793" t="s">
        <v>5296</v>
      </c>
      <c r="D1793" t="s">
        <v>20</v>
      </c>
      <c r="E1793" t="s">
        <v>11</v>
      </c>
      <c r="F1793">
        <v>7245.414</v>
      </c>
      <c r="G1793">
        <v>18</v>
      </c>
      <c r="L1793" t="s">
        <v>5297</v>
      </c>
      <c r="O1793" t="s">
        <v>5298</v>
      </c>
    </row>
    <row r="1794" spans="1:15" x14ac:dyDescent="0.25">
      <c r="A1794" t="s">
        <v>18</v>
      </c>
      <c r="B1794" t="s">
        <v>5297</v>
      </c>
      <c r="C1794" t="s">
        <v>5299</v>
      </c>
      <c r="D1794" t="s">
        <v>20</v>
      </c>
      <c r="E1794" t="s">
        <v>11</v>
      </c>
      <c r="F1794">
        <v>3198.426</v>
      </c>
      <c r="G1794">
        <v>18</v>
      </c>
      <c r="L1794" t="s">
        <v>5300</v>
      </c>
      <c r="O1794" t="s">
        <v>5301</v>
      </c>
    </row>
    <row r="1795" spans="1:15" x14ac:dyDescent="0.25">
      <c r="A1795" t="s">
        <v>18</v>
      </c>
      <c r="B1795" t="s">
        <v>5300</v>
      </c>
      <c r="C1795" t="s">
        <v>5302</v>
      </c>
      <c r="D1795" t="s">
        <v>20</v>
      </c>
      <c r="E1795" t="s">
        <v>11</v>
      </c>
      <c r="F1795">
        <v>4308.084</v>
      </c>
      <c r="G1795">
        <v>18</v>
      </c>
      <c r="L1795" t="s">
        <v>5303</v>
      </c>
      <c r="O1795" t="s">
        <v>5304</v>
      </c>
    </row>
    <row r="1796" spans="1:15" x14ac:dyDescent="0.25">
      <c r="A1796" t="s">
        <v>18</v>
      </c>
      <c r="B1796" t="s">
        <v>5303</v>
      </c>
      <c r="C1796" t="s">
        <v>5305</v>
      </c>
      <c r="D1796" t="s">
        <v>20</v>
      </c>
      <c r="E1796" t="s">
        <v>11</v>
      </c>
      <c r="F1796">
        <v>2349.8639999999996</v>
      </c>
      <c r="G1796">
        <v>18</v>
      </c>
      <c r="L1796" t="s">
        <v>5306</v>
      </c>
      <c r="O1796" t="s">
        <v>5307</v>
      </c>
    </row>
    <row r="1797" spans="1:15" x14ac:dyDescent="0.25">
      <c r="A1797" t="s">
        <v>18</v>
      </c>
      <c r="B1797" t="s">
        <v>5306</v>
      </c>
      <c r="C1797" t="s">
        <v>5308</v>
      </c>
      <c r="D1797" t="s">
        <v>20</v>
      </c>
      <c r="E1797" t="s">
        <v>11</v>
      </c>
      <c r="F1797">
        <v>718.014</v>
      </c>
      <c r="G1797">
        <v>18</v>
      </c>
      <c r="L1797" t="s">
        <v>5309</v>
      </c>
      <c r="O1797" t="s">
        <v>5310</v>
      </c>
    </row>
    <row r="1798" spans="1:15" x14ac:dyDescent="0.25">
      <c r="A1798" t="s">
        <v>18</v>
      </c>
      <c r="B1798" t="s">
        <v>5309</v>
      </c>
      <c r="C1798" t="s">
        <v>5311</v>
      </c>
      <c r="D1798" t="s">
        <v>20</v>
      </c>
      <c r="E1798" t="s">
        <v>11</v>
      </c>
      <c r="F1798">
        <v>848.5619999999999</v>
      </c>
      <c r="G1798">
        <v>18</v>
      </c>
      <c r="L1798" t="s">
        <v>5312</v>
      </c>
      <c r="O1798" t="s">
        <v>5313</v>
      </c>
    </row>
    <row r="1799" spans="1:15" x14ac:dyDescent="0.25">
      <c r="A1799" t="s">
        <v>18</v>
      </c>
      <c r="B1799" t="s">
        <v>5312</v>
      </c>
      <c r="C1799" t="s">
        <v>5314</v>
      </c>
      <c r="D1799" t="s">
        <v>20</v>
      </c>
      <c r="E1799" t="s">
        <v>11</v>
      </c>
      <c r="F1799">
        <v>2937.3300000000004</v>
      </c>
      <c r="G1799">
        <v>18</v>
      </c>
      <c r="L1799" t="s">
        <v>5315</v>
      </c>
      <c r="O1799" t="s">
        <v>5316</v>
      </c>
    </row>
    <row r="1800" spans="1:15" x14ac:dyDescent="0.25">
      <c r="A1800" t="s">
        <v>18</v>
      </c>
      <c r="B1800" t="s">
        <v>5315</v>
      </c>
      <c r="C1800" t="s">
        <v>5317</v>
      </c>
      <c r="D1800" t="s">
        <v>20</v>
      </c>
      <c r="E1800" t="s">
        <v>11</v>
      </c>
      <c r="F1800">
        <v>2219.316</v>
      </c>
      <c r="G1800">
        <v>18</v>
      </c>
      <c r="L1800" t="s">
        <v>5318</v>
      </c>
      <c r="O1800" t="s">
        <v>5319</v>
      </c>
    </row>
    <row r="1801" spans="1:15" x14ac:dyDescent="0.25">
      <c r="A1801" t="s">
        <v>18</v>
      </c>
      <c r="B1801" t="s">
        <v>5318</v>
      </c>
      <c r="C1801" t="s">
        <v>5320</v>
      </c>
      <c r="D1801" t="s">
        <v>20</v>
      </c>
      <c r="E1801" t="s">
        <v>11</v>
      </c>
      <c r="F1801">
        <v>2741.508</v>
      </c>
      <c r="G1801">
        <v>18</v>
      </c>
      <c r="L1801" t="s">
        <v>5321</v>
      </c>
      <c r="O1801" t="s">
        <v>5322</v>
      </c>
    </row>
    <row r="1802" spans="1:15" x14ac:dyDescent="0.25">
      <c r="A1802" t="s">
        <v>18</v>
      </c>
      <c r="B1802" t="s">
        <v>5321</v>
      </c>
      <c r="C1802" t="s">
        <v>5323</v>
      </c>
      <c r="D1802" t="s">
        <v>20</v>
      </c>
      <c r="E1802" t="s">
        <v>11</v>
      </c>
      <c r="F1802">
        <v>2480.4120000000003</v>
      </c>
      <c r="G1802">
        <v>18</v>
      </c>
      <c r="L1802" t="s">
        <v>5324</v>
      </c>
      <c r="O1802" t="s">
        <v>5325</v>
      </c>
    </row>
    <row r="1803" spans="1:15" x14ac:dyDescent="0.25">
      <c r="A1803" t="s">
        <v>18</v>
      </c>
      <c r="B1803" t="s">
        <v>5324</v>
      </c>
      <c r="C1803" t="s">
        <v>5326</v>
      </c>
      <c r="D1803" t="s">
        <v>20</v>
      </c>
      <c r="E1803" t="s">
        <v>11</v>
      </c>
      <c r="F1803">
        <v>2023.494</v>
      </c>
      <c r="G1803">
        <v>18</v>
      </c>
      <c r="L1803" t="s">
        <v>5327</v>
      </c>
      <c r="O1803" t="s">
        <v>5328</v>
      </c>
    </row>
    <row r="1804" spans="1:15" x14ac:dyDescent="0.25">
      <c r="A1804" t="s">
        <v>18</v>
      </c>
      <c r="B1804" t="s">
        <v>5327</v>
      </c>
      <c r="C1804" t="s">
        <v>5329</v>
      </c>
      <c r="D1804" t="s">
        <v>20</v>
      </c>
      <c r="E1804" t="s">
        <v>11</v>
      </c>
      <c r="F1804">
        <v>11422.95</v>
      </c>
      <c r="G1804">
        <v>18</v>
      </c>
      <c r="L1804" t="s">
        <v>5330</v>
      </c>
      <c r="O1804" t="s">
        <v>5331</v>
      </c>
    </row>
    <row r="1805" spans="1:15" x14ac:dyDescent="0.25">
      <c r="A1805" t="s">
        <v>18</v>
      </c>
      <c r="B1805" t="s">
        <v>5330</v>
      </c>
      <c r="C1805" t="s">
        <v>5332</v>
      </c>
      <c r="D1805" t="s">
        <v>20</v>
      </c>
      <c r="E1805" t="s">
        <v>11</v>
      </c>
      <c r="F1805">
        <v>2676.234</v>
      </c>
      <c r="G1805">
        <v>18</v>
      </c>
      <c r="L1805" t="s">
        <v>5333</v>
      </c>
      <c r="O1805" t="s">
        <v>5334</v>
      </c>
    </row>
    <row r="1806" spans="1:15" x14ac:dyDescent="0.25">
      <c r="A1806" t="s">
        <v>18</v>
      </c>
      <c r="B1806" t="s">
        <v>5333</v>
      </c>
      <c r="C1806" t="s">
        <v>5335</v>
      </c>
      <c r="D1806" t="s">
        <v>20</v>
      </c>
      <c r="E1806" t="s">
        <v>11</v>
      </c>
      <c r="F1806">
        <v>2676.234</v>
      </c>
      <c r="G1806">
        <v>18</v>
      </c>
      <c r="L1806" t="s">
        <v>5336</v>
      </c>
      <c r="O1806" t="s">
        <v>5337</v>
      </c>
    </row>
    <row r="1807" spans="1:15" x14ac:dyDescent="0.25">
      <c r="A1807" t="s">
        <v>18</v>
      </c>
      <c r="B1807" t="s">
        <v>5336</v>
      </c>
      <c r="C1807" t="s">
        <v>5338</v>
      </c>
      <c r="D1807" t="s">
        <v>20</v>
      </c>
      <c r="E1807" t="s">
        <v>11</v>
      </c>
      <c r="F1807">
        <v>4569.18</v>
      </c>
      <c r="G1807">
        <v>18</v>
      </c>
      <c r="L1807" t="s">
        <v>5339</v>
      </c>
      <c r="O1807" t="s">
        <v>5340</v>
      </c>
    </row>
    <row r="1808" spans="1:15" x14ac:dyDescent="0.25">
      <c r="A1808" t="s">
        <v>18</v>
      </c>
      <c r="B1808" t="s">
        <v>5339</v>
      </c>
      <c r="C1808" t="s">
        <v>5341</v>
      </c>
      <c r="D1808" t="s">
        <v>20</v>
      </c>
      <c r="E1808" t="s">
        <v>11</v>
      </c>
      <c r="F1808">
        <v>3851.166</v>
      </c>
      <c r="G1808">
        <v>18</v>
      </c>
      <c r="L1808" t="s">
        <v>5342</v>
      </c>
      <c r="O1808" t="s">
        <v>5343</v>
      </c>
    </row>
    <row r="1809" spans="1:15" x14ac:dyDescent="0.25">
      <c r="A1809" t="s">
        <v>18</v>
      </c>
      <c r="B1809" t="s">
        <v>5342</v>
      </c>
      <c r="C1809" t="s">
        <v>5344</v>
      </c>
      <c r="D1809" t="s">
        <v>20</v>
      </c>
      <c r="E1809" t="s">
        <v>11</v>
      </c>
      <c r="F1809">
        <v>3394.2479999999996</v>
      </c>
      <c r="G1809">
        <v>18</v>
      </c>
      <c r="L1809" t="s">
        <v>5345</v>
      </c>
      <c r="O1809" t="s">
        <v>5346</v>
      </c>
    </row>
    <row r="1810" spans="1:15" x14ac:dyDescent="0.25">
      <c r="A1810" t="s">
        <v>18</v>
      </c>
      <c r="B1810" t="s">
        <v>5345</v>
      </c>
      <c r="C1810" t="s">
        <v>5347</v>
      </c>
      <c r="D1810" t="s">
        <v>20</v>
      </c>
      <c r="E1810" t="s">
        <v>11</v>
      </c>
      <c r="F1810">
        <v>1174.9319999999998</v>
      </c>
      <c r="G1810">
        <v>18</v>
      </c>
      <c r="L1810" t="s">
        <v>5348</v>
      </c>
      <c r="O1810" t="s">
        <v>5349</v>
      </c>
    </row>
    <row r="1811" spans="1:15" x14ac:dyDescent="0.25">
      <c r="A1811" t="s">
        <v>18</v>
      </c>
      <c r="B1811" t="s">
        <v>5348</v>
      </c>
      <c r="C1811" t="s">
        <v>5350</v>
      </c>
      <c r="D1811" t="s">
        <v>20</v>
      </c>
      <c r="E1811" t="s">
        <v>11</v>
      </c>
      <c r="F1811">
        <v>2610.96</v>
      </c>
      <c r="G1811">
        <v>18</v>
      </c>
      <c r="L1811" t="s">
        <v>5351</v>
      </c>
      <c r="O1811" t="s">
        <v>5352</v>
      </c>
    </row>
    <row r="1812" spans="1:15" x14ac:dyDescent="0.25">
      <c r="A1812" t="s">
        <v>18</v>
      </c>
      <c r="B1812" t="s">
        <v>5351</v>
      </c>
      <c r="C1812" t="s">
        <v>5353</v>
      </c>
      <c r="D1812" t="s">
        <v>20</v>
      </c>
      <c r="E1812" t="s">
        <v>11</v>
      </c>
      <c r="F1812">
        <v>7180.139999999999</v>
      </c>
      <c r="G1812">
        <v>18</v>
      </c>
      <c r="L1812" t="s">
        <v>5354</v>
      </c>
      <c r="O1812" t="s">
        <v>5355</v>
      </c>
    </row>
    <row r="1813" spans="1:15" x14ac:dyDescent="0.25">
      <c r="A1813" t="s">
        <v>18</v>
      </c>
      <c r="B1813" t="s">
        <v>5354</v>
      </c>
      <c r="C1813" t="s">
        <v>5356</v>
      </c>
      <c r="D1813" t="s">
        <v>20</v>
      </c>
      <c r="E1813" t="s">
        <v>11</v>
      </c>
      <c r="F1813">
        <v>3590.0699999999997</v>
      </c>
      <c r="G1813">
        <v>18</v>
      </c>
      <c r="L1813" t="s">
        <v>5357</v>
      </c>
      <c r="O1813" t="s">
        <v>5358</v>
      </c>
    </row>
    <row r="1814" spans="1:15" x14ac:dyDescent="0.25">
      <c r="A1814" t="s">
        <v>18</v>
      </c>
      <c r="B1814" t="s">
        <v>5357</v>
      </c>
      <c r="C1814" t="s">
        <v>5359</v>
      </c>
      <c r="D1814" t="s">
        <v>20</v>
      </c>
      <c r="E1814" t="s">
        <v>11</v>
      </c>
      <c r="F1814">
        <v>5678.838</v>
      </c>
      <c r="G1814">
        <v>18</v>
      </c>
      <c r="L1814" t="s">
        <v>5360</v>
      </c>
      <c r="O1814" t="s">
        <v>5361</v>
      </c>
    </row>
    <row r="1815" spans="1:15" x14ac:dyDescent="0.25">
      <c r="A1815" t="s">
        <v>18</v>
      </c>
      <c r="B1815" t="s">
        <v>5360</v>
      </c>
      <c r="C1815" t="s">
        <v>5362</v>
      </c>
      <c r="D1815" t="s">
        <v>20</v>
      </c>
      <c r="E1815" t="s">
        <v>11</v>
      </c>
      <c r="F1815">
        <v>3394.2479999999996</v>
      </c>
      <c r="G1815">
        <v>18</v>
      </c>
      <c r="L1815" t="s">
        <v>5363</v>
      </c>
      <c r="O1815" t="s">
        <v>5364</v>
      </c>
    </row>
    <row r="1816" spans="1:15" x14ac:dyDescent="0.25">
      <c r="A1816" t="s">
        <v>18</v>
      </c>
      <c r="B1816" t="s">
        <v>5363</v>
      </c>
      <c r="C1816" t="s">
        <v>5365</v>
      </c>
      <c r="D1816" t="s">
        <v>20</v>
      </c>
      <c r="E1816" t="s">
        <v>11</v>
      </c>
      <c r="F1816">
        <v>5483.016</v>
      </c>
      <c r="G1816">
        <v>18</v>
      </c>
      <c r="L1816" t="s">
        <v>5366</v>
      </c>
      <c r="O1816" t="s">
        <v>5367</v>
      </c>
    </row>
    <row r="1817" spans="1:15" x14ac:dyDescent="0.25">
      <c r="A1817" t="s">
        <v>18</v>
      </c>
      <c r="B1817" t="s">
        <v>5366</v>
      </c>
      <c r="C1817" t="s">
        <v>5368</v>
      </c>
      <c r="D1817" t="s">
        <v>20</v>
      </c>
      <c r="E1817" t="s">
        <v>11</v>
      </c>
      <c r="F1817">
        <v>1044.384</v>
      </c>
      <c r="G1817">
        <v>18</v>
      </c>
      <c r="L1817" t="s">
        <v>5369</v>
      </c>
      <c r="O1817" t="s">
        <v>5370</v>
      </c>
    </row>
    <row r="1818" spans="1:15" x14ac:dyDescent="0.25">
      <c r="A1818" t="s">
        <v>18</v>
      </c>
      <c r="B1818" t="s">
        <v>5369</v>
      </c>
      <c r="C1818" t="s">
        <v>5371</v>
      </c>
      <c r="D1818" t="s">
        <v>20</v>
      </c>
      <c r="E1818" t="s">
        <v>11</v>
      </c>
      <c r="F1818">
        <v>4242.8099999999995</v>
      </c>
      <c r="G1818">
        <v>18</v>
      </c>
      <c r="L1818" t="s">
        <v>5372</v>
      </c>
      <c r="O1818" t="s">
        <v>5373</v>
      </c>
    </row>
    <row r="1819" spans="1:15" x14ac:dyDescent="0.25">
      <c r="A1819" t="s">
        <v>18</v>
      </c>
      <c r="B1819" t="s">
        <v>5372</v>
      </c>
      <c r="C1819" t="s">
        <v>5374</v>
      </c>
      <c r="D1819" t="s">
        <v>20</v>
      </c>
      <c r="E1819" t="s">
        <v>11</v>
      </c>
      <c r="F1819">
        <v>4438.632</v>
      </c>
      <c r="G1819">
        <v>18</v>
      </c>
      <c r="L1819" t="s">
        <v>5375</v>
      </c>
      <c r="O1819" t="s">
        <v>5376</v>
      </c>
    </row>
    <row r="1820" spans="1:15" x14ac:dyDescent="0.25">
      <c r="A1820" t="s">
        <v>18</v>
      </c>
      <c r="B1820" t="s">
        <v>5375</v>
      </c>
      <c r="C1820" t="s">
        <v>5377</v>
      </c>
      <c r="D1820" t="s">
        <v>20</v>
      </c>
      <c r="E1820" t="s">
        <v>11</v>
      </c>
      <c r="F1820">
        <v>4438.632</v>
      </c>
      <c r="G1820">
        <v>18</v>
      </c>
      <c r="L1820" t="s">
        <v>5378</v>
      </c>
      <c r="O1820" t="s">
        <v>5379</v>
      </c>
    </row>
    <row r="1821" spans="1:15" x14ac:dyDescent="0.25">
      <c r="A1821" t="s">
        <v>18</v>
      </c>
      <c r="B1821" t="s">
        <v>5378</v>
      </c>
      <c r="C1821" t="s">
        <v>5380</v>
      </c>
      <c r="D1821" t="s">
        <v>20</v>
      </c>
      <c r="E1821" t="s">
        <v>11</v>
      </c>
      <c r="F1821">
        <v>2872.056</v>
      </c>
      <c r="G1821">
        <v>18</v>
      </c>
      <c r="L1821" t="s">
        <v>5381</v>
      </c>
      <c r="O1821" t="s">
        <v>5382</v>
      </c>
    </row>
    <row r="1822" spans="1:15" x14ac:dyDescent="0.25">
      <c r="A1822" t="s">
        <v>18</v>
      </c>
      <c r="B1822" t="s">
        <v>5381</v>
      </c>
      <c r="C1822" t="s">
        <v>5383</v>
      </c>
      <c r="D1822" t="s">
        <v>20</v>
      </c>
      <c r="E1822" t="s">
        <v>11</v>
      </c>
      <c r="F1822">
        <v>718.014</v>
      </c>
      <c r="G1822">
        <v>18</v>
      </c>
      <c r="L1822" t="s">
        <v>5384</v>
      </c>
      <c r="O1822" t="s">
        <v>5385</v>
      </c>
    </row>
    <row r="1823" spans="1:15" x14ac:dyDescent="0.25">
      <c r="A1823" t="s">
        <v>18</v>
      </c>
      <c r="B1823" t="s">
        <v>5384</v>
      </c>
      <c r="C1823" t="s">
        <v>5386</v>
      </c>
      <c r="D1823" t="s">
        <v>20</v>
      </c>
      <c r="E1823" t="s">
        <v>11</v>
      </c>
      <c r="F1823">
        <v>1044.384</v>
      </c>
      <c r="G1823">
        <v>18</v>
      </c>
      <c r="L1823" t="s">
        <v>5387</v>
      </c>
      <c r="O1823" t="s">
        <v>5388</v>
      </c>
    </row>
    <row r="1824" spans="1:15" x14ac:dyDescent="0.25">
      <c r="A1824" t="s">
        <v>18</v>
      </c>
      <c r="B1824" t="s">
        <v>5387</v>
      </c>
      <c r="C1824" t="s">
        <v>5389</v>
      </c>
      <c r="D1824" t="s">
        <v>20</v>
      </c>
      <c r="E1824" t="s">
        <v>11</v>
      </c>
      <c r="F1824">
        <v>3590.0699999999997</v>
      </c>
      <c r="G1824">
        <v>18</v>
      </c>
      <c r="L1824" t="s">
        <v>5390</v>
      </c>
      <c r="O1824" t="s">
        <v>5391</v>
      </c>
    </row>
    <row r="1825" spans="1:15" x14ac:dyDescent="0.25">
      <c r="A1825" t="s">
        <v>18</v>
      </c>
      <c r="B1825" t="s">
        <v>5390</v>
      </c>
      <c r="C1825" t="s">
        <v>5392</v>
      </c>
      <c r="D1825" t="s">
        <v>20</v>
      </c>
      <c r="E1825" t="s">
        <v>11</v>
      </c>
      <c r="F1825">
        <v>3133.1519999999996</v>
      </c>
      <c r="G1825">
        <v>18</v>
      </c>
      <c r="L1825" t="s">
        <v>5393</v>
      </c>
      <c r="O1825" t="s">
        <v>5394</v>
      </c>
    </row>
    <row r="1826" spans="1:15" x14ac:dyDescent="0.25">
      <c r="A1826" t="s">
        <v>18</v>
      </c>
      <c r="B1826" t="s">
        <v>5393</v>
      </c>
      <c r="C1826" t="s">
        <v>5395</v>
      </c>
      <c r="D1826" t="s">
        <v>20</v>
      </c>
      <c r="E1826" t="s">
        <v>11</v>
      </c>
      <c r="F1826">
        <v>1370.754</v>
      </c>
      <c r="G1826">
        <v>18</v>
      </c>
      <c r="L1826" t="s">
        <v>5396</v>
      </c>
      <c r="O1826" t="s">
        <v>5397</v>
      </c>
    </row>
    <row r="1827" spans="1:15" x14ac:dyDescent="0.25">
      <c r="A1827" t="s">
        <v>18</v>
      </c>
      <c r="B1827" t="s">
        <v>5396</v>
      </c>
      <c r="C1827" t="s">
        <v>5398</v>
      </c>
      <c r="D1827" t="s">
        <v>20</v>
      </c>
      <c r="E1827" t="s">
        <v>11</v>
      </c>
      <c r="F1827">
        <v>7571.784</v>
      </c>
      <c r="G1827">
        <v>18</v>
      </c>
      <c r="L1827" t="s">
        <v>5399</v>
      </c>
      <c r="O1827" t="s">
        <v>5400</v>
      </c>
    </row>
    <row r="1828" spans="1:15" x14ac:dyDescent="0.25">
      <c r="A1828" t="s">
        <v>18</v>
      </c>
      <c r="B1828" t="s">
        <v>5399</v>
      </c>
      <c r="C1828" t="s">
        <v>5401</v>
      </c>
      <c r="D1828" t="s">
        <v>20</v>
      </c>
      <c r="E1828" t="s">
        <v>11</v>
      </c>
      <c r="F1828">
        <v>7571.784</v>
      </c>
      <c r="G1828">
        <v>18</v>
      </c>
      <c r="L1828" t="s">
        <v>5402</v>
      </c>
      <c r="O1828" t="s">
        <v>5403</v>
      </c>
    </row>
    <row r="1829" spans="1:15" x14ac:dyDescent="0.25">
      <c r="A1829" t="s">
        <v>18</v>
      </c>
      <c r="B1829" t="s">
        <v>5402</v>
      </c>
      <c r="C1829" t="s">
        <v>5404</v>
      </c>
      <c r="D1829" t="s">
        <v>20</v>
      </c>
      <c r="E1829" t="s">
        <v>11</v>
      </c>
      <c r="F1829">
        <v>2415.138</v>
      </c>
      <c r="G1829">
        <v>18</v>
      </c>
      <c r="L1829" t="s">
        <v>5405</v>
      </c>
      <c r="O1829" t="s">
        <v>5406</v>
      </c>
    </row>
    <row r="1830" spans="1:15" x14ac:dyDescent="0.25">
      <c r="A1830" t="s">
        <v>18</v>
      </c>
      <c r="B1830" t="s">
        <v>5405</v>
      </c>
      <c r="C1830" t="s">
        <v>5407</v>
      </c>
      <c r="D1830" t="s">
        <v>20</v>
      </c>
      <c r="E1830" t="s">
        <v>11</v>
      </c>
      <c r="F1830">
        <v>4308.084</v>
      </c>
      <c r="G1830">
        <v>18</v>
      </c>
      <c r="L1830" t="s">
        <v>5408</v>
      </c>
      <c r="O1830" t="s">
        <v>5409</v>
      </c>
    </row>
    <row r="1831" spans="1:15" x14ac:dyDescent="0.25">
      <c r="A1831" t="s">
        <v>18</v>
      </c>
      <c r="B1831" t="s">
        <v>5408</v>
      </c>
      <c r="C1831" t="s">
        <v>5410</v>
      </c>
      <c r="D1831" t="s">
        <v>20</v>
      </c>
      <c r="E1831" t="s">
        <v>11</v>
      </c>
      <c r="F1831">
        <v>2154.042</v>
      </c>
      <c r="G1831">
        <v>18</v>
      </c>
      <c r="L1831" t="s">
        <v>5411</v>
      </c>
      <c r="O1831" t="s">
        <v>5412</v>
      </c>
    </row>
    <row r="1832" spans="1:15" x14ac:dyDescent="0.25">
      <c r="A1832" t="s">
        <v>18</v>
      </c>
      <c r="B1832" t="s">
        <v>5411</v>
      </c>
      <c r="C1832" t="s">
        <v>5413</v>
      </c>
      <c r="D1832" t="s">
        <v>20</v>
      </c>
      <c r="E1832" t="s">
        <v>11</v>
      </c>
      <c r="F1832">
        <v>2480.4120000000003</v>
      </c>
      <c r="G1832">
        <v>18</v>
      </c>
      <c r="L1832" t="s">
        <v>5414</v>
      </c>
      <c r="O1832" t="s">
        <v>5415</v>
      </c>
    </row>
    <row r="1833" spans="1:15" x14ac:dyDescent="0.25">
      <c r="A1833" t="s">
        <v>18</v>
      </c>
      <c r="B1833" t="s">
        <v>5414</v>
      </c>
      <c r="C1833" t="s">
        <v>5416</v>
      </c>
      <c r="D1833" t="s">
        <v>20</v>
      </c>
      <c r="E1833" t="s">
        <v>11</v>
      </c>
      <c r="F1833">
        <v>2415.138</v>
      </c>
      <c r="G1833">
        <v>18</v>
      </c>
      <c r="L1833" t="s">
        <v>5417</v>
      </c>
      <c r="O1833" t="s">
        <v>5418</v>
      </c>
    </row>
    <row r="1834" spans="1:15" x14ac:dyDescent="0.25">
      <c r="A1834" t="s">
        <v>18</v>
      </c>
      <c r="B1834" t="s">
        <v>5417</v>
      </c>
      <c r="C1834" t="s">
        <v>5419</v>
      </c>
      <c r="D1834" t="s">
        <v>20</v>
      </c>
      <c r="E1834" t="s">
        <v>11</v>
      </c>
      <c r="F1834">
        <v>3981.714</v>
      </c>
      <c r="G1834">
        <v>18</v>
      </c>
      <c r="L1834" t="s">
        <v>5420</v>
      </c>
      <c r="O1834" t="s">
        <v>5421</v>
      </c>
    </row>
    <row r="1835" spans="1:15" x14ac:dyDescent="0.25">
      <c r="A1835" t="s">
        <v>18</v>
      </c>
      <c r="B1835" t="s">
        <v>5420</v>
      </c>
      <c r="C1835" t="s">
        <v>5422</v>
      </c>
      <c r="D1835" t="s">
        <v>20</v>
      </c>
      <c r="E1835" t="s">
        <v>11</v>
      </c>
      <c r="F1835">
        <v>3002.604</v>
      </c>
      <c r="G1835">
        <v>18</v>
      </c>
      <c r="L1835" t="s">
        <v>5423</v>
      </c>
      <c r="O1835" t="s">
        <v>5424</v>
      </c>
    </row>
    <row r="1836" spans="1:15" x14ac:dyDescent="0.25">
      <c r="A1836" t="s">
        <v>18</v>
      </c>
      <c r="B1836" t="s">
        <v>5423</v>
      </c>
      <c r="C1836" t="s">
        <v>5425</v>
      </c>
      <c r="D1836" t="s">
        <v>20</v>
      </c>
      <c r="E1836" t="s">
        <v>11</v>
      </c>
      <c r="F1836">
        <v>1566.5759999999998</v>
      </c>
      <c r="G1836">
        <v>18</v>
      </c>
      <c r="L1836" t="s">
        <v>5426</v>
      </c>
      <c r="O1836" t="s">
        <v>5427</v>
      </c>
    </row>
    <row r="1837" spans="1:15" x14ac:dyDescent="0.25">
      <c r="A1837" t="s">
        <v>18</v>
      </c>
      <c r="B1837" t="s">
        <v>5426</v>
      </c>
      <c r="C1837" t="s">
        <v>5428</v>
      </c>
      <c r="D1837" t="s">
        <v>20</v>
      </c>
      <c r="E1837" t="s">
        <v>11</v>
      </c>
      <c r="F1837">
        <v>3590.0699999999997</v>
      </c>
      <c r="G1837">
        <v>18</v>
      </c>
      <c r="L1837" t="s">
        <v>5429</v>
      </c>
      <c r="O1837" t="s">
        <v>5430</v>
      </c>
    </row>
    <row r="1838" spans="1:15" x14ac:dyDescent="0.25">
      <c r="A1838" t="s">
        <v>18</v>
      </c>
      <c r="B1838" t="s">
        <v>5429</v>
      </c>
      <c r="C1838" t="s">
        <v>5431</v>
      </c>
      <c r="D1838" t="s">
        <v>20</v>
      </c>
      <c r="E1838" t="s">
        <v>11</v>
      </c>
      <c r="F1838">
        <v>3851.166</v>
      </c>
      <c r="G1838">
        <v>18</v>
      </c>
      <c r="L1838" t="s">
        <v>5432</v>
      </c>
      <c r="O1838" t="s">
        <v>5433</v>
      </c>
    </row>
    <row r="1839" spans="1:15" x14ac:dyDescent="0.25">
      <c r="A1839" t="s">
        <v>18</v>
      </c>
      <c r="B1839" t="s">
        <v>5432</v>
      </c>
      <c r="C1839" t="s">
        <v>5434</v>
      </c>
      <c r="D1839" t="s">
        <v>20</v>
      </c>
      <c r="E1839" t="s">
        <v>11</v>
      </c>
      <c r="F1839">
        <v>7571.784</v>
      </c>
      <c r="G1839">
        <v>18</v>
      </c>
      <c r="L1839" t="s">
        <v>5435</v>
      </c>
      <c r="O1839" t="s">
        <v>5436</v>
      </c>
    </row>
    <row r="1840" spans="1:15" x14ac:dyDescent="0.25">
      <c r="A1840" t="s">
        <v>18</v>
      </c>
      <c r="B1840" t="s">
        <v>5435</v>
      </c>
      <c r="C1840" t="s">
        <v>5437</v>
      </c>
      <c r="D1840" t="s">
        <v>20</v>
      </c>
      <c r="E1840" t="s">
        <v>11</v>
      </c>
      <c r="F1840">
        <v>2545.6859999999997</v>
      </c>
      <c r="G1840">
        <v>18</v>
      </c>
      <c r="L1840" t="s">
        <v>5438</v>
      </c>
      <c r="O1840" t="s">
        <v>5439</v>
      </c>
    </row>
    <row r="1841" spans="1:15" x14ac:dyDescent="0.25">
      <c r="A1841" t="s">
        <v>18</v>
      </c>
      <c r="B1841" t="s">
        <v>5438</v>
      </c>
      <c r="C1841" t="s">
        <v>5440</v>
      </c>
      <c r="D1841" t="s">
        <v>20</v>
      </c>
      <c r="E1841" t="s">
        <v>11</v>
      </c>
      <c r="F1841">
        <v>261.096</v>
      </c>
      <c r="G1841">
        <v>18</v>
      </c>
      <c r="L1841" t="s">
        <v>5441</v>
      </c>
      <c r="O1841" t="s">
        <v>5442</v>
      </c>
    </row>
    <row r="1842" spans="1:15" x14ac:dyDescent="0.25">
      <c r="A1842" t="s">
        <v>18</v>
      </c>
      <c r="B1842" t="s">
        <v>5441</v>
      </c>
      <c r="C1842" t="s">
        <v>5443</v>
      </c>
      <c r="D1842" t="s">
        <v>20</v>
      </c>
      <c r="E1842" t="s">
        <v>11</v>
      </c>
      <c r="F1842">
        <v>195.82199999999997</v>
      </c>
      <c r="G1842">
        <v>18</v>
      </c>
      <c r="L1842" t="s">
        <v>5444</v>
      </c>
      <c r="O1842" t="s">
        <v>5445</v>
      </c>
    </row>
    <row r="1843" spans="1:15" x14ac:dyDescent="0.25">
      <c r="A1843" t="s">
        <v>18</v>
      </c>
      <c r="B1843" t="s">
        <v>5444</v>
      </c>
      <c r="C1843" t="s">
        <v>5446</v>
      </c>
      <c r="D1843" t="s">
        <v>20</v>
      </c>
      <c r="E1843" t="s">
        <v>11</v>
      </c>
      <c r="F1843">
        <v>652.74</v>
      </c>
      <c r="G1843">
        <v>18</v>
      </c>
      <c r="L1843" t="s">
        <v>5447</v>
      </c>
      <c r="O1843" t="s">
        <v>5448</v>
      </c>
    </row>
    <row r="1844" spans="1:15" x14ac:dyDescent="0.25">
      <c r="A1844" t="s">
        <v>18</v>
      </c>
      <c r="B1844" t="s">
        <v>5447</v>
      </c>
      <c r="C1844" t="s">
        <v>5449</v>
      </c>
      <c r="D1844" t="s">
        <v>20</v>
      </c>
      <c r="E1844" t="s">
        <v>11</v>
      </c>
      <c r="F1844">
        <v>3981.714</v>
      </c>
      <c r="G1844">
        <v>18</v>
      </c>
      <c r="L1844" t="s">
        <v>5450</v>
      </c>
      <c r="O1844" t="s">
        <v>5451</v>
      </c>
    </row>
    <row r="1845" spans="1:15" x14ac:dyDescent="0.25">
      <c r="A1845" t="s">
        <v>18</v>
      </c>
      <c r="B1845" t="s">
        <v>5450</v>
      </c>
      <c r="C1845" t="s">
        <v>5452</v>
      </c>
      <c r="D1845" t="s">
        <v>20</v>
      </c>
      <c r="E1845" t="s">
        <v>11</v>
      </c>
      <c r="F1845">
        <v>391.64399999999995</v>
      </c>
      <c r="G1845">
        <v>18</v>
      </c>
      <c r="L1845" t="s">
        <v>5453</v>
      </c>
      <c r="O1845" t="s">
        <v>5454</v>
      </c>
    </row>
    <row r="1846" spans="1:15" x14ac:dyDescent="0.25">
      <c r="A1846" t="s">
        <v>18</v>
      </c>
      <c r="B1846" t="s">
        <v>5453</v>
      </c>
      <c r="C1846" t="s">
        <v>5455</v>
      </c>
      <c r="D1846" t="s">
        <v>20</v>
      </c>
      <c r="E1846" t="s">
        <v>11</v>
      </c>
      <c r="F1846">
        <v>261.096</v>
      </c>
      <c r="G1846">
        <v>18</v>
      </c>
      <c r="L1846" t="s">
        <v>5456</v>
      </c>
      <c r="O1846" t="s">
        <v>5457</v>
      </c>
    </row>
    <row r="1847" spans="1:15" x14ac:dyDescent="0.25">
      <c r="A1847" t="s">
        <v>18</v>
      </c>
      <c r="B1847" t="s">
        <v>5456</v>
      </c>
      <c r="C1847" t="s">
        <v>5458</v>
      </c>
      <c r="D1847" t="s">
        <v>20</v>
      </c>
      <c r="E1847" t="s">
        <v>11</v>
      </c>
      <c r="F1847">
        <v>261.096</v>
      </c>
      <c r="G1847">
        <v>18</v>
      </c>
      <c r="L1847" t="s">
        <v>5459</v>
      </c>
      <c r="O1847" t="s">
        <v>5460</v>
      </c>
    </row>
    <row r="1848" spans="1:15" x14ac:dyDescent="0.25">
      <c r="A1848" t="s">
        <v>18</v>
      </c>
      <c r="B1848" t="s">
        <v>5459</v>
      </c>
      <c r="C1848" t="s">
        <v>5461</v>
      </c>
      <c r="D1848" t="s">
        <v>20</v>
      </c>
      <c r="E1848" t="s">
        <v>11</v>
      </c>
      <c r="F1848">
        <v>1631.85</v>
      </c>
      <c r="G1848">
        <v>18</v>
      </c>
      <c r="L1848" t="s">
        <v>5462</v>
      </c>
      <c r="O1848" t="s">
        <v>5463</v>
      </c>
    </row>
    <row r="1849" spans="1:15" x14ac:dyDescent="0.25">
      <c r="A1849" t="s">
        <v>18</v>
      </c>
      <c r="B1849" t="s">
        <v>5462</v>
      </c>
      <c r="C1849" t="s">
        <v>5464</v>
      </c>
      <c r="D1849" t="s">
        <v>20</v>
      </c>
      <c r="E1849" t="s">
        <v>11</v>
      </c>
      <c r="F1849">
        <v>587.4659999999999</v>
      </c>
      <c r="G1849">
        <v>18</v>
      </c>
      <c r="L1849" t="s">
        <v>5465</v>
      </c>
      <c r="O1849" t="s">
        <v>5466</v>
      </c>
    </row>
    <row r="1850" spans="1:15" x14ac:dyDescent="0.25">
      <c r="A1850" t="s">
        <v>18</v>
      </c>
      <c r="B1850" t="s">
        <v>5465</v>
      </c>
      <c r="C1850" t="s">
        <v>5467</v>
      </c>
      <c r="D1850" t="s">
        <v>20</v>
      </c>
      <c r="E1850" t="s">
        <v>11</v>
      </c>
      <c r="F1850">
        <v>1827.672</v>
      </c>
      <c r="G1850">
        <v>18</v>
      </c>
      <c r="L1850" t="s">
        <v>5468</v>
      </c>
      <c r="O1850" t="s">
        <v>5469</v>
      </c>
    </row>
    <row r="1851" spans="1:15" x14ac:dyDescent="0.25">
      <c r="A1851" t="s">
        <v>18</v>
      </c>
      <c r="B1851" t="s">
        <v>5468</v>
      </c>
      <c r="C1851" t="s">
        <v>5470</v>
      </c>
      <c r="D1851" t="s">
        <v>20</v>
      </c>
      <c r="E1851" t="s">
        <v>11</v>
      </c>
      <c r="F1851">
        <v>5091.371999999999</v>
      </c>
      <c r="G1851">
        <v>18</v>
      </c>
      <c r="L1851" t="s">
        <v>5471</v>
      </c>
      <c r="O1851" t="s">
        <v>5472</v>
      </c>
    </row>
    <row r="1852" spans="1:15" x14ac:dyDescent="0.25">
      <c r="A1852" t="s">
        <v>18</v>
      </c>
      <c r="B1852" t="s">
        <v>5471</v>
      </c>
      <c r="C1852" t="s">
        <v>5473</v>
      </c>
      <c r="D1852" t="s">
        <v>20</v>
      </c>
      <c r="E1852" t="s">
        <v>11</v>
      </c>
      <c r="F1852">
        <v>5091.371999999999</v>
      </c>
      <c r="G1852">
        <v>18</v>
      </c>
      <c r="L1852" t="s">
        <v>5474</v>
      </c>
      <c r="O1852" t="s">
        <v>5475</v>
      </c>
    </row>
    <row r="1853" spans="1:15" x14ac:dyDescent="0.25">
      <c r="A1853" t="s">
        <v>18</v>
      </c>
      <c r="B1853" t="s">
        <v>5474</v>
      </c>
      <c r="C1853" t="s">
        <v>5476</v>
      </c>
      <c r="D1853" t="s">
        <v>20</v>
      </c>
      <c r="E1853" t="s">
        <v>11</v>
      </c>
      <c r="F1853">
        <v>2610.96</v>
      </c>
      <c r="G1853">
        <v>18</v>
      </c>
      <c r="L1853" t="s">
        <v>5477</v>
      </c>
      <c r="O1853" t="s">
        <v>5478</v>
      </c>
    </row>
    <row r="1854" spans="1:15" x14ac:dyDescent="0.25">
      <c r="A1854" t="s">
        <v>18</v>
      </c>
      <c r="B1854" t="s">
        <v>5477</v>
      </c>
      <c r="C1854" t="s">
        <v>5479</v>
      </c>
      <c r="D1854" t="s">
        <v>20</v>
      </c>
      <c r="E1854" t="s">
        <v>11</v>
      </c>
      <c r="F1854">
        <v>1566.5759999999998</v>
      </c>
      <c r="G1854">
        <v>18</v>
      </c>
      <c r="L1854" t="s">
        <v>5480</v>
      </c>
      <c r="O1854" t="s">
        <v>5481</v>
      </c>
    </row>
    <row r="1855" spans="1:15" x14ac:dyDescent="0.25">
      <c r="A1855" t="s">
        <v>18</v>
      </c>
      <c r="B1855" t="s">
        <v>5480</v>
      </c>
      <c r="C1855" t="s">
        <v>5482</v>
      </c>
      <c r="D1855" t="s">
        <v>20</v>
      </c>
      <c r="E1855" t="s">
        <v>11</v>
      </c>
      <c r="F1855">
        <v>587.4659999999999</v>
      </c>
      <c r="G1855">
        <v>18</v>
      </c>
      <c r="L1855" t="s">
        <v>5483</v>
      </c>
      <c r="O1855" t="s">
        <v>5484</v>
      </c>
    </row>
    <row r="1856" spans="1:15" x14ac:dyDescent="0.25">
      <c r="A1856" t="s">
        <v>18</v>
      </c>
      <c r="B1856" t="s">
        <v>5483</v>
      </c>
      <c r="C1856" t="s">
        <v>5485</v>
      </c>
      <c r="D1856" t="s">
        <v>20</v>
      </c>
      <c r="E1856" t="s">
        <v>11</v>
      </c>
      <c r="F1856">
        <v>2219.316</v>
      </c>
      <c r="G1856">
        <v>18</v>
      </c>
      <c r="L1856" t="s">
        <v>5486</v>
      </c>
      <c r="O1856" t="s">
        <v>5487</v>
      </c>
    </row>
    <row r="1857" spans="1:15" x14ac:dyDescent="0.25">
      <c r="A1857" t="s">
        <v>18</v>
      </c>
      <c r="B1857" t="s">
        <v>5486</v>
      </c>
      <c r="C1857" t="s">
        <v>5488</v>
      </c>
      <c r="D1857" t="s">
        <v>20</v>
      </c>
      <c r="E1857" t="s">
        <v>11</v>
      </c>
      <c r="F1857">
        <v>9791.1</v>
      </c>
      <c r="G1857">
        <v>18</v>
      </c>
      <c r="L1857" t="s">
        <v>5489</v>
      </c>
      <c r="O1857" t="s">
        <v>5490</v>
      </c>
    </row>
    <row r="1858" spans="1:15" x14ac:dyDescent="0.25">
      <c r="A1858" t="s">
        <v>18</v>
      </c>
      <c r="B1858" t="s">
        <v>5489</v>
      </c>
      <c r="C1858" t="s">
        <v>5491</v>
      </c>
      <c r="D1858" t="s">
        <v>20</v>
      </c>
      <c r="E1858" t="s">
        <v>11</v>
      </c>
      <c r="F1858">
        <v>8224.524</v>
      </c>
      <c r="G1858">
        <v>18</v>
      </c>
      <c r="L1858" t="s">
        <v>5492</v>
      </c>
      <c r="O1858" t="s">
        <v>5493</v>
      </c>
    </row>
    <row r="1859" spans="1:15" x14ac:dyDescent="0.25">
      <c r="A1859" t="s">
        <v>18</v>
      </c>
      <c r="B1859" t="s">
        <v>5492</v>
      </c>
      <c r="C1859" t="s">
        <v>5494</v>
      </c>
      <c r="D1859" t="s">
        <v>20</v>
      </c>
      <c r="E1859" t="s">
        <v>11</v>
      </c>
      <c r="F1859">
        <v>1827.672</v>
      </c>
      <c r="G1859">
        <v>18</v>
      </c>
      <c r="L1859" t="s">
        <v>5495</v>
      </c>
      <c r="O1859" t="s">
        <v>5496</v>
      </c>
    </row>
    <row r="1860" spans="1:15" x14ac:dyDescent="0.25">
      <c r="A1860" t="s">
        <v>18</v>
      </c>
      <c r="B1860" t="s">
        <v>5495</v>
      </c>
      <c r="C1860" t="s">
        <v>5497</v>
      </c>
      <c r="D1860" t="s">
        <v>20</v>
      </c>
      <c r="E1860" t="s">
        <v>11</v>
      </c>
      <c r="F1860">
        <v>2154.042</v>
      </c>
      <c r="G1860">
        <v>18</v>
      </c>
      <c r="L1860" t="s">
        <v>5498</v>
      </c>
      <c r="O1860" t="s">
        <v>5499</v>
      </c>
    </row>
    <row r="1861" spans="1:15" x14ac:dyDescent="0.25">
      <c r="A1861" t="s">
        <v>18</v>
      </c>
      <c r="B1861" t="s">
        <v>5498</v>
      </c>
      <c r="C1861" t="s">
        <v>5500</v>
      </c>
      <c r="D1861" t="s">
        <v>20</v>
      </c>
      <c r="E1861" t="s">
        <v>11</v>
      </c>
      <c r="F1861">
        <v>2284.59</v>
      </c>
      <c r="G1861">
        <v>18</v>
      </c>
      <c r="L1861" t="s">
        <v>5501</v>
      </c>
      <c r="O1861" t="s">
        <v>5502</v>
      </c>
    </row>
    <row r="1862" spans="1:15" x14ac:dyDescent="0.25">
      <c r="A1862" t="s">
        <v>18</v>
      </c>
      <c r="B1862" t="s">
        <v>5501</v>
      </c>
      <c r="C1862" t="s">
        <v>5503</v>
      </c>
      <c r="D1862" t="s">
        <v>20</v>
      </c>
      <c r="E1862" t="s">
        <v>11</v>
      </c>
      <c r="F1862">
        <v>522.192</v>
      </c>
      <c r="G1862">
        <v>18</v>
      </c>
      <c r="L1862" t="s">
        <v>5504</v>
      </c>
      <c r="O1862" t="s">
        <v>5505</v>
      </c>
    </row>
    <row r="1863" spans="1:15" x14ac:dyDescent="0.25">
      <c r="A1863" t="s">
        <v>18</v>
      </c>
      <c r="B1863" t="s">
        <v>5504</v>
      </c>
      <c r="C1863" t="s">
        <v>5506</v>
      </c>
      <c r="D1863" t="s">
        <v>20</v>
      </c>
      <c r="E1863" t="s">
        <v>11</v>
      </c>
      <c r="F1863">
        <v>1305.48</v>
      </c>
      <c r="G1863">
        <v>18</v>
      </c>
      <c r="L1863" t="s">
        <v>5507</v>
      </c>
      <c r="O1863" t="s">
        <v>5508</v>
      </c>
    </row>
    <row r="1864" spans="1:15" x14ac:dyDescent="0.25">
      <c r="A1864" t="s">
        <v>18</v>
      </c>
      <c r="B1864" t="s">
        <v>5507</v>
      </c>
      <c r="C1864" t="s">
        <v>5509</v>
      </c>
      <c r="D1864" t="s">
        <v>20</v>
      </c>
      <c r="E1864" t="s">
        <v>11</v>
      </c>
      <c r="F1864">
        <v>5874.660000000001</v>
      </c>
      <c r="G1864">
        <v>18</v>
      </c>
      <c r="L1864" t="s">
        <v>5510</v>
      </c>
      <c r="O1864" t="s">
        <v>5511</v>
      </c>
    </row>
    <row r="1865" spans="1:15" x14ac:dyDescent="0.25">
      <c r="A1865" t="s">
        <v>18</v>
      </c>
      <c r="B1865" t="s">
        <v>5510</v>
      </c>
      <c r="C1865" t="s">
        <v>5512</v>
      </c>
      <c r="D1865" t="s">
        <v>20</v>
      </c>
      <c r="E1865" t="s">
        <v>11</v>
      </c>
      <c r="F1865">
        <v>6919.043999999999</v>
      </c>
      <c r="G1865">
        <v>18</v>
      </c>
      <c r="L1865" t="s">
        <v>5513</v>
      </c>
      <c r="O1865" t="s">
        <v>5514</v>
      </c>
    </row>
    <row r="1866" spans="1:15" x14ac:dyDescent="0.25">
      <c r="A1866" t="s">
        <v>18</v>
      </c>
      <c r="B1866" t="s">
        <v>5513</v>
      </c>
      <c r="C1866" t="s">
        <v>5515</v>
      </c>
      <c r="D1866" t="s">
        <v>20</v>
      </c>
      <c r="E1866" t="s">
        <v>11</v>
      </c>
      <c r="F1866">
        <v>10574.387999999997</v>
      </c>
      <c r="G1866">
        <v>18</v>
      </c>
      <c r="L1866" t="s">
        <v>5516</v>
      </c>
      <c r="O1866" t="s">
        <v>5517</v>
      </c>
    </row>
    <row r="1867" spans="1:15" x14ac:dyDescent="0.25">
      <c r="A1867" t="s">
        <v>18</v>
      </c>
      <c r="B1867" t="s">
        <v>5516</v>
      </c>
      <c r="C1867" t="s">
        <v>5518</v>
      </c>
      <c r="D1867" t="s">
        <v>20</v>
      </c>
      <c r="E1867" t="s">
        <v>11</v>
      </c>
      <c r="F1867">
        <v>3002.604</v>
      </c>
      <c r="G1867">
        <v>18</v>
      </c>
      <c r="L1867" t="s">
        <v>5519</v>
      </c>
      <c r="O1867" t="s">
        <v>5520</v>
      </c>
    </row>
    <row r="1868" spans="1:15" x14ac:dyDescent="0.25">
      <c r="A1868" t="s">
        <v>18</v>
      </c>
      <c r="B1868" t="s">
        <v>5519</v>
      </c>
      <c r="C1868" t="s">
        <v>5521</v>
      </c>
      <c r="D1868" t="s">
        <v>20</v>
      </c>
      <c r="E1868" t="s">
        <v>11</v>
      </c>
      <c r="F1868">
        <v>3002.604</v>
      </c>
      <c r="G1868">
        <v>18</v>
      </c>
      <c r="L1868" t="s">
        <v>5522</v>
      </c>
      <c r="O1868" t="s">
        <v>5523</v>
      </c>
    </row>
    <row r="1869" spans="1:15" x14ac:dyDescent="0.25">
      <c r="A1869" t="s">
        <v>18</v>
      </c>
      <c r="B1869" t="s">
        <v>5522</v>
      </c>
      <c r="C1869" t="s">
        <v>5524</v>
      </c>
      <c r="D1869" t="s">
        <v>20</v>
      </c>
      <c r="E1869" t="s">
        <v>11</v>
      </c>
      <c r="F1869">
        <v>1827.672</v>
      </c>
      <c r="G1869">
        <v>18</v>
      </c>
      <c r="L1869" t="s">
        <v>5525</v>
      </c>
      <c r="O1869" t="s">
        <v>5526</v>
      </c>
    </row>
    <row r="1870" spans="1:15" x14ac:dyDescent="0.25">
      <c r="A1870" t="s">
        <v>18</v>
      </c>
      <c r="B1870" t="s">
        <v>5525</v>
      </c>
      <c r="C1870" t="s">
        <v>5527</v>
      </c>
      <c r="D1870" t="s">
        <v>20</v>
      </c>
      <c r="E1870" t="s">
        <v>11</v>
      </c>
      <c r="F1870">
        <v>6657.947999999999</v>
      </c>
      <c r="G1870">
        <v>18</v>
      </c>
      <c r="L1870" t="s">
        <v>5528</v>
      </c>
      <c r="O1870" t="s">
        <v>5529</v>
      </c>
    </row>
    <row r="1871" spans="1:15" x14ac:dyDescent="0.25">
      <c r="A1871" t="s">
        <v>18</v>
      </c>
      <c r="B1871" t="s">
        <v>5528</v>
      </c>
      <c r="C1871" t="s">
        <v>5530</v>
      </c>
      <c r="D1871" t="s">
        <v>20</v>
      </c>
      <c r="E1871" t="s">
        <v>11</v>
      </c>
      <c r="F1871">
        <v>4765.0019999999995</v>
      </c>
      <c r="G1871">
        <v>18</v>
      </c>
      <c r="L1871" t="s">
        <v>5531</v>
      </c>
      <c r="O1871" t="s">
        <v>5532</v>
      </c>
    </row>
    <row r="1872" spans="1:15" x14ac:dyDescent="0.25">
      <c r="A1872" t="s">
        <v>18</v>
      </c>
      <c r="B1872" t="s">
        <v>5531</v>
      </c>
      <c r="C1872" t="s">
        <v>5533</v>
      </c>
      <c r="D1872" t="s">
        <v>20</v>
      </c>
      <c r="E1872" t="s">
        <v>11</v>
      </c>
      <c r="F1872">
        <v>4765.0019999999995</v>
      </c>
      <c r="G1872">
        <v>18</v>
      </c>
      <c r="L1872" t="s">
        <v>5534</v>
      </c>
      <c r="O1872" t="s">
        <v>5535</v>
      </c>
    </row>
    <row r="1873" spans="1:15" x14ac:dyDescent="0.25">
      <c r="A1873" t="s">
        <v>18</v>
      </c>
      <c r="B1873" t="s">
        <v>5534</v>
      </c>
      <c r="C1873" t="s">
        <v>5536</v>
      </c>
      <c r="D1873" t="s">
        <v>20</v>
      </c>
      <c r="E1873" t="s">
        <v>11</v>
      </c>
      <c r="F1873">
        <v>6723.222000000001</v>
      </c>
      <c r="G1873">
        <v>18</v>
      </c>
      <c r="L1873" t="s">
        <v>5537</v>
      </c>
      <c r="O1873" t="s">
        <v>5538</v>
      </c>
    </row>
    <row r="1874" spans="1:15" x14ac:dyDescent="0.25">
      <c r="A1874" t="s">
        <v>18</v>
      </c>
      <c r="B1874" t="s">
        <v>5537</v>
      </c>
      <c r="C1874" t="s">
        <v>5539</v>
      </c>
      <c r="D1874" t="s">
        <v>20</v>
      </c>
      <c r="E1874" t="s">
        <v>11</v>
      </c>
      <c r="F1874">
        <v>2040.192</v>
      </c>
      <c r="G1874">
        <v>18</v>
      </c>
      <c r="L1874" t="s">
        <v>5540</v>
      </c>
      <c r="O1874" t="s">
        <v>5541</v>
      </c>
    </row>
    <row r="1875" spans="1:15" x14ac:dyDescent="0.25">
      <c r="A1875" t="s">
        <v>18</v>
      </c>
      <c r="B1875" t="s">
        <v>5540</v>
      </c>
      <c r="C1875" t="s">
        <v>5542</v>
      </c>
      <c r="D1875" t="s">
        <v>20</v>
      </c>
      <c r="E1875" t="s">
        <v>11</v>
      </c>
      <c r="F1875">
        <v>2219.316</v>
      </c>
      <c r="G1875">
        <v>18</v>
      </c>
      <c r="L1875" t="s">
        <v>5543</v>
      </c>
      <c r="O1875" t="s">
        <v>5544</v>
      </c>
    </row>
    <row r="1876" spans="1:15" x14ac:dyDescent="0.25">
      <c r="A1876" t="s">
        <v>18</v>
      </c>
      <c r="B1876" t="s">
        <v>5543</v>
      </c>
      <c r="C1876" t="s">
        <v>5545</v>
      </c>
      <c r="D1876" t="s">
        <v>20</v>
      </c>
      <c r="E1876" t="s">
        <v>11</v>
      </c>
      <c r="F1876">
        <v>1566.5759999999998</v>
      </c>
      <c r="G1876">
        <v>18</v>
      </c>
      <c r="L1876" t="s">
        <v>5546</v>
      </c>
      <c r="O1876" t="s">
        <v>5547</v>
      </c>
    </row>
    <row r="1877" spans="1:15" x14ac:dyDescent="0.25">
      <c r="A1877" t="s">
        <v>18</v>
      </c>
      <c r="B1877" t="s">
        <v>5546</v>
      </c>
      <c r="C1877" t="s">
        <v>5548</v>
      </c>
      <c r="D1877" t="s">
        <v>20</v>
      </c>
      <c r="E1877" t="s">
        <v>11</v>
      </c>
      <c r="F1877">
        <v>1566.5759999999998</v>
      </c>
      <c r="G1877">
        <v>18</v>
      </c>
      <c r="L1877" t="s">
        <v>5549</v>
      </c>
      <c r="O1877" t="s">
        <v>5550</v>
      </c>
    </row>
    <row r="1878" spans="1:15" x14ac:dyDescent="0.25">
      <c r="A1878" t="s">
        <v>18</v>
      </c>
      <c r="B1878" t="s">
        <v>5549</v>
      </c>
      <c r="C1878" t="s">
        <v>5551</v>
      </c>
      <c r="D1878" t="s">
        <v>20</v>
      </c>
      <c r="E1878" t="s">
        <v>11</v>
      </c>
      <c r="F1878">
        <v>1827.672</v>
      </c>
      <c r="G1878">
        <v>18</v>
      </c>
      <c r="L1878" t="s">
        <v>5552</v>
      </c>
      <c r="O1878" t="s">
        <v>5553</v>
      </c>
    </row>
    <row r="1879" spans="1:15" x14ac:dyDescent="0.25">
      <c r="A1879" t="s">
        <v>18</v>
      </c>
      <c r="B1879" t="s">
        <v>5552</v>
      </c>
      <c r="C1879" t="s">
        <v>5554</v>
      </c>
      <c r="D1879" t="s">
        <v>20</v>
      </c>
      <c r="E1879" t="s">
        <v>11</v>
      </c>
      <c r="F1879">
        <v>1958.22</v>
      </c>
      <c r="G1879">
        <v>18</v>
      </c>
      <c r="L1879" t="s">
        <v>5555</v>
      </c>
      <c r="O1879" t="s">
        <v>5556</v>
      </c>
    </row>
    <row r="1880" spans="1:15" x14ac:dyDescent="0.25">
      <c r="A1880" t="s">
        <v>18</v>
      </c>
      <c r="B1880" t="s">
        <v>5555</v>
      </c>
      <c r="C1880" t="s">
        <v>5557</v>
      </c>
      <c r="D1880" t="s">
        <v>20</v>
      </c>
      <c r="E1880" t="s">
        <v>11</v>
      </c>
      <c r="F1880">
        <v>1044.384</v>
      </c>
      <c r="G1880">
        <v>18</v>
      </c>
      <c r="L1880" t="s">
        <v>5558</v>
      </c>
      <c r="O1880" t="s">
        <v>5559</v>
      </c>
    </row>
    <row r="1881" spans="1:15" x14ac:dyDescent="0.25">
      <c r="A1881" t="s">
        <v>18</v>
      </c>
      <c r="B1881" t="s">
        <v>5558</v>
      </c>
      <c r="C1881" t="s">
        <v>5560</v>
      </c>
      <c r="D1881" t="s">
        <v>20</v>
      </c>
      <c r="E1881" t="s">
        <v>11</v>
      </c>
      <c r="F1881">
        <v>1109.658</v>
      </c>
      <c r="G1881">
        <v>18</v>
      </c>
      <c r="L1881" t="s">
        <v>5561</v>
      </c>
      <c r="O1881" t="s">
        <v>5562</v>
      </c>
    </row>
    <row r="1882" spans="1:15" x14ac:dyDescent="0.25">
      <c r="A1882" t="s">
        <v>18</v>
      </c>
      <c r="B1882" t="s">
        <v>5561</v>
      </c>
      <c r="C1882" t="s">
        <v>5563</v>
      </c>
      <c r="D1882" t="s">
        <v>20</v>
      </c>
      <c r="E1882" t="s">
        <v>11</v>
      </c>
      <c r="F1882">
        <v>1827.672</v>
      </c>
      <c r="G1882">
        <v>18</v>
      </c>
      <c r="L1882" t="s">
        <v>5564</v>
      </c>
      <c r="O1882" t="s">
        <v>5565</v>
      </c>
    </row>
    <row r="1883" spans="1:15" x14ac:dyDescent="0.25">
      <c r="A1883" t="s">
        <v>18</v>
      </c>
      <c r="B1883" t="s">
        <v>5564</v>
      </c>
      <c r="C1883" t="s">
        <v>5566</v>
      </c>
      <c r="D1883" t="s">
        <v>20</v>
      </c>
      <c r="E1883" t="s">
        <v>11</v>
      </c>
      <c r="F1883">
        <v>2219.316</v>
      </c>
      <c r="G1883">
        <v>18</v>
      </c>
      <c r="L1883" t="s">
        <v>5567</v>
      </c>
      <c r="O1883" t="s">
        <v>5568</v>
      </c>
    </row>
    <row r="1884" spans="1:15" x14ac:dyDescent="0.25">
      <c r="A1884" t="s">
        <v>18</v>
      </c>
      <c r="B1884" t="s">
        <v>5567</v>
      </c>
      <c r="C1884" t="s">
        <v>5569</v>
      </c>
      <c r="D1884" t="s">
        <v>20</v>
      </c>
      <c r="E1884" t="s">
        <v>11</v>
      </c>
      <c r="F1884">
        <v>1370.754</v>
      </c>
      <c r="G1884">
        <v>18</v>
      </c>
      <c r="L1884" t="s">
        <v>5570</v>
      </c>
      <c r="O1884" t="s">
        <v>5571</v>
      </c>
    </row>
    <row r="1885" spans="1:15" x14ac:dyDescent="0.25">
      <c r="A1885" t="s">
        <v>18</v>
      </c>
      <c r="B1885" t="s">
        <v>5570</v>
      </c>
      <c r="C1885" t="s">
        <v>5572</v>
      </c>
      <c r="D1885" t="s">
        <v>20</v>
      </c>
      <c r="E1885" t="s">
        <v>11</v>
      </c>
      <c r="F1885">
        <v>1109.658</v>
      </c>
      <c r="G1885">
        <v>18</v>
      </c>
      <c r="L1885" t="s">
        <v>5573</v>
      </c>
      <c r="O1885" t="s">
        <v>5574</v>
      </c>
    </row>
    <row r="1886" spans="1:15" x14ac:dyDescent="0.25">
      <c r="A1886" t="s">
        <v>18</v>
      </c>
      <c r="B1886" t="s">
        <v>5573</v>
      </c>
      <c r="C1886" t="s">
        <v>5575</v>
      </c>
      <c r="D1886" t="s">
        <v>20</v>
      </c>
      <c r="E1886" t="s">
        <v>11</v>
      </c>
      <c r="F1886">
        <v>1109.658</v>
      </c>
      <c r="G1886">
        <v>18</v>
      </c>
      <c r="L1886" t="s">
        <v>5576</v>
      </c>
      <c r="O1886" t="s">
        <v>5577</v>
      </c>
    </row>
    <row r="1887" spans="1:15" x14ac:dyDescent="0.25">
      <c r="A1887" t="s">
        <v>18</v>
      </c>
      <c r="B1887" t="s">
        <v>5576</v>
      </c>
      <c r="C1887" t="s">
        <v>5578</v>
      </c>
      <c r="D1887" t="s">
        <v>20</v>
      </c>
      <c r="E1887" t="s">
        <v>11</v>
      </c>
      <c r="F1887">
        <v>2154.042</v>
      </c>
      <c r="G1887">
        <v>18</v>
      </c>
      <c r="L1887" t="s">
        <v>5579</v>
      </c>
      <c r="O1887" t="s">
        <v>5580</v>
      </c>
    </row>
    <row r="1888" spans="1:15" x14ac:dyDescent="0.25">
      <c r="A1888" t="s">
        <v>18</v>
      </c>
      <c r="B1888" t="s">
        <v>5579</v>
      </c>
      <c r="C1888" t="s">
        <v>5581</v>
      </c>
      <c r="D1888" t="s">
        <v>20</v>
      </c>
      <c r="E1888" t="s">
        <v>11</v>
      </c>
      <c r="F1888">
        <v>2219.316</v>
      </c>
      <c r="G1888">
        <v>18</v>
      </c>
      <c r="L1888" t="s">
        <v>5582</v>
      </c>
      <c r="O1888" t="s">
        <v>5583</v>
      </c>
    </row>
    <row r="1889" spans="1:15" x14ac:dyDescent="0.25">
      <c r="A1889" t="s">
        <v>18</v>
      </c>
      <c r="B1889" t="s">
        <v>5582</v>
      </c>
      <c r="C1889" t="s">
        <v>5584</v>
      </c>
      <c r="D1889" t="s">
        <v>20</v>
      </c>
      <c r="E1889" t="s">
        <v>11</v>
      </c>
      <c r="F1889">
        <v>4373.358</v>
      </c>
      <c r="G1889">
        <v>18</v>
      </c>
      <c r="L1889" t="s">
        <v>5585</v>
      </c>
      <c r="O1889" t="s">
        <v>5586</v>
      </c>
    </row>
    <row r="1890" spans="1:15" x14ac:dyDescent="0.25">
      <c r="A1890" t="s">
        <v>18</v>
      </c>
      <c r="B1890" t="s">
        <v>5585</v>
      </c>
      <c r="C1890" t="s">
        <v>5587</v>
      </c>
      <c r="D1890" t="s">
        <v>20</v>
      </c>
      <c r="E1890" t="s">
        <v>11</v>
      </c>
      <c r="F1890">
        <v>6135.755999999999</v>
      </c>
      <c r="G1890">
        <v>18</v>
      </c>
      <c r="L1890" t="s">
        <v>5588</v>
      </c>
      <c r="O1890" t="s">
        <v>5589</v>
      </c>
    </row>
    <row r="1891" spans="1:15" x14ac:dyDescent="0.25">
      <c r="A1891" t="s">
        <v>18</v>
      </c>
      <c r="B1891" t="s">
        <v>5588</v>
      </c>
      <c r="C1891" t="s">
        <v>5590</v>
      </c>
      <c r="D1891" t="s">
        <v>20</v>
      </c>
      <c r="E1891" t="s">
        <v>11</v>
      </c>
      <c r="F1891">
        <v>4242.8099999999995</v>
      </c>
      <c r="G1891">
        <v>18</v>
      </c>
      <c r="L1891" t="s">
        <v>5591</v>
      </c>
      <c r="O1891" t="s">
        <v>5592</v>
      </c>
    </row>
    <row r="1892" spans="1:15" x14ac:dyDescent="0.25">
      <c r="A1892" t="s">
        <v>18</v>
      </c>
      <c r="B1892" t="s">
        <v>5591</v>
      </c>
      <c r="C1892" t="s">
        <v>5593</v>
      </c>
      <c r="D1892" t="s">
        <v>20</v>
      </c>
      <c r="E1892" t="s">
        <v>11</v>
      </c>
      <c r="F1892">
        <v>7114.866</v>
      </c>
      <c r="G1892">
        <v>18</v>
      </c>
      <c r="L1892" t="s">
        <v>5594</v>
      </c>
      <c r="O1892" t="s">
        <v>5595</v>
      </c>
    </row>
    <row r="1893" spans="1:15" x14ac:dyDescent="0.25">
      <c r="A1893" t="s">
        <v>18</v>
      </c>
      <c r="B1893" t="s">
        <v>5594</v>
      </c>
      <c r="C1893" t="s">
        <v>5596</v>
      </c>
      <c r="D1893" t="s">
        <v>20</v>
      </c>
      <c r="E1893" t="s">
        <v>11</v>
      </c>
      <c r="F1893">
        <v>5091.371999999999</v>
      </c>
      <c r="G1893">
        <v>18</v>
      </c>
      <c r="L1893" t="s">
        <v>5597</v>
      </c>
      <c r="O1893" t="s">
        <v>5598</v>
      </c>
    </row>
    <row r="1894" spans="1:15" x14ac:dyDescent="0.25">
      <c r="A1894" t="s">
        <v>18</v>
      </c>
      <c r="B1894" t="s">
        <v>5597</v>
      </c>
      <c r="C1894" t="s">
        <v>5599</v>
      </c>
      <c r="D1894" t="s">
        <v>20</v>
      </c>
      <c r="E1894" t="s">
        <v>11</v>
      </c>
      <c r="F1894">
        <v>5091.371999999999</v>
      </c>
      <c r="G1894">
        <v>18</v>
      </c>
      <c r="L1894" t="s">
        <v>5600</v>
      </c>
      <c r="O1894" t="s">
        <v>5601</v>
      </c>
    </row>
    <row r="1895" spans="1:15" x14ac:dyDescent="0.25">
      <c r="A1895" t="s">
        <v>18</v>
      </c>
      <c r="B1895" t="s">
        <v>5600</v>
      </c>
      <c r="C1895" t="s">
        <v>5602</v>
      </c>
      <c r="D1895" t="s">
        <v>20</v>
      </c>
      <c r="E1895" t="s">
        <v>11</v>
      </c>
      <c r="F1895">
        <v>6788.495999999999</v>
      </c>
      <c r="G1895">
        <v>18</v>
      </c>
      <c r="L1895" t="s">
        <v>5603</v>
      </c>
      <c r="O1895" t="s">
        <v>5604</v>
      </c>
    </row>
    <row r="1896" spans="1:15" x14ac:dyDescent="0.25">
      <c r="A1896" t="s">
        <v>18</v>
      </c>
      <c r="B1896" t="s">
        <v>5603</v>
      </c>
      <c r="C1896" t="s">
        <v>5605</v>
      </c>
      <c r="D1896" t="s">
        <v>20</v>
      </c>
      <c r="E1896" t="s">
        <v>11</v>
      </c>
      <c r="F1896">
        <v>3981.714</v>
      </c>
      <c r="G1896">
        <v>18</v>
      </c>
      <c r="L1896" t="s">
        <v>5606</v>
      </c>
      <c r="O1896" t="s">
        <v>5607</v>
      </c>
    </row>
    <row r="1897" spans="1:15" x14ac:dyDescent="0.25">
      <c r="A1897" t="s">
        <v>18</v>
      </c>
      <c r="B1897" t="s">
        <v>5606</v>
      </c>
      <c r="C1897" t="s">
        <v>5608</v>
      </c>
      <c r="D1897" t="s">
        <v>20</v>
      </c>
      <c r="E1897" t="s">
        <v>11</v>
      </c>
      <c r="F1897">
        <v>2610.96</v>
      </c>
      <c r="G1897">
        <v>18</v>
      </c>
      <c r="L1897" t="s">
        <v>5609</v>
      </c>
      <c r="O1897" t="s">
        <v>5610</v>
      </c>
    </row>
    <row r="1898" spans="1:15" x14ac:dyDescent="0.25">
      <c r="A1898" t="s">
        <v>18</v>
      </c>
      <c r="B1898" t="s">
        <v>5609</v>
      </c>
      <c r="C1898" t="s">
        <v>5611</v>
      </c>
      <c r="D1898" t="s">
        <v>20</v>
      </c>
      <c r="E1898" t="s">
        <v>11</v>
      </c>
      <c r="F1898">
        <v>1697.1239999999998</v>
      </c>
      <c r="G1898">
        <v>18</v>
      </c>
      <c r="L1898" t="s">
        <v>5612</v>
      </c>
      <c r="O1898" t="s">
        <v>5613</v>
      </c>
    </row>
    <row r="1899" spans="1:15" x14ac:dyDescent="0.25">
      <c r="A1899" t="s">
        <v>18</v>
      </c>
      <c r="B1899" t="s">
        <v>5612</v>
      </c>
      <c r="C1899" t="s">
        <v>5614</v>
      </c>
      <c r="D1899" t="s">
        <v>20</v>
      </c>
      <c r="E1899" t="s">
        <v>11</v>
      </c>
      <c r="F1899">
        <v>1697.1239999999998</v>
      </c>
      <c r="G1899">
        <v>18</v>
      </c>
      <c r="L1899" t="s">
        <v>5615</v>
      </c>
      <c r="O1899" t="s">
        <v>5616</v>
      </c>
    </row>
    <row r="1900" spans="1:15" x14ac:dyDescent="0.25">
      <c r="A1900" t="s">
        <v>18</v>
      </c>
      <c r="B1900" t="s">
        <v>5615</v>
      </c>
      <c r="C1900" t="s">
        <v>5617</v>
      </c>
      <c r="D1900" t="s">
        <v>20</v>
      </c>
      <c r="E1900" t="s">
        <v>11</v>
      </c>
      <c r="F1900">
        <v>456.918</v>
      </c>
      <c r="G1900">
        <v>18</v>
      </c>
      <c r="L1900" t="s">
        <v>5618</v>
      </c>
      <c r="O1900" t="s">
        <v>5619</v>
      </c>
    </row>
    <row r="1901" spans="1:15" x14ac:dyDescent="0.25">
      <c r="A1901" t="s">
        <v>18</v>
      </c>
      <c r="B1901" t="s">
        <v>5618</v>
      </c>
      <c r="C1901" t="s">
        <v>5620</v>
      </c>
      <c r="D1901" t="s">
        <v>20</v>
      </c>
      <c r="E1901" t="s">
        <v>11</v>
      </c>
      <c r="F1901">
        <v>848.5619999999999</v>
      </c>
      <c r="G1901">
        <v>18</v>
      </c>
      <c r="L1901" t="s">
        <v>5621</v>
      </c>
      <c r="O1901" t="s">
        <v>5622</v>
      </c>
    </row>
    <row r="1902" spans="1:15" x14ac:dyDescent="0.25">
      <c r="A1902" t="s">
        <v>18</v>
      </c>
      <c r="B1902" t="s">
        <v>5621</v>
      </c>
      <c r="C1902" t="s">
        <v>5623</v>
      </c>
      <c r="D1902" t="s">
        <v>20</v>
      </c>
      <c r="E1902" t="s">
        <v>11</v>
      </c>
      <c r="F1902">
        <v>1958.22</v>
      </c>
      <c r="G1902">
        <v>18</v>
      </c>
      <c r="L1902" t="s">
        <v>5624</v>
      </c>
      <c r="O1902" t="s">
        <v>5625</v>
      </c>
    </row>
    <row r="1903" spans="1:15" x14ac:dyDescent="0.25">
      <c r="A1903" t="s">
        <v>18</v>
      </c>
      <c r="B1903" t="s">
        <v>5624</v>
      </c>
      <c r="C1903" t="s">
        <v>5626</v>
      </c>
      <c r="D1903" t="s">
        <v>20</v>
      </c>
      <c r="E1903" t="s">
        <v>11</v>
      </c>
      <c r="F1903">
        <v>10770.210000000001</v>
      </c>
      <c r="G1903">
        <v>18</v>
      </c>
      <c r="L1903" t="s">
        <v>5627</v>
      </c>
      <c r="O1903" t="s">
        <v>5628</v>
      </c>
    </row>
    <row r="1904" spans="1:15" x14ac:dyDescent="0.25">
      <c r="A1904" t="s">
        <v>18</v>
      </c>
      <c r="B1904" t="s">
        <v>5627</v>
      </c>
      <c r="C1904" t="s">
        <v>5629</v>
      </c>
      <c r="D1904" t="s">
        <v>20</v>
      </c>
      <c r="E1904" t="s">
        <v>11</v>
      </c>
      <c r="F1904">
        <v>9530.003999999999</v>
      </c>
      <c r="G1904">
        <v>18</v>
      </c>
      <c r="L1904" t="s">
        <v>5630</v>
      </c>
      <c r="O1904" t="s">
        <v>5631</v>
      </c>
    </row>
    <row r="1905" spans="1:15" x14ac:dyDescent="0.25">
      <c r="A1905" t="s">
        <v>18</v>
      </c>
      <c r="B1905" t="s">
        <v>5630</v>
      </c>
      <c r="C1905" t="s">
        <v>5632</v>
      </c>
      <c r="D1905" t="s">
        <v>20</v>
      </c>
      <c r="E1905" t="s">
        <v>11</v>
      </c>
      <c r="F1905">
        <v>9530.003999999999</v>
      </c>
      <c r="G1905">
        <v>18</v>
      </c>
      <c r="L1905" t="s">
        <v>5633</v>
      </c>
      <c r="O1905" t="s">
        <v>5634</v>
      </c>
    </row>
    <row r="1906" spans="1:15" x14ac:dyDescent="0.25">
      <c r="A1906" t="s">
        <v>18</v>
      </c>
      <c r="B1906" t="s">
        <v>5633</v>
      </c>
      <c r="C1906" t="s">
        <v>5635</v>
      </c>
      <c r="D1906" t="s">
        <v>20</v>
      </c>
      <c r="E1906" t="s">
        <v>11</v>
      </c>
      <c r="F1906">
        <v>19516.926</v>
      </c>
      <c r="G1906">
        <v>18</v>
      </c>
      <c r="L1906" t="s">
        <v>5636</v>
      </c>
      <c r="O1906" t="s">
        <v>5637</v>
      </c>
    </row>
    <row r="1907" spans="1:15" x14ac:dyDescent="0.25">
      <c r="A1907" t="s">
        <v>18</v>
      </c>
      <c r="B1907" t="s">
        <v>5636</v>
      </c>
      <c r="C1907" t="s">
        <v>5638</v>
      </c>
      <c r="D1907" t="s">
        <v>20</v>
      </c>
      <c r="E1907" t="s">
        <v>11</v>
      </c>
      <c r="F1907">
        <v>2284.59</v>
      </c>
      <c r="G1907">
        <v>18</v>
      </c>
      <c r="L1907" t="s">
        <v>5639</v>
      </c>
      <c r="O1907" t="s">
        <v>5640</v>
      </c>
    </row>
    <row r="1908" spans="1:15" x14ac:dyDescent="0.25">
      <c r="A1908" t="s">
        <v>18</v>
      </c>
      <c r="B1908" t="s">
        <v>5639</v>
      </c>
      <c r="C1908" t="s">
        <v>5641</v>
      </c>
      <c r="D1908" t="s">
        <v>20</v>
      </c>
      <c r="E1908" t="s">
        <v>11</v>
      </c>
      <c r="F1908">
        <v>783.2879999999999</v>
      </c>
      <c r="G1908">
        <v>18</v>
      </c>
      <c r="L1908" t="s">
        <v>5642</v>
      </c>
      <c r="O1908" t="s">
        <v>5643</v>
      </c>
    </row>
    <row r="1909" spans="1:15" x14ac:dyDescent="0.25">
      <c r="A1909" t="s">
        <v>18</v>
      </c>
      <c r="B1909" t="s">
        <v>5642</v>
      </c>
      <c r="C1909" t="s">
        <v>5644</v>
      </c>
      <c r="D1909" t="s">
        <v>20</v>
      </c>
      <c r="E1909" t="s">
        <v>11</v>
      </c>
      <c r="F1909">
        <v>13838.087999999998</v>
      </c>
      <c r="G1909">
        <v>18</v>
      </c>
      <c r="L1909" t="s">
        <v>5645</v>
      </c>
      <c r="O1909" t="s">
        <v>5646</v>
      </c>
    </row>
    <row r="1910" spans="1:15" x14ac:dyDescent="0.25">
      <c r="A1910" t="s">
        <v>18</v>
      </c>
      <c r="B1910" t="s">
        <v>5645</v>
      </c>
      <c r="C1910" t="s">
        <v>5647</v>
      </c>
      <c r="D1910" t="s">
        <v>20</v>
      </c>
      <c r="E1910" t="s">
        <v>11</v>
      </c>
      <c r="F1910">
        <v>2349.8639999999996</v>
      </c>
      <c r="G1910">
        <v>18</v>
      </c>
      <c r="L1910" t="s">
        <v>5648</v>
      </c>
      <c r="O1910" t="s">
        <v>5649</v>
      </c>
    </row>
    <row r="1911" spans="1:15" x14ac:dyDescent="0.25">
      <c r="A1911" t="s">
        <v>18</v>
      </c>
      <c r="B1911" t="s">
        <v>5648</v>
      </c>
      <c r="C1911" t="s">
        <v>5650</v>
      </c>
      <c r="D1911" t="s">
        <v>20</v>
      </c>
      <c r="E1911" t="s">
        <v>11</v>
      </c>
      <c r="F1911">
        <v>7571.784</v>
      </c>
      <c r="G1911">
        <v>18</v>
      </c>
      <c r="L1911" t="s">
        <v>5651</v>
      </c>
      <c r="O1911" t="s">
        <v>5652</v>
      </c>
    </row>
    <row r="1912" spans="1:15" x14ac:dyDescent="0.25">
      <c r="A1912" t="s">
        <v>18</v>
      </c>
      <c r="B1912" t="s">
        <v>5651</v>
      </c>
      <c r="C1912" t="s">
        <v>5653</v>
      </c>
      <c r="D1912" t="s">
        <v>20</v>
      </c>
      <c r="E1912" t="s">
        <v>11</v>
      </c>
      <c r="F1912">
        <v>1631.85</v>
      </c>
      <c r="G1912">
        <v>18</v>
      </c>
      <c r="L1912" t="s">
        <v>5654</v>
      </c>
      <c r="O1912" t="s">
        <v>5655</v>
      </c>
    </row>
    <row r="1913" spans="1:15" x14ac:dyDescent="0.25">
      <c r="A1913" t="s">
        <v>18</v>
      </c>
      <c r="B1913" t="s">
        <v>5654</v>
      </c>
      <c r="C1913" t="s">
        <v>5656</v>
      </c>
      <c r="D1913" t="s">
        <v>20</v>
      </c>
      <c r="E1913" t="s">
        <v>11</v>
      </c>
      <c r="F1913">
        <v>130.548</v>
      </c>
      <c r="G1913">
        <v>18</v>
      </c>
      <c r="L1913" t="s">
        <v>5657</v>
      </c>
      <c r="O1913" t="s">
        <v>5658</v>
      </c>
    </row>
    <row r="1914" spans="1:15" x14ac:dyDescent="0.25">
      <c r="A1914" t="s">
        <v>18</v>
      </c>
      <c r="B1914" t="s">
        <v>5657</v>
      </c>
      <c r="C1914" t="s">
        <v>5659</v>
      </c>
      <c r="D1914" t="s">
        <v>20</v>
      </c>
      <c r="E1914" t="s">
        <v>11</v>
      </c>
      <c r="F1914">
        <v>195.82199999999997</v>
      </c>
      <c r="G1914">
        <v>18</v>
      </c>
      <c r="L1914" t="s">
        <v>5660</v>
      </c>
      <c r="O1914" t="s">
        <v>5661</v>
      </c>
    </row>
    <row r="1915" spans="1:15" x14ac:dyDescent="0.25">
      <c r="A1915" t="s">
        <v>18</v>
      </c>
      <c r="B1915" t="s">
        <v>5660</v>
      </c>
      <c r="C1915" t="s">
        <v>5662</v>
      </c>
      <c r="D1915" t="s">
        <v>20</v>
      </c>
      <c r="E1915" t="s">
        <v>11</v>
      </c>
      <c r="F1915">
        <v>3590.0699999999997</v>
      </c>
      <c r="G1915">
        <v>18</v>
      </c>
      <c r="L1915" t="s">
        <v>5663</v>
      </c>
      <c r="O1915" t="s">
        <v>5664</v>
      </c>
    </row>
    <row r="1916" spans="1:15" x14ac:dyDescent="0.25">
      <c r="A1916" t="s">
        <v>18</v>
      </c>
      <c r="B1916" t="s">
        <v>5663</v>
      </c>
      <c r="C1916" t="s">
        <v>5665</v>
      </c>
      <c r="D1916" t="s">
        <v>20</v>
      </c>
      <c r="E1916" t="s">
        <v>11</v>
      </c>
      <c r="F1916">
        <v>783.2879999999999</v>
      </c>
      <c r="G1916">
        <v>18</v>
      </c>
      <c r="L1916" t="s">
        <v>5666</v>
      </c>
      <c r="O1916" t="s">
        <v>5667</v>
      </c>
    </row>
    <row r="1917" spans="1:15" x14ac:dyDescent="0.25">
      <c r="A1917" t="s">
        <v>18</v>
      </c>
      <c r="B1917" t="s">
        <v>5666</v>
      </c>
      <c r="C1917" t="s">
        <v>5668</v>
      </c>
      <c r="D1917" t="s">
        <v>20</v>
      </c>
      <c r="E1917" t="s">
        <v>11</v>
      </c>
      <c r="F1917">
        <v>1501.302</v>
      </c>
      <c r="G1917">
        <v>18</v>
      </c>
      <c r="L1917" t="s">
        <v>5669</v>
      </c>
      <c r="O1917" t="s">
        <v>5670</v>
      </c>
    </row>
    <row r="1918" spans="1:15" x14ac:dyDescent="0.25">
      <c r="A1918" t="s">
        <v>18</v>
      </c>
      <c r="B1918" t="s">
        <v>5669</v>
      </c>
      <c r="C1918" t="s">
        <v>5671</v>
      </c>
      <c r="D1918" t="s">
        <v>20</v>
      </c>
      <c r="E1918" t="s">
        <v>11</v>
      </c>
      <c r="F1918">
        <v>783.2879999999999</v>
      </c>
      <c r="G1918">
        <v>18</v>
      </c>
      <c r="L1918" t="s">
        <v>5672</v>
      </c>
      <c r="O1918" t="s">
        <v>5673</v>
      </c>
    </row>
    <row r="1919" spans="1:15" x14ac:dyDescent="0.25">
      <c r="A1919" t="s">
        <v>18</v>
      </c>
      <c r="B1919" t="s">
        <v>5672</v>
      </c>
      <c r="C1919" t="s">
        <v>5674</v>
      </c>
      <c r="D1919" t="s">
        <v>20</v>
      </c>
      <c r="E1919" t="s">
        <v>11</v>
      </c>
      <c r="F1919">
        <v>783.2879999999999</v>
      </c>
      <c r="G1919">
        <v>18</v>
      </c>
      <c r="L1919" t="s">
        <v>5675</v>
      </c>
      <c r="O1919" t="s">
        <v>5676</v>
      </c>
    </row>
    <row r="1920" spans="1:15" x14ac:dyDescent="0.25">
      <c r="A1920" t="s">
        <v>18</v>
      </c>
      <c r="B1920" t="s">
        <v>5675</v>
      </c>
      <c r="C1920" t="s">
        <v>5677</v>
      </c>
      <c r="D1920" t="s">
        <v>20</v>
      </c>
      <c r="E1920" t="s">
        <v>11</v>
      </c>
      <c r="F1920">
        <v>456.918</v>
      </c>
      <c r="G1920">
        <v>18</v>
      </c>
      <c r="L1920" t="s">
        <v>5678</v>
      </c>
      <c r="O1920" t="s">
        <v>5679</v>
      </c>
    </row>
    <row r="1921" spans="1:15" x14ac:dyDescent="0.25">
      <c r="A1921" t="s">
        <v>18</v>
      </c>
      <c r="B1921" t="s">
        <v>5678</v>
      </c>
      <c r="C1921" t="s">
        <v>5680</v>
      </c>
      <c r="D1921" t="s">
        <v>20</v>
      </c>
      <c r="E1921" t="s">
        <v>11</v>
      </c>
      <c r="F1921">
        <v>848.5619999999999</v>
      </c>
      <c r="G1921">
        <v>18</v>
      </c>
      <c r="L1921" t="s">
        <v>5681</v>
      </c>
      <c r="O1921" t="s">
        <v>5682</v>
      </c>
    </row>
    <row r="1922" spans="1:15" x14ac:dyDescent="0.25">
      <c r="A1922" t="s">
        <v>18</v>
      </c>
      <c r="B1922" t="s">
        <v>5681</v>
      </c>
      <c r="C1922" t="s">
        <v>5683</v>
      </c>
      <c r="D1922" t="s">
        <v>20</v>
      </c>
      <c r="E1922" t="s">
        <v>11</v>
      </c>
      <c r="F1922">
        <v>587.4659999999999</v>
      </c>
      <c r="G1922">
        <v>18</v>
      </c>
      <c r="L1922" t="s">
        <v>5684</v>
      </c>
      <c r="O1922" t="s">
        <v>5685</v>
      </c>
    </row>
    <row r="1923" spans="1:15" x14ac:dyDescent="0.25">
      <c r="A1923" t="s">
        <v>18</v>
      </c>
      <c r="B1923" t="s">
        <v>5684</v>
      </c>
      <c r="C1923" t="s">
        <v>5686</v>
      </c>
      <c r="D1923" t="s">
        <v>20</v>
      </c>
      <c r="E1923" t="s">
        <v>11</v>
      </c>
      <c r="F1923">
        <v>1827.672</v>
      </c>
      <c r="G1923">
        <v>18</v>
      </c>
      <c r="L1923" t="s">
        <v>5687</v>
      </c>
      <c r="O1923" t="s">
        <v>5688</v>
      </c>
    </row>
    <row r="1924" spans="1:15" x14ac:dyDescent="0.25">
      <c r="A1924" t="s">
        <v>18</v>
      </c>
      <c r="B1924" t="s">
        <v>5687</v>
      </c>
      <c r="C1924" t="s">
        <v>5689</v>
      </c>
      <c r="D1924" t="s">
        <v>20</v>
      </c>
      <c r="E1924" t="s">
        <v>11</v>
      </c>
      <c r="F1924">
        <v>718.014</v>
      </c>
      <c r="G1924">
        <v>18</v>
      </c>
      <c r="L1924" t="s">
        <v>5690</v>
      </c>
      <c r="O1924" t="s">
        <v>5691</v>
      </c>
    </row>
    <row r="1925" spans="1:15" x14ac:dyDescent="0.25">
      <c r="A1925" t="s">
        <v>18</v>
      </c>
      <c r="B1925" t="s">
        <v>5690</v>
      </c>
      <c r="C1925" t="s">
        <v>5692</v>
      </c>
      <c r="D1925" t="s">
        <v>20</v>
      </c>
      <c r="E1925" t="s">
        <v>11</v>
      </c>
      <c r="F1925">
        <v>2284.59</v>
      </c>
      <c r="G1925">
        <v>18</v>
      </c>
      <c r="L1925" t="s">
        <v>5693</v>
      </c>
      <c r="O1925" t="s">
        <v>5694</v>
      </c>
    </row>
    <row r="1926" spans="1:15" x14ac:dyDescent="0.25">
      <c r="A1926" t="s">
        <v>18</v>
      </c>
      <c r="B1926" t="s">
        <v>5693</v>
      </c>
      <c r="C1926" t="s">
        <v>5695</v>
      </c>
      <c r="D1926" t="s">
        <v>20</v>
      </c>
      <c r="E1926" t="s">
        <v>11</v>
      </c>
      <c r="F1926">
        <v>3394.2479999999996</v>
      </c>
      <c r="G1926">
        <v>18</v>
      </c>
      <c r="L1926" t="s">
        <v>5696</v>
      </c>
      <c r="O1926" t="s">
        <v>5697</v>
      </c>
    </row>
    <row r="1927" spans="1:15" x14ac:dyDescent="0.25">
      <c r="A1927" t="s">
        <v>18</v>
      </c>
      <c r="B1927" t="s">
        <v>5696</v>
      </c>
      <c r="C1927" t="s">
        <v>5698</v>
      </c>
      <c r="D1927" t="s">
        <v>20</v>
      </c>
      <c r="E1927" t="s">
        <v>11</v>
      </c>
      <c r="F1927">
        <v>2480.4120000000003</v>
      </c>
      <c r="G1927">
        <v>18</v>
      </c>
      <c r="L1927" t="s">
        <v>5699</v>
      </c>
      <c r="O1927" t="s">
        <v>5700</v>
      </c>
    </row>
    <row r="1928" spans="1:15" x14ac:dyDescent="0.25">
      <c r="A1928" t="s">
        <v>18</v>
      </c>
      <c r="B1928" t="s">
        <v>5699</v>
      </c>
      <c r="C1928" t="s">
        <v>5701</v>
      </c>
      <c r="D1928" t="s">
        <v>20</v>
      </c>
      <c r="E1928" t="s">
        <v>11</v>
      </c>
      <c r="F1928">
        <v>9595.278</v>
      </c>
      <c r="G1928">
        <v>18</v>
      </c>
      <c r="L1928" t="s">
        <v>5702</v>
      </c>
      <c r="O1928" t="s">
        <v>5703</v>
      </c>
    </row>
    <row r="1929" spans="1:15" x14ac:dyDescent="0.25">
      <c r="A1929" t="s">
        <v>18</v>
      </c>
      <c r="B1929" t="s">
        <v>5702</v>
      </c>
      <c r="C1929" t="s">
        <v>5704</v>
      </c>
      <c r="D1929" t="s">
        <v>20</v>
      </c>
      <c r="E1929" t="s">
        <v>11</v>
      </c>
      <c r="F1929">
        <v>1305.48</v>
      </c>
      <c r="G1929">
        <v>18</v>
      </c>
      <c r="L1929" t="s">
        <v>5705</v>
      </c>
      <c r="O1929" t="s">
        <v>5706</v>
      </c>
    </row>
    <row r="1930" spans="1:15" x14ac:dyDescent="0.25">
      <c r="A1930" t="s">
        <v>18</v>
      </c>
      <c r="B1930" t="s">
        <v>5705</v>
      </c>
      <c r="C1930" t="s">
        <v>5707</v>
      </c>
      <c r="D1930" t="s">
        <v>20</v>
      </c>
      <c r="E1930" t="s">
        <v>11</v>
      </c>
      <c r="F1930">
        <v>587.4659999999999</v>
      </c>
      <c r="G1930">
        <v>18</v>
      </c>
      <c r="L1930" t="s">
        <v>5708</v>
      </c>
      <c r="O1930" t="s">
        <v>5709</v>
      </c>
    </row>
    <row r="1931" spans="1:15" x14ac:dyDescent="0.25">
      <c r="A1931" t="s">
        <v>18</v>
      </c>
      <c r="B1931" t="s">
        <v>5708</v>
      </c>
      <c r="C1931" t="s">
        <v>5710</v>
      </c>
      <c r="D1931" t="s">
        <v>20</v>
      </c>
      <c r="E1931" t="s">
        <v>11</v>
      </c>
      <c r="F1931">
        <v>3002.604</v>
      </c>
      <c r="G1931">
        <v>18</v>
      </c>
      <c r="L1931" t="s">
        <v>5711</v>
      </c>
      <c r="O1931" t="s">
        <v>5712</v>
      </c>
    </row>
    <row r="1932" spans="1:15" x14ac:dyDescent="0.25">
      <c r="A1932" t="s">
        <v>18</v>
      </c>
      <c r="B1932" t="s">
        <v>5711</v>
      </c>
      <c r="C1932" t="s">
        <v>5713</v>
      </c>
      <c r="D1932" t="s">
        <v>20</v>
      </c>
      <c r="E1932" t="s">
        <v>11</v>
      </c>
      <c r="F1932">
        <v>6919.043999999999</v>
      </c>
      <c r="G1932">
        <v>18</v>
      </c>
      <c r="L1932" t="s">
        <v>5714</v>
      </c>
      <c r="O1932" t="s">
        <v>5715</v>
      </c>
    </row>
    <row r="1933" spans="1:15" x14ac:dyDescent="0.25">
      <c r="A1933" t="s">
        <v>18</v>
      </c>
      <c r="B1933" t="s">
        <v>5714</v>
      </c>
      <c r="C1933" t="s">
        <v>5716</v>
      </c>
      <c r="D1933" t="s">
        <v>20</v>
      </c>
      <c r="E1933" t="s">
        <v>11</v>
      </c>
      <c r="F1933">
        <v>979.11</v>
      </c>
      <c r="G1933">
        <v>18</v>
      </c>
      <c r="L1933" t="s">
        <v>5717</v>
      </c>
      <c r="O1933" t="s">
        <v>5718</v>
      </c>
    </row>
    <row r="1934" spans="1:15" x14ac:dyDescent="0.25">
      <c r="A1934" t="s">
        <v>18</v>
      </c>
      <c r="B1934" t="s">
        <v>5717</v>
      </c>
      <c r="C1934" t="s">
        <v>5719</v>
      </c>
      <c r="D1934" t="s">
        <v>20</v>
      </c>
      <c r="E1934" t="s">
        <v>11</v>
      </c>
      <c r="F1934">
        <v>1044.384</v>
      </c>
      <c r="G1934">
        <v>18</v>
      </c>
      <c r="L1934" t="s">
        <v>5720</v>
      </c>
      <c r="O1934" t="s">
        <v>5721</v>
      </c>
    </row>
    <row r="1935" spans="1:15" x14ac:dyDescent="0.25">
      <c r="A1935" t="s">
        <v>18</v>
      </c>
      <c r="B1935" t="s">
        <v>5720</v>
      </c>
      <c r="C1935" t="s">
        <v>5722</v>
      </c>
      <c r="D1935" t="s">
        <v>20</v>
      </c>
      <c r="E1935" t="s">
        <v>11</v>
      </c>
      <c r="F1935">
        <v>1892.946</v>
      </c>
      <c r="G1935">
        <v>18</v>
      </c>
      <c r="L1935" t="s">
        <v>5723</v>
      </c>
      <c r="O1935" t="s">
        <v>5724</v>
      </c>
    </row>
    <row r="1936" spans="1:15" x14ac:dyDescent="0.25">
      <c r="A1936" t="s">
        <v>18</v>
      </c>
      <c r="B1936" t="s">
        <v>5723</v>
      </c>
      <c r="C1936" t="s">
        <v>5725</v>
      </c>
      <c r="D1936" t="s">
        <v>20</v>
      </c>
      <c r="E1936" t="s">
        <v>11</v>
      </c>
      <c r="F1936">
        <v>718.014</v>
      </c>
      <c r="G1936">
        <v>18</v>
      </c>
      <c r="L1936" t="s">
        <v>5726</v>
      </c>
      <c r="O1936" t="s">
        <v>5727</v>
      </c>
    </row>
    <row r="1937" spans="1:15" x14ac:dyDescent="0.25">
      <c r="A1937" t="s">
        <v>18</v>
      </c>
      <c r="B1937" t="s">
        <v>5726</v>
      </c>
      <c r="C1937" t="s">
        <v>5728</v>
      </c>
      <c r="D1937" t="s">
        <v>20</v>
      </c>
      <c r="E1937" t="s">
        <v>11</v>
      </c>
      <c r="F1937">
        <v>21214.05</v>
      </c>
      <c r="G1937">
        <v>18</v>
      </c>
      <c r="L1937" t="s">
        <v>5729</v>
      </c>
      <c r="O1937" t="s">
        <v>5730</v>
      </c>
    </row>
    <row r="1938" spans="1:15" x14ac:dyDescent="0.25">
      <c r="A1938" t="s">
        <v>18</v>
      </c>
      <c r="B1938" t="s">
        <v>5729</v>
      </c>
      <c r="C1938" t="s">
        <v>5731</v>
      </c>
      <c r="D1938" t="s">
        <v>20</v>
      </c>
      <c r="E1938" t="s">
        <v>11</v>
      </c>
      <c r="F1938">
        <v>848.5619999999999</v>
      </c>
      <c r="G1938">
        <v>18</v>
      </c>
      <c r="L1938" t="s">
        <v>5732</v>
      </c>
      <c r="O1938" t="s">
        <v>5733</v>
      </c>
    </row>
    <row r="1939" spans="1:15" x14ac:dyDescent="0.25">
      <c r="A1939" t="s">
        <v>18</v>
      </c>
      <c r="B1939" t="s">
        <v>5732</v>
      </c>
      <c r="C1939" t="s">
        <v>5734</v>
      </c>
      <c r="D1939" t="s">
        <v>20</v>
      </c>
      <c r="E1939" t="s">
        <v>11</v>
      </c>
      <c r="F1939">
        <v>652.74</v>
      </c>
      <c r="G1939">
        <v>18</v>
      </c>
      <c r="L1939" t="s">
        <v>5735</v>
      </c>
      <c r="O1939" t="s">
        <v>5736</v>
      </c>
    </row>
    <row r="1940" spans="1:15" x14ac:dyDescent="0.25">
      <c r="A1940" t="s">
        <v>18</v>
      </c>
      <c r="B1940" t="s">
        <v>5735</v>
      </c>
      <c r="C1940" t="s">
        <v>5737</v>
      </c>
      <c r="D1940" t="s">
        <v>20</v>
      </c>
      <c r="E1940" t="s">
        <v>11</v>
      </c>
      <c r="F1940">
        <v>391.64399999999995</v>
      </c>
      <c r="G1940">
        <v>18</v>
      </c>
      <c r="L1940" t="s">
        <v>5738</v>
      </c>
      <c r="O1940" t="s">
        <v>5739</v>
      </c>
    </row>
    <row r="1941" spans="1:15" x14ac:dyDescent="0.25">
      <c r="A1941" t="s">
        <v>18</v>
      </c>
      <c r="B1941" t="s">
        <v>5738</v>
      </c>
      <c r="C1941" t="s">
        <v>5740</v>
      </c>
      <c r="D1941" t="s">
        <v>20</v>
      </c>
      <c r="E1941" t="s">
        <v>11</v>
      </c>
      <c r="F1941">
        <v>587.4659999999999</v>
      </c>
      <c r="G1941">
        <v>18</v>
      </c>
      <c r="L1941" t="s">
        <v>5741</v>
      </c>
      <c r="O1941" t="s">
        <v>5742</v>
      </c>
    </row>
    <row r="1942" spans="1:15" x14ac:dyDescent="0.25">
      <c r="A1942" t="s">
        <v>18</v>
      </c>
      <c r="B1942" t="s">
        <v>5741</v>
      </c>
      <c r="C1942" t="s">
        <v>5743</v>
      </c>
      <c r="D1942" t="s">
        <v>20</v>
      </c>
      <c r="E1942" t="s">
        <v>11</v>
      </c>
      <c r="F1942">
        <v>1436.028</v>
      </c>
      <c r="G1942">
        <v>18</v>
      </c>
      <c r="L1942" t="s">
        <v>5744</v>
      </c>
      <c r="O1942" t="s">
        <v>5745</v>
      </c>
    </row>
    <row r="1943" spans="1:15" x14ac:dyDescent="0.25">
      <c r="A1943" t="s">
        <v>18</v>
      </c>
      <c r="B1943" t="s">
        <v>5744</v>
      </c>
      <c r="C1943" t="s">
        <v>5746</v>
      </c>
      <c r="D1943" t="s">
        <v>20</v>
      </c>
      <c r="E1943" t="s">
        <v>11</v>
      </c>
      <c r="F1943">
        <v>587.4659999999999</v>
      </c>
      <c r="G1943">
        <v>18</v>
      </c>
      <c r="L1943" t="s">
        <v>5747</v>
      </c>
      <c r="O1943" t="s">
        <v>5748</v>
      </c>
    </row>
    <row r="1944" spans="1:15" x14ac:dyDescent="0.25">
      <c r="A1944" t="s">
        <v>18</v>
      </c>
      <c r="B1944" t="s">
        <v>5747</v>
      </c>
      <c r="C1944" t="s">
        <v>5749</v>
      </c>
      <c r="D1944" t="s">
        <v>20</v>
      </c>
      <c r="E1944" t="s">
        <v>11</v>
      </c>
      <c r="F1944">
        <v>1240.2060000000001</v>
      </c>
      <c r="G1944">
        <v>18</v>
      </c>
      <c r="L1944" t="s">
        <v>5750</v>
      </c>
      <c r="O1944" t="s">
        <v>5751</v>
      </c>
    </row>
    <row r="1945" spans="1:15" x14ac:dyDescent="0.25">
      <c r="A1945" t="s">
        <v>18</v>
      </c>
      <c r="B1945" t="s">
        <v>5750</v>
      </c>
      <c r="C1945" t="s">
        <v>5752</v>
      </c>
      <c r="D1945" t="s">
        <v>20</v>
      </c>
      <c r="E1945" t="s">
        <v>11</v>
      </c>
      <c r="F1945">
        <v>979.11</v>
      </c>
      <c r="G1945">
        <v>18</v>
      </c>
      <c r="L1945" t="s">
        <v>5753</v>
      </c>
      <c r="O1945" t="s">
        <v>5754</v>
      </c>
    </row>
    <row r="1946" spans="1:15" x14ac:dyDescent="0.25">
      <c r="A1946" t="s">
        <v>18</v>
      </c>
      <c r="B1946" t="s">
        <v>5753</v>
      </c>
      <c r="C1946" t="s">
        <v>5755</v>
      </c>
      <c r="D1946" t="s">
        <v>20</v>
      </c>
      <c r="E1946" t="s">
        <v>11</v>
      </c>
      <c r="F1946">
        <v>1370.754</v>
      </c>
      <c r="G1946">
        <v>18</v>
      </c>
      <c r="L1946" t="s">
        <v>5756</v>
      </c>
      <c r="O1946" t="s">
        <v>5757</v>
      </c>
    </row>
    <row r="1947" spans="1:15" x14ac:dyDescent="0.25">
      <c r="A1947" t="s">
        <v>18</v>
      </c>
      <c r="B1947" t="s">
        <v>5756</v>
      </c>
      <c r="C1947" t="s">
        <v>5758</v>
      </c>
      <c r="D1947" t="s">
        <v>20</v>
      </c>
      <c r="E1947" t="s">
        <v>11</v>
      </c>
      <c r="F1947">
        <v>2872.056</v>
      </c>
      <c r="G1947">
        <v>18</v>
      </c>
      <c r="L1947" t="s">
        <v>5759</v>
      </c>
      <c r="O1947" t="s">
        <v>5760</v>
      </c>
    </row>
    <row r="1948" spans="1:15" x14ac:dyDescent="0.25">
      <c r="A1948" t="s">
        <v>18</v>
      </c>
      <c r="B1948" t="s">
        <v>5759</v>
      </c>
      <c r="C1948" t="s">
        <v>5761</v>
      </c>
      <c r="D1948" t="s">
        <v>20</v>
      </c>
      <c r="E1948" t="s">
        <v>11</v>
      </c>
      <c r="F1948">
        <v>391.64399999999995</v>
      </c>
      <c r="G1948">
        <v>18</v>
      </c>
      <c r="L1948" t="s">
        <v>5762</v>
      </c>
      <c r="O1948" t="s">
        <v>5763</v>
      </c>
    </row>
    <row r="1949" spans="1:15" x14ac:dyDescent="0.25">
      <c r="A1949" t="s">
        <v>18</v>
      </c>
      <c r="B1949" t="s">
        <v>5762</v>
      </c>
      <c r="C1949" t="s">
        <v>5764</v>
      </c>
      <c r="D1949" t="s">
        <v>20</v>
      </c>
      <c r="E1949" t="s">
        <v>11</v>
      </c>
      <c r="F1949">
        <v>652.74</v>
      </c>
      <c r="G1949">
        <v>18</v>
      </c>
      <c r="L1949" t="s">
        <v>5765</v>
      </c>
      <c r="O1949" t="s">
        <v>5766</v>
      </c>
    </row>
    <row r="1950" spans="1:15" x14ac:dyDescent="0.25">
      <c r="A1950" t="s">
        <v>18</v>
      </c>
      <c r="B1950" t="s">
        <v>5765</v>
      </c>
      <c r="C1950" t="s">
        <v>5767</v>
      </c>
      <c r="D1950" t="s">
        <v>20</v>
      </c>
      <c r="E1950" t="s">
        <v>11</v>
      </c>
      <c r="F1950">
        <v>652.74</v>
      </c>
      <c r="G1950">
        <v>18</v>
      </c>
      <c r="L1950" t="s">
        <v>5768</v>
      </c>
      <c r="O1950" t="s">
        <v>5769</v>
      </c>
    </row>
    <row r="1951" spans="1:15" x14ac:dyDescent="0.25">
      <c r="A1951" t="s">
        <v>18</v>
      </c>
      <c r="B1951" t="s">
        <v>5768</v>
      </c>
      <c r="C1951" t="s">
        <v>5770</v>
      </c>
      <c r="D1951" t="s">
        <v>20</v>
      </c>
      <c r="E1951" t="s">
        <v>11</v>
      </c>
      <c r="F1951">
        <v>5417.742</v>
      </c>
      <c r="G1951">
        <v>18</v>
      </c>
      <c r="L1951" t="s">
        <v>5771</v>
      </c>
      <c r="O1951" t="s">
        <v>5772</v>
      </c>
    </row>
    <row r="1952" spans="1:15" x14ac:dyDescent="0.25">
      <c r="A1952" t="s">
        <v>18</v>
      </c>
      <c r="B1952" t="s">
        <v>5771</v>
      </c>
      <c r="C1952" t="s">
        <v>5773</v>
      </c>
      <c r="D1952" t="s">
        <v>20</v>
      </c>
      <c r="E1952" t="s">
        <v>11</v>
      </c>
      <c r="F1952">
        <v>587.4659999999999</v>
      </c>
      <c r="G1952">
        <v>18</v>
      </c>
      <c r="L1952" t="s">
        <v>5774</v>
      </c>
      <c r="O1952" t="s">
        <v>5775</v>
      </c>
    </row>
    <row r="1953" spans="1:15" x14ac:dyDescent="0.25">
      <c r="A1953" t="s">
        <v>18</v>
      </c>
      <c r="B1953" t="s">
        <v>5774</v>
      </c>
      <c r="C1953" t="s">
        <v>5776</v>
      </c>
      <c r="D1953" t="s">
        <v>20</v>
      </c>
      <c r="E1953" t="s">
        <v>11</v>
      </c>
      <c r="F1953">
        <v>1566.5759999999998</v>
      </c>
      <c r="G1953">
        <v>18</v>
      </c>
      <c r="L1953" t="s">
        <v>5777</v>
      </c>
      <c r="O1953" t="s">
        <v>5778</v>
      </c>
    </row>
    <row r="1954" spans="1:15" x14ac:dyDescent="0.25">
      <c r="A1954" t="s">
        <v>18</v>
      </c>
      <c r="B1954" t="s">
        <v>5777</v>
      </c>
      <c r="C1954" t="s">
        <v>5779</v>
      </c>
      <c r="D1954" t="s">
        <v>20</v>
      </c>
      <c r="E1954" t="s">
        <v>11</v>
      </c>
      <c r="F1954">
        <v>5939.933999999999</v>
      </c>
      <c r="G1954">
        <v>18</v>
      </c>
      <c r="L1954" t="s">
        <v>5780</v>
      </c>
      <c r="O1954" t="s">
        <v>5781</v>
      </c>
    </row>
    <row r="1955" spans="1:15" x14ac:dyDescent="0.25">
      <c r="A1955" t="s">
        <v>18</v>
      </c>
      <c r="B1955" t="s">
        <v>5780</v>
      </c>
      <c r="C1955" t="s">
        <v>5782</v>
      </c>
      <c r="D1955" t="s">
        <v>20</v>
      </c>
      <c r="E1955" t="s">
        <v>11</v>
      </c>
      <c r="F1955">
        <v>6657.947999999999</v>
      </c>
      <c r="G1955">
        <v>18</v>
      </c>
      <c r="L1955" t="s">
        <v>5783</v>
      </c>
      <c r="O1955" t="s">
        <v>5784</v>
      </c>
    </row>
    <row r="1956" spans="1:15" x14ac:dyDescent="0.25">
      <c r="A1956" t="s">
        <v>18</v>
      </c>
      <c r="B1956" t="s">
        <v>5783</v>
      </c>
      <c r="C1956" t="s">
        <v>5785</v>
      </c>
      <c r="D1956" t="s">
        <v>20</v>
      </c>
      <c r="E1956" t="s">
        <v>11</v>
      </c>
      <c r="F1956">
        <v>3981.714</v>
      </c>
      <c r="G1956">
        <v>18</v>
      </c>
      <c r="L1956" t="s">
        <v>5786</v>
      </c>
      <c r="O1956" t="s">
        <v>5787</v>
      </c>
    </row>
    <row r="1957" spans="1:15" x14ac:dyDescent="0.25">
      <c r="A1957" t="s">
        <v>18</v>
      </c>
      <c r="B1957" t="s">
        <v>5786</v>
      </c>
      <c r="C1957" t="s">
        <v>5788</v>
      </c>
      <c r="D1957" t="s">
        <v>20</v>
      </c>
      <c r="E1957" t="s">
        <v>11</v>
      </c>
      <c r="F1957">
        <v>7310.688</v>
      </c>
      <c r="G1957">
        <v>18</v>
      </c>
      <c r="L1957" t="s">
        <v>5789</v>
      </c>
      <c r="O1957" t="s">
        <v>5790</v>
      </c>
    </row>
    <row r="1958" spans="1:15" x14ac:dyDescent="0.25">
      <c r="A1958" t="s">
        <v>18</v>
      </c>
      <c r="B1958" t="s">
        <v>5789</v>
      </c>
      <c r="C1958" t="s">
        <v>5791</v>
      </c>
      <c r="D1958" t="s">
        <v>20</v>
      </c>
      <c r="E1958" t="s">
        <v>11</v>
      </c>
      <c r="F1958">
        <v>522.192</v>
      </c>
      <c r="G1958">
        <v>18</v>
      </c>
      <c r="L1958" t="s">
        <v>5792</v>
      </c>
      <c r="O1958" t="s">
        <v>5793</v>
      </c>
    </row>
    <row r="1959" spans="1:15" x14ac:dyDescent="0.25">
      <c r="A1959" t="s">
        <v>18</v>
      </c>
      <c r="B1959" t="s">
        <v>5792</v>
      </c>
      <c r="C1959" t="s">
        <v>5794</v>
      </c>
      <c r="D1959" t="s">
        <v>20</v>
      </c>
      <c r="E1959" t="s">
        <v>11</v>
      </c>
      <c r="F1959">
        <v>701.316</v>
      </c>
      <c r="G1959">
        <v>18</v>
      </c>
      <c r="L1959" t="s">
        <v>5795</v>
      </c>
      <c r="O1959" t="s">
        <v>5796</v>
      </c>
    </row>
    <row r="1960" spans="1:15" x14ac:dyDescent="0.25">
      <c r="A1960" t="s">
        <v>18</v>
      </c>
      <c r="B1960" t="s">
        <v>5795</v>
      </c>
      <c r="C1960" t="s">
        <v>5797</v>
      </c>
      <c r="D1960" t="s">
        <v>20</v>
      </c>
      <c r="E1960" t="s">
        <v>11</v>
      </c>
      <c r="F1960">
        <v>4112.262</v>
      </c>
      <c r="G1960">
        <v>18</v>
      </c>
      <c r="L1960" t="s">
        <v>5798</v>
      </c>
      <c r="O1960" t="s">
        <v>5799</v>
      </c>
    </row>
    <row r="1961" spans="1:15" x14ac:dyDescent="0.25">
      <c r="A1961" t="s">
        <v>18</v>
      </c>
      <c r="B1961" t="s">
        <v>5798</v>
      </c>
      <c r="C1961" t="s">
        <v>5800</v>
      </c>
      <c r="D1961" t="s">
        <v>20</v>
      </c>
      <c r="E1961" t="s">
        <v>11</v>
      </c>
      <c r="F1961">
        <v>7245.414</v>
      </c>
      <c r="G1961">
        <v>18</v>
      </c>
      <c r="L1961" t="s">
        <v>5801</v>
      </c>
      <c r="O1961" t="s">
        <v>5802</v>
      </c>
    </row>
    <row r="1962" spans="1:15" x14ac:dyDescent="0.25">
      <c r="A1962" t="s">
        <v>18</v>
      </c>
      <c r="B1962" t="s">
        <v>5801</v>
      </c>
      <c r="C1962" t="s">
        <v>5803</v>
      </c>
      <c r="D1962" t="s">
        <v>20</v>
      </c>
      <c r="E1962" t="s">
        <v>11</v>
      </c>
      <c r="F1962">
        <v>2610.96</v>
      </c>
      <c r="G1962">
        <v>18</v>
      </c>
      <c r="L1962" t="s">
        <v>5804</v>
      </c>
      <c r="O1962" t="s">
        <v>5805</v>
      </c>
    </row>
    <row r="1963" spans="1:15" x14ac:dyDescent="0.25">
      <c r="A1963" t="s">
        <v>18</v>
      </c>
      <c r="B1963" t="s">
        <v>5804</v>
      </c>
      <c r="C1963" t="s">
        <v>5806</v>
      </c>
      <c r="D1963" t="s">
        <v>20</v>
      </c>
      <c r="E1963" t="s">
        <v>11</v>
      </c>
      <c r="F1963">
        <v>3133.1519999999996</v>
      </c>
      <c r="G1963">
        <v>18</v>
      </c>
      <c r="L1963" t="s">
        <v>5807</v>
      </c>
      <c r="O1963" t="s">
        <v>5808</v>
      </c>
    </row>
    <row r="1964" spans="1:15" x14ac:dyDescent="0.25">
      <c r="A1964" t="s">
        <v>18</v>
      </c>
      <c r="B1964" t="s">
        <v>5807</v>
      </c>
      <c r="C1964" t="s">
        <v>5809</v>
      </c>
      <c r="D1964" t="s">
        <v>20</v>
      </c>
      <c r="E1964" t="s">
        <v>11</v>
      </c>
      <c r="F1964">
        <v>9791.1</v>
      </c>
      <c r="G1964">
        <v>18</v>
      </c>
      <c r="L1964" t="s">
        <v>5810</v>
      </c>
      <c r="O1964" t="s">
        <v>5811</v>
      </c>
    </row>
    <row r="1965" spans="1:15" x14ac:dyDescent="0.25">
      <c r="A1965" t="s">
        <v>18</v>
      </c>
      <c r="B1965" t="s">
        <v>5810</v>
      </c>
      <c r="C1965" t="s">
        <v>5812</v>
      </c>
      <c r="D1965" t="s">
        <v>20</v>
      </c>
      <c r="E1965" t="s">
        <v>11</v>
      </c>
      <c r="F1965">
        <v>7767.605999999999</v>
      </c>
      <c r="G1965">
        <v>18</v>
      </c>
      <c r="L1965" t="s">
        <v>5813</v>
      </c>
      <c r="O1965" t="s">
        <v>5814</v>
      </c>
    </row>
    <row r="1966" spans="1:15" x14ac:dyDescent="0.25">
      <c r="A1966" t="s">
        <v>18</v>
      </c>
      <c r="B1966" t="s">
        <v>5813</v>
      </c>
      <c r="C1966" t="s">
        <v>5815</v>
      </c>
      <c r="D1966" t="s">
        <v>20</v>
      </c>
      <c r="E1966" t="s">
        <v>11</v>
      </c>
      <c r="F1966">
        <v>17167.061999999998</v>
      </c>
      <c r="G1966">
        <v>18</v>
      </c>
      <c r="L1966" t="s">
        <v>5816</v>
      </c>
      <c r="O1966" t="s">
        <v>5817</v>
      </c>
    </row>
    <row r="1967" spans="1:15" x14ac:dyDescent="0.25">
      <c r="A1967" t="s">
        <v>18</v>
      </c>
      <c r="B1967" t="s">
        <v>5816</v>
      </c>
      <c r="C1967" t="s">
        <v>5818</v>
      </c>
      <c r="D1967" t="s">
        <v>20</v>
      </c>
      <c r="E1967" t="s">
        <v>11</v>
      </c>
      <c r="F1967">
        <v>18603.09</v>
      </c>
      <c r="G1967">
        <v>18</v>
      </c>
      <c r="L1967" t="s">
        <v>5819</v>
      </c>
      <c r="O1967" t="s">
        <v>5820</v>
      </c>
    </row>
    <row r="1968" spans="1:15" x14ac:dyDescent="0.25">
      <c r="A1968" t="s">
        <v>18</v>
      </c>
      <c r="B1968" t="s">
        <v>5819</v>
      </c>
      <c r="C1968" t="s">
        <v>5821</v>
      </c>
      <c r="D1968" t="s">
        <v>20</v>
      </c>
      <c r="E1968" t="s">
        <v>11</v>
      </c>
      <c r="F1968">
        <v>6331.5779999999995</v>
      </c>
      <c r="G1968">
        <v>18</v>
      </c>
      <c r="L1968" t="s">
        <v>5822</v>
      </c>
      <c r="O1968" t="s">
        <v>5823</v>
      </c>
    </row>
    <row r="1969" spans="1:15" x14ac:dyDescent="0.25">
      <c r="A1969" t="s">
        <v>18</v>
      </c>
      <c r="B1969" t="s">
        <v>5822</v>
      </c>
      <c r="C1969" t="s">
        <v>5824</v>
      </c>
      <c r="D1969" t="s">
        <v>20</v>
      </c>
      <c r="E1969" t="s">
        <v>11</v>
      </c>
      <c r="F1969">
        <v>3851.166</v>
      </c>
      <c r="G1969">
        <v>18</v>
      </c>
      <c r="L1969" t="s">
        <v>5825</v>
      </c>
      <c r="O1969" t="s">
        <v>5826</v>
      </c>
    </row>
    <row r="1970" spans="1:15" x14ac:dyDescent="0.25">
      <c r="A1970" t="s">
        <v>18</v>
      </c>
      <c r="B1970" t="s">
        <v>5825</v>
      </c>
      <c r="C1970" t="s">
        <v>5827</v>
      </c>
      <c r="D1970" t="s">
        <v>20</v>
      </c>
      <c r="E1970" t="s">
        <v>11</v>
      </c>
      <c r="F1970">
        <v>3590.0699999999997</v>
      </c>
      <c r="G1970">
        <v>18</v>
      </c>
      <c r="L1970" t="s">
        <v>5828</v>
      </c>
      <c r="O1970" t="s">
        <v>5829</v>
      </c>
    </row>
    <row r="1971" spans="1:15" x14ac:dyDescent="0.25">
      <c r="A1971" t="s">
        <v>18</v>
      </c>
      <c r="B1971" t="s">
        <v>5828</v>
      </c>
      <c r="C1971" t="s">
        <v>5830</v>
      </c>
      <c r="D1971" t="s">
        <v>20</v>
      </c>
      <c r="E1971" t="s">
        <v>11</v>
      </c>
      <c r="F1971">
        <v>1827.672</v>
      </c>
      <c r="G1971">
        <v>18</v>
      </c>
      <c r="L1971" t="s">
        <v>5831</v>
      </c>
      <c r="O1971" t="s">
        <v>5832</v>
      </c>
    </row>
    <row r="1972" spans="1:15" x14ac:dyDescent="0.25">
      <c r="A1972" t="s">
        <v>18</v>
      </c>
      <c r="B1972" t="s">
        <v>5831</v>
      </c>
      <c r="C1972" t="s">
        <v>5833</v>
      </c>
      <c r="D1972" t="s">
        <v>20</v>
      </c>
      <c r="E1972" t="s">
        <v>11</v>
      </c>
      <c r="F1972">
        <v>522.192</v>
      </c>
      <c r="G1972">
        <v>18</v>
      </c>
      <c r="L1972" t="s">
        <v>5834</v>
      </c>
      <c r="O1972" t="s">
        <v>5835</v>
      </c>
    </row>
    <row r="1973" spans="1:15" x14ac:dyDescent="0.25">
      <c r="A1973" t="s">
        <v>18</v>
      </c>
      <c r="B1973" t="s">
        <v>5834</v>
      </c>
      <c r="C1973" t="s">
        <v>5836</v>
      </c>
      <c r="D1973" t="s">
        <v>20</v>
      </c>
      <c r="E1973" t="s">
        <v>11</v>
      </c>
      <c r="F1973">
        <v>2610.96</v>
      </c>
      <c r="G1973">
        <v>18</v>
      </c>
      <c r="L1973" t="s">
        <v>5837</v>
      </c>
      <c r="O1973" t="s">
        <v>5838</v>
      </c>
    </row>
    <row r="1974" spans="1:15" x14ac:dyDescent="0.25">
      <c r="A1974" t="s">
        <v>18</v>
      </c>
      <c r="B1974" t="s">
        <v>5837</v>
      </c>
      <c r="C1974" t="s">
        <v>5839</v>
      </c>
      <c r="D1974" t="s">
        <v>20</v>
      </c>
      <c r="E1974" t="s">
        <v>11</v>
      </c>
      <c r="F1974">
        <v>195.82199999999997</v>
      </c>
      <c r="G1974">
        <v>18</v>
      </c>
      <c r="L1974" t="s">
        <v>5840</v>
      </c>
      <c r="O1974" t="s">
        <v>5841</v>
      </c>
    </row>
    <row r="1975" spans="1:15" x14ac:dyDescent="0.25">
      <c r="A1975" t="s">
        <v>18</v>
      </c>
      <c r="B1975" t="s">
        <v>5840</v>
      </c>
      <c r="C1975" t="s">
        <v>5842</v>
      </c>
      <c r="D1975" t="s">
        <v>20</v>
      </c>
      <c r="E1975" t="s">
        <v>11</v>
      </c>
      <c r="F1975">
        <v>195.82199999999997</v>
      </c>
      <c r="G1975">
        <v>18</v>
      </c>
      <c r="L1975" t="s">
        <v>5843</v>
      </c>
      <c r="O1975" t="s">
        <v>5844</v>
      </c>
    </row>
    <row r="1976" spans="1:15" x14ac:dyDescent="0.25">
      <c r="A1976" t="s">
        <v>18</v>
      </c>
      <c r="B1976" t="s">
        <v>5843</v>
      </c>
      <c r="C1976" t="s">
        <v>5845</v>
      </c>
      <c r="D1976" t="s">
        <v>20</v>
      </c>
      <c r="E1976" t="s">
        <v>11</v>
      </c>
      <c r="F1976">
        <v>2219.316</v>
      </c>
      <c r="G1976">
        <v>18</v>
      </c>
      <c r="L1976" t="s">
        <v>5846</v>
      </c>
      <c r="O1976" t="s">
        <v>5847</v>
      </c>
    </row>
    <row r="1977" spans="1:15" x14ac:dyDescent="0.25">
      <c r="A1977" t="s">
        <v>18</v>
      </c>
      <c r="B1977" t="s">
        <v>5846</v>
      </c>
      <c r="C1977" t="s">
        <v>5848</v>
      </c>
      <c r="D1977" t="s">
        <v>20</v>
      </c>
      <c r="E1977" t="s">
        <v>11</v>
      </c>
      <c r="F1977">
        <v>2284.59</v>
      </c>
      <c r="G1977">
        <v>18</v>
      </c>
      <c r="L1977" t="s">
        <v>5849</v>
      </c>
      <c r="O1977" t="s">
        <v>5850</v>
      </c>
    </row>
    <row r="1978" spans="1:15" x14ac:dyDescent="0.25">
      <c r="A1978" t="s">
        <v>18</v>
      </c>
      <c r="B1978" t="s">
        <v>5849</v>
      </c>
      <c r="C1978" t="s">
        <v>5851</v>
      </c>
      <c r="D1978" t="s">
        <v>20</v>
      </c>
      <c r="E1978" t="s">
        <v>11</v>
      </c>
      <c r="F1978">
        <v>3198.426</v>
      </c>
      <c r="G1978">
        <v>18</v>
      </c>
      <c r="L1978" t="s">
        <v>5852</v>
      </c>
      <c r="O1978" t="s">
        <v>5853</v>
      </c>
    </row>
    <row r="1979" spans="1:15" x14ac:dyDescent="0.25">
      <c r="A1979" t="s">
        <v>18</v>
      </c>
      <c r="B1979" t="s">
        <v>5852</v>
      </c>
      <c r="C1979" t="s">
        <v>5854</v>
      </c>
      <c r="D1979" t="s">
        <v>20</v>
      </c>
      <c r="E1979" t="s">
        <v>11</v>
      </c>
      <c r="F1979">
        <v>848.5619999999999</v>
      </c>
      <c r="G1979">
        <v>18</v>
      </c>
      <c r="L1979" t="s">
        <v>5855</v>
      </c>
      <c r="O1979" t="s">
        <v>5856</v>
      </c>
    </row>
    <row r="1980" spans="1:15" x14ac:dyDescent="0.25">
      <c r="A1980" t="s">
        <v>18</v>
      </c>
      <c r="B1980" t="s">
        <v>5855</v>
      </c>
      <c r="C1980" t="s">
        <v>5857</v>
      </c>
      <c r="D1980" t="s">
        <v>20</v>
      </c>
      <c r="E1980" t="s">
        <v>11</v>
      </c>
      <c r="F1980">
        <v>14295.006</v>
      </c>
      <c r="G1980">
        <v>18</v>
      </c>
      <c r="L1980" t="s">
        <v>5858</v>
      </c>
      <c r="O1980" t="s">
        <v>5859</v>
      </c>
    </row>
    <row r="1981" spans="1:15" x14ac:dyDescent="0.25">
      <c r="A1981" t="s">
        <v>18</v>
      </c>
      <c r="B1981" t="s">
        <v>5858</v>
      </c>
      <c r="C1981" t="s">
        <v>5860</v>
      </c>
      <c r="D1981" t="s">
        <v>20</v>
      </c>
      <c r="E1981" t="s">
        <v>11</v>
      </c>
      <c r="F1981">
        <v>14490.828</v>
      </c>
      <c r="G1981">
        <v>18</v>
      </c>
      <c r="L1981" t="s">
        <v>5861</v>
      </c>
      <c r="O1981" t="s">
        <v>5862</v>
      </c>
    </row>
    <row r="1982" spans="1:15" x14ac:dyDescent="0.25">
      <c r="A1982" t="s">
        <v>18</v>
      </c>
      <c r="B1982" t="s">
        <v>5861</v>
      </c>
      <c r="C1982" t="s">
        <v>5863</v>
      </c>
      <c r="D1982" t="s">
        <v>20</v>
      </c>
      <c r="E1982" t="s">
        <v>11</v>
      </c>
      <c r="F1982">
        <v>12989.526</v>
      </c>
      <c r="G1982">
        <v>18</v>
      </c>
      <c r="L1982" t="s">
        <v>5864</v>
      </c>
      <c r="O1982" t="s">
        <v>5865</v>
      </c>
    </row>
    <row r="1983" spans="1:15" x14ac:dyDescent="0.25">
      <c r="A1983" t="s">
        <v>18</v>
      </c>
      <c r="B1983" t="s">
        <v>5864</v>
      </c>
      <c r="C1983" t="s">
        <v>5866</v>
      </c>
      <c r="D1983" t="s">
        <v>20</v>
      </c>
      <c r="E1983" t="s">
        <v>11</v>
      </c>
      <c r="F1983">
        <v>12989.526</v>
      </c>
      <c r="G1983">
        <v>18</v>
      </c>
      <c r="L1983" t="s">
        <v>5867</v>
      </c>
      <c r="O1983" t="s">
        <v>5868</v>
      </c>
    </row>
    <row r="1984" spans="1:15" x14ac:dyDescent="0.25">
      <c r="A1984" t="s">
        <v>18</v>
      </c>
      <c r="B1984" t="s">
        <v>5867</v>
      </c>
      <c r="C1984" t="s">
        <v>5869</v>
      </c>
      <c r="D1984" t="s">
        <v>20</v>
      </c>
      <c r="E1984" t="s">
        <v>11</v>
      </c>
      <c r="F1984">
        <v>848.5619999999999</v>
      </c>
      <c r="G1984">
        <v>18</v>
      </c>
      <c r="L1984" t="s">
        <v>5870</v>
      </c>
      <c r="O1984" t="s">
        <v>5871</v>
      </c>
    </row>
    <row r="1985" spans="1:15" x14ac:dyDescent="0.25">
      <c r="A1985" t="s">
        <v>18</v>
      </c>
      <c r="B1985" t="s">
        <v>5870</v>
      </c>
      <c r="C1985" t="s">
        <v>5872</v>
      </c>
      <c r="D1985" t="s">
        <v>20</v>
      </c>
      <c r="E1985" t="s">
        <v>11</v>
      </c>
      <c r="F1985">
        <v>3720.6179999999995</v>
      </c>
      <c r="G1985">
        <v>18</v>
      </c>
      <c r="L1985" t="s">
        <v>5873</v>
      </c>
      <c r="O1985" t="s">
        <v>5874</v>
      </c>
    </row>
    <row r="1986" spans="1:15" x14ac:dyDescent="0.25">
      <c r="A1986" t="s">
        <v>18</v>
      </c>
      <c r="B1986" t="s">
        <v>5873</v>
      </c>
      <c r="C1986" t="s">
        <v>5875</v>
      </c>
      <c r="D1986" t="s">
        <v>20</v>
      </c>
      <c r="E1986" t="s">
        <v>11</v>
      </c>
      <c r="F1986">
        <v>3328.9739999999997</v>
      </c>
      <c r="G1986">
        <v>18</v>
      </c>
      <c r="L1986" t="s">
        <v>5876</v>
      </c>
      <c r="O1986" t="s">
        <v>5877</v>
      </c>
    </row>
    <row r="1987" spans="1:15" x14ac:dyDescent="0.25">
      <c r="A1987" t="s">
        <v>18</v>
      </c>
      <c r="B1987" t="s">
        <v>5876</v>
      </c>
      <c r="C1987" t="s">
        <v>5878</v>
      </c>
      <c r="D1987" t="s">
        <v>20</v>
      </c>
      <c r="E1987" t="s">
        <v>11</v>
      </c>
      <c r="F1987">
        <v>9399.455999999998</v>
      </c>
      <c r="G1987">
        <v>18</v>
      </c>
      <c r="L1987" t="s">
        <v>5879</v>
      </c>
      <c r="O1987" t="s">
        <v>5880</v>
      </c>
    </row>
    <row r="1988" spans="1:15" x14ac:dyDescent="0.25">
      <c r="A1988" t="s">
        <v>18</v>
      </c>
      <c r="B1988" t="s">
        <v>5879</v>
      </c>
      <c r="C1988" t="s">
        <v>5881</v>
      </c>
      <c r="D1988" t="s">
        <v>20</v>
      </c>
      <c r="E1988" t="s">
        <v>11</v>
      </c>
      <c r="F1988">
        <v>2219.316</v>
      </c>
      <c r="G1988">
        <v>18</v>
      </c>
      <c r="L1988" t="s">
        <v>5882</v>
      </c>
      <c r="O1988" t="s">
        <v>5883</v>
      </c>
    </row>
    <row r="1989" spans="1:15" x14ac:dyDescent="0.25">
      <c r="A1989" t="s">
        <v>18</v>
      </c>
      <c r="B1989" t="s">
        <v>5882</v>
      </c>
      <c r="C1989" t="s">
        <v>5884</v>
      </c>
      <c r="D1989" t="s">
        <v>20</v>
      </c>
      <c r="E1989" t="s">
        <v>11</v>
      </c>
      <c r="F1989">
        <v>2219.316</v>
      </c>
      <c r="G1989">
        <v>18</v>
      </c>
      <c r="L1989" t="s">
        <v>5885</v>
      </c>
      <c r="O1989" t="s">
        <v>5886</v>
      </c>
    </row>
    <row r="1990" spans="1:15" x14ac:dyDescent="0.25">
      <c r="A1990" t="s">
        <v>18</v>
      </c>
      <c r="B1990" t="s">
        <v>5885</v>
      </c>
      <c r="C1990" t="s">
        <v>5887</v>
      </c>
      <c r="D1990" t="s">
        <v>20</v>
      </c>
      <c r="E1990" t="s">
        <v>11</v>
      </c>
      <c r="F1990">
        <v>2676.234</v>
      </c>
      <c r="G1990">
        <v>18</v>
      </c>
      <c r="L1990" t="s">
        <v>5888</v>
      </c>
      <c r="O1990" t="s">
        <v>5889</v>
      </c>
    </row>
    <row r="1991" spans="1:15" x14ac:dyDescent="0.25">
      <c r="A1991" t="s">
        <v>18</v>
      </c>
      <c r="B1991" t="s">
        <v>5888</v>
      </c>
      <c r="C1991" t="s">
        <v>5890</v>
      </c>
      <c r="D1991" t="s">
        <v>20</v>
      </c>
      <c r="E1991" t="s">
        <v>11</v>
      </c>
      <c r="F1991">
        <v>2676.234</v>
      </c>
      <c r="G1991">
        <v>18</v>
      </c>
      <c r="L1991" t="s">
        <v>5891</v>
      </c>
      <c r="O1991" t="s">
        <v>5892</v>
      </c>
    </row>
    <row r="1992" spans="1:15" x14ac:dyDescent="0.25">
      <c r="A1992" t="s">
        <v>18</v>
      </c>
      <c r="B1992" t="s">
        <v>5891</v>
      </c>
      <c r="C1992" t="s">
        <v>5893</v>
      </c>
      <c r="D1992" t="s">
        <v>20</v>
      </c>
      <c r="E1992" t="s">
        <v>11</v>
      </c>
      <c r="F1992">
        <v>913.836</v>
      </c>
      <c r="G1992">
        <v>18</v>
      </c>
      <c r="L1992" t="s">
        <v>5894</v>
      </c>
      <c r="O1992" t="s">
        <v>5895</v>
      </c>
    </row>
    <row r="1993" spans="1:15" x14ac:dyDescent="0.25">
      <c r="A1993" t="s">
        <v>18</v>
      </c>
      <c r="B1993" t="s">
        <v>5894</v>
      </c>
      <c r="C1993" t="s">
        <v>5896</v>
      </c>
      <c r="D1993" t="s">
        <v>20</v>
      </c>
      <c r="E1993" t="s">
        <v>11</v>
      </c>
      <c r="F1993">
        <v>522.192</v>
      </c>
      <c r="G1993">
        <v>18</v>
      </c>
      <c r="L1993" t="s">
        <v>5897</v>
      </c>
      <c r="O1993" t="s">
        <v>5898</v>
      </c>
    </row>
    <row r="1994" spans="1:15" x14ac:dyDescent="0.25">
      <c r="A1994" t="s">
        <v>18</v>
      </c>
      <c r="B1994" t="s">
        <v>5897</v>
      </c>
      <c r="C1994" t="s">
        <v>5899</v>
      </c>
      <c r="D1994" t="s">
        <v>20</v>
      </c>
      <c r="E1994" t="s">
        <v>11</v>
      </c>
      <c r="F1994">
        <v>10639.661999999998</v>
      </c>
      <c r="G1994">
        <v>18</v>
      </c>
      <c r="L1994" t="s">
        <v>5900</v>
      </c>
      <c r="O1994" t="s">
        <v>5901</v>
      </c>
    </row>
    <row r="1995" spans="1:15" x14ac:dyDescent="0.25">
      <c r="A1995" t="s">
        <v>18</v>
      </c>
      <c r="B1995" t="s">
        <v>5900</v>
      </c>
      <c r="C1995" t="s">
        <v>5902</v>
      </c>
      <c r="D1995" t="s">
        <v>20</v>
      </c>
      <c r="E1995" t="s">
        <v>11</v>
      </c>
      <c r="F1995">
        <v>522.192</v>
      </c>
      <c r="G1995">
        <v>18</v>
      </c>
      <c r="L1995" t="s">
        <v>5903</v>
      </c>
      <c r="O1995" t="s">
        <v>5904</v>
      </c>
    </row>
    <row r="1996" spans="1:15" x14ac:dyDescent="0.25">
      <c r="A1996" t="s">
        <v>18</v>
      </c>
      <c r="B1996" t="s">
        <v>5903</v>
      </c>
      <c r="C1996" t="s">
        <v>5905</v>
      </c>
      <c r="D1996" t="s">
        <v>20</v>
      </c>
      <c r="E1996" t="s">
        <v>11</v>
      </c>
      <c r="F1996">
        <v>979.11</v>
      </c>
      <c r="G1996">
        <v>18</v>
      </c>
      <c r="L1996" t="s">
        <v>5906</v>
      </c>
      <c r="O1996" t="s">
        <v>5907</v>
      </c>
    </row>
    <row r="1997" spans="1:15" x14ac:dyDescent="0.25">
      <c r="A1997" t="s">
        <v>18</v>
      </c>
      <c r="B1997" t="s">
        <v>5906</v>
      </c>
      <c r="C1997" t="s">
        <v>5908</v>
      </c>
      <c r="D1997" t="s">
        <v>20</v>
      </c>
      <c r="E1997" t="s">
        <v>11</v>
      </c>
      <c r="F1997">
        <v>12989.526</v>
      </c>
      <c r="G1997">
        <v>18</v>
      </c>
      <c r="L1997" t="s">
        <v>5909</v>
      </c>
      <c r="O1997" t="s">
        <v>5910</v>
      </c>
    </row>
    <row r="1998" spans="1:15" x14ac:dyDescent="0.25">
      <c r="A1998" t="s">
        <v>18</v>
      </c>
      <c r="B1998" t="s">
        <v>5909</v>
      </c>
      <c r="C1998" t="s">
        <v>5911</v>
      </c>
      <c r="D1998" t="s">
        <v>20</v>
      </c>
      <c r="E1998" t="s">
        <v>11</v>
      </c>
      <c r="F1998">
        <v>8289.797999999999</v>
      </c>
      <c r="G1998">
        <v>18</v>
      </c>
      <c r="L1998" t="s">
        <v>5912</v>
      </c>
      <c r="O1998" t="s">
        <v>5913</v>
      </c>
    </row>
    <row r="1999" spans="1:15" x14ac:dyDescent="0.25">
      <c r="A1999" t="s">
        <v>18</v>
      </c>
      <c r="B1999" t="s">
        <v>5912</v>
      </c>
      <c r="C1999" t="s">
        <v>5914</v>
      </c>
      <c r="D1999" t="s">
        <v>20</v>
      </c>
      <c r="E1999" t="s">
        <v>11</v>
      </c>
      <c r="F1999">
        <v>7571.784</v>
      </c>
      <c r="G1999">
        <v>18</v>
      </c>
      <c r="L1999" t="s">
        <v>5915</v>
      </c>
      <c r="O1999" t="s">
        <v>5916</v>
      </c>
    </row>
    <row r="2000" spans="1:15" x14ac:dyDescent="0.25">
      <c r="A2000" t="s">
        <v>18</v>
      </c>
      <c r="B2000" t="s">
        <v>5915</v>
      </c>
      <c r="C2000" t="s">
        <v>5917</v>
      </c>
      <c r="D2000" t="s">
        <v>20</v>
      </c>
      <c r="E2000" t="s">
        <v>11</v>
      </c>
      <c r="F2000">
        <v>6919.043999999999</v>
      </c>
      <c r="G2000">
        <v>18</v>
      </c>
      <c r="L2000" t="s">
        <v>5918</v>
      </c>
      <c r="O2000" t="s">
        <v>5919</v>
      </c>
    </row>
    <row r="2001" spans="1:15" x14ac:dyDescent="0.25">
      <c r="A2001" t="s">
        <v>18</v>
      </c>
      <c r="B2001" t="s">
        <v>5918</v>
      </c>
      <c r="C2001" t="s">
        <v>5920</v>
      </c>
      <c r="D2001" t="s">
        <v>20</v>
      </c>
      <c r="E2001" t="s">
        <v>11</v>
      </c>
      <c r="F2001">
        <v>4765.0019999999995</v>
      </c>
      <c r="G2001">
        <v>18</v>
      </c>
      <c r="L2001" t="s">
        <v>5921</v>
      </c>
      <c r="O2001" t="s">
        <v>5922</v>
      </c>
    </row>
    <row r="2002" spans="1:15" x14ac:dyDescent="0.25">
      <c r="A2002" t="s">
        <v>18</v>
      </c>
      <c r="B2002" t="s">
        <v>5921</v>
      </c>
      <c r="C2002" t="s">
        <v>5923</v>
      </c>
      <c r="D2002" t="s">
        <v>20</v>
      </c>
      <c r="E2002" t="s">
        <v>11</v>
      </c>
      <c r="F2002">
        <v>4112.262</v>
      </c>
      <c r="G2002">
        <v>18</v>
      </c>
      <c r="L2002" t="s">
        <v>5924</v>
      </c>
      <c r="O2002" t="s">
        <v>5925</v>
      </c>
    </row>
    <row r="2003" spans="1:15" x14ac:dyDescent="0.25">
      <c r="A2003" t="s">
        <v>18</v>
      </c>
      <c r="B2003" t="s">
        <v>5924</v>
      </c>
      <c r="C2003" t="s">
        <v>5926</v>
      </c>
      <c r="D2003" t="s">
        <v>20</v>
      </c>
      <c r="E2003" t="s">
        <v>11</v>
      </c>
      <c r="F2003">
        <v>3133.1519999999996</v>
      </c>
      <c r="G2003">
        <v>18</v>
      </c>
      <c r="L2003" t="s">
        <v>5927</v>
      </c>
      <c r="O2003" t="s">
        <v>5928</v>
      </c>
    </row>
    <row r="2004" spans="1:15" x14ac:dyDescent="0.25">
      <c r="A2004" t="s">
        <v>18</v>
      </c>
      <c r="B2004" t="s">
        <v>5927</v>
      </c>
      <c r="C2004" t="s">
        <v>5929</v>
      </c>
      <c r="D2004" t="s">
        <v>20</v>
      </c>
      <c r="E2004" t="s">
        <v>11</v>
      </c>
      <c r="F2004">
        <v>5613.563999999999</v>
      </c>
      <c r="G2004">
        <v>18</v>
      </c>
      <c r="L2004" t="s">
        <v>5930</v>
      </c>
      <c r="O2004" t="s">
        <v>5931</v>
      </c>
    </row>
    <row r="2005" spans="1:15" x14ac:dyDescent="0.25">
      <c r="A2005" t="s">
        <v>18</v>
      </c>
      <c r="B2005" t="s">
        <v>5930</v>
      </c>
      <c r="C2005" t="s">
        <v>5932</v>
      </c>
      <c r="D2005" t="s">
        <v>20</v>
      </c>
      <c r="E2005" t="s">
        <v>11</v>
      </c>
      <c r="F2005">
        <v>5613.563999999999</v>
      </c>
      <c r="G2005">
        <v>18</v>
      </c>
      <c r="L2005" t="s">
        <v>5933</v>
      </c>
      <c r="O2005" t="s">
        <v>5934</v>
      </c>
    </row>
    <row r="2006" spans="1:15" x14ac:dyDescent="0.25">
      <c r="A2006" t="s">
        <v>18</v>
      </c>
      <c r="B2006" t="s">
        <v>5933</v>
      </c>
      <c r="C2006" t="s">
        <v>5935</v>
      </c>
      <c r="D2006" t="s">
        <v>20</v>
      </c>
      <c r="E2006" t="s">
        <v>11</v>
      </c>
      <c r="F2006">
        <v>6919.043999999999</v>
      </c>
      <c r="G2006">
        <v>18</v>
      </c>
      <c r="L2006" t="s">
        <v>5936</v>
      </c>
      <c r="O2006" t="s">
        <v>5937</v>
      </c>
    </row>
    <row r="2007" spans="1:15" x14ac:dyDescent="0.25">
      <c r="A2007" t="s">
        <v>18</v>
      </c>
      <c r="B2007" t="s">
        <v>5936</v>
      </c>
      <c r="C2007" t="s">
        <v>5938</v>
      </c>
      <c r="D2007" t="s">
        <v>20</v>
      </c>
      <c r="E2007" t="s">
        <v>11</v>
      </c>
      <c r="F2007">
        <v>10313.292</v>
      </c>
      <c r="G2007">
        <v>18</v>
      </c>
      <c r="L2007" t="s">
        <v>5939</v>
      </c>
      <c r="O2007" t="s">
        <v>5940</v>
      </c>
    </row>
    <row r="2008" spans="1:15" x14ac:dyDescent="0.25">
      <c r="A2008" t="s">
        <v>18</v>
      </c>
      <c r="B2008" t="s">
        <v>5939</v>
      </c>
      <c r="C2008" t="s">
        <v>5941</v>
      </c>
      <c r="D2008" t="s">
        <v>20</v>
      </c>
      <c r="E2008" t="s">
        <v>11</v>
      </c>
      <c r="F2008">
        <v>11553.497999999998</v>
      </c>
      <c r="G2008">
        <v>18</v>
      </c>
      <c r="L2008" t="s">
        <v>5942</v>
      </c>
      <c r="O2008" t="s">
        <v>5943</v>
      </c>
    </row>
    <row r="2009" spans="1:15" x14ac:dyDescent="0.25">
      <c r="A2009" t="s">
        <v>18</v>
      </c>
      <c r="B2009" t="s">
        <v>5942</v>
      </c>
      <c r="C2009" t="s">
        <v>5944</v>
      </c>
      <c r="D2009" t="s">
        <v>20</v>
      </c>
      <c r="E2009" t="s">
        <v>11</v>
      </c>
      <c r="F2009">
        <v>9268.908</v>
      </c>
      <c r="G2009">
        <v>18</v>
      </c>
      <c r="L2009" t="s">
        <v>5945</v>
      </c>
      <c r="O2009" t="s">
        <v>5946</v>
      </c>
    </row>
    <row r="2010" spans="1:15" x14ac:dyDescent="0.25">
      <c r="A2010" t="s">
        <v>18</v>
      </c>
      <c r="B2010" t="s">
        <v>5945</v>
      </c>
      <c r="C2010" t="s">
        <v>5947</v>
      </c>
      <c r="D2010" t="s">
        <v>20</v>
      </c>
      <c r="E2010" t="s">
        <v>11</v>
      </c>
      <c r="F2010">
        <v>6462.126</v>
      </c>
      <c r="G2010">
        <v>18</v>
      </c>
      <c r="L2010" t="s">
        <v>5948</v>
      </c>
      <c r="O2010" t="s">
        <v>5949</v>
      </c>
    </row>
    <row r="2011" spans="1:15" x14ac:dyDescent="0.25">
      <c r="A2011" t="s">
        <v>18</v>
      </c>
      <c r="B2011" t="s">
        <v>5948</v>
      </c>
      <c r="C2011" t="s">
        <v>5950</v>
      </c>
      <c r="D2011" t="s">
        <v>20</v>
      </c>
      <c r="E2011" t="s">
        <v>11</v>
      </c>
      <c r="F2011">
        <v>1958.22</v>
      </c>
      <c r="G2011">
        <v>18</v>
      </c>
      <c r="L2011" t="s">
        <v>5951</v>
      </c>
      <c r="O2011" t="s">
        <v>5952</v>
      </c>
    </row>
    <row r="2012" spans="1:15" x14ac:dyDescent="0.25">
      <c r="A2012" t="s">
        <v>18</v>
      </c>
      <c r="B2012" t="s">
        <v>5951</v>
      </c>
      <c r="C2012" t="s">
        <v>5953</v>
      </c>
      <c r="D2012" t="s">
        <v>20</v>
      </c>
      <c r="E2012" t="s">
        <v>11</v>
      </c>
      <c r="F2012">
        <v>9986.921999999999</v>
      </c>
      <c r="G2012">
        <v>18</v>
      </c>
      <c r="L2012" t="s">
        <v>5954</v>
      </c>
      <c r="O2012" t="s">
        <v>5955</v>
      </c>
    </row>
    <row r="2013" spans="1:15" x14ac:dyDescent="0.25">
      <c r="A2013" t="s">
        <v>18</v>
      </c>
      <c r="B2013" t="s">
        <v>5954</v>
      </c>
      <c r="C2013" t="s">
        <v>5956</v>
      </c>
      <c r="D2013" t="s">
        <v>20</v>
      </c>
      <c r="E2013" t="s">
        <v>11</v>
      </c>
      <c r="F2013">
        <v>8093.976</v>
      </c>
      <c r="G2013">
        <v>18</v>
      </c>
      <c r="L2013" t="s">
        <v>5957</v>
      </c>
      <c r="O2013" t="s">
        <v>5958</v>
      </c>
    </row>
    <row r="2014" spans="1:15" x14ac:dyDescent="0.25">
      <c r="A2014" t="s">
        <v>18</v>
      </c>
      <c r="B2014" t="s">
        <v>5957</v>
      </c>
      <c r="C2014" t="s">
        <v>5959</v>
      </c>
      <c r="D2014" t="s">
        <v>20</v>
      </c>
      <c r="E2014" t="s">
        <v>11</v>
      </c>
      <c r="F2014">
        <v>1109.658</v>
      </c>
      <c r="G2014">
        <v>18</v>
      </c>
      <c r="L2014" t="s">
        <v>5960</v>
      </c>
      <c r="O2014" t="s">
        <v>5961</v>
      </c>
    </row>
    <row r="2015" spans="1:15" x14ac:dyDescent="0.25">
      <c r="A2015" t="s">
        <v>18</v>
      </c>
      <c r="B2015" t="s">
        <v>5960</v>
      </c>
      <c r="C2015" t="s">
        <v>5962</v>
      </c>
      <c r="D2015" t="s">
        <v>20</v>
      </c>
      <c r="E2015" t="s">
        <v>11</v>
      </c>
      <c r="F2015">
        <v>1436.028</v>
      </c>
      <c r="G2015">
        <v>18</v>
      </c>
      <c r="L2015" t="s">
        <v>5963</v>
      </c>
      <c r="O2015" t="s">
        <v>5964</v>
      </c>
    </row>
    <row r="2016" spans="1:15" x14ac:dyDescent="0.25">
      <c r="A2016" t="s">
        <v>18</v>
      </c>
      <c r="B2016" t="s">
        <v>5963</v>
      </c>
      <c r="C2016" t="s">
        <v>5965</v>
      </c>
      <c r="D2016" t="s">
        <v>20</v>
      </c>
      <c r="E2016" t="s">
        <v>11</v>
      </c>
      <c r="F2016">
        <v>652.74</v>
      </c>
      <c r="G2016">
        <v>18</v>
      </c>
      <c r="L2016" t="s">
        <v>5966</v>
      </c>
      <c r="O2016" t="s">
        <v>5967</v>
      </c>
    </row>
    <row r="2017" spans="1:15" x14ac:dyDescent="0.25">
      <c r="A2017" t="s">
        <v>18</v>
      </c>
      <c r="B2017" t="s">
        <v>5966</v>
      </c>
      <c r="C2017" t="s">
        <v>5968</v>
      </c>
      <c r="D2017" t="s">
        <v>20</v>
      </c>
      <c r="E2017" t="s">
        <v>11</v>
      </c>
      <c r="F2017">
        <v>718.014</v>
      </c>
      <c r="G2017">
        <v>18</v>
      </c>
      <c r="L2017" t="s">
        <v>5969</v>
      </c>
      <c r="O2017" t="s">
        <v>5970</v>
      </c>
    </row>
    <row r="2018" spans="1:15" x14ac:dyDescent="0.25">
      <c r="A2018" t="s">
        <v>18</v>
      </c>
      <c r="B2018" t="s">
        <v>5969</v>
      </c>
      <c r="C2018" t="s">
        <v>5971</v>
      </c>
      <c r="D2018" t="s">
        <v>20</v>
      </c>
      <c r="E2018" t="s">
        <v>11</v>
      </c>
      <c r="F2018">
        <v>1174.9319999999998</v>
      </c>
      <c r="G2018">
        <v>18</v>
      </c>
      <c r="L2018" t="s">
        <v>5972</v>
      </c>
      <c r="O2018" t="s">
        <v>5973</v>
      </c>
    </row>
    <row r="2019" spans="1:15" x14ac:dyDescent="0.25">
      <c r="A2019" t="s">
        <v>18</v>
      </c>
      <c r="B2019" t="s">
        <v>5972</v>
      </c>
      <c r="C2019" t="s">
        <v>5974</v>
      </c>
      <c r="D2019" t="s">
        <v>20</v>
      </c>
      <c r="E2019" t="s">
        <v>11</v>
      </c>
      <c r="F2019">
        <v>1566.5759999999998</v>
      </c>
      <c r="G2019">
        <v>18</v>
      </c>
      <c r="L2019" t="s">
        <v>5975</v>
      </c>
      <c r="O2019" t="s">
        <v>5976</v>
      </c>
    </row>
    <row r="2020" spans="1:15" x14ac:dyDescent="0.25">
      <c r="A2020" t="s">
        <v>18</v>
      </c>
      <c r="B2020" t="s">
        <v>5975</v>
      </c>
      <c r="C2020" t="s">
        <v>5977</v>
      </c>
      <c r="D2020" t="s">
        <v>20</v>
      </c>
      <c r="E2020" t="s">
        <v>11</v>
      </c>
      <c r="F2020">
        <v>5874.660000000001</v>
      </c>
      <c r="G2020">
        <v>18</v>
      </c>
      <c r="L2020" t="s">
        <v>5978</v>
      </c>
      <c r="O2020" t="s">
        <v>5979</v>
      </c>
    </row>
    <row r="2021" spans="1:15" x14ac:dyDescent="0.25">
      <c r="A2021" t="s">
        <v>18</v>
      </c>
      <c r="B2021" t="s">
        <v>5978</v>
      </c>
      <c r="C2021" t="s">
        <v>5980</v>
      </c>
      <c r="D2021" t="s">
        <v>20</v>
      </c>
      <c r="E2021" t="s">
        <v>11</v>
      </c>
      <c r="F2021">
        <v>130.548</v>
      </c>
      <c r="G2021">
        <v>18</v>
      </c>
      <c r="L2021" t="s">
        <v>5981</v>
      </c>
      <c r="O2021" t="s">
        <v>5982</v>
      </c>
    </row>
    <row r="2022" spans="1:15" x14ac:dyDescent="0.25">
      <c r="A2022" t="s">
        <v>18</v>
      </c>
      <c r="B2022" t="s">
        <v>5981</v>
      </c>
      <c r="C2022" t="s">
        <v>5983</v>
      </c>
      <c r="D2022" t="s">
        <v>20</v>
      </c>
      <c r="E2022" t="s">
        <v>11</v>
      </c>
      <c r="F2022">
        <v>456.918</v>
      </c>
      <c r="G2022">
        <v>18</v>
      </c>
      <c r="L2022" t="s">
        <v>5984</v>
      </c>
      <c r="O2022" t="s">
        <v>5985</v>
      </c>
    </row>
    <row r="2023" spans="1:15" x14ac:dyDescent="0.25">
      <c r="A2023" t="s">
        <v>18</v>
      </c>
      <c r="B2023" t="s">
        <v>5984</v>
      </c>
      <c r="C2023" t="s">
        <v>5986</v>
      </c>
      <c r="D2023" t="s">
        <v>20</v>
      </c>
      <c r="E2023" t="s">
        <v>11</v>
      </c>
      <c r="F2023">
        <v>783.2879999999999</v>
      </c>
      <c r="G2023">
        <v>18</v>
      </c>
      <c r="L2023" t="s">
        <v>5987</v>
      </c>
      <c r="O2023" t="s">
        <v>5988</v>
      </c>
    </row>
    <row r="2024" spans="1:15" x14ac:dyDescent="0.25">
      <c r="A2024" t="s">
        <v>18</v>
      </c>
      <c r="B2024" t="s">
        <v>5987</v>
      </c>
      <c r="C2024" t="s">
        <v>5989</v>
      </c>
      <c r="D2024" t="s">
        <v>20</v>
      </c>
      <c r="E2024" t="s">
        <v>11</v>
      </c>
      <c r="F2024">
        <v>3524.7960000000003</v>
      </c>
      <c r="G2024">
        <v>18</v>
      </c>
      <c r="L2024" t="s">
        <v>5990</v>
      </c>
      <c r="O2024" t="s">
        <v>5991</v>
      </c>
    </row>
    <row r="2025" spans="1:15" x14ac:dyDescent="0.25">
      <c r="A2025" t="s">
        <v>18</v>
      </c>
      <c r="B2025" t="s">
        <v>5990</v>
      </c>
      <c r="C2025" t="s">
        <v>5992</v>
      </c>
      <c r="D2025" t="s">
        <v>20</v>
      </c>
      <c r="E2025" t="s">
        <v>11</v>
      </c>
      <c r="F2025">
        <v>456.918</v>
      </c>
      <c r="G2025">
        <v>18</v>
      </c>
      <c r="L2025" t="s">
        <v>5993</v>
      </c>
      <c r="O2025" t="s">
        <v>5994</v>
      </c>
    </row>
    <row r="2026" spans="1:15" x14ac:dyDescent="0.25">
      <c r="A2026" t="s">
        <v>18</v>
      </c>
      <c r="B2026" t="s">
        <v>5993</v>
      </c>
      <c r="C2026" t="s">
        <v>5995</v>
      </c>
      <c r="D2026" t="s">
        <v>20</v>
      </c>
      <c r="E2026" t="s">
        <v>11</v>
      </c>
      <c r="F2026">
        <v>652.74</v>
      </c>
      <c r="G2026">
        <v>18</v>
      </c>
      <c r="L2026" t="s">
        <v>5996</v>
      </c>
      <c r="O2026" t="s">
        <v>5997</v>
      </c>
    </row>
    <row r="2027" spans="1:15" x14ac:dyDescent="0.25">
      <c r="A2027" t="s">
        <v>18</v>
      </c>
      <c r="B2027" t="s">
        <v>5996</v>
      </c>
      <c r="C2027" t="s">
        <v>5998</v>
      </c>
      <c r="D2027" t="s">
        <v>20</v>
      </c>
      <c r="E2027" t="s">
        <v>11</v>
      </c>
      <c r="F2027">
        <v>10182.743999999999</v>
      </c>
      <c r="G2027">
        <v>18</v>
      </c>
      <c r="L2027" t="s">
        <v>5999</v>
      </c>
      <c r="O2027" t="s">
        <v>6000</v>
      </c>
    </row>
    <row r="2028" spans="1:15" x14ac:dyDescent="0.25">
      <c r="A2028" t="s">
        <v>18</v>
      </c>
      <c r="B2028" t="s">
        <v>5999</v>
      </c>
      <c r="C2028" t="s">
        <v>6001</v>
      </c>
      <c r="D2028" t="s">
        <v>20</v>
      </c>
      <c r="E2028" t="s">
        <v>11</v>
      </c>
      <c r="F2028">
        <v>522.192</v>
      </c>
      <c r="G2028">
        <v>18</v>
      </c>
      <c r="L2028" t="s">
        <v>6002</v>
      </c>
      <c r="O2028" t="s">
        <v>6003</v>
      </c>
    </row>
    <row r="2029" spans="1:15" x14ac:dyDescent="0.25">
      <c r="A2029" t="s">
        <v>18</v>
      </c>
      <c r="B2029" t="s">
        <v>6002</v>
      </c>
      <c r="C2029" t="s">
        <v>6004</v>
      </c>
      <c r="D2029" t="s">
        <v>20</v>
      </c>
      <c r="E2029" t="s">
        <v>11</v>
      </c>
      <c r="F2029">
        <v>456.918</v>
      </c>
      <c r="G2029">
        <v>18</v>
      </c>
      <c r="L2029" t="s">
        <v>6005</v>
      </c>
      <c r="O2029" t="s">
        <v>6006</v>
      </c>
    </row>
    <row r="2030" spans="1:15" x14ac:dyDescent="0.25">
      <c r="A2030" t="s">
        <v>18</v>
      </c>
      <c r="B2030" t="s">
        <v>6005</v>
      </c>
      <c r="C2030" t="s">
        <v>6007</v>
      </c>
      <c r="D2030" t="s">
        <v>20</v>
      </c>
      <c r="E2030" t="s">
        <v>11</v>
      </c>
      <c r="F2030">
        <v>848.5619999999999</v>
      </c>
      <c r="G2030">
        <v>18</v>
      </c>
      <c r="L2030" t="s">
        <v>6008</v>
      </c>
      <c r="O2030" t="s">
        <v>6009</v>
      </c>
    </row>
    <row r="2031" spans="1:15" x14ac:dyDescent="0.25">
      <c r="A2031" t="s">
        <v>18</v>
      </c>
      <c r="B2031" t="s">
        <v>6008</v>
      </c>
      <c r="C2031" t="s">
        <v>6010</v>
      </c>
      <c r="D2031" t="s">
        <v>20</v>
      </c>
      <c r="E2031" t="s">
        <v>11</v>
      </c>
      <c r="F2031">
        <v>848.5619999999999</v>
      </c>
      <c r="G2031">
        <v>18</v>
      </c>
      <c r="L2031" t="s">
        <v>6011</v>
      </c>
      <c r="O2031" t="s">
        <v>6012</v>
      </c>
    </row>
    <row r="2032" spans="1:15" x14ac:dyDescent="0.25">
      <c r="A2032" t="s">
        <v>18</v>
      </c>
      <c r="B2032" t="s">
        <v>6011</v>
      </c>
      <c r="C2032" t="s">
        <v>6013</v>
      </c>
      <c r="D2032" t="s">
        <v>20</v>
      </c>
      <c r="E2032" t="s">
        <v>11</v>
      </c>
      <c r="F2032">
        <v>1436.028</v>
      </c>
      <c r="G2032">
        <v>18</v>
      </c>
      <c r="L2032" t="s">
        <v>6014</v>
      </c>
      <c r="O2032" t="s">
        <v>6015</v>
      </c>
    </row>
    <row r="2033" spans="1:15" x14ac:dyDescent="0.25">
      <c r="A2033" t="s">
        <v>18</v>
      </c>
      <c r="B2033" t="s">
        <v>6014</v>
      </c>
      <c r="C2033" t="s">
        <v>6016</v>
      </c>
      <c r="D2033" t="s">
        <v>20</v>
      </c>
      <c r="E2033" t="s">
        <v>11</v>
      </c>
      <c r="F2033">
        <v>2676.234</v>
      </c>
      <c r="G2033">
        <v>18</v>
      </c>
      <c r="L2033" t="s">
        <v>6017</v>
      </c>
      <c r="O2033" t="s">
        <v>6018</v>
      </c>
    </row>
    <row r="2034" spans="1:15" x14ac:dyDescent="0.25">
      <c r="A2034" t="s">
        <v>18</v>
      </c>
      <c r="B2034" t="s">
        <v>6017</v>
      </c>
      <c r="C2034" t="s">
        <v>6019</v>
      </c>
      <c r="D2034" t="s">
        <v>20</v>
      </c>
      <c r="E2034" t="s">
        <v>11</v>
      </c>
      <c r="F2034">
        <v>2676.234</v>
      </c>
      <c r="G2034">
        <v>18</v>
      </c>
      <c r="L2034" t="s">
        <v>6020</v>
      </c>
      <c r="O2034" t="s">
        <v>6021</v>
      </c>
    </row>
    <row r="2035" spans="1:15" x14ac:dyDescent="0.25">
      <c r="A2035" t="s">
        <v>18</v>
      </c>
      <c r="B2035" t="s">
        <v>6020</v>
      </c>
      <c r="C2035" t="s">
        <v>6022</v>
      </c>
      <c r="D2035" t="s">
        <v>20</v>
      </c>
      <c r="E2035" t="s">
        <v>11</v>
      </c>
      <c r="F2035">
        <v>3394.2479999999996</v>
      </c>
      <c r="G2035">
        <v>18</v>
      </c>
      <c r="L2035" t="s">
        <v>6023</v>
      </c>
      <c r="O2035" t="s">
        <v>6024</v>
      </c>
    </row>
    <row r="2036" spans="1:15" x14ac:dyDescent="0.25">
      <c r="A2036" t="s">
        <v>18</v>
      </c>
      <c r="B2036" t="s">
        <v>6023</v>
      </c>
      <c r="C2036" t="s">
        <v>6025</v>
      </c>
      <c r="D2036" t="s">
        <v>20</v>
      </c>
      <c r="E2036" t="s">
        <v>11</v>
      </c>
      <c r="F2036">
        <v>3394.2479999999996</v>
      </c>
      <c r="G2036">
        <v>18</v>
      </c>
      <c r="L2036" t="s">
        <v>6026</v>
      </c>
      <c r="O2036" t="s">
        <v>6027</v>
      </c>
    </row>
    <row r="2037" spans="1:15" x14ac:dyDescent="0.25">
      <c r="A2037" t="s">
        <v>18</v>
      </c>
      <c r="B2037" t="s">
        <v>6026</v>
      </c>
      <c r="C2037" t="s">
        <v>6028</v>
      </c>
      <c r="D2037" t="s">
        <v>20</v>
      </c>
      <c r="E2037" t="s">
        <v>11</v>
      </c>
      <c r="F2037">
        <v>130.548</v>
      </c>
      <c r="G2037">
        <v>18</v>
      </c>
      <c r="L2037" t="s">
        <v>6029</v>
      </c>
      <c r="O2037" t="s">
        <v>6030</v>
      </c>
    </row>
    <row r="2038" spans="1:15" x14ac:dyDescent="0.25">
      <c r="A2038" t="s">
        <v>18</v>
      </c>
      <c r="B2038" t="s">
        <v>6029</v>
      </c>
      <c r="C2038" t="s">
        <v>6031</v>
      </c>
      <c r="D2038" t="s">
        <v>20</v>
      </c>
      <c r="E2038" t="s">
        <v>11</v>
      </c>
      <c r="F2038">
        <v>4438.632</v>
      </c>
      <c r="G2038">
        <v>18</v>
      </c>
      <c r="L2038" t="s">
        <v>6032</v>
      </c>
      <c r="O2038" t="s">
        <v>6033</v>
      </c>
    </row>
    <row r="2039" spans="1:15" x14ac:dyDescent="0.25">
      <c r="A2039" t="s">
        <v>18</v>
      </c>
      <c r="B2039" t="s">
        <v>6032</v>
      </c>
      <c r="C2039" t="s">
        <v>6034</v>
      </c>
      <c r="D2039" t="s">
        <v>20</v>
      </c>
      <c r="E2039" t="s">
        <v>11</v>
      </c>
      <c r="F2039">
        <v>3916.44</v>
      </c>
      <c r="G2039">
        <v>18</v>
      </c>
      <c r="L2039" t="s">
        <v>6035</v>
      </c>
      <c r="O2039" t="s">
        <v>6036</v>
      </c>
    </row>
    <row r="2040" spans="1:15" x14ac:dyDescent="0.25">
      <c r="A2040" t="s">
        <v>18</v>
      </c>
      <c r="B2040" t="s">
        <v>6035</v>
      </c>
      <c r="C2040" t="s">
        <v>6037</v>
      </c>
      <c r="D2040" t="s">
        <v>20</v>
      </c>
      <c r="E2040" t="s">
        <v>11</v>
      </c>
      <c r="F2040">
        <v>3916.44</v>
      </c>
      <c r="G2040">
        <v>18</v>
      </c>
      <c r="L2040" t="s">
        <v>6038</v>
      </c>
      <c r="O2040" t="s">
        <v>6039</v>
      </c>
    </row>
    <row r="2041" spans="1:15" x14ac:dyDescent="0.25">
      <c r="A2041" t="s">
        <v>18</v>
      </c>
      <c r="B2041" t="s">
        <v>6038</v>
      </c>
      <c r="C2041" t="s">
        <v>6040</v>
      </c>
      <c r="D2041" t="s">
        <v>20</v>
      </c>
      <c r="E2041" t="s">
        <v>11</v>
      </c>
      <c r="F2041">
        <v>5613.563999999999</v>
      </c>
      <c r="G2041">
        <v>18</v>
      </c>
      <c r="L2041" t="s">
        <v>6041</v>
      </c>
      <c r="O2041" t="s">
        <v>6042</v>
      </c>
    </row>
    <row r="2042" spans="1:15" x14ac:dyDescent="0.25">
      <c r="A2042" t="s">
        <v>18</v>
      </c>
      <c r="B2042" t="s">
        <v>6041</v>
      </c>
      <c r="C2042" t="s">
        <v>6043</v>
      </c>
      <c r="D2042" t="s">
        <v>20</v>
      </c>
      <c r="E2042" t="s">
        <v>11</v>
      </c>
      <c r="F2042">
        <v>195.82199999999997</v>
      </c>
      <c r="G2042">
        <v>18</v>
      </c>
      <c r="L2042" t="s">
        <v>6044</v>
      </c>
      <c r="O2042" t="s">
        <v>6045</v>
      </c>
    </row>
    <row r="2043" spans="1:15" x14ac:dyDescent="0.25">
      <c r="A2043" t="s">
        <v>18</v>
      </c>
      <c r="B2043" t="s">
        <v>6044</v>
      </c>
      <c r="C2043" t="s">
        <v>6046</v>
      </c>
      <c r="D2043" t="s">
        <v>20</v>
      </c>
      <c r="E2043" t="s">
        <v>11</v>
      </c>
      <c r="F2043">
        <v>195.82199999999997</v>
      </c>
      <c r="G2043">
        <v>18</v>
      </c>
      <c r="L2043" t="s">
        <v>6047</v>
      </c>
      <c r="O2043" t="s">
        <v>6048</v>
      </c>
    </row>
    <row r="2044" spans="1:15" x14ac:dyDescent="0.25">
      <c r="A2044" t="s">
        <v>18</v>
      </c>
      <c r="B2044" t="s">
        <v>6047</v>
      </c>
      <c r="C2044" t="s">
        <v>6049</v>
      </c>
      <c r="D2044" t="s">
        <v>20</v>
      </c>
      <c r="E2044" t="s">
        <v>11</v>
      </c>
      <c r="F2044">
        <v>195.82199999999997</v>
      </c>
      <c r="G2044">
        <v>18</v>
      </c>
      <c r="L2044" t="s">
        <v>6050</v>
      </c>
      <c r="O2044" t="s">
        <v>6051</v>
      </c>
    </row>
    <row r="2045" spans="1:15" x14ac:dyDescent="0.25">
      <c r="A2045" t="s">
        <v>18</v>
      </c>
      <c r="B2045" t="s">
        <v>6050</v>
      </c>
      <c r="C2045" t="s">
        <v>6052</v>
      </c>
      <c r="D2045" t="s">
        <v>20</v>
      </c>
      <c r="E2045" t="s">
        <v>11</v>
      </c>
      <c r="F2045">
        <v>195.82199999999997</v>
      </c>
      <c r="G2045">
        <v>18</v>
      </c>
      <c r="L2045" t="s">
        <v>6053</v>
      </c>
      <c r="O2045" t="s">
        <v>6054</v>
      </c>
    </row>
    <row r="2046" spans="1:15" x14ac:dyDescent="0.25">
      <c r="A2046" t="s">
        <v>18</v>
      </c>
      <c r="B2046" t="s">
        <v>6053</v>
      </c>
      <c r="C2046" t="s">
        <v>6055</v>
      </c>
      <c r="D2046" t="s">
        <v>20</v>
      </c>
      <c r="E2046" t="s">
        <v>11</v>
      </c>
      <c r="F2046">
        <v>326.37</v>
      </c>
      <c r="G2046">
        <v>18</v>
      </c>
      <c r="L2046" t="s">
        <v>6056</v>
      </c>
      <c r="O2046" t="s">
        <v>6057</v>
      </c>
    </row>
    <row r="2047" spans="1:15" x14ac:dyDescent="0.25">
      <c r="A2047" t="s">
        <v>18</v>
      </c>
      <c r="B2047" t="s">
        <v>6056</v>
      </c>
      <c r="C2047" t="s">
        <v>6058</v>
      </c>
      <c r="D2047" t="s">
        <v>20</v>
      </c>
      <c r="E2047" t="s">
        <v>11</v>
      </c>
      <c r="F2047">
        <v>1174.9319999999998</v>
      </c>
      <c r="G2047">
        <v>18</v>
      </c>
      <c r="L2047" t="s">
        <v>6059</v>
      </c>
      <c r="O2047" t="s">
        <v>6060</v>
      </c>
    </row>
    <row r="2048" spans="1:15" x14ac:dyDescent="0.25">
      <c r="A2048" t="s">
        <v>18</v>
      </c>
      <c r="B2048" t="s">
        <v>6059</v>
      </c>
      <c r="C2048" t="s">
        <v>6061</v>
      </c>
      <c r="D2048" t="s">
        <v>20</v>
      </c>
      <c r="E2048" t="s">
        <v>11</v>
      </c>
      <c r="F2048">
        <v>848.5619999999999</v>
      </c>
      <c r="G2048">
        <v>18</v>
      </c>
      <c r="L2048" t="s">
        <v>6062</v>
      </c>
      <c r="O2048" t="s">
        <v>6063</v>
      </c>
    </row>
    <row r="2049" spans="1:15" x14ac:dyDescent="0.25">
      <c r="A2049" t="s">
        <v>18</v>
      </c>
      <c r="B2049" t="s">
        <v>6062</v>
      </c>
      <c r="C2049" t="s">
        <v>6064</v>
      </c>
      <c r="D2049" t="s">
        <v>20</v>
      </c>
      <c r="E2049" t="s">
        <v>11</v>
      </c>
      <c r="F2049">
        <v>195.82199999999997</v>
      </c>
      <c r="G2049">
        <v>18</v>
      </c>
      <c r="L2049" t="s">
        <v>6065</v>
      </c>
      <c r="O2049" t="s">
        <v>6066</v>
      </c>
    </row>
    <row r="2050" spans="1:15" x14ac:dyDescent="0.25">
      <c r="A2050" t="s">
        <v>18</v>
      </c>
      <c r="B2050" t="s">
        <v>6065</v>
      </c>
      <c r="C2050" t="s">
        <v>6067</v>
      </c>
      <c r="D2050" t="s">
        <v>20</v>
      </c>
      <c r="E2050" t="s">
        <v>11</v>
      </c>
      <c r="F2050">
        <v>587.4659999999999</v>
      </c>
      <c r="G2050">
        <v>18</v>
      </c>
      <c r="L2050" t="s">
        <v>6068</v>
      </c>
      <c r="O2050" t="s">
        <v>6069</v>
      </c>
    </row>
    <row r="2051" spans="1:15" x14ac:dyDescent="0.25">
      <c r="A2051" t="s">
        <v>18</v>
      </c>
      <c r="B2051" t="s">
        <v>6068</v>
      </c>
      <c r="C2051" t="s">
        <v>6070</v>
      </c>
      <c r="D2051" t="s">
        <v>20</v>
      </c>
      <c r="E2051" t="s">
        <v>11</v>
      </c>
      <c r="F2051">
        <v>718.014</v>
      </c>
      <c r="G2051">
        <v>18</v>
      </c>
      <c r="L2051" t="s">
        <v>6071</v>
      </c>
      <c r="O2051" t="s">
        <v>6072</v>
      </c>
    </row>
    <row r="2052" spans="1:15" x14ac:dyDescent="0.25">
      <c r="A2052" t="s">
        <v>18</v>
      </c>
      <c r="B2052" t="s">
        <v>6071</v>
      </c>
      <c r="C2052" t="s">
        <v>6073</v>
      </c>
      <c r="D2052" t="s">
        <v>20</v>
      </c>
      <c r="E2052" t="s">
        <v>11</v>
      </c>
      <c r="F2052">
        <v>1631.85</v>
      </c>
      <c r="G2052">
        <v>18</v>
      </c>
      <c r="L2052" t="s">
        <v>6074</v>
      </c>
      <c r="O2052" t="s">
        <v>6075</v>
      </c>
    </row>
    <row r="2053" spans="1:15" x14ac:dyDescent="0.25">
      <c r="A2053" t="s">
        <v>18</v>
      </c>
      <c r="B2053" t="s">
        <v>6074</v>
      </c>
      <c r="C2053" t="s">
        <v>6076</v>
      </c>
      <c r="D2053" t="s">
        <v>20</v>
      </c>
      <c r="E2053" t="s">
        <v>11</v>
      </c>
      <c r="F2053">
        <v>195.82199999999997</v>
      </c>
      <c r="G2053">
        <v>18</v>
      </c>
      <c r="L2053" t="s">
        <v>6077</v>
      </c>
      <c r="O2053" t="s">
        <v>6078</v>
      </c>
    </row>
    <row r="2054" spans="1:15" x14ac:dyDescent="0.25">
      <c r="A2054" t="s">
        <v>18</v>
      </c>
      <c r="B2054" t="s">
        <v>6077</v>
      </c>
      <c r="C2054" t="s">
        <v>6079</v>
      </c>
      <c r="D2054" t="s">
        <v>20</v>
      </c>
      <c r="E2054" t="s">
        <v>11</v>
      </c>
      <c r="F2054">
        <v>3785.892</v>
      </c>
      <c r="G2054">
        <v>18</v>
      </c>
      <c r="L2054" t="s">
        <v>6080</v>
      </c>
      <c r="O2054" t="s">
        <v>6081</v>
      </c>
    </row>
    <row r="2055" spans="1:15" x14ac:dyDescent="0.25">
      <c r="A2055" t="s">
        <v>18</v>
      </c>
      <c r="B2055" t="s">
        <v>6080</v>
      </c>
      <c r="C2055" t="s">
        <v>6082</v>
      </c>
      <c r="D2055" t="s">
        <v>20</v>
      </c>
      <c r="E2055" t="s">
        <v>11</v>
      </c>
      <c r="F2055">
        <v>2676.234</v>
      </c>
      <c r="G2055">
        <v>18</v>
      </c>
      <c r="L2055" t="s">
        <v>6083</v>
      </c>
      <c r="O2055" t="s">
        <v>6084</v>
      </c>
    </row>
    <row r="2056" spans="1:15" x14ac:dyDescent="0.25">
      <c r="A2056" t="s">
        <v>18</v>
      </c>
      <c r="B2056" t="s">
        <v>6083</v>
      </c>
      <c r="C2056" t="s">
        <v>6085</v>
      </c>
      <c r="D2056" t="s">
        <v>20</v>
      </c>
      <c r="E2056" t="s">
        <v>11</v>
      </c>
      <c r="F2056">
        <v>3916.44</v>
      </c>
      <c r="G2056">
        <v>18</v>
      </c>
      <c r="L2056" t="s">
        <v>6086</v>
      </c>
      <c r="O2056" t="s">
        <v>6087</v>
      </c>
    </row>
    <row r="2057" spans="1:15" x14ac:dyDescent="0.25">
      <c r="A2057" t="s">
        <v>18</v>
      </c>
      <c r="B2057" t="s">
        <v>6086</v>
      </c>
      <c r="C2057" t="s">
        <v>6088</v>
      </c>
      <c r="D2057" t="s">
        <v>20</v>
      </c>
      <c r="E2057" t="s">
        <v>11</v>
      </c>
      <c r="F2057">
        <v>3067.8779999999997</v>
      </c>
      <c r="G2057">
        <v>18</v>
      </c>
      <c r="L2057" t="s">
        <v>6089</v>
      </c>
      <c r="O2057" t="s">
        <v>6090</v>
      </c>
    </row>
    <row r="2058" spans="1:15" x14ac:dyDescent="0.25">
      <c r="A2058" t="s">
        <v>18</v>
      </c>
      <c r="B2058" t="s">
        <v>6089</v>
      </c>
      <c r="C2058" t="s">
        <v>6091</v>
      </c>
      <c r="D2058" t="s">
        <v>20</v>
      </c>
      <c r="E2058" t="s">
        <v>11</v>
      </c>
      <c r="F2058">
        <v>5352.468</v>
      </c>
      <c r="G2058">
        <v>18</v>
      </c>
      <c r="L2058" t="s">
        <v>6092</v>
      </c>
      <c r="O2058" t="s">
        <v>6093</v>
      </c>
    </row>
    <row r="2059" spans="1:15" x14ac:dyDescent="0.25">
      <c r="A2059" t="s">
        <v>18</v>
      </c>
      <c r="B2059" t="s">
        <v>6092</v>
      </c>
      <c r="C2059" t="s">
        <v>6094</v>
      </c>
      <c r="D2059" t="s">
        <v>20</v>
      </c>
      <c r="E2059" t="s">
        <v>11</v>
      </c>
      <c r="F2059">
        <v>2415.138</v>
      </c>
      <c r="G2059">
        <v>18</v>
      </c>
      <c r="L2059" t="s">
        <v>6095</v>
      </c>
      <c r="O2059" t="s">
        <v>6096</v>
      </c>
    </row>
    <row r="2060" spans="1:15" x14ac:dyDescent="0.25">
      <c r="A2060" t="s">
        <v>18</v>
      </c>
      <c r="B2060" t="s">
        <v>6095</v>
      </c>
      <c r="C2060" t="s">
        <v>6097</v>
      </c>
      <c r="D2060" t="s">
        <v>20</v>
      </c>
      <c r="E2060" t="s">
        <v>11</v>
      </c>
      <c r="F2060">
        <v>3785.892</v>
      </c>
      <c r="G2060">
        <v>18</v>
      </c>
      <c r="L2060" t="s">
        <v>6098</v>
      </c>
      <c r="O2060" t="s">
        <v>6099</v>
      </c>
    </row>
    <row r="2061" spans="1:15" x14ac:dyDescent="0.25">
      <c r="A2061" t="s">
        <v>18</v>
      </c>
      <c r="B2061" t="s">
        <v>6098</v>
      </c>
      <c r="C2061" t="s">
        <v>6100</v>
      </c>
      <c r="D2061" t="s">
        <v>20</v>
      </c>
      <c r="E2061" t="s">
        <v>11</v>
      </c>
      <c r="F2061">
        <v>2806.7819999999997</v>
      </c>
      <c r="G2061">
        <v>18</v>
      </c>
      <c r="L2061" t="s">
        <v>6101</v>
      </c>
      <c r="O2061" t="s">
        <v>6102</v>
      </c>
    </row>
    <row r="2062" spans="1:15" x14ac:dyDescent="0.25">
      <c r="A2062" t="s">
        <v>18</v>
      </c>
      <c r="B2062" t="s">
        <v>6101</v>
      </c>
      <c r="C2062" t="s">
        <v>6103</v>
      </c>
      <c r="D2062" t="s">
        <v>20</v>
      </c>
      <c r="E2062" t="s">
        <v>11</v>
      </c>
      <c r="F2062">
        <v>5221.92</v>
      </c>
      <c r="G2062">
        <v>18</v>
      </c>
      <c r="L2062" t="s">
        <v>6104</v>
      </c>
      <c r="O2062" t="s">
        <v>6105</v>
      </c>
    </row>
    <row r="2063" spans="1:15" x14ac:dyDescent="0.25">
      <c r="A2063" t="s">
        <v>18</v>
      </c>
      <c r="B2063" t="s">
        <v>6104</v>
      </c>
      <c r="C2063" t="s">
        <v>6106</v>
      </c>
      <c r="D2063" t="s">
        <v>20</v>
      </c>
      <c r="E2063" t="s">
        <v>11</v>
      </c>
      <c r="F2063">
        <v>4634.454</v>
      </c>
      <c r="G2063">
        <v>18</v>
      </c>
      <c r="L2063" t="s">
        <v>6107</v>
      </c>
      <c r="O2063" t="s">
        <v>6108</v>
      </c>
    </row>
    <row r="2064" spans="1:15" x14ac:dyDescent="0.25">
      <c r="A2064" t="s">
        <v>18</v>
      </c>
      <c r="B2064" t="s">
        <v>6107</v>
      </c>
      <c r="C2064" t="s">
        <v>6109</v>
      </c>
      <c r="D2064" t="s">
        <v>20</v>
      </c>
      <c r="E2064" t="s">
        <v>11</v>
      </c>
      <c r="F2064">
        <v>1501.302</v>
      </c>
      <c r="G2064">
        <v>18</v>
      </c>
      <c r="L2064" t="s">
        <v>6110</v>
      </c>
      <c r="O2064" t="s">
        <v>6111</v>
      </c>
    </row>
    <row r="2065" spans="1:15" x14ac:dyDescent="0.25">
      <c r="A2065" t="s">
        <v>18</v>
      </c>
      <c r="B2065" t="s">
        <v>6110</v>
      </c>
      <c r="C2065" t="s">
        <v>6112</v>
      </c>
      <c r="D2065" t="s">
        <v>20</v>
      </c>
      <c r="E2065" t="s">
        <v>11</v>
      </c>
      <c r="F2065">
        <v>4373.358</v>
      </c>
      <c r="G2065">
        <v>18</v>
      </c>
      <c r="L2065" t="s">
        <v>6113</v>
      </c>
      <c r="O2065" t="s">
        <v>6114</v>
      </c>
    </row>
    <row r="2066" spans="1:15" x14ac:dyDescent="0.25">
      <c r="A2066" t="s">
        <v>18</v>
      </c>
      <c r="B2066" t="s">
        <v>6113</v>
      </c>
      <c r="C2066" t="s">
        <v>6115</v>
      </c>
      <c r="D2066" t="s">
        <v>20</v>
      </c>
      <c r="E2066" t="s">
        <v>11</v>
      </c>
      <c r="F2066">
        <v>3720.6179999999995</v>
      </c>
      <c r="G2066">
        <v>18</v>
      </c>
      <c r="L2066" t="s">
        <v>6116</v>
      </c>
      <c r="O2066" t="s">
        <v>6117</v>
      </c>
    </row>
    <row r="2067" spans="1:15" x14ac:dyDescent="0.25">
      <c r="A2067" t="s">
        <v>18</v>
      </c>
      <c r="B2067" t="s">
        <v>6116</v>
      </c>
      <c r="C2067" t="s">
        <v>6118</v>
      </c>
      <c r="D2067" t="s">
        <v>20</v>
      </c>
      <c r="E2067" t="s">
        <v>11</v>
      </c>
      <c r="F2067">
        <v>4438.632</v>
      </c>
      <c r="G2067">
        <v>18</v>
      </c>
      <c r="L2067" t="s">
        <v>6119</v>
      </c>
      <c r="O2067" t="s">
        <v>6120</v>
      </c>
    </row>
    <row r="2068" spans="1:15" x14ac:dyDescent="0.25">
      <c r="A2068" t="s">
        <v>18</v>
      </c>
      <c r="B2068" t="s">
        <v>6119</v>
      </c>
      <c r="C2068" t="s">
        <v>6121</v>
      </c>
      <c r="D2068" t="s">
        <v>20</v>
      </c>
      <c r="E2068" t="s">
        <v>11</v>
      </c>
      <c r="F2068">
        <v>5221.92</v>
      </c>
      <c r="G2068">
        <v>18</v>
      </c>
      <c r="L2068" t="s">
        <v>6122</v>
      </c>
      <c r="O2068" t="s">
        <v>6123</v>
      </c>
    </row>
    <row r="2069" spans="1:15" x14ac:dyDescent="0.25">
      <c r="A2069" t="s">
        <v>18</v>
      </c>
      <c r="B2069" t="s">
        <v>6122</v>
      </c>
      <c r="C2069" t="s">
        <v>6124</v>
      </c>
      <c r="D2069" t="s">
        <v>20</v>
      </c>
      <c r="E2069" t="s">
        <v>11</v>
      </c>
      <c r="F2069">
        <v>13054.8</v>
      </c>
      <c r="G2069">
        <v>18</v>
      </c>
      <c r="L2069" t="s">
        <v>6125</v>
      </c>
      <c r="O2069" t="s">
        <v>6126</v>
      </c>
    </row>
    <row r="2070" spans="1:15" x14ac:dyDescent="0.25">
      <c r="A2070" t="s">
        <v>18</v>
      </c>
      <c r="B2070" t="s">
        <v>6125</v>
      </c>
      <c r="C2070" t="s">
        <v>6127</v>
      </c>
      <c r="D2070" t="s">
        <v>20</v>
      </c>
      <c r="E2070" t="s">
        <v>11</v>
      </c>
      <c r="F2070">
        <v>5156.646</v>
      </c>
      <c r="G2070">
        <v>18</v>
      </c>
      <c r="L2070" t="s">
        <v>6128</v>
      </c>
      <c r="O2070" t="s">
        <v>6129</v>
      </c>
    </row>
    <row r="2071" spans="1:15" x14ac:dyDescent="0.25">
      <c r="A2071" t="s">
        <v>18</v>
      </c>
      <c r="B2071" t="s">
        <v>6128</v>
      </c>
      <c r="C2071" t="s">
        <v>6130</v>
      </c>
      <c r="D2071" t="s">
        <v>20</v>
      </c>
      <c r="E2071" t="s">
        <v>11</v>
      </c>
      <c r="F2071">
        <v>11227.127999999999</v>
      </c>
      <c r="G2071">
        <v>18</v>
      </c>
      <c r="L2071" t="s">
        <v>6131</v>
      </c>
      <c r="O2071" t="s">
        <v>6132</v>
      </c>
    </row>
    <row r="2072" spans="1:15" x14ac:dyDescent="0.25">
      <c r="A2072" t="s">
        <v>18</v>
      </c>
      <c r="B2072" t="s">
        <v>6131</v>
      </c>
      <c r="C2072" t="s">
        <v>6133</v>
      </c>
      <c r="D2072" t="s">
        <v>20</v>
      </c>
      <c r="E2072" t="s">
        <v>11</v>
      </c>
      <c r="F2072">
        <v>391.64399999999995</v>
      </c>
      <c r="G2072">
        <v>18</v>
      </c>
      <c r="L2072" t="s">
        <v>6134</v>
      </c>
      <c r="O2072" t="s">
        <v>6135</v>
      </c>
    </row>
    <row r="2073" spans="1:15" x14ac:dyDescent="0.25">
      <c r="A2073" t="s">
        <v>18</v>
      </c>
      <c r="B2073" t="s">
        <v>6134</v>
      </c>
      <c r="C2073" t="s">
        <v>6136</v>
      </c>
      <c r="D2073" t="s">
        <v>20</v>
      </c>
      <c r="E2073" t="s">
        <v>11</v>
      </c>
      <c r="F2073">
        <v>3263.7</v>
      </c>
      <c r="G2073">
        <v>18</v>
      </c>
      <c r="L2073" t="s">
        <v>6137</v>
      </c>
      <c r="O2073" t="s">
        <v>6138</v>
      </c>
    </row>
    <row r="2074" spans="1:15" x14ac:dyDescent="0.25">
      <c r="A2074" t="s">
        <v>18</v>
      </c>
      <c r="B2074" t="s">
        <v>6137</v>
      </c>
      <c r="C2074" t="s">
        <v>6139</v>
      </c>
      <c r="D2074" t="s">
        <v>20</v>
      </c>
      <c r="E2074" t="s">
        <v>11</v>
      </c>
      <c r="F2074">
        <v>3590.0699999999997</v>
      </c>
      <c r="G2074">
        <v>18</v>
      </c>
      <c r="L2074" t="s">
        <v>6140</v>
      </c>
      <c r="O2074" t="s">
        <v>6141</v>
      </c>
    </row>
    <row r="2075" spans="1:15" x14ac:dyDescent="0.25">
      <c r="A2075" t="s">
        <v>18</v>
      </c>
      <c r="B2075" t="s">
        <v>6140</v>
      </c>
      <c r="C2075" t="s">
        <v>6142</v>
      </c>
      <c r="D2075" t="s">
        <v>20</v>
      </c>
      <c r="E2075" t="s">
        <v>11</v>
      </c>
      <c r="F2075">
        <v>326.37</v>
      </c>
      <c r="G2075">
        <v>18</v>
      </c>
      <c r="L2075" t="s">
        <v>6143</v>
      </c>
      <c r="O2075" t="s">
        <v>6144</v>
      </c>
    </row>
    <row r="2076" spans="1:15" x14ac:dyDescent="0.25">
      <c r="A2076" t="s">
        <v>18</v>
      </c>
      <c r="B2076" t="s">
        <v>6143</v>
      </c>
      <c r="C2076" t="s">
        <v>6145</v>
      </c>
      <c r="D2076" t="s">
        <v>20</v>
      </c>
      <c r="E2076" t="s">
        <v>11</v>
      </c>
      <c r="F2076">
        <v>3133.1519999999996</v>
      </c>
      <c r="G2076">
        <v>18</v>
      </c>
      <c r="L2076" t="s">
        <v>6146</v>
      </c>
      <c r="O2076" t="s">
        <v>6147</v>
      </c>
    </row>
    <row r="2077" spans="1:15" x14ac:dyDescent="0.25">
      <c r="A2077" t="s">
        <v>18</v>
      </c>
      <c r="B2077" t="s">
        <v>6146</v>
      </c>
      <c r="C2077" t="s">
        <v>6148</v>
      </c>
      <c r="D2077" t="s">
        <v>20</v>
      </c>
      <c r="E2077" t="s">
        <v>11</v>
      </c>
      <c r="F2077">
        <v>3133.1519999999996</v>
      </c>
      <c r="G2077">
        <v>18</v>
      </c>
      <c r="L2077" t="s">
        <v>6149</v>
      </c>
      <c r="O2077" t="s">
        <v>6150</v>
      </c>
    </row>
    <row r="2078" spans="1:15" x14ac:dyDescent="0.25">
      <c r="A2078" t="s">
        <v>18</v>
      </c>
      <c r="B2078" t="s">
        <v>6149</v>
      </c>
      <c r="C2078" t="s">
        <v>6151</v>
      </c>
      <c r="D2078" t="s">
        <v>20</v>
      </c>
      <c r="E2078" t="s">
        <v>11</v>
      </c>
      <c r="F2078">
        <v>3720.6179999999995</v>
      </c>
      <c r="G2078">
        <v>18</v>
      </c>
      <c r="L2078" t="s">
        <v>6152</v>
      </c>
      <c r="O2078" t="s">
        <v>6153</v>
      </c>
    </row>
    <row r="2079" spans="1:15" x14ac:dyDescent="0.25">
      <c r="A2079" t="s">
        <v>18</v>
      </c>
      <c r="B2079" t="s">
        <v>6152</v>
      </c>
      <c r="C2079" t="s">
        <v>6154</v>
      </c>
      <c r="D2079" t="s">
        <v>20</v>
      </c>
      <c r="E2079" t="s">
        <v>11</v>
      </c>
      <c r="F2079">
        <v>2676.234</v>
      </c>
      <c r="G2079">
        <v>18</v>
      </c>
      <c r="L2079" t="s">
        <v>6155</v>
      </c>
      <c r="O2079" t="s">
        <v>6156</v>
      </c>
    </row>
    <row r="2080" spans="1:15" x14ac:dyDescent="0.25">
      <c r="A2080" t="s">
        <v>18</v>
      </c>
      <c r="B2080" t="s">
        <v>6155</v>
      </c>
      <c r="C2080" t="s">
        <v>6157</v>
      </c>
      <c r="D2080" t="s">
        <v>20</v>
      </c>
      <c r="E2080" t="s">
        <v>11</v>
      </c>
      <c r="F2080">
        <v>2415.138</v>
      </c>
      <c r="G2080">
        <v>18</v>
      </c>
      <c r="L2080" t="s">
        <v>6158</v>
      </c>
      <c r="O2080" t="s">
        <v>6159</v>
      </c>
    </row>
    <row r="2081" spans="1:15" x14ac:dyDescent="0.25">
      <c r="A2081" t="s">
        <v>18</v>
      </c>
      <c r="B2081" t="s">
        <v>6158</v>
      </c>
      <c r="C2081" t="s">
        <v>6160</v>
      </c>
      <c r="D2081" t="s">
        <v>20</v>
      </c>
      <c r="E2081" t="s">
        <v>11</v>
      </c>
      <c r="F2081">
        <v>5026.097999999999</v>
      </c>
      <c r="G2081">
        <v>18</v>
      </c>
      <c r="L2081" t="s">
        <v>6161</v>
      </c>
      <c r="O2081" t="s">
        <v>6162</v>
      </c>
    </row>
    <row r="2082" spans="1:15" x14ac:dyDescent="0.25">
      <c r="A2082" t="s">
        <v>18</v>
      </c>
      <c r="B2082" t="s">
        <v>6161</v>
      </c>
      <c r="C2082" t="s">
        <v>6163</v>
      </c>
      <c r="D2082" t="s">
        <v>20</v>
      </c>
      <c r="E2082" t="s">
        <v>11</v>
      </c>
      <c r="F2082">
        <v>1044.384</v>
      </c>
      <c r="G2082">
        <v>18</v>
      </c>
      <c r="L2082" t="s">
        <v>6164</v>
      </c>
      <c r="O2082" t="s">
        <v>6165</v>
      </c>
    </row>
    <row r="2083" spans="1:15" x14ac:dyDescent="0.25">
      <c r="A2083" t="s">
        <v>18</v>
      </c>
      <c r="B2083" t="s">
        <v>6164</v>
      </c>
      <c r="C2083" t="s">
        <v>6166</v>
      </c>
      <c r="D2083" t="s">
        <v>20</v>
      </c>
      <c r="E2083" t="s">
        <v>11</v>
      </c>
      <c r="F2083">
        <v>7767.605999999999</v>
      </c>
      <c r="G2083">
        <v>18</v>
      </c>
      <c r="L2083" t="s">
        <v>6167</v>
      </c>
      <c r="O2083" t="s">
        <v>6168</v>
      </c>
    </row>
    <row r="2084" spans="1:15" x14ac:dyDescent="0.25">
      <c r="A2084" t="s">
        <v>18</v>
      </c>
      <c r="B2084" t="s">
        <v>6167</v>
      </c>
      <c r="C2084" t="s">
        <v>6169</v>
      </c>
      <c r="D2084" t="s">
        <v>20</v>
      </c>
      <c r="E2084" t="s">
        <v>11</v>
      </c>
      <c r="F2084">
        <v>17232.336</v>
      </c>
      <c r="G2084">
        <v>18</v>
      </c>
      <c r="L2084" t="s">
        <v>6170</v>
      </c>
      <c r="O2084" t="s">
        <v>6171</v>
      </c>
    </row>
    <row r="2085" spans="1:15" x14ac:dyDescent="0.25">
      <c r="A2085" t="s">
        <v>18</v>
      </c>
      <c r="B2085" t="s">
        <v>6170</v>
      </c>
      <c r="C2085" t="s">
        <v>6172</v>
      </c>
      <c r="D2085" t="s">
        <v>20</v>
      </c>
      <c r="E2085" t="s">
        <v>11</v>
      </c>
      <c r="F2085">
        <v>26240.148</v>
      </c>
      <c r="G2085">
        <v>18</v>
      </c>
      <c r="L2085" t="s">
        <v>6173</v>
      </c>
      <c r="O2085" t="s">
        <v>6174</v>
      </c>
    </row>
    <row r="2086" spans="1:15" x14ac:dyDescent="0.25">
      <c r="A2086" t="s">
        <v>18</v>
      </c>
      <c r="B2086" t="s">
        <v>6173</v>
      </c>
      <c r="C2086" t="s">
        <v>6175</v>
      </c>
      <c r="D2086" t="s">
        <v>20</v>
      </c>
      <c r="E2086" t="s">
        <v>11</v>
      </c>
      <c r="F2086">
        <v>6788.495999999999</v>
      </c>
      <c r="G2086">
        <v>18</v>
      </c>
      <c r="L2086" t="s">
        <v>6176</v>
      </c>
      <c r="O2086" t="s">
        <v>6177</v>
      </c>
    </row>
    <row r="2087" spans="1:15" x14ac:dyDescent="0.25">
      <c r="A2087" t="s">
        <v>18</v>
      </c>
      <c r="B2087" t="s">
        <v>6176</v>
      </c>
      <c r="C2087" t="s">
        <v>6178</v>
      </c>
      <c r="D2087" t="s">
        <v>20</v>
      </c>
      <c r="E2087" t="s">
        <v>11</v>
      </c>
      <c r="F2087">
        <v>24412.475999999995</v>
      </c>
      <c r="G2087">
        <v>18</v>
      </c>
      <c r="L2087" t="s">
        <v>6179</v>
      </c>
      <c r="O2087" t="s">
        <v>6180</v>
      </c>
    </row>
    <row r="2088" spans="1:15" x14ac:dyDescent="0.25">
      <c r="A2088" t="s">
        <v>18</v>
      </c>
      <c r="B2088" t="s">
        <v>6179</v>
      </c>
      <c r="C2088" t="s">
        <v>6181</v>
      </c>
      <c r="D2088" t="s">
        <v>20</v>
      </c>
      <c r="E2088" t="s">
        <v>11</v>
      </c>
      <c r="F2088">
        <v>1109.658</v>
      </c>
      <c r="G2088">
        <v>18</v>
      </c>
      <c r="L2088" t="s">
        <v>6182</v>
      </c>
      <c r="O2088" t="s">
        <v>6183</v>
      </c>
    </row>
    <row r="2089" spans="1:15" x14ac:dyDescent="0.25">
      <c r="A2089" t="s">
        <v>18</v>
      </c>
      <c r="B2089" t="s">
        <v>6182</v>
      </c>
      <c r="C2089" t="s">
        <v>6184</v>
      </c>
      <c r="D2089" t="s">
        <v>20</v>
      </c>
      <c r="E2089" t="s">
        <v>11</v>
      </c>
      <c r="F2089">
        <v>1501.302</v>
      </c>
      <c r="G2089">
        <v>18</v>
      </c>
      <c r="L2089" t="s">
        <v>6185</v>
      </c>
      <c r="O2089" t="s">
        <v>6186</v>
      </c>
    </row>
    <row r="2090" spans="1:15" x14ac:dyDescent="0.25">
      <c r="A2090" t="s">
        <v>18</v>
      </c>
      <c r="B2090" t="s">
        <v>6185</v>
      </c>
      <c r="C2090" t="s">
        <v>6187</v>
      </c>
      <c r="D2090" t="s">
        <v>20</v>
      </c>
      <c r="E2090" t="s">
        <v>11</v>
      </c>
      <c r="F2090">
        <v>2610.96</v>
      </c>
      <c r="G2090">
        <v>18</v>
      </c>
      <c r="L2090" t="s">
        <v>6188</v>
      </c>
      <c r="O2090" t="s">
        <v>6189</v>
      </c>
    </row>
    <row r="2091" spans="1:15" x14ac:dyDescent="0.25">
      <c r="A2091" t="s">
        <v>18</v>
      </c>
      <c r="B2091" t="s">
        <v>6188</v>
      </c>
      <c r="C2091" t="s">
        <v>6190</v>
      </c>
      <c r="D2091" t="s">
        <v>20</v>
      </c>
      <c r="E2091" t="s">
        <v>11</v>
      </c>
      <c r="F2091">
        <v>22976.448</v>
      </c>
      <c r="G2091">
        <v>18</v>
      </c>
      <c r="L2091" t="s">
        <v>6191</v>
      </c>
      <c r="O2091" t="s">
        <v>6192</v>
      </c>
    </row>
    <row r="2092" spans="1:15" x14ac:dyDescent="0.25">
      <c r="A2092" t="s">
        <v>18</v>
      </c>
      <c r="B2092" t="s">
        <v>6191</v>
      </c>
      <c r="C2092" t="s">
        <v>6193</v>
      </c>
      <c r="D2092" t="s">
        <v>20</v>
      </c>
      <c r="E2092" t="s">
        <v>11</v>
      </c>
      <c r="F2092">
        <v>24086.106</v>
      </c>
      <c r="G2092">
        <v>18</v>
      </c>
      <c r="L2092" t="s">
        <v>6194</v>
      </c>
      <c r="O2092" t="s">
        <v>6195</v>
      </c>
    </row>
    <row r="2093" spans="1:15" x14ac:dyDescent="0.25">
      <c r="A2093" t="s">
        <v>18</v>
      </c>
      <c r="B2093" t="s">
        <v>6194</v>
      </c>
      <c r="C2093" t="s">
        <v>6196</v>
      </c>
      <c r="D2093" t="s">
        <v>20</v>
      </c>
      <c r="E2093" t="s">
        <v>11</v>
      </c>
      <c r="F2093">
        <v>25391.586</v>
      </c>
      <c r="G2093">
        <v>18</v>
      </c>
      <c r="L2093" t="s">
        <v>6197</v>
      </c>
      <c r="O2093" t="s">
        <v>6198</v>
      </c>
    </row>
    <row r="2094" spans="1:15" x14ac:dyDescent="0.25">
      <c r="A2094" t="s">
        <v>18</v>
      </c>
      <c r="B2094" t="s">
        <v>6197</v>
      </c>
      <c r="C2094" t="s">
        <v>6199</v>
      </c>
      <c r="D2094" t="s">
        <v>20</v>
      </c>
      <c r="E2094" t="s">
        <v>11</v>
      </c>
      <c r="F2094">
        <v>14033.91</v>
      </c>
      <c r="G2094">
        <v>18</v>
      </c>
      <c r="L2094" t="s">
        <v>6200</v>
      </c>
      <c r="O2094" t="s">
        <v>6201</v>
      </c>
    </row>
    <row r="2095" spans="1:15" x14ac:dyDescent="0.25">
      <c r="A2095" t="s">
        <v>18</v>
      </c>
      <c r="B2095" t="s">
        <v>6200</v>
      </c>
      <c r="C2095" t="s">
        <v>6202</v>
      </c>
      <c r="D2095" t="s">
        <v>20</v>
      </c>
      <c r="E2095" t="s">
        <v>11</v>
      </c>
      <c r="F2095">
        <v>17232.336</v>
      </c>
      <c r="G2095">
        <v>18</v>
      </c>
      <c r="L2095" t="s">
        <v>6203</v>
      </c>
      <c r="O2095" t="s">
        <v>6204</v>
      </c>
    </row>
    <row r="2096" spans="1:15" x14ac:dyDescent="0.25">
      <c r="A2096" t="s">
        <v>18</v>
      </c>
      <c r="B2096" t="s">
        <v>6203</v>
      </c>
      <c r="C2096" t="s">
        <v>6205</v>
      </c>
      <c r="D2096" t="s">
        <v>20</v>
      </c>
      <c r="E2096" t="s">
        <v>11</v>
      </c>
      <c r="F2096">
        <v>456.918</v>
      </c>
      <c r="G2096">
        <v>18</v>
      </c>
      <c r="L2096" t="s">
        <v>6206</v>
      </c>
      <c r="O2096" t="s">
        <v>6207</v>
      </c>
    </row>
    <row r="2097" spans="1:15" x14ac:dyDescent="0.25">
      <c r="A2097" t="s">
        <v>18</v>
      </c>
      <c r="B2097" t="s">
        <v>6206</v>
      </c>
      <c r="C2097" t="s">
        <v>6208</v>
      </c>
      <c r="D2097" t="s">
        <v>20</v>
      </c>
      <c r="E2097" t="s">
        <v>11</v>
      </c>
      <c r="F2097">
        <v>2676.234</v>
      </c>
      <c r="G2097">
        <v>18</v>
      </c>
      <c r="L2097" t="s">
        <v>6209</v>
      </c>
      <c r="O2097" t="s">
        <v>6210</v>
      </c>
    </row>
    <row r="2098" spans="1:15" x14ac:dyDescent="0.25">
      <c r="A2098" t="s">
        <v>18</v>
      </c>
      <c r="B2098" t="s">
        <v>6209</v>
      </c>
      <c r="C2098" t="s">
        <v>6211</v>
      </c>
      <c r="D2098" t="s">
        <v>20</v>
      </c>
      <c r="E2098" t="s">
        <v>11</v>
      </c>
      <c r="F2098">
        <v>913.836</v>
      </c>
      <c r="G2098">
        <v>18</v>
      </c>
      <c r="L2098" t="s">
        <v>6212</v>
      </c>
      <c r="O2098" t="s">
        <v>6213</v>
      </c>
    </row>
    <row r="2099" spans="1:15" x14ac:dyDescent="0.25">
      <c r="A2099" t="s">
        <v>18</v>
      </c>
      <c r="B2099" t="s">
        <v>6212</v>
      </c>
      <c r="C2099" t="s">
        <v>6214</v>
      </c>
      <c r="D2099" t="s">
        <v>20</v>
      </c>
      <c r="E2099" t="s">
        <v>11</v>
      </c>
      <c r="F2099">
        <v>783.2879999999999</v>
      </c>
      <c r="G2099">
        <v>18</v>
      </c>
      <c r="L2099" t="s">
        <v>6215</v>
      </c>
      <c r="O2099" t="s">
        <v>6216</v>
      </c>
    </row>
    <row r="2100" spans="1:15" x14ac:dyDescent="0.25">
      <c r="A2100" t="s">
        <v>18</v>
      </c>
      <c r="B2100" t="s">
        <v>6215</v>
      </c>
      <c r="C2100" t="s">
        <v>6217</v>
      </c>
      <c r="D2100" t="s">
        <v>20</v>
      </c>
      <c r="E2100" t="s">
        <v>11</v>
      </c>
      <c r="F2100">
        <v>783.2879999999999</v>
      </c>
      <c r="G2100">
        <v>18</v>
      </c>
      <c r="L2100" t="s">
        <v>6218</v>
      </c>
      <c r="O2100" t="s">
        <v>6219</v>
      </c>
    </row>
    <row r="2101" spans="1:15" x14ac:dyDescent="0.25">
      <c r="A2101" t="s">
        <v>18</v>
      </c>
      <c r="B2101" t="s">
        <v>6218</v>
      </c>
      <c r="C2101" t="s">
        <v>6220</v>
      </c>
      <c r="D2101" t="s">
        <v>20</v>
      </c>
      <c r="E2101" t="s">
        <v>11</v>
      </c>
      <c r="F2101">
        <v>7506.51</v>
      </c>
      <c r="G2101">
        <v>18</v>
      </c>
      <c r="L2101" t="s">
        <v>6221</v>
      </c>
      <c r="O2101" t="s">
        <v>6222</v>
      </c>
    </row>
    <row r="2102" spans="1:15" x14ac:dyDescent="0.25">
      <c r="A2102" t="s">
        <v>18</v>
      </c>
      <c r="B2102" t="s">
        <v>6221</v>
      </c>
      <c r="C2102" t="s">
        <v>6223</v>
      </c>
      <c r="D2102" t="s">
        <v>20</v>
      </c>
      <c r="E2102" t="s">
        <v>11</v>
      </c>
      <c r="F2102">
        <v>2480.4120000000003</v>
      </c>
      <c r="G2102">
        <v>18</v>
      </c>
      <c r="L2102" t="s">
        <v>6224</v>
      </c>
      <c r="O2102" t="s">
        <v>6225</v>
      </c>
    </row>
    <row r="2103" spans="1:15" x14ac:dyDescent="0.25">
      <c r="A2103" t="s">
        <v>18</v>
      </c>
      <c r="B2103" t="s">
        <v>6224</v>
      </c>
      <c r="C2103" t="s">
        <v>6226</v>
      </c>
      <c r="D2103" t="s">
        <v>20</v>
      </c>
      <c r="E2103" t="s">
        <v>11</v>
      </c>
      <c r="F2103">
        <v>5221.92</v>
      </c>
      <c r="G2103">
        <v>18</v>
      </c>
      <c r="L2103" t="s">
        <v>6227</v>
      </c>
      <c r="O2103" t="s">
        <v>6228</v>
      </c>
    </row>
    <row r="2104" spans="1:15" x14ac:dyDescent="0.25">
      <c r="A2104" t="s">
        <v>18</v>
      </c>
      <c r="B2104" t="s">
        <v>6227</v>
      </c>
      <c r="C2104" t="s">
        <v>6229</v>
      </c>
      <c r="D2104" t="s">
        <v>20</v>
      </c>
      <c r="E2104" t="s">
        <v>11</v>
      </c>
      <c r="F2104">
        <v>2545.6859999999997</v>
      </c>
      <c r="G2104">
        <v>18</v>
      </c>
      <c r="L2104" t="s">
        <v>6230</v>
      </c>
      <c r="O2104" t="s">
        <v>6231</v>
      </c>
    </row>
    <row r="2105" spans="1:15" x14ac:dyDescent="0.25">
      <c r="A2105" t="s">
        <v>18</v>
      </c>
      <c r="B2105" t="s">
        <v>6230</v>
      </c>
      <c r="C2105" t="s">
        <v>6232</v>
      </c>
      <c r="D2105" t="s">
        <v>20</v>
      </c>
      <c r="E2105" t="s">
        <v>11</v>
      </c>
      <c r="F2105">
        <v>5026.097999999999</v>
      </c>
      <c r="G2105">
        <v>18</v>
      </c>
      <c r="L2105" t="s">
        <v>6233</v>
      </c>
      <c r="O2105" t="s">
        <v>6234</v>
      </c>
    </row>
    <row r="2106" spans="1:15" x14ac:dyDescent="0.25">
      <c r="A2106" t="s">
        <v>18</v>
      </c>
      <c r="B2106" t="s">
        <v>6233</v>
      </c>
      <c r="C2106" t="s">
        <v>6235</v>
      </c>
      <c r="D2106" t="s">
        <v>20</v>
      </c>
      <c r="E2106" t="s">
        <v>11</v>
      </c>
      <c r="F2106">
        <v>1697.1239999999998</v>
      </c>
      <c r="G2106">
        <v>18</v>
      </c>
      <c r="L2106" t="s">
        <v>6236</v>
      </c>
      <c r="O2106" t="s">
        <v>6237</v>
      </c>
    </row>
    <row r="2107" spans="1:15" x14ac:dyDescent="0.25">
      <c r="A2107" t="s">
        <v>18</v>
      </c>
      <c r="B2107" t="s">
        <v>6236</v>
      </c>
      <c r="C2107" t="s">
        <v>6238</v>
      </c>
      <c r="D2107" t="s">
        <v>20</v>
      </c>
      <c r="E2107" t="s">
        <v>11</v>
      </c>
      <c r="F2107">
        <v>652.74</v>
      </c>
      <c r="G2107">
        <v>18</v>
      </c>
      <c r="L2107" t="s">
        <v>6239</v>
      </c>
      <c r="O2107" t="s">
        <v>6240</v>
      </c>
    </row>
    <row r="2108" spans="1:15" x14ac:dyDescent="0.25">
      <c r="A2108" t="s">
        <v>18</v>
      </c>
      <c r="B2108" t="s">
        <v>6239</v>
      </c>
      <c r="C2108" t="s">
        <v>6241</v>
      </c>
      <c r="D2108" t="s">
        <v>20</v>
      </c>
      <c r="E2108" t="s">
        <v>11</v>
      </c>
      <c r="F2108">
        <v>35182.686</v>
      </c>
      <c r="G2108">
        <v>18</v>
      </c>
      <c r="L2108" t="s">
        <v>6242</v>
      </c>
      <c r="O2108" t="s">
        <v>6243</v>
      </c>
    </row>
    <row r="2109" spans="1:15" x14ac:dyDescent="0.25">
      <c r="A2109" t="s">
        <v>18</v>
      </c>
      <c r="B2109" t="s">
        <v>6242</v>
      </c>
      <c r="C2109" t="s">
        <v>6244</v>
      </c>
      <c r="D2109" t="s">
        <v>20</v>
      </c>
      <c r="E2109" t="s">
        <v>11</v>
      </c>
      <c r="F2109">
        <v>5417.742</v>
      </c>
      <c r="G2109">
        <v>18</v>
      </c>
      <c r="L2109" t="s">
        <v>6245</v>
      </c>
      <c r="O2109" t="s">
        <v>6246</v>
      </c>
    </row>
    <row r="2110" spans="1:15" x14ac:dyDescent="0.25">
      <c r="A2110" t="s">
        <v>18</v>
      </c>
      <c r="B2110" t="s">
        <v>6245</v>
      </c>
      <c r="C2110" t="s">
        <v>6247</v>
      </c>
      <c r="D2110" t="s">
        <v>20</v>
      </c>
      <c r="E2110" t="s">
        <v>11</v>
      </c>
      <c r="F2110">
        <v>4569.18</v>
      </c>
      <c r="G2110">
        <v>18</v>
      </c>
      <c r="L2110" t="s">
        <v>6248</v>
      </c>
      <c r="O2110" t="s">
        <v>6249</v>
      </c>
    </row>
    <row r="2111" spans="1:15" x14ac:dyDescent="0.25">
      <c r="A2111" t="s">
        <v>18</v>
      </c>
      <c r="B2111" t="s">
        <v>6248</v>
      </c>
      <c r="C2111" t="s">
        <v>6250</v>
      </c>
      <c r="D2111" t="s">
        <v>20</v>
      </c>
      <c r="E2111" t="s">
        <v>11</v>
      </c>
      <c r="F2111">
        <v>4503.906</v>
      </c>
      <c r="G2111">
        <v>18</v>
      </c>
      <c r="L2111" t="s">
        <v>6251</v>
      </c>
      <c r="O2111" t="s">
        <v>6252</v>
      </c>
    </row>
    <row r="2112" spans="1:15" x14ac:dyDescent="0.25">
      <c r="A2112" t="s">
        <v>18</v>
      </c>
      <c r="B2112" t="s">
        <v>6251</v>
      </c>
      <c r="C2112" t="s">
        <v>6253</v>
      </c>
      <c r="D2112" t="s">
        <v>20</v>
      </c>
      <c r="E2112" t="s">
        <v>11</v>
      </c>
      <c r="F2112">
        <v>7441.235999999999</v>
      </c>
      <c r="G2112">
        <v>18</v>
      </c>
      <c r="L2112" t="s">
        <v>6254</v>
      </c>
      <c r="O2112" t="s">
        <v>6255</v>
      </c>
    </row>
    <row r="2113" spans="1:15" x14ac:dyDescent="0.25">
      <c r="A2113" t="s">
        <v>18</v>
      </c>
      <c r="B2113" t="s">
        <v>6254</v>
      </c>
      <c r="C2113" t="s">
        <v>6256</v>
      </c>
      <c r="D2113" t="s">
        <v>20</v>
      </c>
      <c r="E2113" t="s">
        <v>11</v>
      </c>
      <c r="F2113">
        <v>4960.8240000000005</v>
      </c>
      <c r="G2113">
        <v>18</v>
      </c>
      <c r="L2113" t="s">
        <v>6257</v>
      </c>
      <c r="O2113" t="s">
        <v>6258</v>
      </c>
    </row>
    <row r="2114" spans="1:15" x14ac:dyDescent="0.25">
      <c r="A2114" t="s">
        <v>18</v>
      </c>
      <c r="B2114" t="s">
        <v>6257</v>
      </c>
      <c r="C2114" t="s">
        <v>6259</v>
      </c>
      <c r="D2114" t="s">
        <v>20</v>
      </c>
      <c r="E2114" t="s">
        <v>11</v>
      </c>
      <c r="F2114">
        <v>1697.1239999999998</v>
      </c>
      <c r="G2114">
        <v>18</v>
      </c>
      <c r="L2114" t="s">
        <v>6260</v>
      </c>
      <c r="O2114" t="s">
        <v>6261</v>
      </c>
    </row>
    <row r="2115" spans="1:15" x14ac:dyDescent="0.25">
      <c r="A2115" t="s">
        <v>18</v>
      </c>
      <c r="B2115" t="s">
        <v>6260</v>
      </c>
      <c r="C2115" t="s">
        <v>6262</v>
      </c>
      <c r="D2115" t="s">
        <v>20</v>
      </c>
      <c r="E2115" t="s">
        <v>11</v>
      </c>
      <c r="F2115">
        <v>1631.85</v>
      </c>
      <c r="G2115">
        <v>18</v>
      </c>
      <c r="L2115" t="s">
        <v>6263</v>
      </c>
      <c r="O2115" t="s">
        <v>6264</v>
      </c>
    </row>
    <row r="2116" spans="1:15" x14ac:dyDescent="0.25">
      <c r="A2116" t="s">
        <v>18</v>
      </c>
      <c r="B2116" t="s">
        <v>6263</v>
      </c>
      <c r="C2116" t="s">
        <v>6265</v>
      </c>
      <c r="D2116" t="s">
        <v>20</v>
      </c>
      <c r="E2116" t="s">
        <v>11</v>
      </c>
      <c r="F2116">
        <v>2676.234</v>
      </c>
      <c r="G2116">
        <v>18</v>
      </c>
      <c r="L2116" t="s">
        <v>6266</v>
      </c>
      <c r="O2116" t="s">
        <v>6267</v>
      </c>
    </row>
    <row r="2117" spans="1:15" x14ac:dyDescent="0.25">
      <c r="A2117" t="s">
        <v>18</v>
      </c>
      <c r="B2117" t="s">
        <v>6266</v>
      </c>
      <c r="C2117" t="s">
        <v>6268</v>
      </c>
      <c r="D2117" t="s">
        <v>20</v>
      </c>
      <c r="E2117" t="s">
        <v>11</v>
      </c>
      <c r="F2117">
        <v>2937.3300000000004</v>
      </c>
      <c r="G2117">
        <v>18</v>
      </c>
      <c r="L2117" t="s">
        <v>6269</v>
      </c>
      <c r="O2117" t="s">
        <v>6270</v>
      </c>
    </row>
    <row r="2118" spans="1:15" x14ac:dyDescent="0.25">
      <c r="A2118" t="s">
        <v>18</v>
      </c>
      <c r="B2118" t="s">
        <v>6269</v>
      </c>
      <c r="C2118" t="s">
        <v>6271</v>
      </c>
      <c r="D2118" t="s">
        <v>20</v>
      </c>
      <c r="E2118" t="s">
        <v>11</v>
      </c>
      <c r="F2118">
        <v>3720.6179999999995</v>
      </c>
      <c r="G2118">
        <v>18</v>
      </c>
      <c r="L2118" t="s">
        <v>6272</v>
      </c>
      <c r="O2118" t="s">
        <v>6273</v>
      </c>
    </row>
    <row r="2119" spans="1:15" x14ac:dyDescent="0.25">
      <c r="A2119" t="s">
        <v>18</v>
      </c>
      <c r="B2119" t="s">
        <v>6272</v>
      </c>
      <c r="C2119" t="s">
        <v>6274</v>
      </c>
      <c r="D2119" t="s">
        <v>20</v>
      </c>
      <c r="E2119" t="s">
        <v>11</v>
      </c>
      <c r="F2119">
        <v>4830.276</v>
      </c>
      <c r="G2119">
        <v>18</v>
      </c>
      <c r="L2119" t="s">
        <v>6275</v>
      </c>
      <c r="O2119" t="s">
        <v>6276</v>
      </c>
    </row>
    <row r="2120" spans="1:15" x14ac:dyDescent="0.25">
      <c r="A2120" t="s">
        <v>18</v>
      </c>
      <c r="B2120" t="s">
        <v>6275</v>
      </c>
      <c r="C2120" t="s">
        <v>6277</v>
      </c>
      <c r="D2120" t="s">
        <v>20</v>
      </c>
      <c r="E2120" t="s">
        <v>11</v>
      </c>
      <c r="F2120">
        <v>1109.658</v>
      </c>
      <c r="G2120">
        <v>18</v>
      </c>
      <c r="L2120" t="s">
        <v>6278</v>
      </c>
      <c r="O2120" t="s">
        <v>6279</v>
      </c>
    </row>
    <row r="2121" spans="1:15" x14ac:dyDescent="0.25">
      <c r="A2121" t="s">
        <v>18</v>
      </c>
      <c r="B2121" t="s">
        <v>6278</v>
      </c>
      <c r="C2121" t="s">
        <v>6280</v>
      </c>
      <c r="D2121" t="s">
        <v>20</v>
      </c>
      <c r="E2121" t="s">
        <v>11</v>
      </c>
      <c r="F2121">
        <v>2480.4120000000003</v>
      </c>
      <c r="G2121">
        <v>18</v>
      </c>
      <c r="L2121" t="s">
        <v>6281</v>
      </c>
      <c r="O2121" t="s">
        <v>6282</v>
      </c>
    </row>
    <row r="2122" spans="1:15" x14ac:dyDescent="0.25">
      <c r="A2122" t="s">
        <v>18</v>
      </c>
      <c r="B2122" t="s">
        <v>6281</v>
      </c>
      <c r="C2122" t="s">
        <v>6283</v>
      </c>
      <c r="D2122" t="s">
        <v>20</v>
      </c>
      <c r="E2122" t="s">
        <v>11</v>
      </c>
      <c r="F2122">
        <v>1109.658</v>
      </c>
      <c r="G2122">
        <v>18</v>
      </c>
      <c r="L2122" t="s">
        <v>6284</v>
      </c>
      <c r="O2122" t="s">
        <v>6285</v>
      </c>
    </row>
    <row r="2123" spans="1:15" x14ac:dyDescent="0.25">
      <c r="A2123" t="s">
        <v>18</v>
      </c>
      <c r="B2123" t="s">
        <v>6284</v>
      </c>
      <c r="C2123" t="s">
        <v>6286</v>
      </c>
      <c r="D2123" t="s">
        <v>20</v>
      </c>
      <c r="E2123" t="s">
        <v>11</v>
      </c>
      <c r="F2123">
        <v>15796.307999999999</v>
      </c>
      <c r="G2123">
        <v>18</v>
      </c>
      <c r="L2123" t="s">
        <v>6287</v>
      </c>
      <c r="O2123" t="s">
        <v>6288</v>
      </c>
    </row>
    <row r="2124" spans="1:15" x14ac:dyDescent="0.25">
      <c r="A2124" t="s">
        <v>18</v>
      </c>
      <c r="B2124" t="s">
        <v>6287</v>
      </c>
      <c r="C2124" t="s">
        <v>6289</v>
      </c>
      <c r="D2124" t="s">
        <v>20</v>
      </c>
      <c r="E2124" t="s">
        <v>11</v>
      </c>
      <c r="F2124">
        <v>195.82199999999997</v>
      </c>
      <c r="G2124">
        <v>18</v>
      </c>
      <c r="L2124" t="s">
        <v>6290</v>
      </c>
      <c r="O2124" t="s">
        <v>6291</v>
      </c>
    </row>
    <row r="2125" spans="1:15" x14ac:dyDescent="0.25">
      <c r="A2125" t="s">
        <v>18</v>
      </c>
      <c r="B2125" t="s">
        <v>6290</v>
      </c>
      <c r="C2125" t="s">
        <v>6292</v>
      </c>
      <c r="D2125" t="s">
        <v>20</v>
      </c>
      <c r="E2125" t="s">
        <v>11</v>
      </c>
      <c r="F2125">
        <v>7702.332</v>
      </c>
      <c r="G2125">
        <v>18</v>
      </c>
      <c r="L2125" t="s">
        <v>6293</v>
      </c>
      <c r="O2125" t="s">
        <v>6294</v>
      </c>
    </row>
    <row r="2126" spans="1:15" x14ac:dyDescent="0.25">
      <c r="A2126" t="s">
        <v>18</v>
      </c>
      <c r="B2126" t="s">
        <v>6293</v>
      </c>
      <c r="C2126" t="s">
        <v>6295</v>
      </c>
      <c r="D2126" t="s">
        <v>20</v>
      </c>
      <c r="E2126" t="s">
        <v>11</v>
      </c>
      <c r="F2126">
        <v>14751.924</v>
      </c>
      <c r="G2126">
        <v>18</v>
      </c>
      <c r="L2126" t="s">
        <v>6296</v>
      </c>
      <c r="O2126" t="s">
        <v>6297</v>
      </c>
    </row>
    <row r="2127" spans="1:15" x14ac:dyDescent="0.25">
      <c r="A2127" t="s">
        <v>18</v>
      </c>
      <c r="B2127" t="s">
        <v>6296</v>
      </c>
      <c r="C2127" t="s">
        <v>6298</v>
      </c>
      <c r="D2127" t="s">
        <v>20</v>
      </c>
      <c r="E2127" t="s">
        <v>11</v>
      </c>
      <c r="F2127">
        <v>1631.85</v>
      </c>
      <c r="G2127">
        <v>18</v>
      </c>
      <c r="L2127" t="s">
        <v>6299</v>
      </c>
      <c r="O2127" t="s">
        <v>6300</v>
      </c>
    </row>
    <row r="2128" spans="1:15" x14ac:dyDescent="0.25">
      <c r="A2128" t="s">
        <v>18</v>
      </c>
      <c r="B2128" t="s">
        <v>6299</v>
      </c>
      <c r="C2128" t="s">
        <v>6301</v>
      </c>
      <c r="D2128" t="s">
        <v>20</v>
      </c>
      <c r="E2128" t="s">
        <v>11</v>
      </c>
      <c r="F2128">
        <v>1109.658</v>
      </c>
      <c r="G2128">
        <v>18</v>
      </c>
      <c r="L2128" t="s">
        <v>6302</v>
      </c>
      <c r="O2128" t="s">
        <v>6303</v>
      </c>
    </row>
    <row r="2129" spans="1:15" x14ac:dyDescent="0.25">
      <c r="A2129" t="s">
        <v>18</v>
      </c>
      <c r="B2129" t="s">
        <v>6302</v>
      </c>
      <c r="C2129" t="s">
        <v>6304</v>
      </c>
      <c r="D2129" t="s">
        <v>20</v>
      </c>
      <c r="E2129" t="s">
        <v>11</v>
      </c>
      <c r="F2129">
        <v>5744.112</v>
      </c>
      <c r="G2129">
        <v>18</v>
      </c>
      <c r="L2129" t="s">
        <v>6305</v>
      </c>
      <c r="O2129" t="s">
        <v>6306</v>
      </c>
    </row>
    <row r="2130" spans="1:15" x14ac:dyDescent="0.25">
      <c r="A2130" t="s">
        <v>18</v>
      </c>
      <c r="B2130" t="s">
        <v>6305</v>
      </c>
      <c r="C2130" t="s">
        <v>6307</v>
      </c>
      <c r="D2130" t="s">
        <v>20</v>
      </c>
      <c r="E2130" t="s">
        <v>11</v>
      </c>
      <c r="F2130">
        <v>5221.92</v>
      </c>
      <c r="G2130">
        <v>18</v>
      </c>
      <c r="L2130" t="s">
        <v>6308</v>
      </c>
      <c r="O2130" t="s">
        <v>6309</v>
      </c>
    </row>
    <row r="2131" spans="1:15" x14ac:dyDescent="0.25">
      <c r="A2131" t="s">
        <v>18</v>
      </c>
      <c r="B2131" t="s">
        <v>6308</v>
      </c>
      <c r="C2131" t="s">
        <v>6310</v>
      </c>
      <c r="D2131" t="s">
        <v>20</v>
      </c>
      <c r="E2131" t="s">
        <v>11</v>
      </c>
      <c r="F2131">
        <v>4308.084</v>
      </c>
      <c r="G2131">
        <v>18</v>
      </c>
      <c r="L2131" t="s">
        <v>6311</v>
      </c>
      <c r="O2131" t="s">
        <v>6312</v>
      </c>
    </row>
    <row r="2132" spans="1:15" x14ac:dyDescent="0.25">
      <c r="A2132" t="s">
        <v>18</v>
      </c>
      <c r="B2132" t="s">
        <v>6311</v>
      </c>
      <c r="C2132" t="s">
        <v>6313</v>
      </c>
      <c r="D2132" t="s">
        <v>20</v>
      </c>
      <c r="E2132" t="s">
        <v>11</v>
      </c>
      <c r="F2132">
        <v>2088.768</v>
      </c>
      <c r="G2132">
        <v>18</v>
      </c>
      <c r="L2132" t="s">
        <v>6314</v>
      </c>
      <c r="O2132" t="s">
        <v>6315</v>
      </c>
    </row>
    <row r="2133" spans="1:15" x14ac:dyDescent="0.25">
      <c r="A2133" t="s">
        <v>18</v>
      </c>
      <c r="B2133" t="s">
        <v>6314</v>
      </c>
      <c r="C2133" t="s">
        <v>6316</v>
      </c>
      <c r="D2133" t="s">
        <v>20</v>
      </c>
      <c r="E2133" t="s">
        <v>11</v>
      </c>
      <c r="F2133">
        <v>3590.0699999999997</v>
      </c>
      <c r="G2133">
        <v>18</v>
      </c>
      <c r="L2133" t="s">
        <v>6317</v>
      </c>
      <c r="O2133" t="s">
        <v>6318</v>
      </c>
    </row>
    <row r="2134" spans="1:15" x14ac:dyDescent="0.25">
      <c r="A2134" t="s">
        <v>18</v>
      </c>
      <c r="B2134" t="s">
        <v>6317</v>
      </c>
      <c r="C2134" t="s">
        <v>6319</v>
      </c>
      <c r="D2134" t="s">
        <v>20</v>
      </c>
      <c r="E2134" t="s">
        <v>11</v>
      </c>
      <c r="F2134">
        <v>13511.717999999999</v>
      </c>
      <c r="G2134">
        <v>18</v>
      </c>
      <c r="L2134" t="s">
        <v>6320</v>
      </c>
      <c r="O2134" t="s">
        <v>6321</v>
      </c>
    </row>
    <row r="2135" spans="1:15" x14ac:dyDescent="0.25">
      <c r="A2135" t="s">
        <v>18</v>
      </c>
      <c r="B2135" t="s">
        <v>6320</v>
      </c>
      <c r="C2135" t="s">
        <v>6322</v>
      </c>
      <c r="D2135" t="s">
        <v>20</v>
      </c>
      <c r="E2135" t="s">
        <v>11</v>
      </c>
      <c r="F2135">
        <v>5221.92</v>
      </c>
      <c r="G2135">
        <v>18</v>
      </c>
      <c r="L2135" t="s">
        <v>6323</v>
      </c>
      <c r="O2135" t="s">
        <v>6324</v>
      </c>
    </row>
    <row r="2136" spans="1:15" x14ac:dyDescent="0.25">
      <c r="A2136" t="s">
        <v>18</v>
      </c>
      <c r="B2136" t="s">
        <v>6323</v>
      </c>
      <c r="C2136" t="s">
        <v>6325</v>
      </c>
      <c r="D2136" t="s">
        <v>20</v>
      </c>
      <c r="E2136" t="s">
        <v>11</v>
      </c>
      <c r="F2136">
        <v>10052.195999999998</v>
      </c>
      <c r="G2136">
        <v>18</v>
      </c>
      <c r="L2136" t="s">
        <v>6326</v>
      </c>
      <c r="O2136" t="s">
        <v>6327</v>
      </c>
    </row>
    <row r="2137" spans="1:15" x14ac:dyDescent="0.25">
      <c r="A2137" t="s">
        <v>18</v>
      </c>
      <c r="B2137" t="s">
        <v>6326</v>
      </c>
      <c r="C2137" t="s">
        <v>6328</v>
      </c>
      <c r="D2137" t="s">
        <v>20</v>
      </c>
      <c r="E2137" t="s">
        <v>11</v>
      </c>
      <c r="F2137">
        <v>9073.086</v>
      </c>
      <c r="G2137">
        <v>18</v>
      </c>
      <c r="L2137" t="s">
        <v>6329</v>
      </c>
      <c r="O2137" t="s">
        <v>6330</v>
      </c>
    </row>
    <row r="2138" spans="1:15" x14ac:dyDescent="0.25">
      <c r="A2138" t="s">
        <v>18</v>
      </c>
      <c r="B2138" t="s">
        <v>6329</v>
      </c>
      <c r="C2138" t="s">
        <v>6331</v>
      </c>
      <c r="D2138" t="s">
        <v>20</v>
      </c>
      <c r="E2138" t="s">
        <v>11</v>
      </c>
      <c r="F2138">
        <v>15469.937999999998</v>
      </c>
      <c r="G2138">
        <v>18</v>
      </c>
      <c r="L2138" t="s">
        <v>6332</v>
      </c>
      <c r="O2138" t="s">
        <v>6333</v>
      </c>
    </row>
    <row r="2139" spans="1:15" x14ac:dyDescent="0.25">
      <c r="A2139" t="s">
        <v>18</v>
      </c>
      <c r="B2139" t="s">
        <v>6332</v>
      </c>
      <c r="C2139" t="s">
        <v>6334</v>
      </c>
      <c r="D2139" t="s">
        <v>20</v>
      </c>
      <c r="E2139" t="s">
        <v>11</v>
      </c>
      <c r="F2139">
        <v>11814.594000000001</v>
      </c>
      <c r="G2139">
        <v>18</v>
      </c>
      <c r="L2139" t="s">
        <v>6335</v>
      </c>
      <c r="O2139" t="s">
        <v>6336</v>
      </c>
    </row>
    <row r="2140" spans="1:15" x14ac:dyDescent="0.25">
      <c r="A2140" t="s">
        <v>18</v>
      </c>
      <c r="B2140" t="s">
        <v>6335</v>
      </c>
      <c r="C2140" t="s">
        <v>6337</v>
      </c>
      <c r="D2140" t="s">
        <v>20</v>
      </c>
      <c r="E2140" t="s">
        <v>11</v>
      </c>
      <c r="F2140">
        <v>14229.732</v>
      </c>
      <c r="G2140">
        <v>18</v>
      </c>
      <c r="L2140" t="s">
        <v>6338</v>
      </c>
      <c r="O2140" t="s">
        <v>6339</v>
      </c>
    </row>
    <row r="2141" spans="1:15" x14ac:dyDescent="0.25">
      <c r="A2141" t="s">
        <v>18</v>
      </c>
      <c r="B2141" t="s">
        <v>6338</v>
      </c>
      <c r="C2141" t="s">
        <v>6340</v>
      </c>
      <c r="D2141" t="s">
        <v>20</v>
      </c>
      <c r="E2141" t="s">
        <v>11</v>
      </c>
      <c r="F2141">
        <v>1827.672</v>
      </c>
      <c r="G2141">
        <v>18</v>
      </c>
      <c r="L2141" t="s">
        <v>6341</v>
      </c>
      <c r="O2141" t="s">
        <v>6342</v>
      </c>
    </row>
    <row r="2142" spans="1:15" x14ac:dyDescent="0.25">
      <c r="A2142" t="s">
        <v>18</v>
      </c>
      <c r="B2142" t="s">
        <v>6341</v>
      </c>
      <c r="C2142" t="s">
        <v>6343</v>
      </c>
      <c r="D2142" t="s">
        <v>20</v>
      </c>
      <c r="E2142" t="s">
        <v>11</v>
      </c>
      <c r="F2142">
        <v>2088.768</v>
      </c>
      <c r="G2142">
        <v>18</v>
      </c>
      <c r="L2142" t="s">
        <v>6344</v>
      </c>
      <c r="O2142" t="s">
        <v>6345</v>
      </c>
    </row>
    <row r="2143" spans="1:15" x14ac:dyDescent="0.25">
      <c r="A2143" t="s">
        <v>18</v>
      </c>
      <c r="B2143" t="s">
        <v>6344</v>
      </c>
      <c r="C2143" t="s">
        <v>6346</v>
      </c>
      <c r="D2143" t="s">
        <v>20</v>
      </c>
      <c r="E2143" t="s">
        <v>11</v>
      </c>
      <c r="F2143">
        <v>3394.2479999999996</v>
      </c>
      <c r="G2143">
        <v>18</v>
      </c>
      <c r="L2143" t="s">
        <v>6347</v>
      </c>
      <c r="O2143" t="s">
        <v>6348</v>
      </c>
    </row>
    <row r="2144" spans="1:15" x14ac:dyDescent="0.25">
      <c r="A2144" t="s">
        <v>18</v>
      </c>
      <c r="B2144" t="s">
        <v>6347</v>
      </c>
      <c r="C2144" t="s">
        <v>6349</v>
      </c>
      <c r="D2144" t="s">
        <v>20</v>
      </c>
      <c r="E2144" t="s">
        <v>11</v>
      </c>
      <c r="F2144">
        <v>1697.1239999999998</v>
      </c>
      <c r="G2144">
        <v>18</v>
      </c>
      <c r="L2144" t="s">
        <v>6350</v>
      </c>
      <c r="O2144" t="s">
        <v>6351</v>
      </c>
    </row>
    <row r="2145" spans="1:15" x14ac:dyDescent="0.25">
      <c r="A2145" t="s">
        <v>18</v>
      </c>
      <c r="B2145" t="s">
        <v>6350</v>
      </c>
      <c r="C2145" t="s">
        <v>6352</v>
      </c>
      <c r="D2145" t="s">
        <v>20</v>
      </c>
      <c r="E2145" t="s">
        <v>11</v>
      </c>
      <c r="F2145">
        <v>3720.6179999999995</v>
      </c>
      <c r="G2145">
        <v>18</v>
      </c>
      <c r="L2145" t="s">
        <v>6353</v>
      </c>
      <c r="O2145" t="s">
        <v>6354</v>
      </c>
    </row>
    <row r="2146" spans="1:15" x14ac:dyDescent="0.25">
      <c r="A2146" t="s">
        <v>18</v>
      </c>
      <c r="B2146" t="s">
        <v>6353</v>
      </c>
      <c r="C2146" t="s">
        <v>6355</v>
      </c>
      <c r="D2146" t="s">
        <v>20</v>
      </c>
      <c r="E2146" t="s">
        <v>11</v>
      </c>
      <c r="F2146">
        <v>16057.403999999999</v>
      </c>
      <c r="G2146">
        <v>18</v>
      </c>
      <c r="L2146" t="s">
        <v>6356</v>
      </c>
      <c r="O2146" t="s">
        <v>6357</v>
      </c>
    </row>
    <row r="2147" spans="1:15" x14ac:dyDescent="0.25">
      <c r="A2147" t="s">
        <v>18</v>
      </c>
      <c r="B2147" t="s">
        <v>6356</v>
      </c>
      <c r="C2147" t="s">
        <v>6358</v>
      </c>
      <c r="D2147" t="s">
        <v>20</v>
      </c>
      <c r="E2147" t="s">
        <v>11</v>
      </c>
      <c r="F2147">
        <v>1958.22</v>
      </c>
      <c r="G2147">
        <v>18</v>
      </c>
      <c r="L2147" t="s">
        <v>6359</v>
      </c>
      <c r="O2147" t="s">
        <v>6360</v>
      </c>
    </row>
    <row r="2148" spans="1:15" x14ac:dyDescent="0.25">
      <c r="A2148" t="s">
        <v>18</v>
      </c>
      <c r="B2148" t="s">
        <v>6359</v>
      </c>
      <c r="C2148" t="s">
        <v>6361</v>
      </c>
      <c r="D2148" t="s">
        <v>20</v>
      </c>
      <c r="E2148" t="s">
        <v>11</v>
      </c>
      <c r="F2148">
        <v>8616.168</v>
      </c>
      <c r="G2148">
        <v>18</v>
      </c>
      <c r="L2148" t="s">
        <v>6362</v>
      </c>
      <c r="O2148" t="s">
        <v>6363</v>
      </c>
    </row>
    <row r="2149" spans="1:15" x14ac:dyDescent="0.25">
      <c r="A2149" t="s">
        <v>18</v>
      </c>
      <c r="B2149" t="s">
        <v>6362</v>
      </c>
      <c r="C2149" t="s">
        <v>6364</v>
      </c>
      <c r="D2149" t="s">
        <v>20</v>
      </c>
      <c r="E2149" t="s">
        <v>11</v>
      </c>
      <c r="F2149">
        <v>13968.636</v>
      </c>
      <c r="G2149">
        <v>18</v>
      </c>
      <c r="L2149" t="s">
        <v>6365</v>
      </c>
      <c r="O2149" t="s">
        <v>6366</v>
      </c>
    </row>
    <row r="2150" spans="1:15" x14ac:dyDescent="0.25">
      <c r="A2150" t="s">
        <v>18</v>
      </c>
      <c r="B2150" t="s">
        <v>6365</v>
      </c>
      <c r="C2150" t="s">
        <v>6367</v>
      </c>
      <c r="D2150" t="s">
        <v>20</v>
      </c>
      <c r="E2150" t="s">
        <v>11</v>
      </c>
      <c r="F2150">
        <v>13968.636</v>
      </c>
      <c r="G2150">
        <v>18</v>
      </c>
      <c r="L2150" t="s">
        <v>6368</v>
      </c>
      <c r="O2150" t="s">
        <v>6369</v>
      </c>
    </row>
    <row r="2151" spans="1:15" x14ac:dyDescent="0.25">
      <c r="A2151" t="s">
        <v>18</v>
      </c>
      <c r="B2151" t="s">
        <v>6368</v>
      </c>
      <c r="C2151" t="s">
        <v>6370</v>
      </c>
      <c r="D2151" t="s">
        <v>20</v>
      </c>
      <c r="E2151" t="s">
        <v>11</v>
      </c>
      <c r="F2151">
        <v>2415.138</v>
      </c>
      <c r="G2151">
        <v>18</v>
      </c>
      <c r="L2151" t="s">
        <v>6371</v>
      </c>
      <c r="O2151" t="s">
        <v>6372</v>
      </c>
    </row>
    <row r="2152" spans="1:15" x14ac:dyDescent="0.25">
      <c r="A2152" t="s">
        <v>18</v>
      </c>
      <c r="B2152" t="s">
        <v>6371</v>
      </c>
      <c r="C2152" t="s">
        <v>6373</v>
      </c>
      <c r="D2152" t="s">
        <v>20</v>
      </c>
      <c r="E2152" t="s">
        <v>11</v>
      </c>
      <c r="F2152">
        <v>13511.717999999999</v>
      </c>
      <c r="G2152">
        <v>18</v>
      </c>
      <c r="L2152" t="s">
        <v>6374</v>
      </c>
      <c r="O2152" t="s">
        <v>6375</v>
      </c>
    </row>
    <row r="2153" spans="1:15" x14ac:dyDescent="0.25">
      <c r="A2153" t="s">
        <v>18</v>
      </c>
      <c r="B2153" t="s">
        <v>6374</v>
      </c>
      <c r="C2153" t="s">
        <v>6376</v>
      </c>
      <c r="D2153" t="s">
        <v>20</v>
      </c>
      <c r="E2153" t="s">
        <v>11</v>
      </c>
      <c r="F2153">
        <v>3263.7</v>
      </c>
      <c r="G2153">
        <v>18</v>
      </c>
      <c r="L2153" t="s">
        <v>6377</v>
      </c>
      <c r="O2153" t="s">
        <v>6378</v>
      </c>
    </row>
    <row r="2154" spans="1:15" x14ac:dyDescent="0.25">
      <c r="A2154" t="s">
        <v>18</v>
      </c>
      <c r="B2154" t="s">
        <v>6377</v>
      </c>
      <c r="C2154" t="s">
        <v>6379</v>
      </c>
      <c r="D2154" t="s">
        <v>20</v>
      </c>
      <c r="E2154" t="s">
        <v>11</v>
      </c>
      <c r="F2154">
        <v>2154.042</v>
      </c>
      <c r="G2154">
        <v>18</v>
      </c>
      <c r="L2154" t="s">
        <v>6380</v>
      </c>
      <c r="O2154" t="s">
        <v>6381</v>
      </c>
    </row>
    <row r="2155" spans="1:15" x14ac:dyDescent="0.25">
      <c r="A2155" t="s">
        <v>18</v>
      </c>
      <c r="B2155" t="s">
        <v>6380</v>
      </c>
      <c r="C2155" t="s">
        <v>6382</v>
      </c>
      <c r="D2155" t="s">
        <v>20</v>
      </c>
      <c r="E2155" t="s">
        <v>11</v>
      </c>
      <c r="F2155">
        <v>5417.742</v>
      </c>
      <c r="G2155">
        <v>18</v>
      </c>
      <c r="L2155" t="s">
        <v>6383</v>
      </c>
      <c r="O2155" t="s">
        <v>6384</v>
      </c>
    </row>
    <row r="2156" spans="1:15" x14ac:dyDescent="0.25">
      <c r="A2156" t="s">
        <v>18</v>
      </c>
      <c r="B2156" t="s">
        <v>6383</v>
      </c>
      <c r="C2156" t="s">
        <v>6385</v>
      </c>
      <c r="D2156" t="s">
        <v>20</v>
      </c>
      <c r="E2156" t="s">
        <v>11</v>
      </c>
      <c r="F2156">
        <v>5483.016</v>
      </c>
      <c r="G2156">
        <v>18</v>
      </c>
      <c r="L2156" t="s">
        <v>6386</v>
      </c>
      <c r="O2156" t="s">
        <v>6387</v>
      </c>
    </row>
    <row r="2157" spans="1:15" x14ac:dyDescent="0.25">
      <c r="A2157" t="s">
        <v>18</v>
      </c>
      <c r="B2157" t="s">
        <v>6386</v>
      </c>
      <c r="C2157" t="s">
        <v>6388</v>
      </c>
      <c r="D2157" t="s">
        <v>20</v>
      </c>
      <c r="E2157" t="s">
        <v>11</v>
      </c>
      <c r="F2157">
        <v>979.11</v>
      </c>
      <c r="G2157">
        <v>18</v>
      </c>
      <c r="L2157" t="s">
        <v>6389</v>
      </c>
      <c r="O2157" t="s">
        <v>6390</v>
      </c>
    </row>
    <row r="2158" spans="1:15" x14ac:dyDescent="0.25">
      <c r="A2158" t="s">
        <v>18</v>
      </c>
      <c r="B2158" t="s">
        <v>6389</v>
      </c>
      <c r="C2158" t="s">
        <v>6391</v>
      </c>
      <c r="D2158" t="s">
        <v>20</v>
      </c>
      <c r="E2158" t="s">
        <v>11</v>
      </c>
      <c r="F2158">
        <v>326.37</v>
      </c>
      <c r="G2158">
        <v>18</v>
      </c>
      <c r="L2158" t="s">
        <v>6392</v>
      </c>
      <c r="O2158" t="s">
        <v>6393</v>
      </c>
    </row>
    <row r="2159" spans="1:15" x14ac:dyDescent="0.25">
      <c r="A2159" t="s">
        <v>18</v>
      </c>
      <c r="B2159" t="s">
        <v>6392</v>
      </c>
      <c r="C2159" t="s">
        <v>6394</v>
      </c>
      <c r="D2159" t="s">
        <v>20</v>
      </c>
      <c r="E2159" t="s">
        <v>11</v>
      </c>
      <c r="F2159">
        <v>587.4659999999999</v>
      </c>
      <c r="G2159">
        <v>18</v>
      </c>
      <c r="L2159" t="s">
        <v>6395</v>
      </c>
      <c r="O2159" t="s">
        <v>6396</v>
      </c>
    </row>
    <row r="2160" spans="1:15" x14ac:dyDescent="0.25">
      <c r="A2160" t="s">
        <v>18</v>
      </c>
      <c r="B2160" t="s">
        <v>6395</v>
      </c>
      <c r="C2160" t="s">
        <v>6397</v>
      </c>
      <c r="D2160" t="s">
        <v>20</v>
      </c>
      <c r="E2160" t="s">
        <v>11</v>
      </c>
      <c r="F2160">
        <v>20365.487999999998</v>
      </c>
      <c r="G2160">
        <v>18</v>
      </c>
      <c r="L2160" t="s">
        <v>6398</v>
      </c>
      <c r="O2160" t="s">
        <v>6399</v>
      </c>
    </row>
    <row r="2161" spans="1:15" x14ac:dyDescent="0.25">
      <c r="A2161" t="s">
        <v>18</v>
      </c>
      <c r="B2161" t="s">
        <v>6398</v>
      </c>
      <c r="C2161" t="s">
        <v>6400</v>
      </c>
      <c r="D2161" t="s">
        <v>20</v>
      </c>
      <c r="E2161" t="s">
        <v>11</v>
      </c>
      <c r="F2161">
        <v>2284.59</v>
      </c>
      <c r="G2161">
        <v>18</v>
      </c>
      <c r="L2161" t="s">
        <v>6401</v>
      </c>
      <c r="O2161" t="s">
        <v>6402</v>
      </c>
    </row>
    <row r="2162" spans="1:15" x14ac:dyDescent="0.25">
      <c r="A2162" t="s">
        <v>18</v>
      </c>
      <c r="B2162" t="s">
        <v>6401</v>
      </c>
      <c r="C2162" t="s">
        <v>6403</v>
      </c>
      <c r="D2162" t="s">
        <v>20</v>
      </c>
      <c r="E2162" t="s">
        <v>11</v>
      </c>
      <c r="F2162">
        <v>23563.913999999997</v>
      </c>
      <c r="G2162">
        <v>18</v>
      </c>
      <c r="L2162" t="s">
        <v>6404</v>
      </c>
      <c r="O2162" t="s">
        <v>6405</v>
      </c>
    </row>
    <row r="2163" spans="1:15" x14ac:dyDescent="0.25">
      <c r="A2163" t="s">
        <v>18</v>
      </c>
      <c r="B2163" t="s">
        <v>6404</v>
      </c>
      <c r="C2163" t="s">
        <v>6406</v>
      </c>
      <c r="D2163" t="s">
        <v>20</v>
      </c>
      <c r="E2163" t="s">
        <v>11</v>
      </c>
      <c r="F2163">
        <v>10704.936</v>
      </c>
      <c r="G2163">
        <v>18</v>
      </c>
      <c r="L2163" t="s">
        <v>6407</v>
      </c>
      <c r="O2163" t="s">
        <v>6408</v>
      </c>
    </row>
    <row r="2164" spans="1:15" x14ac:dyDescent="0.25">
      <c r="A2164" t="s">
        <v>18</v>
      </c>
      <c r="B2164" t="s">
        <v>6407</v>
      </c>
      <c r="C2164" t="s">
        <v>6409</v>
      </c>
      <c r="D2164" t="s">
        <v>20</v>
      </c>
      <c r="E2164" t="s">
        <v>11</v>
      </c>
      <c r="F2164">
        <v>17819.802</v>
      </c>
      <c r="G2164">
        <v>18</v>
      </c>
      <c r="L2164" t="s">
        <v>6410</v>
      </c>
      <c r="O2164" t="s">
        <v>6411</v>
      </c>
    </row>
    <row r="2165" spans="1:15" x14ac:dyDescent="0.25">
      <c r="A2165" t="s">
        <v>18</v>
      </c>
      <c r="B2165" t="s">
        <v>6410</v>
      </c>
      <c r="C2165" t="s">
        <v>6412</v>
      </c>
      <c r="D2165" t="s">
        <v>20</v>
      </c>
      <c r="E2165" t="s">
        <v>11</v>
      </c>
      <c r="F2165">
        <v>4895.55</v>
      </c>
      <c r="G2165">
        <v>18</v>
      </c>
      <c r="L2165" t="s">
        <v>6413</v>
      </c>
      <c r="O2165" t="s">
        <v>6414</v>
      </c>
    </row>
    <row r="2166" spans="1:15" x14ac:dyDescent="0.25">
      <c r="A2166" t="s">
        <v>18</v>
      </c>
      <c r="B2166" t="s">
        <v>6413</v>
      </c>
      <c r="C2166" t="s">
        <v>6415</v>
      </c>
      <c r="D2166" t="s">
        <v>20</v>
      </c>
      <c r="E2166" t="s">
        <v>11</v>
      </c>
      <c r="F2166">
        <v>17950.35</v>
      </c>
      <c r="G2166">
        <v>18</v>
      </c>
      <c r="L2166" t="s">
        <v>6416</v>
      </c>
      <c r="O2166" t="s">
        <v>6417</v>
      </c>
    </row>
    <row r="2167" spans="1:15" x14ac:dyDescent="0.25">
      <c r="A2167" t="s">
        <v>18</v>
      </c>
      <c r="B2167" t="s">
        <v>6416</v>
      </c>
      <c r="C2167" t="s">
        <v>6418</v>
      </c>
      <c r="D2167" t="s">
        <v>20</v>
      </c>
      <c r="E2167" t="s">
        <v>11</v>
      </c>
      <c r="F2167">
        <v>17558.706</v>
      </c>
      <c r="G2167">
        <v>18</v>
      </c>
      <c r="L2167" t="s">
        <v>6419</v>
      </c>
      <c r="O2167" t="s">
        <v>6420</v>
      </c>
    </row>
    <row r="2168" spans="1:15" x14ac:dyDescent="0.25">
      <c r="A2168" t="s">
        <v>18</v>
      </c>
      <c r="B2168" t="s">
        <v>6419</v>
      </c>
      <c r="C2168" t="s">
        <v>6421</v>
      </c>
      <c r="D2168" t="s">
        <v>20</v>
      </c>
      <c r="E2168" t="s">
        <v>11</v>
      </c>
      <c r="F2168">
        <v>16767.827999999998</v>
      </c>
      <c r="G2168">
        <v>18</v>
      </c>
      <c r="L2168" t="s">
        <v>6422</v>
      </c>
      <c r="O2168" t="s">
        <v>6423</v>
      </c>
    </row>
    <row r="2169" spans="1:15" x14ac:dyDescent="0.25">
      <c r="A2169" t="s">
        <v>18</v>
      </c>
      <c r="B2169" t="s">
        <v>6422</v>
      </c>
      <c r="C2169" t="s">
        <v>6424</v>
      </c>
      <c r="D2169" t="s">
        <v>20</v>
      </c>
      <c r="E2169" t="s">
        <v>11</v>
      </c>
      <c r="F2169">
        <v>14686.65</v>
      </c>
      <c r="G2169">
        <v>18</v>
      </c>
      <c r="L2169" t="s">
        <v>6425</v>
      </c>
      <c r="O2169" t="s">
        <v>6426</v>
      </c>
    </row>
    <row r="2170" spans="1:15" x14ac:dyDescent="0.25">
      <c r="A2170" t="s">
        <v>18</v>
      </c>
      <c r="B2170" t="s">
        <v>6425</v>
      </c>
      <c r="C2170" t="s">
        <v>6427</v>
      </c>
      <c r="D2170" t="s">
        <v>20</v>
      </c>
      <c r="E2170" t="s">
        <v>11</v>
      </c>
      <c r="F2170">
        <v>17558.706</v>
      </c>
      <c r="G2170">
        <v>18</v>
      </c>
      <c r="L2170" t="s">
        <v>6428</v>
      </c>
      <c r="O2170" t="s">
        <v>6429</v>
      </c>
    </row>
    <row r="2171" spans="1:15" x14ac:dyDescent="0.25">
      <c r="A2171" t="s">
        <v>18</v>
      </c>
      <c r="B2171" t="s">
        <v>6428</v>
      </c>
      <c r="C2171" t="s">
        <v>6430</v>
      </c>
      <c r="D2171" t="s">
        <v>20</v>
      </c>
      <c r="E2171" t="s">
        <v>11</v>
      </c>
      <c r="F2171">
        <v>17428.158</v>
      </c>
      <c r="G2171">
        <v>18</v>
      </c>
      <c r="L2171" t="s">
        <v>6431</v>
      </c>
      <c r="O2171" t="s">
        <v>6432</v>
      </c>
    </row>
    <row r="2172" spans="1:15" x14ac:dyDescent="0.25">
      <c r="A2172" t="s">
        <v>18</v>
      </c>
      <c r="B2172" t="s">
        <v>6431</v>
      </c>
      <c r="C2172" t="s">
        <v>6433</v>
      </c>
      <c r="D2172" t="s">
        <v>20</v>
      </c>
      <c r="E2172" t="s">
        <v>11</v>
      </c>
      <c r="F2172">
        <v>7049.592000000001</v>
      </c>
      <c r="G2172">
        <v>18</v>
      </c>
      <c r="L2172" t="s">
        <v>6434</v>
      </c>
      <c r="O2172" t="s">
        <v>6435</v>
      </c>
    </row>
    <row r="2173" spans="1:15" x14ac:dyDescent="0.25">
      <c r="A2173" t="s">
        <v>18</v>
      </c>
      <c r="B2173" t="s">
        <v>6434</v>
      </c>
      <c r="C2173" t="s">
        <v>6436</v>
      </c>
      <c r="D2173" t="s">
        <v>20</v>
      </c>
      <c r="E2173" t="s">
        <v>11</v>
      </c>
      <c r="F2173">
        <v>7963.428</v>
      </c>
      <c r="G2173">
        <v>18</v>
      </c>
      <c r="L2173" t="s">
        <v>6437</v>
      </c>
      <c r="O2173" t="s">
        <v>6438</v>
      </c>
    </row>
    <row r="2174" spans="1:15" x14ac:dyDescent="0.25">
      <c r="A2174" t="s">
        <v>18</v>
      </c>
      <c r="B2174" t="s">
        <v>6437</v>
      </c>
      <c r="C2174" t="s">
        <v>6439</v>
      </c>
      <c r="D2174" t="s">
        <v>20</v>
      </c>
      <c r="E2174" t="s">
        <v>11</v>
      </c>
      <c r="F2174">
        <v>2937.3300000000004</v>
      </c>
      <c r="G2174">
        <v>18</v>
      </c>
      <c r="L2174" t="s">
        <v>6440</v>
      </c>
      <c r="O2174" t="s">
        <v>6441</v>
      </c>
    </row>
    <row r="2175" spans="1:15" x14ac:dyDescent="0.25">
      <c r="A2175" t="s">
        <v>18</v>
      </c>
      <c r="B2175" t="s">
        <v>6440</v>
      </c>
      <c r="C2175" t="s">
        <v>6442</v>
      </c>
      <c r="D2175" t="s">
        <v>20</v>
      </c>
      <c r="E2175" t="s">
        <v>11</v>
      </c>
      <c r="F2175">
        <v>4569.18</v>
      </c>
      <c r="G2175">
        <v>18</v>
      </c>
      <c r="L2175" t="s">
        <v>6443</v>
      </c>
      <c r="O2175" t="s">
        <v>6444</v>
      </c>
    </row>
    <row r="2176" spans="1:15" x14ac:dyDescent="0.25">
      <c r="A2176" t="s">
        <v>18</v>
      </c>
      <c r="B2176" t="s">
        <v>6443</v>
      </c>
      <c r="C2176" t="s">
        <v>6445</v>
      </c>
      <c r="D2176" t="s">
        <v>20</v>
      </c>
      <c r="E2176" t="s">
        <v>11</v>
      </c>
      <c r="F2176">
        <v>32963.37</v>
      </c>
      <c r="G2176">
        <v>18</v>
      </c>
      <c r="L2176" t="s">
        <v>6446</v>
      </c>
      <c r="O2176" t="s">
        <v>6447</v>
      </c>
    </row>
    <row r="2177" spans="1:15" x14ac:dyDescent="0.25">
      <c r="A2177" t="s">
        <v>18</v>
      </c>
      <c r="B2177" t="s">
        <v>6446</v>
      </c>
      <c r="C2177" t="s">
        <v>6448</v>
      </c>
      <c r="D2177" t="s">
        <v>20</v>
      </c>
      <c r="E2177" t="s">
        <v>11</v>
      </c>
      <c r="F2177">
        <v>783.2879999999999</v>
      </c>
      <c r="G2177">
        <v>18</v>
      </c>
      <c r="L2177" t="s">
        <v>6449</v>
      </c>
      <c r="O2177" t="s">
        <v>6450</v>
      </c>
    </row>
    <row r="2178" spans="1:15" x14ac:dyDescent="0.25">
      <c r="A2178" t="s">
        <v>18</v>
      </c>
      <c r="B2178" t="s">
        <v>6449</v>
      </c>
      <c r="C2178" t="s">
        <v>6451</v>
      </c>
      <c r="D2178" t="s">
        <v>20</v>
      </c>
      <c r="E2178" t="s">
        <v>11</v>
      </c>
      <c r="F2178">
        <v>2415.138</v>
      </c>
      <c r="G2178">
        <v>18</v>
      </c>
      <c r="L2178" t="s">
        <v>6452</v>
      </c>
      <c r="O2178" t="s">
        <v>6453</v>
      </c>
    </row>
    <row r="2179" spans="1:15" x14ac:dyDescent="0.25">
      <c r="A2179" t="s">
        <v>18</v>
      </c>
      <c r="B2179" t="s">
        <v>6452</v>
      </c>
      <c r="C2179" t="s">
        <v>6454</v>
      </c>
      <c r="D2179" t="s">
        <v>20</v>
      </c>
      <c r="E2179" t="s">
        <v>11</v>
      </c>
      <c r="F2179">
        <v>7963.428</v>
      </c>
      <c r="G2179">
        <v>18</v>
      </c>
      <c r="L2179" t="s">
        <v>6455</v>
      </c>
      <c r="O2179" t="s">
        <v>6456</v>
      </c>
    </row>
    <row r="2180" spans="1:15" x14ac:dyDescent="0.25">
      <c r="A2180" t="s">
        <v>18</v>
      </c>
      <c r="B2180" t="s">
        <v>6455</v>
      </c>
      <c r="C2180" t="s">
        <v>6457</v>
      </c>
      <c r="D2180" t="s">
        <v>20</v>
      </c>
      <c r="E2180" t="s">
        <v>11</v>
      </c>
      <c r="F2180">
        <v>3133.1519999999996</v>
      </c>
      <c r="G2180">
        <v>18</v>
      </c>
      <c r="L2180" t="s">
        <v>6458</v>
      </c>
      <c r="O2180" t="s">
        <v>6459</v>
      </c>
    </row>
    <row r="2181" spans="1:15" x14ac:dyDescent="0.25">
      <c r="A2181" t="s">
        <v>18</v>
      </c>
      <c r="B2181" t="s">
        <v>6458</v>
      </c>
      <c r="C2181" t="s">
        <v>6460</v>
      </c>
      <c r="D2181" t="s">
        <v>20</v>
      </c>
      <c r="E2181" t="s">
        <v>11</v>
      </c>
      <c r="F2181">
        <v>2545.6859999999997</v>
      </c>
      <c r="G2181">
        <v>18</v>
      </c>
      <c r="L2181" t="s">
        <v>6461</v>
      </c>
      <c r="O2181" t="s">
        <v>6462</v>
      </c>
    </row>
    <row r="2182" spans="1:15" x14ac:dyDescent="0.25">
      <c r="A2182" t="s">
        <v>18</v>
      </c>
      <c r="B2182" t="s">
        <v>6461</v>
      </c>
      <c r="C2182" t="s">
        <v>6463</v>
      </c>
      <c r="D2182" t="s">
        <v>20</v>
      </c>
      <c r="E2182" t="s">
        <v>11</v>
      </c>
      <c r="F2182">
        <v>8289.797999999999</v>
      </c>
      <c r="G2182">
        <v>18</v>
      </c>
      <c r="L2182" t="s">
        <v>6464</v>
      </c>
      <c r="O2182" t="s">
        <v>6465</v>
      </c>
    </row>
    <row r="2183" spans="1:15" x14ac:dyDescent="0.25">
      <c r="A2183" t="s">
        <v>18</v>
      </c>
      <c r="B2183" t="s">
        <v>6464</v>
      </c>
      <c r="C2183" t="s">
        <v>6466</v>
      </c>
      <c r="D2183" t="s">
        <v>20</v>
      </c>
      <c r="E2183" t="s">
        <v>11</v>
      </c>
      <c r="F2183">
        <v>2284.59</v>
      </c>
      <c r="G2183">
        <v>18</v>
      </c>
      <c r="L2183" t="s">
        <v>6467</v>
      </c>
      <c r="O2183" t="s">
        <v>6468</v>
      </c>
    </row>
    <row r="2184" spans="1:15" x14ac:dyDescent="0.25">
      <c r="A2184" t="s">
        <v>18</v>
      </c>
      <c r="B2184" t="s">
        <v>6467</v>
      </c>
      <c r="C2184" t="s">
        <v>6469</v>
      </c>
      <c r="D2184" t="s">
        <v>20</v>
      </c>
      <c r="E2184" t="s">
        <v>11</v>
      </c>
      <c r="F2184">
        <v>652.74</v>
      </c>
      <c r="G2184">
        <v>18</v>
      </c>
      <c r="L2184" t="s">
        <v>6470</v>
      </c>
      <c r="O2184" t="s">
        <v>6471</v>
      </c>
    </row>
    <row r="2185" spans="1:15" x14ac:dyDescent="0.25">
      <c r="A2185" t="s">
        <v>18</v>
      </c>
      <c r="B2185" t="s">
        <v>6470</v>
      </c>
      <c r="C2185" t="s">
        <v>6472</v>
      </c>
      <c r="D2185" t="s">
        <v>20</v>
      </c>
      <c r="E2185" t="s">
        <v>11</v>
      </c>
      <c r="F2185">
        <v>2545.6859999999997</v>
      </c>
      <c r="G2185">
        <v>18</v>
      </c>
      <c r="L2185" t="s">
        <v>6473</v>
      </c>
      <c r="O2185" t="s">
        <v>6474</v>
      </c>
    </row>
    <row r="2186" spans="1:15" x14ac:dyDescent="0.25">
      <c r="A2186" t="s">
        <v>18</v>
      </c>
      <c r="B2186" t="s">
        <v>6473</v>
      </c>
      <c r="C2186" t="s">
        <v>6475</v>
      </c>
      <c r="D2186" t="s">
        <v>20</v>
      </c>
      <c r="E2186" t="s">
        <v>11</v>
      </c>
      <c r="F2186">
        <v>2545.6859999999997</v>
      </c>
      <c r="G2186">
        <v>18</v>
      </c>
      <c r="L2186" t="s">
        <v>6476</v>
      </c>
      <c r="O2186" t="s">
        <v>6477</v>
      </c>
    </row>
    <row r="2187" spans="1:15" x14ac:dyDescent="0.25">
      <c r="A2187" t="s">
        <v>18</v>
      </c>
      <c r="B2187" t="s">
        <v>6476</v>
      </c>
      <c r="C2187" t="s">
        <v>6478</v>
      </c>
      <c r="D2187" t="s">
        <v>20</v>
      </c>
      <c r="E2187" t="s">
        <v>11</v>
      </c>
      <c r="F2187">
        <v>2676.234</v>
      </c>
      <c r="G2187">
        <v>18</v>
      </c>
      <c r="L2187" t="s">
        <v>6479</v>
      </c>
      <c r="O2187" t="s">
        <v>6480</v>
      </c>
    </row>
    <row r="2188" spans="1:15" x14ac:dyDescent="0.25">
      <c r="A2188" t="s">
        <v>18</v>
      </c>
      <c r="B2188" t="s">
        <v>6479</v>
      </c>
      <c r="C2188" t="s">
        <v>6481</v>
      </c>
      <c r="D2188" t="s">
        <v>20</v>
      </c>
      <c r="E2188" t="s">
        <v>11</v>
      </c>
      <c r="F2188">
        <v>2349.8639999999996</v>
      </c>
      <c r="G2188">
        <v>18</v>
      </c>
      <c r="L2188" t="s">
        <v>6482</v>
      </c>
      <c r="O2188" t="s">
        <v>6483</v>
      </c>
    </row>
    <row r="2189" spans="1:15" x14ac:dyDescent="0.25">
      <c r="A2189" t="s">
        <v>18</v>
      </c>
      <c r="B2189" t="s">
        <v>6482</v>
      </c>
      <c r="C2189" t="s">
        <v>6484</v>
      </c>
      <c r="D2189" t="s">
        <v>20</v>
      </c>
      <c r="E2189" t="s">
        <v>11</v>
      </c>
      <c r="F2189">
        <v>8681.442000000001</v>
      </c>
      <c r="G2189">
        <v>18</v>
      </c>
      <c r="L2189" t="s">
        <v>6485</v>
      </c>
      <c r="O2189" t="s">
        <v>6486</v>
      </c>
    </row>
    <row r="2190" spans="1:15" x14ac:dyDescent="0.25">
      <c r="A2190" t="s">
        <v>18</v>
      </c>
      <c r="B2190" t="s">
        <v>6485</v>
      </c>
      <c r="C2190" t="s">
        <v>6487</v>
      </c>
      <c r="D2190" t="s">
        <v>20</v>
      </c>
      <c r="E2190" t="s">
        <v>11</v>
      </c>
      <c r="F2190">
        <v>3981.714</v>
      </c>
      <c r="G2190">
        <v>18</v>
      </c>
      <c r="L2190" t="s">
        <v>6488</v>
      </c>
      <c r="O2190" t="s">
        <v>6489</v>
      </c>
    </row>
    <row r="2191" spans="1:15" x14ac:dyDescent="0.25">
      <c r="A2191" t="s">
        <v>18</v>
      </c>
      <c r="B2191" t="s">
        <v>6488</v>
      </c>
      <c r="C2191" t="s">
        <v>6490</v>
      </c>
      <c r="D2191" t="s">
        <v>20</v>
      </c>
      <c r="E2191" t="s">
        <v>11</v>
      </c>
      <c r="F2191">
        <v>6657.947999999999</v>
      </c>
      <c r="G2191">
        <v>18</v>
      </c>
      <c r="L2191" t="s">
        <v>6491</v>
      </c>
      <c r="O2191" t="s">
        <v>6492</v>
      </c>
    </row>
    <row r="2192" spans="1:15" x14ac:dyDescent="0.25">
      <c r="A2192" t="s">
        <v>18</v>
      </c>
      <c r="B2192" t="s">
        <v>6491</v>
      </c>
      <c r="C2192" t="s">
        <v>6493</v>
      </c>
      <c r="D2192" t="s">
        <v>20</v>
      </c>
      <c r="E2192" t="s">
        <v>11</v>
      </c>
      <c r="F2192">
        <v>6657.947999999999</v>
      </c>
      <c r="G2192">
        <v>18</v>
      </c>
      <c r="L2192" t="s">
        <v>6494</v>
      </c>
      <c r="O2192" t="s">
        <v>6495</v>
      </c>
    </row>
    <row r="2193" spans="1:15" x14ac:dyDescent="0.25">
      <c r="A2193" t="s">
        <v>18</v>
      </c>
      <c r="B2193" t="s">
        <v>6494</v>
      </c>
      <c r="C2193" t="s">
        <v>6496</v>
      </c>
      <c r="D2193" t="s">
        <v>20</v>
      </c>
      <c r="E2193" t="s">
        <v>11</v>
      </c>
      <c r="F2193">
        <v>8289.797999999999</v>
      </c>
      <c r="G2193">
        <v>18</v>
      </c>
      <c r="L2193" t="s">
        <v>6497</v>
      </c>
      <c r="O2193" t="s">
        <v>6498</v>
      </c>
    </row>
    <row r="2194" spans="1:15" x14ac:dyDescent="0.25">
      <c r="A2194" t="s">
        <v>18</v>
      </c>
      <c r="B2194" t="s">
        <v>6497</v>
      </c>
      <c r="C2194" t="s">
        <v>6499</v>
      </c>
      <c r="D2194" t="s">
        <v>20</v>
      </c>
      <c r="E2194" t="s">
        <v>11</v>
      </c>
      <c r="F2194">
        <v>3590.0699999999997</v>
      </c>
      <c r="G2194">
        <v>18</v>
      </c>
      <c r="L2194" t="s">
        <v>6500</v>
      </c>
      <c r="O2194" t="s">
        <v>6501</v>
      </c>
    </row>
    <row r="2195" spans="1:15" x14ac:dyDescent="0.25">
      <c r="A2195" t="s">
        <v>18</v>
      </c>
      <c r="B2195" t="s">
        <v>6500</v>
      </c>
      <c r="C2195" t="s">
        <v>6502</v>
      </c>
      <c r="D2195" t="s">
        <v>20</v>
      </c>
      <c r="E2195" t="s">
        <v>11</v>
      </c>
      <c r="F2195">
        <v>3590.0699999999997</v>
      </c>
      <c r="G2195">
        <v>18</v>
      </c>
      <c r="L2195" t="s">
        <v>6503</v>
      </c>
      <c r="O2195" t="s">
        <v>6504</v>
      </c>
    </row>
    <row r="2196" spans="1:15" x14ac:dyDescent="0.25">
      <c r="A2196" t="s">
        <v>18</v>
      </c>
      <c r="B2196" t="s">
        <v>6503</v>
      </c>
      <c r="C2196" t="s">
        <v>6505</v>
      </c>
      <c r="D2196" t="s">
        <v>20</v>
      </c>
      <c r="E2196" t="s">
        <v>11</v>
      </c>
      <c r="F2196">
        <v>391.64399999999995</v>
      </c>
      <c r="G2196">
        <v>18</v>
      </c>
      <c r="L2196" t="s">
        <v>6506</v>
      </c>
      <c r="O2196" t="s">
        <v>6507</v>
      </c>
    </row>
    <row r="2197" spans="1:15" x14ac:dyDescent="0.25">
      <c r="A2197" t="s">
        <v>18</v>
      </c>
      <c r="B2197" t="s">
        <v>6506</v>
      </c>
      <c r="C2197" t="s">
        <v>6508</v>
      </c>
      <c r="D2197" t="s">
        <v>20</v>
      </c>
      <c r="E2197" t="s">
        <v>11</v>
      </c>
      <c r="F2197">
        <v>195.82199999999997</v>
      </c>
      <c r="G2197">
        <v>18</v>
      </c>
      <c r="L2197" t="s">
        <v>6509</v>
      </c>
      <c r="O2197" t="s">
        <v>6510</v>
      </c>
    </row>
    <row r="2198" spans="1:15" x14ac:dyDescent="0.25">
      <c r="A2198" t="s">
        <v>18</v>
      </c>
      <c r="B2198" t="s">
        <v>6509</v>
      </c>
      <c r="C2198" t="s">
        <v>6511</v>
      </c>
      <c r="D2198" t="s">
        <v>20</v>
      </c>
      <c r="E2198" t="s">
        <v>11</v>
      </c>
      <c r="F2198">
        <v>18211.446</v>
      </c>
      <c r="G2198">
        <v>18</v>
      </c>
      <c r="L2198" t="s">
        <v>6512</v>
      </c>
      <c r="O2198" t="s">
        <v>6513</v>
      </c>
    </row>
    <row r="2199" spans="1:15" x14ac:dyDescent="0.25">
      <c r="A2199" t="s">
        <v>18</v>
      </c>
      <c r="B2199" t="s">
        <v>6512</v>
      </c>
      <c r="C2199" t="s">
        <v>6514</v>
      </c>
      <c r="D2199" t="s">
        <v>20</v>
      </c>
      <c r="E2199" t="s">
        <v>11</v>
      </c>
      <c r="F2199">
        <v>13707.539999999999</v>
      </c>
      <c r="G2199">
        <v>18</v>
      </c>
      <c r="L2199" t="s">
        <v>6515</v>
      </c>
      <c r="O2199" t="s">
        <v>6516</v>
      </c>
    </row>
    <row r="2200" spans="1:15" x14ac:dyDescent="0.25">
      <c r="A2200" t="s">
        <v>18</v>
      </c>
      <c r="B2200" t="s">
        <v>6515</v>
      </c>
      <c r="C2200" t="s">
        <v>6517</v>
      </c>
      <c r="D2200" t="s">
        <v>20</v>
      </c>
      <c r="E2200" t="s">
        <v>11</v>
      </c>
      <c r="F2200">
        <v>913.836</v>
      </c>
      <c r="G2200">
        <v>18</v>
      </c>
      <c r="L2200" t="s">
        <v>6518</v>
      </c>
      <c r="O2200" t="s">
        <v>6519</v>
      </c>
    </row>
    <row r="2201" spans="1:15" x14ac:dyDescent="0.25">
      <c r="A2201" t="s">
        <v>18</v>
      </c>
      <c r="B2201" t="s">
        <v>6518</v>
      </c>
      <c r="C2201" t="s">
        <v>6520</v>
      </c>
      <c r="D2201" t="s">
        <v>20</v>
      </c>
      <c r="E2201" t="s">
        <v>11</v>
      </c>
      <c r="F2201">
        <v>8224.524</v>
      </c>
      <c r="G2201">
        <v>18</v>
      </c>
      <c r="L2201" t="s">
        <v>6521</v>
      </c>
      <c r="O2201" t="s">
        <v>6522</v>
      </c>
    </row>
    <row r="2202" spans="1:15" x14ac:dyDescent="0.25">
      <c r="A2202" t="s">
        <v>18</v>
      </c>
      <c r="B2202" t="s">
        <v>6521</v>
      </c>
      <c r="C2202" t="s">
        <v>6523</v>
      </c>
      <c r="D2202" t="s">
        <v>20</v>
      </c>
      <c r="E2202" t="s">
        <v>11</v>
      </c>
      <c r="F2202">
        <v>7767.605999999999</v>
      </c>
      <c r="G2202">
        <v>18</v>
      </c>
      <c r="L2202" t="s">
        <v>6524</v>
      </c>
      <c r="O2202" t="s">
        <v>6525</v>
      </c>
    </row>
    <row r="2203" spans="1:15" x14ac:dyDescent="0.25">
      <c r="A2203" t="s">
        <v>18</v>
      </c>
      <c r="B2203" t="s">
        <v>6524</v>
      </c>
      <c r="C2203" t="s">
        <v>6526</v>
      </c>
      <c r="D2203" t="s">
        <v>20</v>
      </c>
      <c r="E2203" t="s">
        <v>11</v>
      </c>
      <c r="F2203">
        <v>5026.097999999999</v>
      </c>
      <c r="G2203">
        <v>18</v>
      </c>
      <c r="L2203" t="s">
        <v>6527</v>
      </c>
      <c r="O2203" t="s">
        <v>6528</v>
      </c>
    </row>
    <row r="2204" spans="1:15" x14ac:dyDescent="0.25">
      <c r="A2204" t="s">
        <v>18</v>
      </c>
      <c r="B2204" t="s">
        <v>6527</v>
      </c>
      <c r="C2204" t="s">
        <v>6529</v>
      </c>
      <c r="D2204" t="s">
        <v>20</v>
      </c>
      <c r="E2204" t="s">
        <v>11</v>
      </c>
      <c r="F2204">
        <v>4765.0019999999995</v>
      </c>
      <c r="G2204">
        <v>18</v>
      </c>
      <c r="L2204" t="s">
        <v>6530</v>
      </c>
      <c r="O2204" t="s">
        <v>6531</v>
      </c>
    </row>
    <row r="2205" spans="1:15" x14ac:dyDescent="0.25">
      <c r="A2205" t="s">
        <v>18</v>
      </c>
      <c r="B2205" t="s">
        <v>6530</v>
      </c>
      <c r="C2205" t="s">
        <v>6532</v>
      </c>
      <c r="D2205" t="s">
        <v>20</v>
      </c>
      <c r="E2205" t="s">
        <v>11</v>
      </c>
      <c r="F2205">
        <v>1044.384</v>
      </c>
      <c r="G2205">
        <v>18</v>
      </c>
      <c r="L2205" t="s">
        <v>6533</v>
      </c>
      <c r="O2205" t="s">
        <v>6534</v>
      </c>
    </row>
    <row r="2206" spans="1:15" x14ac:dyDescent="0.25">
      <c r="A2206" t="s">
        <v>18</v>
      </c>
      <c r="B2206" t="s">
        <v>6533</v>
      </c>
      <c r="C2206" t="s">
        <v>6535</v>
      </c>
      <c r="D2206" t="s">
        <v>20</v>
      </c>
      <c r="E2206" t="s">
        <v>11</v>
      </c>
      <c r="F2206">
        <v>2545.6859999999997</v>
      </c>
      <c r="G2206">
        <v>18</v>
      </c>
      <c r="L2206" t="s">
        <v>6536</v>
      </c>
      <c r="O2206" t="s">
        <v>6537</v>
      </c>
    </row>
    <row r="2207" spans="1:15" x14ac:dyDescent="0.25">
      <c r="A2207" t="s">
        <v>18</v>
      </c>
      <c r="B2207" t="s">
        <v>6536</v>
      </c>
      <c r="C2207" t="s">
        <v>6538</v>
      </c>
      <c r="D2207" t="s">
        <v>20</v>
      </c>
      <c r="E2207" t="s">
        <v>11</v>
      </c>
      <c r="F2207">
        <v>783.2879999999999</v>
      </c>
      <c r="G2207">
        <v>18</v>
      </c>
      <c r="L2207" t="s">
        <v>6539</v>
      </c>
      <c r="O2207" t="s">
        <v>6540</v>
      </c>
    </row>
    <row r="2208" spans="1:15" x14ac:dyDescent="0.25">
      <c r="A2208" t="s">
        <v>18</v>
      </c>
      <c r="B2208" t="s">
        <v>6539</v>
      </c>
      <c r="C2208" t="s">
        <v>6541</v>
      </c>
      <c r="D2208" t="s">
        <v>20</v>
      </c>
      <c r="E2208" t="s">
        <v>11</v>
      </c>
      <c r="F2208">
        <v>4046.988</v>
      </c>
      <c r="G2208">
        <v>18</v>
      </c>
      <c r="L2208" t="s">
        <v>6542</v>
      </c>
      <c r="O2208" t="s">
        <v>6543</v>
      </c>
    </row>
    <row r="2209" spans="1:15" x14ac:dyDescent="0.25">
      <c r="A2209" t="s">
        <v>18</v>
      </c>
      <c r="B2209" t="s">
        <v>6542</v>
      </c>
      <c r="C2209" t="s">
        <v>6544</v>
      </c>
      <c r="D2209" t="s">
        <v>20</v>
      </c>
      <c r="E2209" t="s">
        <v>11</v>
      </c>
      <c r="F2209">
        <v>2480.4120000000003</v>
      </c>
      <c r="G2209">
        <v>18</v>
      </c>
      <c r="L2209" t="s">
        <v>6545</v>
      </c>
      <c r="O2209" t="s">
        <v>6546</v>
      </c>
    </row>
    <row r="2210" spans="1:15" x14ac:dyDescent="0.25">
      <c r="A2210" t="s">
        <v>18</v>
      </c>
      <c r="B2210" t="s">
        <v>6545</v>
      </c>
      <c r="C2210" t="s">
        <v>6547</v>
      </c>
      <c r="D2210" t="s">
        <v>20</v>
      </c>
      <c r="E2210" t="s">
        <v>11</v>
      </c>
      <c r="F2210">
        <v>2284.59</v>
      </c>
      <c r="G2210">
        <v>18</v>
      </c>
      <c r="L2210" t="s">
        <v>6548</v>
      </c>
      <c r="O2210" t="s">
        <v>6549</v>
      </c>
    </row>
    <row r="2211" spans="1:15" x14ac:dyDescent="0.25">
      <c r="A2211" t="s">
        <v>18</v>
      </c>
      <c r="B2211" t="s">
        <v>6548</v>
      </c>
      <c r="C2211" t="s">
        <v>6550</v>
      </c>
      <c r="D2211" t="s">
        <v>20</v>
      </c>
      <c r="E2211" t="s">
        <v>11</v>
      </c>
      <c r="F2211">
        <v>5417.742</v>
      </c>
      <c r="G2211">
        <v>18</v>
      </c>
      <c r="L2211" t="s">
        <v>6551</v>
      </c>
      <c r="O2211" t="s">
        <v>6552</v>
      </c>
    </row>
    <row r="2212" spans="1:15" x14ac:dyDescent="0.25">
      <c r="A2212" t="s">
        <v>18</v>
      </c>
      <c r="B2212" t="s">
        <v>6551</v>
      </c>
      <c r="C2212" t="s">
        <v>6553</v>
      </c>
      <c r="D2212" t="s">
        <v>20</v>
      </c>
      <c r="E2212" t="s">
        <v>11</v>
      </c>
      <c r="F2212">
        <v>456.918</v>
      </c>
      <c r="G2212">
        <v>18</v>
      </c>
      <c r="L2212" t="s">
        <v>6554</v>
      </c>
      <c r="O2212" t="s">
        <v>6555</v>
      </c>
    </row>
    <row r="2213" spans="1:15" x14ac:dyDescent="0.25">
      <c r="A2213" t="s">
        <v>18</v>
      </c>
      <c r="B2213" t="s">
        <v>6554</v>
      </c>
      <c r="C2213" t="s">
        <v>6556</v>
      </c>
      <c r="D2213" t="s">
        <v>20</v>
      </c>
      <c r="E2213" t="s">
        <v>11</v>
      </c>
      <c r="F2213">
        <v>783.2879999999999</v>
      </c>
      <c r="G2213">
        <v>18</v>
      </c>
      <c r="L2213" t="s">
        <v>6557</v>
      </c>
      <c r="O2213" t="s">
        <v>6558</v>
      </c>
    </row>
    <row r="2214" spans="1:15" x14ac:dyDescent="0.25">
      <c r="A2214" t="s">
        <v>18</v>
      </c>
      <c r="B2214" t="s">
        <v>6557</v>
      </c>
      <c r="C2214" t="s">
        <v>6559</v>
      </c>
      <c r="D2214" t="s">
        <v>20</v>
      </c>
      <c r="E2214" t="s">
        <v>11</v>
      </c>
      <c r="F2214">
        <v>652.74</v>
      </c>
      <c r="G2214">
        <v>18</v>
      </c>
      <c r="L2214" t="s">
        <v>6560</v>
      </c>
      <c r="O2214" t="s">
        <v>6561</v>
      </c>
    </row>
    <row r="2215" spans="1:15" x14ac:dyDescent="0.25">
      <c r="A2215" t="s">
        <v>18</v>
      </c>
      <c r="B2215" t="s">
        <v>6560</v>
      </c>
      <c r="C2215" t="s">
        <v>6562</v>
      </c>
      <c r="D2215" t="s">
        <v>20</v>
      </c>
      <c r="E2215" t="s">
        <v>11</v>
      </c>
      <c r="F2215">
        <v>587.4659999999999</v>
      </c>
      <c r="G2215">
        <v>18</v>
      </c>
      <c r="L2215" t="s">
        <v>6563</v>
      </c>
      <c r="O2215" t="s">
        <v>6564</v>
      </c>
    </row>
    <row r="2216" spans="1:15" x14ac:dyDescent="0.25">
      <c r="A2216" t="s">
        <v>18</v>
      </c>
      <c r="B2216" t="s">
        <v>6563</v>
      </c>
      <c r="C2216" t="s">
        <v>6565</v>
      </c>
      <c r="D2216" t="s">
        <v>20</v>
      </c>
      <c r="E2216" t="s">
        <v>11</v>
      </c>
      <c r="F2216">
        <v>522.192</v>
      </c>
      <c r="G2216">
        <v>18</v>
      </c>
      <c r="L2216" t="s">
        <v>6566</v>
      </c>
      <c r="O2216" t="s">
        <v>6567</v>
      </c>
    </row>
    <row r="2217" spans="1:15" x14ac:dyDescent="0.25">
      <c r="A2217" t="s">
        <v>18</v>
      </c>
      <c r="B2217" t="s">
        <v>6566</v>
      </c>
      <c r="C2217" t="s">
        <v>6568</v>
      </c>
      <c r="D2217" t="s">
        <v>20</v>
      </c>
      <c r="E2217" t="s">
        <v>11</v>
      </c>
      <c r="F2217">
        <v>718.014</v>
      </c>
      <c r="G2217">
        <v>18</v>
      </c>
      <c r="L2217" t="s">
        <v>6569</v>
      </c>
      <c r="O2217" t="s">
        <v>6570</v>
      </c>
    </row>
    <row r="2218" spans="1:15" x14ac:dyDescent="0.25">
      <c r="A2218" t="s">
        <v>18</v>
      </c>
      <c r="B2218" t="s">
        <v>6569</v>
      </c>
      <c r="C2218" t="s">
        <v>6571</v>
      </c>
      <c r="D2218" t="s">
        <v>20</v>
      </c>
      <c r="E2218" t="s">
        <v>11</v>
      </c>
      <c r="F2218">
        <v>718.014</v>
      </c>
      <c r="G2218">
        <v>18</v>
      </c>
      <c r="L2218" t="s">
        <v>6572</v>
      </c>
      <c r="O2218" t="s">
        <v>6573</v>
      </c>
    </row>
    <row r="2219" spans="1:15" x14ac:dyDescent="0.25">
      <c r="A2219" t="s">
        <v>18</v>
      </c>
      <c r="B2219" t="s">
        <v>6572</v>
      </c>
      <c r="C2219" t="s">
        <v>6574</v>
      </c>
      <c r="D2219" t="s">
        <v>20</v>
      </c>
      <c r="E2219" t="s">
        <v>11</v>
      </c>
      <c r="F2219">
        <v>718.014</v>
      </c>
      <c r="G2219">
        <v>18</v>
      </c>
      <c r="L2219" t="s">
        <v>6575</v>
      </c>
      <c r="O2219" t="s">
        <v>6576</v>
      </c>
    </row>
    <row r="2220" spans="1:15" x14ac:dyDescent="0.25">
      <c r="A2220" t="s">
        <v>18</v>
      </c>
      <c r="B2220" t="s">
        <v>6575</v>
      </c>
      <c r="C2220" t="s">
        <v>6577</v>
      </c>
      <c r="D2220" t="s">
        <v>20</v>
      </c>
      <c r="E2220" t="s">
        <v>11</v>
      </c>
      <c r="F2220">
        <v>718.014</v>
      </c>
      <c r="G2220">
        <v>18</v>
      </c>
      <c r="L2220" t="s">
        <v>6578</v>
      </c>
      <c r="O2220" t="s">
        <v>6579</v>
      </c>
    </row>
    <row r="2221" spans="1:15" x14ac:dyDescent="0.25">
      <c r="A2221" t="s">
        <v>18</v>
      </c>
      <c r="B2221" t="s">
        <v>6578</v>
      </c>
      <c r="C2221" t="s">
        <v>6580</v>
      </c>
      <c r="D2221" t="s">
        <v>20</v>
      </c>
      <c r="E2221" t="s">
        <v>11</v>
      </c>
      <c r="F2221">
        <v>12663.155999999999</v>
      </c>
      <c r="G2221">
        <v>18</v>
      </c>
      <c r="L2221" t="s">
        <v>6581</v>
      </c>
      <c r="O2221" t="s">
        <v>6582</v>
      </c>
    </row>
    <row r="2222" spans="1:15" x14ac:dyDescent="0.25">
      <c r="A2222" t="s">
        <v>18</v>
      </c>
      <c r="B2222" t="s">
        <v>6581</v>
      </c>
      <c r="C2222" t="s">
        <v>6583</v>
      </c>
      <c r="D2222" t="s">
        <v>20</v>
      </c>
      <c r="E2222" t="s">
        <v>11</v>
      </c>
      <c r="F2222">
        <v>9203.633999999998</v>
      </c>
      <c r="G2222">
        <v>18</v>
      </c>
      <c r="L2222" t="s">
        <v>6584</v>
      </c>
      <c r="O2222" t="s">
        <v>6585</v>
      </c>
    </row>
    <row r="2223" spans="1:15" x14ac:dyDescent="0.25">
      <c r="A2223" t="s">
        <v>18</v>
      </c>
      <c r="B2223" t="s">
        <v>6584</v>
      </c>
      <c r="C2223" t="s">
        <v>6586</v>
      </c>
      <c r="D2223" t="s">
        <v>20</v>
      </c>
      <c r="E2223" t="s">
        <v>11</v>
      </c>
      <c r="F2223">
        <v>13250.622</v>
      </c>
      <c r="G2223">
        <v>18</v>
      </c>
      <c r="L2223" t="s">
        <v>6587</v>
      </c>
      <c r="O2223" t="s">
        <v>6588</v>
      </c>
    </row>
    <row r="2224" spans="1:15" x14ac:dyDescent="0.25">
      <c r="A2224" t="s">
        <v>18</v>
      </c>
      <c r="B2224" t="s">
        <v>6587</v>
      </c>
      <c r="C2224" t="s">
        <v>6589</v>
      </c>
      <c r="D2224" t="s">
        <v>20</v>
      </c>
      <c r="E2224" t="s">
        <v>11</v>
      </c>
      <c r="F2224">
        <v>13054.8</v>
      </c>
      <c r="G2224">
        <v>18</v>
      </c>
      <c r="L2224" t="s">
        <v>6590</v>
      </c>
      <c r="O2224" t="s">
        <v>6591</v>
      </c>
    </row>
    <row r="2225" spans="1:15" x14ac:dyDescent="0.25">
      <c r="A2225" t="s">
        <v>18</v>
      </c>
      <c r="B2225" t="s">
        <v>6590</v>
      </c>
      <c r="C2225" t="s">
        <v>6592</v>
      </c>
      <c r="D2225" t="s">
        <v>20</v>
      </c>
      <c r="E2225" t="s">
        <v>11</v>
      </c>
      <c r="F2225">
        <v>14164.457999999999</v>
      </c>
      <c r="G2225">
        <v>18</v>
      </c>
      <c r="L2225" t="s">
        <v>6593</v>
      </c>
      <c r="O2225" t="s">
        <v>6594</v>
      </c>
    </row>
    <row r="2226" spans="1:15" x14ac:dyDescent="0.25">
      <c r="A2226" t="s">
        <v>18</v>
      </c>
      <c r="B2226" t="s">
        <v>6593</v>
      </c>
      <c r="C2226" t="s">
        <v>6595</v>
      </c>
      <c r="D2226" t="s">
        <v>20</v>
      </c>
      <c r="E2226" t="s">
        <v>11</v>
      </c>
      <c r="F2226">
        <v>14026.32</v>
      </c>
      <c r="G2226">
        <v>18</v>
      </c>
      <c r="L2226" t="s">
        <v>6596</v>
      </c>
      <c r="O2226" t="s">
        <v>6597</v>
      </c>
    </row>
    <row r="2227" spans="1:15" x14ac:dyDescent="0.25">
      <c r="A2227" t="s">
        <v>18</v>
      </c>
      <c r="B2227" t="s">
        <v>6596</v>
      </c>
      <c r="C2227" t="s">
        <v>6598</v>
      </c>
      <c r="D2227" t="s">
        <v>20</v>
      </c>
      <c r="E2227" t="s">
        <v>11</v>
      </c>
      <c r="F2227">
        <v>22780.625999999997</v>
      </c>
      <c r="G2227">
        <v>18</v>
      </c>
      <c r="L2227" t="s">
        <v>6599</v>
      </c>
      <c r="O2227" t="s">
        <v>6600</v>
      </c>
    </row>
    <row r="2228" spans="1:15" x14ac:dyDescent="0.25">
      <c r="A2228" t="s">
        <v>18</v>
      </c>
      <c r="B2228" t="s">
        <v>6599</v>
      </c>
      <c r="C2228" t="s">
        <v>6601</v>
      </c>
      <c r="D2228" t="s">
        <v>20</v>
      </c>
      <c r="E2228" t="s">
        <v>11</v>
      </c>
      <c r="F2228">
        <v>261.096</v>
      </c>
      <c r="G2228">
        <v>18</v>
      </c>
      <c r="L2228" t="s">
        <v>6602</v>
      </c>
      <c r="O2228" t="s">
        <v>6603</v>
      </c>
    </row>
    <row r="2229" spans="1:15" x14ac:dyDescent="0.25">
      <c r="A2229" t="s">
        <v>18</v>
      </c>
      <c r="B2229" t="s">
        <v>6602</v>
      </c>
      <c r="C2229" t="s">
        <v>6604</v>
      </c>
      <c r="D2229" t="s">
        <v>20</v>
      </c>
      <c r="E2229" t="s">
        <v>11</v>
      </c>
      <c r="F2229">
        <v>456.918</v>
      </c>
      <c r="G2229">
        <v>18</v>
      </c>
      <c r="L2229" t="s">
        <v>6605</v>
      </c>
      <c r="O2229" t="s">
        <v>6606</v>
      </c>
    </row>
    <row r="2230" spans="1:15" x14ac:dyDescent="0.25">
      <c r="A2230" t="s">
        <v>18</v>
      </c>
      <c r="B2230" t="s">
        <v>6605</v>
      </c>
      <c r="C2230" t="s">
        <v>6607</v>
      </c>
      <c r="D2230" t="s">
        <v>20</v>
      </c>
      <c r="E2230" t="s">
        <v>11</v>
      </c>
      <c r="F2230">
        <v>391.64399999999995</v>
      </c>
      <c r="G2230">
        <v>18</v>
      </c>
      <c r="L2230" t="s">
        <v>6608</v>
      </c>
      <c r="O2230" t="s">
        <v>6609</v>
      </c>
    </row>
    <row r="2231" spans="1:15" x14ac:dyDescent="0.25">
      <c r="A2231" t="s">
        <v>18</v>
      </c>
      <c r="B2231" t="s">
        <v>6608</v>
      </c>
      <c r="C2231" t="s">
        <v>6610</v>
      </c>
      <c r="D2231" t="s">
        <v>20</v>
      </c>
      <c r="E2231" t="s">
        <v>11</v>
      </c>
      <c r="F2231">
        <v>4634.454</v>
      </c>
      <c r="G2231">
        <v>18</v>
      </c>
      <c r="L2231" t="s">
        <v>6611</v>
      </c>
      <c r="O2231" t="s">
        <v>6612</v>
      </c>
    </row>
    <row r="2232" spans="1:15" x14ac:dyDescent="0.25">
      <c r="A2232" t="s">
        <v>18</v>
      </c>
      <c r="B2232" t="s">
        <v>6611</v>
      </c>
      <c r="C2232" t="s">
        <v>6613</v>
      </c>
      <c r="D2232" t="s">
        <v>20</v>
      </c>
      <c r="E2232" t="s">
        <v>11</v>
      </c>
      <c r="F2232">
        <v>34725.768000000004</v>
      </c>
      <c r="G2232">
        <v>18</v>
      </c>
      <c r="L2232" t="s">
        <v>6614</v>
      </c>
      <c r="O2232" t="s">
        <v>6615</v>
      </c>
    </row>
    <row r="2233" spans="1:15" x14ac:dyDescent="0.25">
      <c r="A2233" t="s">
        <v>18</v>
      </c>
      <c r="B2233" t="s">
        <v>6614</v>
      </c>
      <c r="C2233" t="s">
        <v>6616</v>
      </c>
      <c r="D2233" t="s">
        <v>20</v>
      </c>
      <c r="E2233" t="s">
        <v>11</v>
      </c>
      <c r="F2233">
        <v>1958.22</v>
      </c>
      <c r="G2233">
        <v>18</v>
      </c>
      <c r="L2233" t="s">
        <v>6617</v>
      </c>
      <c r="O2233" t="s">
        <v>6618</v>
      </c>
    </row>
    <row r="2234" spans="1:15" x14ac:dyDescent="0.25">
      <c r="A2234" t="s">
        <v>18</v>
      </c>
      <c r="B2234" t="s">
        <v>6617</v>
      </c>
      <c r="C2234" t="s">
        <v>6619</v>
      </c>
      <c r="D2234" t="s">
        <v>20</v>
      </c>
      <c r="E2234" t="s">
        <v>11</v>
      </c>
      <c r="F2234">
        <v>4112.262</v>
      </c>
      <c r="G2234">
        <v>18</v>
      </c>
      <c r="L2234" t="s">
        <v>6620</v>
      </c>
      <c r="O2234" t="s">
        <v>6621</v>
      </c>
    </row>
    <row r="2235" spans="1:15" x14ac:dyDescent="0.25">
      <c r="A2235" t="s">
        <v>18</v>
      </c>
      <c r="B2235" t="s">
        <v>6620</v>
      </c>
      <c r="C2235" t="s">
        <v>6622</v>
      </c>
      <c r="D2235" t="s">
        <v>20</v>
      </c>
      <c r="E2235" t="s">
        <v>11</v>
      </c>
      <c r="F2235">
        <v>9921.648000000001</v>
      </c>
      <c r="G2235">
        <v>18</v>
      </c>
      <c r="L2235" t="s">
        <v>6623</v>
      </c>
      <c r="O2235" t="s">
        <v>6624</v>
      </c>
    </row>
    <row r="2236" spans="1:15" x14ac:dyDescent="0.25">
      <c r="A2236" t="s">
        <v>18</v>
      </c>
      <c r="B2236" t="s">
        <v>6623</v>
      </c>
      <c r="C2236" t="s">
        <v>6625</v>
      </c>
      <c r="D2236" t="s">
        <v>20</v>
      </c>
      <c r="E2236" t="s">
        <v>11</v>
      </c>
      <c r="F2236">
        <v>1697.1239999999998</v>
      </c>
      <c r="G2236">
        <v>18</v>
      </c>
      <c r="L2236" t="s">
        <v>6626</v>
      </c>
      <c r="O2236" t="s">
        <v>6627</v>
      </c>
    </row>
    <row r="2237" spans="1:15" x14ac:dyDescent="0.25">
      <c r="A2237" t="s">
        <v>18</v>
      </c>
      <c r="B2237" t="s">
        <v>6626</v>
      </c>
      <c r="C2237" t="s">
        <v>6628</v>
      </c>
      <c r="D2237" t="s">
        <v>20</v>
      </c>
      <c r="E2237" t="s">
        <v>11</v>
      </c>
      <c r="F2237">
        <v>1109.658</v>
      </c>
      <c r="G2237">
        <v>18</v>
      </c>
      <c r="L2237" t="s">
        <v>6629</v>
      </c>
      <c r="O2237" t="s">
        <v>6630</v>
      </c>
    </row>
    <row r="2238" spans="1:15" x14ac:dyDescent="0.25">
      <c r="A2238" t="s">
        <v>18</v>
      </c>
      <c r="B2238" t="s">
        <v>6629</v>
      </c>
      <c r="C2238" t="s">
        <v>6631</v>
      </c>
      <c r="D2238" t="s">
        <v>20</v>
      </c>
      <c r="E2238" t="s">
        <v>11</v>
      </c>
      <c r="F2238">
        <v>587.4659999999999</v>
      </c>
      <c r="G2238">
        <v>18</v>
      </c>
      <c r="L2238" t="s">
        <v>6632</v>
      </c>
      <c r="O2238" t="s">
        <v>6633</v>
      </c>
    </row>
    <row r="2239" spans="1:15" x14ac:dyDescent="0.25">
      <c r="A2239" t="s">
        <v>18</v>
      </c>
      <c r="B2239" t="s">
        <v>6632</v>
      </c>
      <c r="C2239" t="s">
        <v>6634</v>
      </c>
      <c r="D2239" t="s">
        <v>20</v>
      </c>
      <c r="E2239" t="s">
        <v>11</v>
      </c>
      <c r="F2239">
        <v>7245.414</v>
      </c>
      <c r="G2239">
        <v>18</v>
      </c>
      <c r="L2239" t="s">
        <v>6635</v>
      </c>
      <c r="O2239" t="s">
        <v>6636</v>
      </c>
    </row>
    <row r="2240" spans="1:15" x14ac:dyDescent="0.25">
      <c r="A2240" t="s">
        <v>18</v>
      </c>
      <c r="B2240" t="s">
        <v>6635</v>
      </c>
      <c r="C2240" t="s">
        <v>6637</v>
      </c>
      <c r="D2240" t="s">
        <v>20</v>
      </c>
      <c r="E2240" t="s">
        <v>11</v>
      </c>
      <c r="F2240">
        <v>7245.414</v>
      </c>
      <c r="G2240">
        <v>18</v>
      </c>
      <c r="L2240" t="s">
        <v>6638</v>
      </c>
      <c r="O2240" t="s">
        <v>6639</v>
      </c>
    </row>
    <row r="2241" spans="1:15" x14ac:dyDescent="0.25">
      <c r="A2241" t="s">
        <v>18</v>
      </c>
      <c r="B2241" t="s">
        <v>6638</v>
      </c>
      <c r="C2241" t="s">
        <v>6640</v>
      </c>
      <c r="D2241" t="s">
        <v>20</v>
      </c>
      <c r="E2241" t="s">
        <v>11</v>
      </c>
      <c r="F2241">
        <v>24804.120000000003</v>
      </c>
      <c r="G2241">
        <v>18</v>
      </c>
      <c r="L2241" t="s">
        <v>6641</v>
      </c>
      <c r="O2241" t="s">
        <v>6642</v>
      </c>
    </row>
    <row r="2242" spans="1:15" x14ac:dyDescent="0.25">
      <c r="A2242" t="s">
        <v>18</v>
      </c>
      <c r="B2242" t="s">
        <v>6641</v>
      </c>
      <c r="C2242" t="s">
        <v>6643</v>
      </c>
      <c r="D2242" t="s">
        <v>20</v>
      </c>
      <c r="E2242" t="s">
        <v>11</v>
      </c>
      <c r="F2242">
        <v>25130.49</v>
      </c>
      <c r="G2242">
        <v>18</v>
      </c>
      <c r="L2242" t="s">
        <v>6644</v>
      </c>
      <c r="O2242" t="s">
        <v>6645</v>
      </c>
    </row>
    <row r="2243" spans="1:15" x14ac:dyDescent="0.25">
      <c r="A2243" t="s">
        <v>18</v>
      </c>
      <c r="B2243" t="s">
        <v>6644</v>
      </c>
      <c r="C2243" t="s">
        <v>6646</v>
      </c>
      <c r="D2243" t="s">
        <v>20</v>
      </c>
      <c r="E2243" t="s">
        <v>11</v>
      </c>
      <c r="F2243">
        <v>5809.3859999999995</v>
      </c>
      <c r="G2243">
        <v>18</v>
      </c>
      <c r="L2243" t="s">
        <v>6647</v>
      </c>
      <c r="O2243" t="s">
        <v>6648</v>
      </c>
    </row>
    <row r="2244" spans="1:15" x14ac:dyDescent="0.25">
      <c r="A2244" t="s">
        <v>18</v>
      </c>
      <c r="B2244" t="s">
        <v>6647</v>
      </c>
      <c r="C2244" t="s">
        <v>6649</v>
      </c>
      <c r="D2244" t="s">
        <v>20</v>
      </c>
      <c r="E2244" t="s">
        <v>11</v>
      </c>
      <c r="F2244">
        <v>2284.59</v>
      </c>
      <c r="G2244">
        <v>18</v>
      </c>
      <c r="L2244" t="s">
        <v>6650</v>
      </c>
      <c r="O2244" t="s">
        <v>6651</v>
      </c>
    </row>
    <row r="2245" spans="1:15" x14ac:dyDescent="0.25">
      <c r="A2245" t="s">
        <v>18</v>
      </c>
      <c r="B2245" t="s">
        <v>6650</v>
      </c>
      <c r="C2245" t="s">
        <v>6652</v>
      </c>
      <c r="D2245" t="s">
        <v>20</v>
      </c>
      <c r="E2245" t="s">
        <v>11</v>
      </c>
      <c r="F2245">
        <v>587.4659999999999</v>
      </c>
      <c r="G2245">
        <v>18</v>
      </c>
      <c r="L2245" t="s">
        <v>6653</v>
      </c>
      <c r="O2245" t="s">
        <v>6654</v>
      </c>
    </row>
    <row r="2246" spans="1:15" x14ac:dyDescent="0.25">
      <c r="A2246" t="s">
        <v>18</v>
      </c>
      <c r="B2246" t="s">
        <v>6653</v>
      </c>
      <c r="C2246" t="s">
        <v>6655</v>
      </c>
      <c r="D2246" t="s">
        <v>20</v>
      </c>
      <c r="E2246" t="s">
        <v>11</v>
      </c>
      <c r="F2246">
        <v>3634.092</v>
      </c>
      <c r="G2246">
        <v>18</v>
      </c>
      <c r="L2246" t="s">
        <v>6656</v>
      </c>
      <c r="O2246" t="s">
        <v>6657</v>
      </c>
    </row>
    <row r="2247" spans="1:15" x14ac:dyDescent="0.25">
      <c r="A2247" t="s">
        <v>18</v>
      </c>
      <c r="B2247" t="s">
        <v>6656</v>
      </c>
      <c r="C2247" t="s">
        <v>6658</v>
      </c>
      <c r="D2247" t="s">
        <v>20</v>
      </c>
      <c r="E2247" t="s">
        <v>11</v>
      </c>
      <c r="F2247">
        <v>2996.532</v>
      </c>
      <c r="G2247">
        <v>18</v>
      </c>
      <c r="L2247" t="s">
        <v>6659</v>
      </c>
      <c r="O2247" t="s">
        <v>6660</v>
      </c>
    </row>
    <row r="2248" spans="1:15" x14ac:dyDescent="0.25">
      <c r="A2248" t="s">
        <v>18</v>
      </c>
      <c r="B2248" t="s">
        <v>6659</v>
      </c>
      <c r="C2248" t="s">
        <v>6661</v>
      </c>
      <c r="D2248" t="s">
        <v>20</v>
      </c>
      <c r="E2248" t="s">
        <v>11</v>
      </c>
      <c r="F2248">
        <v>3198.426</v>
      </c>
      <c r="G2248">
        <v>18</v>
      </c>
      <c r="L2248" t="s">
        <v>6662</v>
      </c>
      <c r="O2248" t="s">
        <v>6663</v>
      </c>
    </row>
    <row r="2249" spans="1:15" x14ac:dyDescent="0.25">
      <c r="A2249" t="s">
        <v>18</v>
      </c>
      <c r="B2249" t="s">
        <v>6662</v>
      </c>
      <c r="C2249" t="s">
        <v>6664</v>
      </c>
      <c r="D2249" t="s">
        <v>20</v>
      </c>
      <c r="E2249" t="s">
        <v>11</v>
      </c>
      <c r="F2249">
        <v>5221.92</v>
      </c>
      <c r="G2249">
        <v>18</v>
      </c>
      <c r="L2249" t="s">
        <v>6665</v>
      </c>
      <c r="O2249" t="s">
        <v>6666</v>
      </c>
    </row>
    <row r="2250" spans="1:15" x14ac:dyDescent="0.25">
      <c r="A2250" t="s">
        <v>18</v>
      </c>
      <c r="B2250" t="s">
        <v>6665</v>
      </c>
      <c r="C2250" t="s">
        <v>6667</v>
      </c>
      <c r="D2250" t="s">
        <v>20</v>
      </c>
      <c r="E2250" t="s">
        <v>11</v>
      </c>
      <c r="F2250">
        <v>456.918</v>
      </c>
      <c r="G2250">
        <v>18</v>
      </c>
      <c r="L2250" t="s">
        <v>6668</v>
      </c>
      <c r="O2250" t="s">
        <v>6669</v>
      </c>
    </row>
    <row r="2251" spans="1:15" x14ac:dyDescent="0.25">
      <c r="A2251" t="s">
        <v>18</v>
      </c>
      <c r="B2251" t="s">
        <v>6668</v>
      </c>
      <c r="C2251" t="s">
        <v>6670</v>
      </c>
      <c r="D2251" t="s">
        <v>20</v>
      </c>
      <c r="E2251" t="s">
        <v>11</v>
      </c>
      <c r="F2251">
        <v>9334.181999999999</v>
      </c>
      <c r="G2251">
        <v>18</v>
      </c>
      <c r="L2251" t="s">
        <v>6671</v>
      </c>
      <c r="O2251" t="s">
        <v>6672</v>
      </c>
    </row>
    <row r="2252" spans="1:15" x14ac:dyDescent="0.25">
      <c r="A2252" t="s">
        <v>18</v>
      </c>
      <c r="B2252" t="s">
        <v>6671</v>
      </c>
      <c r="C2252" t="s">
        <v>6673</v>
      </c>
      <c r="D2252" t="s">
        <v>20</v>
      </c>
      <c r="E2252" t="s">
        <v>11</v>
      </c>
      <c r="F2252">
        <v>326.37</v>
      </c>
      <c r="G2252">
        <v>18</v>
      </c>
      <c r="L2252" t="s">
        <v>6674</v>
      </c>
      <c r="O2252" t="s">
        <v>6675</v>
      </c>
    </row>
    <row r="2253" spans="1:15" x14ac:dyDescent="0.25">
      <c r="A2253" t="s">
        <v>18</v>
      </c>
      <c r="B2253" t="s">
        <v>6674</v>
      </c>
      <c r="C2253" t="s">
        <v>6676</v>
      </c>
      <c r="D2253" t="s">
        <v>20</v>
      </c>
      <c r="E2253" t="s">
        <v>11</v>
      </c>
      <c r="F2253">
        <v>2806.7819999999997</v>
      </c>
      <c r="G2253">
        <v>18</v>
      </c>
      <c r="L2253" t="s">
        <v>6677</v>
      </c>
      <c r="O2253" t="s">
        <v>6678</v>
      </c>
    </row>
    <row r="2254" spans="1:15" x14ac:dyDescent="0.25">
      <c r="A2254" t="s">
        <v>18</v>
      </c>
      <c r="B2254" t="s">
        <v>6677</v>
      </c>
      <c r="C2254" t="s">
        <v>6679</v>
      </c>
      <c r="D2254" t="s">
        <v>20</v>
      </c>
      <c r="E2254" t="s">
        <v>11</v>
      </c>
      <c r="F2254">
        <v>1370.754</v>
      </c>
      <c r="G2254">
        <v>18</v>
      </c>
      <c r="L2254" t="s">
        <v>6680</v>
      </c>
      <c r="O2254" t="s">
        <v>6681</v>
      </c>
    </row>
    <row r="2255" spans="1:15" x14ac:dyDescent="0.25">
      <c r="A2255" t="s">
        <v>18</v>
      </c>
      <c r="B2255" t="s">
        <v>6680</v>
      </c>
      <c r="C2255" t="s">
        <v>6682</v>
      </c>
      <c r="D2255" t="s">
        <v>20</v>
      </c>
      <c r="E2255" t="s">
        <v>11</v>
      </c>
      <c r="F2255">
        <v>5352.468</v>
      </c>
      <c r="G2255">
        <v>18</v>
      </c>
      <c r="L2255" t="s">
        <v>6683</v>
      </c>
      <c r="O2255" t="s">
        <v>6684</v>
      </c>
    </row>
    <row r="2256" spans="1:15" x14ac:dyDescent="0.25">
      <c r="A2256" t="s">
        <v>18</v>
      </c>
      <c r="B2256" t="s">
        <v>6683</v>
      </c>
      <c r="C2256" t="s">
        <v>6685</v>
      </c>
      <c r="D2256" t="s">
        <v>20</v>
      </c>
      <c r="E2256" t="s">
        <v>11</v>
      </c>
      <c r="F2256">
        <v>7114.866</v>
      </c>
      <c r="G2256">
        <v>18</v>
      </c>
      <c r="L2256" t="s">
        <v>6686</v>
      </c>
      <c r="O2256" t="s">
        <v>6687</v>
      </c>
    </row>
    <row r="2257" spans="1:15" x14ac:dyDescent="0.25">
      <c r="A2257" t="s">
        <v>18</v>
      </c>
      <c r="B2257" t="s">
        <v>6686</v>
      </c>
      <c r="C2257" t="s">
        <v>6688</v>
      </c>
      <c r="D2257" t="s">
        <v>20</v>
      </c>
      <c r="E2257" t="s">
        <v>11</v>
      </c>
      <c r="F2257">
        <v>1436.028</v>
      </c>
      <c r="G2257">
        <v>18</v>
      </c>
      <c r="L2257" t="s">
        <v>6689</v>
      </c>
      <c r="O2257" t="s">
        <v>6690</v>
      </c>
    </row>
    <row r="2258" spans="1:15" x14ac:dyDescent="0.25">
      <c r="A2258" t="s">
        <v>18</v>
      </c>
      <c r="B2258" t="s">
        <v>6689</v>
      </c>
      <c r="C2258" t="s">
        <v>6691</v>
      </c>
      <c r="D2258" t="s">
        <v>20</v>
      </c>
      <c r="E2258" t="s">
        <v>11</v>
      </c>
      <c r="F2258">
        <v>2023.494</v>
      </c>
      <c r="G2258">
        <v>18</v>
      </c>
      <c r="L2258" t="s">
        <v>6692</v>
      </c>
      <c r="O2258" t="s">
        <v>6693</v>
      </c>
    </row>
    <row r="2259" spans="1:15" x14ac:dyDescent="0.25">
      <c r="A2259" t="s">
        <v>18</v>
      </c>
      <c r="B2259" t="s">
        <v>6692</v>
      </c>
      <c r="C2259" t="s">
        <v>6694</v>
      </c>
      <c r="D2259" t="s">
        <v>20</v>
      </c>
      <c r="E2259" t="s">
        <v>11</v>
      </c>
      <c r="F2259">
        <v>1109.658</v>
      </c>
      <c r="G2259">
        <v>18</v>
      </c>
      <c r="L2259" t="s">
        <v>6695</v>
      </c>
      <c r="O2259" t="s">
        <v>6696</v>
      </c>
    </row>
    <row r="2260" spans="1:15" x14ac:dyDescent="0.25">
      <c r="A2260" t="s">
        <v>18</v>
      </c>
      <c r="B2260" t="s">
        <v>6695</v>
      </c>
      <c r="C2260" t="s">
        <v>6697</v>
      </c>
      <c r="D2260" t="s">
        <v>20</v>
      </c>
      <c r="E2260" t="s">
        <v>11</v>
      </c>
      <c r="F2260">
        <v>6201.030000000001</v>
      </c>
      <c r="G2260">
        <v>18</v>
      </c>
      <c r="L2260" t="s">
        <v>6698</v>
      </c>
      <c r="O2260" t="s">
        <v>6699</v>
      </c>
    </row>
    <row r="2261" spans="1:15" x14ac:dyDescent="0.25">
      <c r="A2261" t="s">
        <v>18</v>
      </c>
      <c r="B2261" t="s">
        <v>6698</v>
      </c>
      <c r="C2261" t="s">
        <v>6700</v>
      </c>
      <c r="D2261" t="s">
        <v>20</v>
      </c>
      <c r="E2261" t="s">
        <v>11</v>
      </c>
      <c r="F2261">
        <v>2415.138</v>
      </c>
      <c r="G2261">
        <v>18</v>
      </c>
      <c r="L2261" t="s">
        <v>6701</v>
      </c>
      <c r="O2261" t="s">
        <v>6702</v>
      </c>
    </row>
    <row r="2262" spans="1:15" x14ac:dyDescent="0.25">
      <c r="A2262" t="s">
        <v>18</v>
      </c>
      <c r="B2262" t="s">
        <v>6701</v>
      </c>
      <c r="C2262" t="s">
        <v>6703</v>
      </c>
      <c r="D2262" t="s">
        <v>20</v>
      </c>
      <c r="E2262" t="s">
        <v>11</v>
      </c>
      <c r="F2262">
        <v>522.192</v>
      </c>
      <c r="G2262">
        <v>18</v>
      </c>
      <c r="L2262" t="s">
        <v>6704</v>
      </c>
      <c r="O2262" t="s">
        <v>6705</v>
      </c>
    </row>
    <row r="2263" spans="1:15" x14ac:dyDescent="0.25">
      <c r="A2263" t="s">
        <v>18</v>
      </c>
      <c r="B2263" t="s">
        <v>6704</v>
      </c>
      <c r="C2263" t="s">
        <v>6706</v>
      </c>
      <c r="D2263" t="s">
        <v>20</v>
      </c>
      <c r="E2263" t="s">
        <v>11</v>
      </c>
      <c r="F2263">
        <v>2610.96</v>
      </c>
      <c r="G2263">
        <v>18</v>
      </c>
      <c r="L2263" t="s">
        <v>6707</v>
      </c>
      <c r="O2263" t="s">
        <v>6708</v>
      </c>
    </row>
    <row r="2264" spans="1:15" x14ac:dyDescent="0.25">
      <c r="A2264" t="s">
        <v>18</v>
      </c>
      <c r="B2264" t="s">
        <v>6707</v>
      </c>
      <c r="C2264" t="s">
        <v>6709</v>
      </c>
      <c r="D2264" t="s">
        <v>20</v>
      </c>
      <c r="E2264" t="s">
        <v>11</v>
      </c>
      <c r="F2264">
        <v>2154.042</v>
      </c>
      <c r="G2264">
        <v>18</v>
      </c>
      <c r="L2264" t="s">
        <v>6710</v>
      </c>
      <c r="O2264" t="s">
        <v>6711</v>
      </c>
    </row>
    <row r="2265" spans="1:15" x14ac:dyDescent="0.25">
      <c r="A2265" t="s">
        <v>18</v>
      </c>
      <c r="B2265" t="s">
        <v>6710</v>
      </c>
      <c r="C2265" t="s">
        <v>6712</v>
      </c>
      <c r="D2265" t="s">
        <v>20</v>
      </c>
      <c r="E2265" t="s">
        <v>11</v>
      </c>
      <c r="F2265">
        <v>4895.55</v>
      </c>
      <c r="G2265">
        <v>18</v>
      </c>
      <c r="L2265" t="s">
        <v>6713</v>
      </c>
      <c r="O2265" t="s">
        <v>6714</v>
      </c>
    </row>
    <row r="2266" spans="1:15" x14ac:dyDescent="0.25">
      <c r="A2266" t="s">
        <v>18</v>
      </c>
      <c r="B2266" t="s">
        <v>6713</v>
      </c>
      <c r="C2266" t="s">
        <v>6715</v>
      </c>
      <c r="D2266" t="s">
        <v>20</v>
      </c>
      <c r="E2266" t="s">
        <v>11</v>
      </c>
      <c r="F2266">
        <v>11618.771999999999</v>
      </c>
      <c r="G2266">
        <v>18</v>
      </c>
      <c r="L2266" t="s">
        <v>6716</v>
      </c>
      <c r="O2266" t="s">
        <v>6717</v>
      </c>
    </row>
    <row r="2267" spans="1:15" x14ac:dyDescent="0.25">
      <c r="A2267" t="s">
        <v>18</v>
      </c>
      <c r="B2267" t="s">
        <v>6716</v>
      </c>
      <c r="C2267" t="s">
        <v>6718</v>
      </c>
      <c r="D2267" t="s">
        <v>20</v>
      </c>
      <c r="E2267" t="s">
        <v>11</v>
      </c>
      <c r="F2267">
        <v>6462.126</v>
      </c>
      <c r="G2267">
        <v>18</v>
      </c>
      <c r="L2267" t="s">
        <v>6719</v>
      </c>
      <c r="O2267" t="s">
        <v>6720</v>
      </c>
    </row>
    <row r="2268" spans="1:15" x14ac:dyDescent="0.25">
      <c r="A2268" t="s">
        <v>18</v>
      </c>
      <c r="B2268" t="s">
        <v>6719</v>
      </c>
      <c r="C2268" t="s">
        <v>6721</v>
      </c>
      <c r="D2268" t="s">
        <v>20</v>
      </c>
      <c r="E2268" t="s">
        <v>11</v>
      </c>
      <c r="F2268">
        <v>2480.4120000000003</v>
      </c>
      <c r="G2268">
        <v>18</v>
      </c>
      <c r="L2268" t="s">
        <v>6722</v>
      </c>
      <c r="O2268" t="s">
        <v>6723</v>
      </c>
    </row>
    <row r="2269" spans="1:15" x14ac:dyDescent="0.25">
      <c r="A2269" t="s">
        <v>18</v>
      </c>
      <c r="B2269" t="s">
        <v>6722</v>
      </c>
      <c r="C2269" t="s">
        <v>6724</v>
      </c>
      <c r="D2269" t="s">
        <v>20</v>
      </c>
      <c r="E2269" t="s">
        <v>11</v>
      </c>
      <c r="F2269">
        <v>10574.387999999997</v>
      </c>
      <c r="G2269">
        <v>18</v>
      </c>
      <c r="L2269" t="s">
        <v>6725</v>
      </c>
      <c r="O2269" t="s">
        <v>6726</v>
      </c>
    </row>
    <row r="2270" spans="1:15" x14ac:dyDescent="0.25">
      <c r="A2270" t="s">
        <v>18</v>
      </c>
      <c r="B2270" t="s">
        <v>6725</v>
      </c>
      <c r="C2270" t="s">
        <v>6727</v>
      </c>
      <c r="D2270" t="s">
        <v>20</v>
      </c>
      <c r="E2270" t="s">
        <v>11</v>
      </c>
      <c r="F2270">
        <v>3981.714</v>
      </c>
      <c r="G2270">
        <v>18</v>
      </c>
      <c r="L2270" t="s">
        <v>6728</v>
      </c>
      <c r="O2270" t="s">
        <v>6729</v>
      </c>
    </row>
    <row r="2271" spans="1:15" x14ac:dyDescent="0.25">
      <c r="A2271" t="s">
        <v>18</v>
      </c>
      <c r="B2271" t="s">
        <v>6728</v>
      </c>
      <c r="C2271" t="s">
        <v>6730</v>
      </c>
      <c r="D2271" t="s">
        <v>20</v>
      </c>
      <c r="E2271" t="s">
        <v>11</v>
      </c>
      <c r="F2271">
        <v>326.37</v>
      </c>
      <c r="G2271">
        <v>18</v>
      </c>
      <c r="L2271" t="s">
        <v>6731</v>
      </c>
      <c r="O2271" t="s">
        <v>6732</v>
      </c>
    </row>
    <row r="2272" spans="1:15" x14ac:dyDescent="0.25">
      <c r="A2272" t="s">
        <v>18</v>
      </c>
      <c r="B2272" t="s">
        <v>6731</v>
      </c>
      <c r="C2272" t="s">
        <v>6733</v>
      </c>
      <c r="D2272" t="s">
        <v>20</v>
      </c>
      <c r="E2272" t="s">
        <v>11</v>
      </c>
      <c r="F2272">
        <v>718.014</v>
      </c>
      <c r="G2272">
        <v>18</v>
      </c>
      <c r="L2272" t="s">
        <v>6734</v>
      </c>
      <c r="O2272" t="s">
        <v>6735</v>
      </c>
    </row>
    <row r="2273" spans="1:15" x14ac:dyDescent="0.25">
      <c r="A2273" t="s">
        <v>18</v>
      </c>
      <c r="B2273" t="s">
        <v>6734</v>
      </c>
      <c r="C2273" t="s">
        <v>6736</v>
      </c>
      <c r="D2273" t="s">
        <v>20</v>
      </c>
      <c r="E2273" t="s">
        <v>11</v>
      </c>
      <c r="F2273">
        <v>522.192</v>
      </c>
      <c r="G2273">
        <v>18</v>
      </c>
      <c r="L2273" t="s">
        <v>6737</v>
      </c>
      <c r="O2273" t="s">
        <v>6738</v>
      </c>
    </row>
    <row r="2274" spans="1:15" x14ac:dyDescent="0.25">
      <c r="A2274" t="s">
        <v>18</v>
      </c>
      <c r="B2274" t="s">
        <v>6737</v>
      </c>
      <c r="C2274" t="s">
        <v>6739</v>
      </c>
      <c r="D2274" t="s">
        <v>20</v>
      </c>
      <c r="E2274" t="s">
        <v>11</v>
      </c>
      <c r="F2274">
        <v>1109.658</v>
      </c>
      <c r="G2274">
        <v>18</v>
      </c>
      <c r="L2274" t="s">
        <v>6740</v>
      </c>
      <c r="O2274" t="s">
        <v>6741</v>
      </c>
    </row>
    <row r="2275" spans="1:15" x14ac:dyDescent="0.25">
      <c r="A2275" t="s">
        <v>18</v>
      </c>
      <c r="B2275" t="s">
        <v>6740</v>
      </c>
      <c r="C2275" t="s">
        <v>6742</v>
      </c>
      <c r="D2275" t="s">
        <v>20</v>
      </c>
      <c r="E2275" t="s">
        <v>11</v>
      </c>
      <c r="F2275">
        <v>10378.565999999999</v>
      </c>
      <c r="G2275">
        <v>18</v>
      </c>
      <c r="L2275" t="s">
        <v>6743</v>
      </c>
      <c r="O2275" t="s">
        <v>6744</v>
      </c>
    </row>
    <row r="2276" spans="1:15" x14ac:dyDescent="0.25">
      <c r="A2276" t="s">
        <v>18</v>
      </c>
      <c r="B2276" t="s">
        <v>6743</v>
      </c>
      <c r="C2276" t="s">
        <v>6745</v>
      </c>
      <c r="D2276" t="s">
        <v>20</v>
      </c>
      <c r="E2276" t="s">
        <v>11</v>
      </c>
      <c r="F2276">
        <v>6984.318</v>
      </c>
      <c r="G2276">
        <v>18</v>
      </c>
      <c r="L2276" t="s">
        <v>6746</v>
      </c>
      <c r="O2276" t="s">
        <v>6747</v>
      </c>
    </row>
    <row r="2277" spans="1:15" x14ac:dyDescent="0.25">
      <c r="A2277" t="s">
        <v>18</v>
      </c>
      <c r="B2277" t="s">
        <v>6746</v>
      </c>
      <c r="C2277" t="s">
        <v>6748</v>
      </c>
      <c r="D2277" t="s">
        <v>20</v>
      </c>
      <c r="E2277" t="s">
        <v>11</v>
      </c>
      <c r="F2277">
        <v>6984.318</v>
      </c>
      <c r="G2277">
        <v>18</v>
      </c>
      <c r="L2277" t="s">
        <v>6749</v>
      </c>
      <c r="O2277" t="s">
        <v>6750</v>
      </c>
    </row>
    <row r="2278" spans="1:15" x14ac:dyDescent="0.25">
      <c r="A2278" t="s">
        <v>18</v>
      </c>
      <c r="B2278" t="s">
        <v>6749</v>
      </c>
      <c r="C2278" t="s">
        <v>6751</v>
      </c>
      <c r="D2278" t="s">
        <v>20</v>
      </c>
      <c r="E2278" t="s">
        <v>11</v>
      </c>
      <c r="F2278">
        <v>587.4659999999999</v>
      </c>
      <c r="G2278">
        <v>18</v>
      </c>
      <c r="L2278" t="s">
        <v>6752</v>
      </c>
      <c r="O2278" t="s">
        <v>6753</v>
      </c>
    </row>
    <row r="2279" spans="1:15" x14ac:dyDescent="0.25">
      <c r="A2279" t="s">
        <v>18</v>
      </c>
      <c r="B2279" t="s">
        <v>6752</v>
      </c>
      <c r="C2279" t="s">
        <v>6754</v>
      </c>
      <c r="D2279" t="s">
        <v>20</v>
      </c>
      <c r="E2279" t="s">
        <v>11</v>
      </c>
      <c r="F2279">
        <v>848.5619999999999</v>
      </c>
      <c r="G2279">
        <v>18</v>
      </c>
      <c r="L2279" t="s">
        <v>6755</v>
      </c>
      <c r="O2279" t="s">
        <v>6756</v>
      </c>
    </row>
    <row r="2280" spans="1:15" x14ac:dyDescent="0.25">
      <c r="A2280" t="s">
        <v>18</v>
      </c>
      <c r="B2280" t="s">
        <v>6755</v>
      </c>
      <c r="C2280" t="s">
        <v>6757</v>
      </c>
      <c r="D2280" t="s">
        <v>20</v>
      </c>
      <c r="E2280" t="s">
        <v>11</v>
      </c>
      <c r="F2280">
        <v>848.5619999999999</v>
      </c>
      <c r="G2280">
        <v>18</v>
      </c>
      <c r="L2280" t="s">
        <v>6758</v>
      </c>
      <c r="O2280" t="s">
        <v>6759</v>
      </c>
    </row>
    <row r="2281" spans="1:15" x14ac:dyDescent="0.25">
      <c r="A2281" t="s">
        <v>18</v>
      </c>
      <c r="B2281" t="s">
        <v>6758</v>
      </c>
      <c r="C2281" t="s">
        <v>6760</v>
      </c>
      <c r="D2281" t="s">
        <v>20</v>
      </c>
      <c r="E2281" t="s">
        <v>11</v>
      </c>
      <c r="F2281">
        <v>2676.234</v>
      </c>
      <c r="G2281">
        <v>18</v>
      </c>
      <c r="L2281" t="s">
        <v>6761</v>
      </c>
      <c r="O2281" t="s">
        <v>6762</v>
      </c>
    </row>
    <row r="2282" spans="1:15" x14ac:dyDescent="0.25">
      <c r="A2282" t="s">
        <v>18</v>
      </c>
      <c r="B2282" t="s">
        <v>6761</v>
      </c>
      <c r="C2282" t="s">
        <v>6763</v>
      </c>
      <c r="D2282" t="s">
        <v>20</v>
      </c>
      <c r="E2282" t="s">
        <v>11</v>
      </c>
      <c r="F2282">
        <v>1892.946</v>
      </c>
      <c r="G2282">
        <v>18</v>
      </c>
      <c r="L2282" t="s">
        <v>6764</v>
      </c>
      <c r="O2282" t="s">
        <v>6765</v>
      </c>
    </row>
    <row r="2283" spans="1:15" x14ac:dyDescent="0.25">
      <c r="A2283" t="s">
        <v>18</v>
      </c>
      <c r="B2283" t="s">
        <v>6764</v>
      </c>
      <c r="C2283" t="s">
        <v>6766</v>
      </c>
      <c r="D2283" t="s">
        <v>20</v>
      </c>
      <c r="E2283" t="s">
        <v>11</v>
      </c>
      <c r="F2283">
        <v>1892.946</v>
      </c>
      <c r="G2283">
        <v>18</v>
      </c>
      <c r="L2283" t="s">
        <v>6767</v>
      </c>
      <c r="O2283" t="s">
        <v>6768</v>
      </c>
    </row>
    <row r="2284" spans="1:15" x14ac:dyDescent="0.25">
      <c r="A2284" t="s">
        <v>18</v>
      </c>
      <c r="B2284" t="s">
        <v>6767</v>
      </c>
      <c r="C2284" t="s">
        <v>6769</v>
      </c>
      <c r="D2284" t="s">
        <v>20</v>
      </c>
      <c r="E2284" t="s">
        <v>11</v>
      </c>
      <c r="F2284">
        <v>2545.6859999999997</v>
      </c>
      <c r="G2284">
        <v>18</v>
      </c>
      <c r="L2284" t="s">
        <v>6770</v>
      </c>
      <c r="O2284" t="s">
        <v>6771</v>
      </c>
    </row>
    <row r="2285" spans="1:15" x14ac:dyDescent="0.25">
      <c r="A2285" t="s">
        <v>18</v>
      </c>
      <c r="B2285" t="s">
        <v>6770</v>
      </c>
      <c r="C2285" t="s">
        <v>6772</v>
      </c>
      <c r="D2285" t="s">
        <v>20</v>
      </c>
      <c r="E2285" t="s">
        <v>11</v>
      </c>
      <c r="F2285">
        <v>6266.303999999999</v>
      </c>
      <c r="G2285">
        <v>18</v>
      </c>
      <c r="L2285" t="s">
        <v>6773</v>
      </c>
      <c r="O2285" t="s">
        <v>6774</v>
      </c>
    </row>
    <row r="2286" spans="1:15" x14ac:dyDescent="0.25">
      <c r="A2286" t="s">
        <v>18</v>
      </c>
      <c r="B2286" t="s">
        <v>6773</v>
      </c>
      <c r="C2286" t="s">
        <v>6775</v>
      </c>
      <c r="D2286" t="s">
        <v>20</v>
      </c>
      <c r="E2286" t="s">
        <v>11</v>
      </c>
      <c r="F2286">
        <v>6266.303999999999</v>
      </c>
      <c r="G2286">
        <v>18</v>
      </c>
      <c r="L2286" t="s">
        <v>6776</v>
      </c>
      <c r="O2286" t="s">
        <v>6777</v>
      </c>
    </row>
    <row r="2287" spans="1:15" x14ac:dyDescent="0.25">
      <c r="A2287" t="s">
        <v>18</v>
      </c>
      <c r="B2287" t="s">
        <v>6776</v>
      </c>
      <c r="C2287" t="s">
        <v>6778</v>
      </c>
      <c r="D2287" t="s">
        <v>20</v>
      </c>
      <c r="E2287" t="s">
        <v>11</v>
      </c>
      <c r="F2287">
        <v>6592.673999999999</v>
      </c>
      <c r="G2287">
        <v>18</v>
      </c>
      <c r="L2287" t="s">
        <v>6779</v>
      </c>
      <c r="O2287" t="s">
        <v>6780</v>
      </c>
    </row>
    <row r="2288" spans="1:15" x14ac:dyDescent="0.25">
      <c r="A2288" t="s">
        <v>18</v>
      </c>
      <c r="B2288" t="s">
        <v>6779</v>
      </c>
      <c r="C2288" t="s">
        <v>6781</v>
      </c>
      <c r="D2288" t="s">
        <v>20</v>
      </c>
      <c r="E2288" t="s">
        <v>11</v>
      </c>
      <c r="F2288">
        <v>6266.303999999999</v>
      </c>
      <c r="G2288">
        <v>18</v>
      </c>
      <c r="L2288" t="s">
        <v>6782</v>
      </c>
      <c r="O2288" t="s">
        <v>6783</v>
      </c>
    </row>
    <row r="2289" spans="1:15" x14ac:dyDescent="0.25">
      <c r="A2289" t="s">
        <v>18</v>
      </c>
      <c r="B2289" t="s">
        <v>6782</v>
      </c>
      <c r="C2289" t="s">
        <v>6784</v>
      </c>
      <c r="D2289" t="s">
        <v>20</v>
      </c>
      <c r="E2289" t="s">
        <v>11</v>
      </c>
      <c r="F2289">
        <v>6266.303999999999</v>
      </c>
      <c r="G2289">
        <v>18</v>
      </c>
      <c r="L2289" t="s">
        <v>6785</v>
      </c>
      <c r="O2289" t="s">
        <v>6786</v>
      </c>
    </row>
    <row r="2290" spans="1:15" x14ac:dyDescent="0.25">
      <c r="A2290" t="s">
        <v>18</v>
      </c>
      <c r="B2290" t="s">
        <v>6785</v>
      </c>
      <c r="C2290" t="s">
        <v>6787</v>
      </c>
      <c r="D2290" t="s">
        <v>20</v>
      </c>
      <c r="E2290" t="s">
        <v>11</v>
      </c>
      <c r="F2290">
        <v>6527.4</v>
      </c>
      <c r="G2290">
        <v>18</v>
      </c>
      <c r="L2290" t="s">
        <v>6788</v>
      </c>
      <c r="O2290" t="s">
        <v>6789</v>
      </c>
    </row>
    <row r="2291" spans="1:15" x14ac:dyDescent="0.25">
      <c r="A2291" t="s">
        <v>18</v>
      </c>
      <c r="B2291" t="s">
        <v>6788</v>
      </c>
      <c r="C2291" t="s">
        <v>6790</v>
      </c>
      <c r="D2291" t="s">
        <v>20</v>
      </c>
      <c r="E2291" t="s">
        <v>11</v>
      </c>
      <c r="F2291">
        <v>6331.5779999999995</v>
      </c>
      <c r="G2291">
        <v>18</v>
      </c>
      <c r="L2291" t="s">
        <v>6791</v>
      </c>
      <c r="O2291" t="s">
        <v>6792</v>
      </c>
    </row>
    <row r="2292" spans="1:15" x14ac:dyDescent="0.25">
      <c r="A2292" t="s">
        <v>18</v>
      </c>
      <c r="B2292" t="s">
        <v>6791</v>
      </c>
      <c r="C2292" t="s">
        <v>6793</v>
      </c>
      <c r="D2292" t="s">
        <v>20</v>
      </c>
      <c r="E2292" t="s">
        <v>11</v>
      </c>
      <c r="F2292">
        <v>10182.743999999999</v>
      </c>
      <c r="G2292">
        <v>18</v>
      </c>
      <c r="L2292" t="s">
        <v>6794</v>
      </c>
      <c r="O2292" t="s">
        <v>6795</v>
      </c>
    </row>
    <row r="2293" spans="1:15" x14ac:dyDescent="0.25">
      <c r="A2293" t="s">
        <v>18</v>
      </c>
      <c r="B2293" t="s">
        <v>6794</v>
      </c>
      <c r="C2293" t="s">
        <v>6796</v>
      </c>
      <c r="D2293" t="s">
        <v>20</v>
      </c>
      <c r="E2293" t="s">
        <v>11</v>
      </c>
      <c r="F2293">
        <v>2741.508</v>
      </c>
      <c r="G2293">
        <v>18</v>
      </c>
      <c r="L2293" t="s">
        <v>6797</v>
      </c>
      <c r="O2293" t="s">
        <v>6798</v>
      </c>
    </row>
    <row r="2294" spans="1:15" x14ac:dyDescent="0.25">
      <c r="A2294" t="s">
        <v>18</v>
      </c>
      <c r="B2294" t="s">
        <v>6797</v>
      </c>
      <c r="C2294" t="s">
        <v>6799</v>
      </c>
      <c r="D2294" t="s">
        <v>20</v>
      </c>
      <c r="E2294" t="s">
        <v>11</v>
      </c>
      <c r="F2294">
        <v>3851.166</v>
      </c>
      <c r="G2294">
        <v>18</v>
      </c>
      <c r="L2294" t="s">
        <v>6800</v>
      </c>
      <c r="O2294" t="s">
        <v>6801</v>
      </c>
    </row>
    <row r="2295" spans="1:15" x14ac:dyDescent="0.25">
      <c r="A2295" t="s">
        <v>18</v>
      </c>
      <c r="B2295" t="s">
        <v>6800</v>
      </c>
      <c r="C2295" t="s">
        <v>6802</v>
      </c>
      <c r="D2295" t="s">
        <v>20</v>
      </c>
      <c r="E2295" t="s">
        <v>11</v>
      </c>
      <c r="F2295">
        <v>7832.88</v>
      </c>
      <c r="G2295">
        <v>18</v>
      </c>
      <c r="L2295" t="s">
        <v>6803</v>
      </c>
      <c r="O2295" t="s">
        <v>6804</v>
      </c>
    </row>
    <row r="2296" spans="1:15" x14ac:dyDescent="0.25">
      <c r="A2296" t="s">
        <v>18</v>
      </c>
      <c r="B2296" t="s">
        <v>6803</v>
      </c>
      <c r="C2296" t="s">
        <v>6805</v>
      </c>
      <c r="D2296" t="s">
        <v>20</v>
      </c>
      <c r="E2296" t="s">
        <v>11</v>
      </c>
      <c r="F2296">
        <v>7114.866</v>
      </c>
      <c r="G2296">
        <v>18</v>
      </c>
      <c r="L2296" t="s">
        <v>6806</v>
      </c>
      <c r="O2296" t="s">
        <v>6807</v>
      </c>
    </row>
    <row r="2297" spans="1:15" x14ac:dyDescent="0.25">
      <c r="A2297" t="s">
        <v>18</v>
      </c>
      <c r="B2297" t="s">
        <v>6806</v>
      </c>
      <c r="C2297" t="s">
        <v>6808</v>
      </c>
      <c r="D2297" t="s">
        <v>20</v>
      </c>
      <c r="E2297" t="s">
        <v>11</v>
      </c>
      <c r="F2297">
        <v>652.74</v>
      </c>
      <c r="G2297">
        <v>18</v>
      </c>
      <c r="L2297" t="s">
        <v>6809</v>
      </c>
      <c r="O2297" t="s">
        <v>6810</v>
      </c>
    </row>
    <row r="2298" spans="1:15" x14ac:dyDescent="0.25">
      <c r="A2298" t="s">
        <v>18</v>
      </c>
      <c r="B2298" t="s">
        <v>6809</v>
      </c>
      <c r="C2298" t="s">
        <v>6811</v>
      </c>
      <c r="D2298" t="s">
        <v>20</v>
      </c>
      <c r="E2298" t="s">
        <v>11</v>
      </c>
      <c r="F2298">
        <v>587.4659999999999</v>
      </c>
      <c r="G2298">
        <v>18</v>
      </c>
      <c r="L2298" t="s">
        <v>6812</v>
      </c>
      <c r="O2298" t="s">
        <v>6813</v>
      </c>
    </row>
    <row r="2299" spans="1:15" x14ac:dyDescent="0.25">
      <c r="A2299" t="s">
        <v>18</v>
      </c>
      <c r="B2299" t="s">
        <v>6812</v>
      </c>
      <c r="C2299" t="s">
        <v>6814</v>
      </c>
      <c r="D2299" t="s">
        <v>20</v>
      </c>
      <c r="E2299" t="s">
        <v>11</v>
      </c>
      <c r="F2299">
        <v>2349.8639999999996</v>
      </c>
      <c r="G2299">
        <v>18</v>
      </c>
      <c r="L2299" t="s">
        <v>6815</v>
      </c>
      <c r="O2299" t="s">
        <v>6816</v>
      </c>
    </row>
    <row r="2300" spans="1:15" x14ac:dyDescent="0.25">
      <c r="A2300" t="s">
        <v>18</v>
      </c>
      <c r="B2300" t="s">
        <v>6815</v>
      </c>
      <c r="C2300" t="s">
        <v>6817</v>
      </c>
      <c r="D2300" t="s">
        <v>20</v>
      </c>
      <c r="E2300" t="s">
        <v>11</v>
      </c>
      <c r="F2300">
        <v>1044.384</v>
      </c>
      <c r="G2300">
        <v>18</v>
      </c>
      <c r="L2300" t="s">
        <v>6818</v>
      </c>
      <c r="O2300" t="s">
        <v>6819</v>
      </c>
    </row>
    <row r="2301" spans="1:15" x14ac:dyDescent="0.25">
      <c r="A2301" t="s">
        <v>18</v>
      </c>
      <c r="B2301" t="s">
        <v>6818</v>
      </c>
      <c r="C2301" t="s">
        <v>6820</v>
      </c>
      <c r="D2301" t="s">
        <v>20</v>
      </c>
      <c r="E2301" t="s">
        <v>11</v>
      </c>
      <c r="F2301">
        <v>2872.056</v>
      </c>
      <c r="G2301">
        <v>18</v>
      </c>
      <c r="L2301" t="s">
        <v>6821</v>
      </c>
      <c r="O2301" t="s">
        <v>6822</v>
      </c>
    </row>
    <row r="2302" spans="1:15" x14ac:dyDescent="0.25">
      <c r="A2302" t="s">
        <v>18</v>
      </c>
      <c r="B2302" t="s">
        <v>6821</v>
      </c>
      <c r="C2302" t="s">
        <v>6823</v>
      </c>
      <c r="D2302" t="s">
        <v>20</v>
      </c>
      <c r="E2302" t="s">
        <v>11</v>
      </c>
      <c r="F2302">
        <v>1566.5759999999998</v>
      </c>
      <c r="G2302">
        <v>18</v>
      </c>
      <c r="L2302" t="s">
        <v>6824</v>
      </c>
      <c r="O2302" t="s">
        <v>6825</v>
      </c>
    </row>
    <row r="2303" spans="1:15" x14ac:dyDescent="0.25">
      <c r="A2303" t="s">
        <v>18</v>
      </c>
      <c r="B2303" t="s">
        <v>6824</v>
      </c>
      <c r="C2303" t="s">
        <v>6826</v>
      </c>
      <c r="D2303" t="s">
        <v>20</v>
      </c>
      <c r="E2303" t="s">
        <v>11</v>
      </c>
      <c r="F2303">
        <v>5352.468</v>
      </c>
      <c r="G2303">
        <v>18</v>
      </c>
      <c r="L2303" t="s">
        <v>6827</v>
      </c>
      <c r="O2303" t="s">
        <v>6828</v>
      </c>
    </row>
    <row r="2304" spans="1:15" x14ac:dyDescent="0.25">
      <c r="A2304" t="s">
        <v>18</v>
      </c>
      <c r="B2304" t="s">
        <v>6827</v>
      </c>
      <c r="C2304" t="s">
        <v>6829</v>
      </c>
      <c r="D2304" t="s">
        <v>20</v>
      </c>
      <c r="E2304" t="s">
        <v>11</v>
      </c>
      <c r="F2304">
        <v>9530.003999999999</v>
      </c>
      <c r="G2304">
        <v>18</v>
      </c>
      <c r="L2304" t="s">
        <v>6830</v>
      </c>
      <c r="O2304" t="s">
        <v>6831</v>
      </c>
    </row>
    <row r="2305" spans="1:15" x14ac:dyDescent="0.25">
      <c r="A2305" t="s">
        <v>18</v>
      </c>
      <c r="B2305" t="s">
        <v>6830</v>
      </c>
      <c r="C2305" t="s">
        <v>6832</v>
      </c>
      <c r="D2305" t="s">
        <v>20</v>
      </c>
      <c r="E2305" t="s">
        <v>11</v>
      </c>
      <c r="F2305">
        <v>10443.84</v>
      </c>
      <c r="G2305">
        <v>18</v>
      </c>
      <c r="L2305" t="s">
        <v>6833</v>
      </c>
      <c r="O2305" t="s">
        <v>6834</v>
      </c>
    </row>
    <row r="2306" spans="1:15" x14ac:dyDescent="0.25">
      <c r="A2306" t="s">
        <v>18</v>
      </c>
      <c r="B2306" t="s">
        <v>6833</v>
      </c>
      <c r="C2306" t="s">
        <v>6835</v>
      </c>
      <c r="D2306" t="s">
        <v>20</v>
      </c>
      <c r="E2306" t="s">
        <v>11</v>
      </c>
      <c r="F2306">
        <v>18798.911999999997</v>
      </c>
      <c r="G2306">
        <v>18</v>
      </c>
      <c r="L2306" t="s">
        <v>6836</v>
      </c>
      <c r="O2306" t="s">
        <v>6837</v>
      </c>
    </row>
    <row r="2307" spans="1:15" x14ac:dyDescent="0.25">
      <c r="A2307" t="s">
        <v>18</v>
      </c>
      <c r="B2307" t="s">
        <v>6836</v>
      </c>
      <c r="C2307" t="s">
        <v>6838</v>
      </c>
      <c r="D2307" t="s">
        <v>20</v>
      </c>
      <c r="E2307" t="s">
        <v>11</v>
      </c>
      <c r="F2307">
        <v>2088.768</v>
      </c>
      <c r="G2307">
        <v>18</v>
      </c>
      <c r="L2307" t="s">
        <v>6839</v>
      </c>
      <c r="O2307" t="s">
        <v>6840</v>
      </c>
    </row>
    <row r="2308" spans="1:15" x14ac:dyDescent="0.25">
      <c r="A2308" t="s">
        <v>18</v>
      </c>
      <c r="B2308" t="s">
        <v>6839</v>
      </c>
      <c r="C2308" t="s">
        <v>6841</v>
      </c>
      <c r="D2308" t="s">
        <v>20</v>
      </c>
      <c r="E2308" t="s">
        <v>11</v>
      </c>
      <c r="F2308">
        <v>1240.2060000000001</v>
      </c>
      <c r="G2308">
        <v>18</v>
      </c>
      <c r="L2308" t="s">
        <v>6842</v>
      </c>
      <c r="O2308" t="s">
        <v>6843</v>
      </c>
    </row>
    <row r="2309" spans="1:15" x14ac:dyDescent="0.25">
      <c r="A2309" t="s">
        <v>18</v>
      </c>
      <c r="B2309" t="s">
        <v>6842</v>
      </c>
      <c r="C2309" t="s">
        <v>6844</v>
      </c>
      <c r="D2309" t="s">
        <v>20</v>
      </c>
      <c r="E2309" t="s">
        <v>11</v>
      </c>
      <c r="F2309">
        <v>1631.85</v>
      </c>
      <c r="G2309">
        <v>18</v>
      </c>
      <c r="L2309" t="s">
        <v>6845</v>
      </c>
      <c r="O2309" t="s">
        <v>6846</v>
      </c>
    </row>
    <row r="2310" spans="1:15" x14ac:dyDescent="0.25">
      <c r="A2310" t="s">
        <v>18</v>
      </c>
      <c r="B2310" t="s">
        <v>6845</v>
      </c>
      <c r="C2310" t="s">
        <v>6847</v>
      </c>
      <c r="D2310" t="s">
        <v>20</v>
      </c>
      <c r="E2310" t="s">
        <v>11</v>
      </c>
      <c r="F2310">
        <v>1370.754</v>
      </c>
      <c r="G2310">
        <v>18</v>
      </c>
      <c r="L2310" t="s">
        <v>6848</v>
      </c>
      <c r="O2310" t="s">
        <v>6849</v>
      </c>
    </row>
    <row r="2311" spans="1:15" x14ac:dyDescent="0.25">
      <c r="A2311" t="s">
        <v>18</v>
      </c>
      <c r="B2311" t="s">
        <v>6848</v>
      </c>
      <c r="C2311" t="s">
        <v>6850</v>
      </c>
      <c r="D2311" t="s">
        <v>20</v>
      </c>
      <c r="E2311" t="s">
        <v>11</v>
      </c>
      <c r="F2311">
        <v>2154.042</v>
      </c>
      <c r="G2311">
        <v>18</v>
      </c>
      <c r="L2311" t="s">
        <v>6851</v>
      </c>
      <c r="O2311" t="s">
        <v>6852</v>
      </c>
    </row>
    <row r="2312" spans="1:15" x14ac:dyDescent="0.25">
      <c r="A2312" t="s">
        <v>18</v>
      </c>
      <c r="B2312" t="s">
        <v>6851</v>
      </c>
      <c r="C2312" t="s">
        <v>6853</v>
      </c>
      <c r="D2312" t="s">
        <v>20</v>
      </c>
      <c r="E2312" t="s">
        <v>11</v>
      </c>
      <c r="F2312">
        <v>2088.768</v>
      </c>
      <c r="G2312">
        <v>18</v>
      </c>
      <c r="L2312" t="s">
        <v>6854</v>
      </c>
      <c r="O2312" t="s">
        <v>6855</v>
      </c>
    </row>
    <row r="2313" spans="1:15" x14ac:dyDescent="0.25">
      <c r="A2313" t="s">
        <v>18</v>
      </c>
      <c r="B2313" t="s">
        <v>6854</v>
      </c>
      <c r="C2313" t="s">
        <v>6856</v>
      </c>
      <c r="D2313" t="s">
        <v>20</v>
      </c>
      <c r="E2313" t="s">
        <v>11</v>
      </c>
      <c r="F2313">
        <v>1305.48</v>
      </c>
      <c r="G2313">
        <v>18</v>
      </c>
      <c r="L2313" t="s">
        <v>6857</v>
      </c>
      <c r="O2313" t="s">
        <v>6858</v>
      </c>
    </row>
    <row r="2314" spans="1:15" x14ac:dyDescent="0.25">
      <c r="A2314" t="s">
        <v>18</v>
      </c>
      <c r="B2314" t="s">
        <v>6857</v>
      </c>
      <c r="C2314" t="s">
        <v>6859</v>
      </c>
      <c r="D2314" t="s">
        <v>20</v>
      </c>
      <c r="E2314" t="s">
        <v>11</v>
      </c>
      <c r="F2314">
        <v>1892.946</v>
      </c>
      <c r="G2314">
        <v>18</v>
      </c>
      <c r="L2314" t="s">
        <v>6860</v>
      </c>
      <c r="O2314" t="s">
        <v>6861</v>
      </c>
    </row>
    <row r="2315" spans="1:15" x14ac:dyDescent="0.25">
      <c r="A2315" t="s">
        <v>18</v>
      </c>
      <c r="B2315" t="s">
        <v>6860</v>
      </c>
      <c r="C2315" t="s">
        <v>6862</v>
      </c>
      <c r="D2315" t="s">
        <v>20</v>
      </c>
      <c r="E2315" t="s">
        <v>11</v>
      </c>
      <c r="F2315">
        <v>2610.96</v>
      </c>
      <c r="G2315">
        <v>18</v>
      </c>
      <c r="L2315" t="s">
        <v>6863</v>
      </c>
      <c r="O2315" t="s">
        <v>6864</v>
      </c>
    </row>
    <row r="2316" spans="1:15" x14ac:dyDescent="0.25">
      <c r="A2316" t="s">
        <v>18</v>
      </c>
      <c r="B2316" t="s">
        <v>6863</v>
      </c>
      <c r="C2316" t="s">
        <v>6865</v>
      </c>
      <c r="D2316" t="s">
        <v>20</v>
      </c>
      <c r="E2316" t="s">
        <v>11</v>
      </c>
      <c r="F2316">
        <v>32963.37</v>
      </c>
      <c r="G2316">
        <v>18</v>
      </c>
      <c r="L2316" t="s">
        <v>6866</v>
      </c>
      <c r="O2316" t="s">
        <v>6867</v>
      </c>
    </row>
    <row r="2317" spans="1:15" x14ac:dyDescent="0.25">
      <c r="A2317" t="s">
        <v>18</v>
      </c>
      <c r="B2317" t="s">
        <v>6866</v>
      </c>
      <c r="C2317" t="s">
        <v>6868</v>
      </c>
      <c r="D2317" t="s">
        <v>20</v>
      </c>
      <c r="E2317" t="s">
        <v>11</v>
      </c>
      <c r="F2317">
        <v>587.4659999999999</v>
      </c>
      <c r="G2317">
        <v>18</v>
      </c>
      <c r="L2317" t="s">
        <v>6869</v>
      </c>
      <c r="O2317" t="s">
        <v>6870</v>
      </c>
    </row>
    <row r="2318" spans="1:15" x14ac:dyDescent="0.25">
      <c r="A2318" t="s">
        <v>18</v>
      </c>
      <c r="B2318" t="s">
        <v>6869</v>
      </c>
      <c r="C2318" t="s">
        <v>6871</v>
      </c>
      <c r="D2318" t="s">
        <v>20</v>
      </c>
      <c r="E2318" t="s">
        <v>11</v>
      </c>
      <c r="F2318">
        <v>4373.358</v>
      </c>
      <c r="G2318">
        <v>18</v>
      </c>
      <c r="L2318" t="s">
        <v>6872</v>
      </c>
      <c r="O2318" t="s">
        <v>6873</v>
      </c>
    </row>
    <row r="2319" spans="1:15" x14ac:dyDescent="0.25">
      <c r="A2319" t="s">
        <v>18</v>
      </c>
      <c r="B2319" t="s">
        <v>6872</v>
      </c>
      <c r="C2319" t="s">
        <v>6874</v>
      </c>
      <c r="D2319" t="s">
        <v>20</v>
      </c>
      <c r="E2319" t="s">
        <v>11</v>
      </c>
      <c r="F2319">
        <v>2610.96</v>
      </c>
      <c r="G2319">
        <v>18</v>
      </c>
      <c r="L2319" t="s">
        <v>6875</v>
      </c>
      <c r="O2319" t="s">
        <v>6876</v>
      </c>
    </row>
    <row r="2320" spans="1:15" x14ac:dyDescent="0.25">
      <c r="A2320" t="s">
        <v>18</v>
      </c>
      <c r="B2320" t="s">
        <v>6875</v>
      </c>
      <c r="C2320" t="s">
        <v>6877</v>
      </c>
      <c r="D2320" t="s">
        <v>20</v>
      </c>
      <c r="E2320" t="s">
        <v>11</v>
      </c>
      <c r="F2320">
        <v>8093.976</v>
      </c>
      <c r="G2320">
        <v>18</v>
      </c>
      <c r="L2320" t="s">
        <v>6878</v>
      </c>
      <c r="O2320" t="s">
        <v>6879</v>
      </c>
    </row>
    <row r="2321" spans="1:15" x14ac:dyDescent="0.25">
      <c r="A2321" t="s">
        <v>18</v>
      </c>
      <c r="B2321" t="s">
        <v>6878</v>
      </c>
      <c r="C2321" t="s">
        <v>6880</v>
      </c>
      <c r="D2321" t="s">
        <v>20</v>
      </c>
      <c r="E2321" t="s">
        <v>11</v>
      </c>
      <c r="F2321">
        <v>5613.563999999999</v>
      </c>
      <c r="G2321">
        <v>18</v>
      </c>
      <c r="L2321" t="s">
        <v>6881</v>
      </c>
      <c r="O2321" t="s">
        <v>6882</v>
      </c>
    </row>
    <row r="2322" spans="1:15" x14ac:dyDescent="0.25">
      <c r="A2322" t="s">
        <v>18</v>
      </c>
      <c r="B2322" t="s">
        <v>6881</v>
      </c>
      <c r="C2322" t="s">
        <v>6883</v>
      </c>
      <c r="D2322" t="s">
        <v>20</v>
      </c>
      <c r="E2322" t="s">
        <v>11</v>
      </c>
      <c r="F2322">
        <v>2023.494</v>
      </c>
      <c r="G2322">
        <v>18</v>
      </c>
      <c r="L2322" t="s">
        <v>6884</v>
      </c>
      <c r="O2322" t="s">
        <v>6885</v>
      </c>
    </row>
    <row r="2323" spans="1:15" x14ac:dyDescent="0.25">
      <c r="A2323" t="s">
        <v>18</v>
      </c>
      <c r="B2323" t="s">
        <v>6884</v>
      </c>
      <c r="C2323" t="s">
        <v>6886</v>
      </c>
      <c r="D2323" t="s">
        <v>20</v>
      </c>
      <c r="E2323" t="s">
        <v>11</v>
      </c>
      <c r="F2323">
        <v>13315.895999999999</v>
      </c>
      <c r="G2323">
        <v>18</v>
      </c>
      <c r="L2323" t="s">
        <v>6887</v>
      </c>
      <c r="O2323" t="s">
        <v>6888</v>
      </c>
    </row>
    <row r="2324" spans="1:15" x14ac:dyDescent="0.25">
      <c r="A2324" t="s">
        <v>18</v>
      </c>
      <c r="B2324" t="s">
        <v>6887</v>
      </c>
      <c r="C2324" t="s">
        <v>6889</v>
      </c>
      <c r="D2324" t="s">
        <v>20</v>
      </c>
      <c r="E2324" t="s">
        <v>11</v>
      </c>
      <c r="F2324">
        <v>7180.139999999999</v>
      </c>
      <c r="G2324">
        <v>18</v>
      </c>
      <c r="L2324" t="s">
        <v>6890</v>
      </c>
      <c r="O2324" t="s">
        <v>6891</v>
      </c>
    </row>
    <row r="2325" spans="1:15" x14ac:dyDescent="0.25">
      <c r="A2325" t="s">
        <v>18</v>
      </c>
      <c r="B2325" t="s">
        <v>6890</v>
      </c>
      <c r="C2325" t="s">
        <v>6892</v>
      </c>
      <c r="D2325" t="s">
        <v>20</v>
      </c>
      <c r="E2325" t="s">
        <v>11</v>
      </c>
      <c r="F2325">
        <v>29438.573999999997</v>
      </c>
      <c r="G2325">
        <v>18</v>
      </c>
      <c r="L2325" t="s">
        <v>6893</v>
      </c>
      <c r="O2325" t="s">
        <v>6894</v>
      </c>
    </row>
    <row r="2326" spans="1:15" x14ac:dyDescent="0.25">
      <c r="A2326" t="s">
        <v>18</v>
      </c>
      <c r="B2326" t="s">
        <v>6893</v>
      </c>
      <c r="C2326" t="s">
        <v>6895</v>
      </c>
      <c r="D2326" t="s">
        <v>20</v>
      </c>
      <c r="E2326" t="s">
        <v>11</v>
      </c>
      <c r="F2326">
        <v>15143.568</v>
      </c>
      <c r="G2326">
        <v>18</v>
      </c>
      <c r="L2326" t="s">
        <v>6896</v>
      </c>
      <c r="O2326" t="s">
        <v>6897</v>
      </c>
    </row>
    <row r="2327" spans="1:15" x14ac:dyDescent="0.25">
      <c r="A2327" t="s">
        <v>18</v>
      </c>
      <c r="B2327" t="s">
        <v>6896</v>
      </c>
      <c r="C2327" t="s">
        <v>6898</v>
      </c>
      <c r="D2327" t="s">
        <v>20</v>
      </c>
      <c r="E2327" t="s">
        <v>11</v>
      </c>
      <c r="F2327">
        <v>913.836</v>
      </c>
      <c r="G2327">
        <v>18</v>
      </c>
      <c r="L2327" t="s">
        <v>6899</v>
      </c>
      <c r="O2327" t="s">
        <v>6900</v>
      </c>
    </row>
    <row r="2328" spans="1:15" x14ac:dyDescent="0.25">
      <c r="A2328" t="s">
        <v>18</v>
      </c>
      <c r="B2328" t="s">
        <v>6899</v>
      </c>
      <c r="C2328" t="s">
        <v>6901</v>
      </c>
      <c r="D2328" t="s">
        <v>20</v>
      </c>
      <c r="E2328" t="s">
        <v>11</v>
      </c>
      <c r="F2328">
        <v>848.5619999999999</v>
      </c>
      <c r="G2328">
        <v>18</v>
      </c>
      <c r="L2328" t="s">
        <v>6902</v>
      </c>
      <c r="O2328" t="s">
        <v>6903</v>
      </c>
    </row>
    <row r="2329" spans="1:15" x14ac:dyDescent="0.25">
      <c r="A2329" t="s">
        <v>18</v>
      </c>
      <c r="B2329" t="s">
        <v>6902</v>
      </c>
      <c r="C2329" t="s">
        <v>6904</v>
      </c>
      <c r="D2329" t="s">
        <v>20</v>
      </c>
      <c r="E2329" t="s">
        <v>11</v>
      </c>
      <c r="F2329">
        <v>783.2879999999999</v>
      </c>
      <c r="G2329">
        <v>18</v>
      </c>
      <c r="L2329" t="s">
        <v>6905</v>
      </c>
      <c r="O2329" t="s">
        <v>6906</v>
      </c>
    </row>
    <row r="2330" spans="1:15" x14ac:dyDescent="0.25">
      <c r="A2330" t="s">
        <v>18</v>
      </c>
      <c r="B2330" t="s">
        <v>6905</v>
      </c>
      <c r="C2330" t="s">
        <v>6907</v>
      </c>
      <c r="D2330" t="s">
        <v>20</v>
      </c>
      <c r="E2330" t="s">
        <v>11</v>
      </c>
      <c r="F2330">
        <v>652.74</v>
      </c>
      <c r="G2330">
        <v>18</v>
      </c>
      <c r="L2330" t="s">
        <v>6908</v>
      </c>
      <c r="O2330" t="s">
        <v>6909</v>
      </c>
    </row>
    <row r="2331" spans="1:15" x14ac:dyDescent="0.25">
      <c r="A2331" t="s">
        <v>18</v>
      </c>
      <c r="B2331" t="s">
        <v>6908</v>
      </c>
      <c r="C2331" t="s">
        <v>6910</v>
      </c>
      <c r="D2331" t="s">
        <v>20</v>
      </c>
      <c r="E2331" t="s">
        <v>11</v>
      </c>
      <c r="F2331">
        <v>18603.09</v>
      </c>
      <c r="G2331">
        <v>18</v>
      </c>
      <c r="L2331" t="s">
        <v>6911</v>
      </c>
      <c r="O2331" t="s">
        <v>6912</v>
      </c>
    </row>
    <row r="2332" spans="1:15" x14ac:dyDescent="0.25">
      <c r="A2332" t="s">
        <v>18</v>
      </c>
      <c r="B2332" t="s">
        <v>6911</v>
      </c>
      <c r="C2332" t="s">
        <v>6913</v>
      </c>
      <c r="D2332" t="s">
        <v>20</v>
      </c>
      <c r="E2332" t="s">
        <v>11</v>
      </c>
      <c r="F2332">
        <v>4438.632</v>
      </c>
      <c r="G2332">
        <v>18</v>
      </c>
      <c r="L2332" t="s">
        <v>6914</v>
      </c>
      <c r="O2332" t="s">
        <v>6915</v>
      </c>
    </row>
    <row r="2333" spans="1:15" x14ac:dyDescent="0.25">
      <c r="A2333" t="s">
        <v>18</v>
      </c>
      <c r="B2333" t="s">
        <v>6914</v>
      </c>
      <c r="C2333" t="s">
        <v>6916</v>
      </c>
      <c r="D2333" t="s">
        <v>20</v>
      </c>
      <c r="E2333" t="s">
        <v>11</v>
      </c>
      <c r="F2333">
        <v>587.4659999999999</v>
      </c>
      <c r="G2333">
        <v>18</v>
      </c>
      <c r="L2333" t="s">
        <v>6917</v>
      </c>
      <c r="O2333" t="s">
        <v>6918</v>
      </c>
    </row>
    <row r="2334" spans="1:15" x14ac:dyDescent="0.25">
      <c r="A2334" t="s">
        <v>18</v>
      </c>
      <c r="B2334" t="s">
        <v>6917</v>
      </c>
      <c r="C2334" t="s">
        <v>6919</v>
      </c>
      <c r="D2334" t="s">
        <v>20</v>
      </c>
      <c r="E2334" t="s">
        <v>11</v>
      </c>
      <c r="F2334">
        <v>326.37</v>
      </c>
      <c r="G2334">
        <v>18</v>
      </c>
      <c r="L2334" t="s">
        <v>6920</v>
      </c>
      <c r="O2334" t="s">
        <v>6921</v>
      </c>
    </row>
    <row r="2335" spans="1:15" x14ac:dyDescent="0.25">
      <c r="A2335" t="s">
        <v>18</v>
      </c>
      <c r="B2335" t="s">
        <v>6920</v>
      </c>
      <c r="C2335" t="s">
        <v>6922</v>
      </c>
      <c r="D2335" t="s">
        <v>20</v>
      </c>
      <c r="E2335" t="s">
        <v>11</v>
      </c>
      <c r="F2335">
        <v>17297.61</v>
      </c>
      <c r="G2335">
        <v>18</v>
      </c>
      <c r="L2335" t="s">
        <v>6923</v>
      </c>
      <c r="O2335" t="s">
        <v>6924</v>
      </c>
    </row>
    <row r="2336" spans="1:15" x14ac:dyDescent="0.25">
      <c r="A2336" t="s">
        <v>18</v>
      </c>
      <c r="B2336" t="s">
        <v>6923</v>
      </c>
      <c r="C2336" t="s">
        <v>6925</v>
      </c>
      <c r="D2336" t="s">
        <v>20</v>
      </c>
      <c r="E2336" t="s">
        <v>11</v>
      </c>
      <c r="F2336">
        <v>12989.526</v>
      </c>
      <c r="G2336">
        <v>18</v>
      </c>
      <c r="L2336" t="s">
        <v>6926</v>
      </c>
      <c r="O2336" t="s">
        <v>6927</v>
      </c>
    </row>
    <row r="2337" spans="1:15" x14ac:dyDescent="0.25">
      <c r="A2337" t="s">
        <v>18</v>
      </c>
      <c r="B2337" t="s">
        <v>6926</v>
      </c>
      <c r="C2337" t="s">
        <v>6928</v>
      </c>
      <c r="D2337" t="s">
        <v>20</v>
      </c>
      <c r="E2337" t="s">
        <v>11</v>
      </c>
      <c r="F2337">
        <v>3133.1519999999996</v>
      </c>
      <c r="G2337">
        <v>18</v>
      </c>
      <c r="L2337" t="s">
        <v>6929</v>
      </c>
      <c r="O2337" t="s">
        <v>6930</v>
      </c>
    </row>
    <row r="2338" spans="1:15" x14ac:dyDescent="0.25">
      <c r="A2338" t="s">
        <v>18</v>
      </c>
      <c r="B2338" t="s">
        <v>6929</v>
      </c>
      <c r="C2338" t="s">
        <v>6931</v>
      </c>
      <c r="D2338" t="s">
        <v>20</v>
      </c>
      <c r="E2338" t="s">
        <v>11</v>
      </c>
      <c r="F2338">
        <v>6135.755999999999</v>
      </c>
      <c r="G2338">
        <v>18</v>
      </c>
      <c r="L2338" t="s">
        <v>6932</v>
      </c>
      <c r="O2338" t="s">
        <v>6933</v>
      </c>
    </row>
    <row r="2339" spans="1:15" x14ac:dyDescent="0.25">
      <c r="A2339" t="s">
        <v>18</v>
      </c>
      <c r="B2339" t="s">
        <v>6932</v>
      </c>
      <c r="C2339" t="s">
        <v>6934</v>
      </c>
      <c r="D2339" t="s">
        <v>20</v>
      </c>
      <c r="E2339" t="s">
        <v>11</v>
      </c>
      <c r="F2339">
        <v>8746.716</v>
      </c>
      <c r="G2339">
        <v>18</v>
      </c>
      <c r="L2339" t="s">
        <v>6935</v>
      </c>
      <c r="O2339" t="s">
        <v>6936</v>
      </c>
    </row>
    <row r="2340" spans="1:15" x14ac:dyDescent="0.25">
      <c r="A2340" t="s">
        <v>18</v>
      </c>
      <c r="B2340" t="s">
        <v>6935</v>
      </c>
      <c r="C2340" t="s">
        <v>6937</v>
      </c>
      <c r="D2340" t="s">
        <v>20</v>
      </c>
      <c r="E2340" t="s">
        <v>11</v>
      </c>
      <c r="F2340">
        <v>12663.155999999999</v>
      </c>
      <c r="G2340">
        <v>18</v>
      </c>
      <c r="L2340" t="s">
        <v>6938</v>
      </c>
      <c r="O2340" t="s">
        <v>6939</v>
      </c>
    </row>
    <row r="2341" spans="1:15" x14ac:dyDescent="0.25">
      <c r="A2341" t="s">
        <v>18</v>
      </c>
      <c r="B2341" t="s">
        <v>6938</v>
      </c>
      <c r="C2341" t="s">
        <v>6940</v>
      </c>
      <c r="D2341" t="s">
        <v>20</v>
      </c>
      <c r="E2341" t="s">
        <v>11</v>
      </c>
      <c r="F2341">
        <v>5548.29</v>
      </c>
      <c r="G2341">
        <v>18</v>
      </c>
      <c r="L2341" t="s">
        <v>6941</v>
      </c>
      <c r="O2341" t="s">
        <v>6942</v>
      </c>
    </row>
    <row r="2342" spans="1:15" x14ac:dyDescent="0.25">
      <c r="A2342" t="s">
        <v>18</v>
      </c>
      <c r="B2342" t="s">
        <v>6941</v>
      </c>
      <c r="C2342" t="s">
        <v>6943</v>
      </c>
      <c r="D2342" t="s">
        <v>20</v>
      </c>
      <c r="E2342" t="s">
        <v>11</v>
      </c>
      <c r="F2342">
        <v>4242.8099999999995</v>
      </c>
      <c r="G2342">
        <v>18</v>
      </c>
      <c r="L2342" t="s">
        <v>6944</v>
      </c>
      <c r="O2342" t="s">
        <v>6945</v>
      </c>
    </row>
    <row r="2343" spans="1:15" x14ac:dyDescent="0.25">
      <c r="A2343" t="s">
        <v>18</v>
      </c>
      <c r="B2343" t="s">
        <v>6944</v>
      </c>
      <c r="C2343" t="s">
        <v>6946</v>
      </c>
      <c r="D2343" t="s">
        <v>20</v>
      </c>
      <c r="E2343" t="s">
        <v>11</v>
      </c>
      <c r="F2343">
        <v>8028.701999999999</v>
      </c>
      <c r="G2343">
        <v>18</v>
      </c>
      <c r="L2343" t="s">
        <v>6947</v>
      </c>
      <c r="O2343" t="s">
        <v>6948</v>
      </c>
    </row>
    <row r="2344" spans="1:15" x14ac:dyDescent="0.25">
      <c r="A2344" t="s">
        <v>18</v>
      </c>
      <c r="B2344" t="s">
        <v>6947</v>
      </c>
      <c r="C2344" t="s">
        <v>6949</v>
      </c>
      <c r="D2344" t="s">
        <v>20</v>
      </c>
      <c r="E2344" t="s">
        <v>11</v>
      </c>
      <c r="F2344">
        <v>25652.682</v>
      </c>
      <c r="G2344">
        <v>18</v>
      </c>
      <c r="L2344" t="s">
        <v>6950</v>
      </c>
      <c r="O2344" t="s">
        <v>6951</v>
      </c>
    </row>
    <row r="2345" spans="1:15" x14ac:dyDescent="0.25">
      <c r="A2345" t="s">
        <v>18</v>
      </c>
      <c r="B2345" t="s">
        <v>6950</v>
      </c>
      <c r="C2345" t="s">
        <v>6952</v>
      </c>
      <c r="D2345" t="s">
        <v>20</v>
      </c>
      <c r="E2345" t="s">
        <v>11</v>
      </c>
      <c r="F2345">
        <v>30548.232</v>
      </c>
      <c r="G2345">
        <v>18</v>
      </c>
      <c r="L2345" t="s">
        <v>6953</v>
      </c>
      <c r="O2345" t="s">
        <v>6954</v>
      </c>
    </row>
    <row r="2346" spans="1:15" x14ac:dyDescent="0.25">
      <c r="A2346" t="s">
        <v>18</v>
      </c>
      <c r="B2346" t="s">
        <v>6953</v>
      </c>
      <c r="C2346" t="s">
        <v>6955</v>
      </c>
      <c r="D2346" t="s">
        <v>20</v>
      </c>
      <c r="E2346" t="s">
        <v>11</v>
      </c>
      <c r="F2346">
        <v>1436.028</v>
      </c>
      <c r="G2346">
        <v>18</v>
      </c>
      <c r="L2346" t="s">
        <v>6956</v>
      </c>
      <c r="O2346" t="s">
        <v>6957</v>
      </c>
    </row>
    <row r="2347" spans="1:15" x14ac:dyDescent="0.25">
      <c r="A2347" t="s">
        <v>18</v>
      </c>
      <c r="B2347" t="s">
        <v>6956</v>
      </c>
      <c r="C2347" t="s">
        <v>6958</v>
      </c>
      <c r="D2347" t="s">
        <v>20</v>
      </c>
      <c r="E2347" t="s">
        <v>11</v>
      </c>
      <c r="F2347">
        <v>15731.034</v>
      </c>
      <c r="G2347">
        <v>18</v>
      </c>
      <c r="L2347" t="s">
        <v>6959</v>
      </c>
      <c r="O2347" t="s">
        <v>6960</v>
      </c>
    </row>
    <row r="2348" spans="1:15" x14ac:dyDescent="0.25">
      <c r="A2348" t="s">
        <v>18</v>
      </c>
      <c r="B2348" t="s">
        <v>6959</v>
      </c>
      <c r="C2348" t="s">
        <v>6961</v>
      </c>
      <c r="D2348" t="s">
        <v>20</v>
      </c>
      <c r="E2348" t="s">
        <v>11</v>
      </c>
      <c r="F2348">
        <v>7702.332</v>
      </c>
      <c r="G2348">
        <v>18</v>
      </c>
      <c r="L2348" t="s">
        <v>6962</v>
      </c>
      <c r="O2348" t="s">
        <v>6963</v>
      </c>
    </row>
    <row r="2349" spans="1:15" x14ac:dyDescent="0.25">
      <c r="A2349" t="s">
        <v>18</v>
      </c>
      <c r="B2349" t="s">
        <v>6962</v>
      </c>
      <c r="C2349" t="s">
        <v>6964</v>
      </c>
      <c r="D2349" t="s">
        <v>20</v>
      </c>
      <c r="E2349" t="s">
        <v>11</v>
      </c>
      <c r="F2349">
        <v>3328.9739999999997</v>
      </c>
      <c r="G2349">
        <v>18</v>
      </c>
      <c r="L2349" t="s">
        <v>6965</v>
      </c>
      <c r="O2349" t="s">
        <v>6966</v>
      </c>
    </row>
    <row r="2350" spans="1:15" x14ac:dyDescent="0.25">
      <c r="A2350" t="s">
        <v>18</v>
      </c>
      <c r="B2350" t="s">
        <v>6965</v>
      </c>
      <c r="C2350" t="s">
        <v>6967</v>
      </c>
      <c r="D2350" t="s">
        <v>20</v>
      </c>
      <c r="E2350" t="s">
        <v>11</v>
      </c>
      <c r="F2350">
        <v>2219.316</v>
      </c>
      <c r="G2350">
        <v>18</v>
      </c>
      <c r="L2350" t="s">
        <v>6968</v>
      </c>
      <c r="O2350" t="s">
        <v>6969</v>
      </c>
    </row>
    <row r="2351" spans="1:15" x14ac:dyDescent="0.25">
      <c r="A2351" t="s">
        <v>18</v>
      </c>
      <c r="B2351" t="s">
        <v>6968</v>
      </c>
      <c r="C2351" t="s">
        <v>6970</v>
      </c>
      <c r="D2351" t="s">
        <v>20</v>
      </c>
      <c r="E2351" t="s">
        <v>11</v>
      </c>
      <c r="F2351">
        <v>2219.316</v>
      </c>
      <c r="G2351">
        <v>18</v>
      </c>
      <c r="L2351" t="s">
        <v>6971</v>
      </c>
      <c r="O2351" t="s">
        <v>6972</v>
      </c>
    </row>
    <row r="2352" spans="1:15" x14ac:dyDescent="0.25">
      <c r="A2352" t="s">
        <v>18</v>
      </c>
      <c r="B2352" t="s">
        <v>6971</v>
      </c>
      <c r="C2352" t="s">
        <v>6973</v>
      </c>
      <c r="D2352" t="s">
        <v>20</v>
      </c>
      <c r="E2352" t="s">
        <v>11</v>
      </c>
      <c r="F2352">
        <v>4699.727999999999</v>
      </c>
      <c r="G2352">
        <v>18</v>
      </c>
      <c r="L2352" t="s">
        <v>6974</v>
      </c>
      <c r="O2352" t="s">
        <v>6975</v>
      </c>
    </row>
    <row r="2353" spans="1:15" x14ac:dyDescent="0.25">
      <c r="A2353" t="s">
        <v>18</v>
      </c>
      <c r="B2353" t="s">
        <v>6974</v>
      </c>
      <c r="C2353" t="s">
        <v>6976</v>
      </c>
      <c r="D2353" t="s">
        <v>20</v>
      </c>
      <c r="E2353" t="s">
        <v>11</v>
      </c>
      <c r="F2353">
        <v>12793.704</v>
      </c>
      <c r="G2353">
        <v>18</v>
      </c>
      <c r="L2353" t="s">
        <v>6977</v>
      </c>
      <c r="O2353" t="s">
        <v>6978</v>
      </c>
    </row>
    <row r="2354" spans="1:15" x14ac:dyDescent="0.25">
      <c r="A2354" t="s">
        <v>18</v>
      </c>
      <c r="B2354" t="s">
        <v>6977</v>
      </c>
      <c r="C2354" t="s">
        <v>6979</v>
      </c>
      <c r="D2354" t="s">
        <v>20</v>
      </c>
      <c r="E2354" t="s">
        <v>11</v>
      </c>
      <c r="F2354">
        <v>12140.964</v>
      </c>
      <c r="G2354">
        <v>18</v>
      </c>
      <c r="L2354" t="s">
        <v>6980</v>
      </c>
      <c r="O2354" t="s">
        <v>6981</v>
      </c>
    </row>
    <row r="2355" spans="1:15" x14ac:dyDescent="0.25">
      <c r="A2355" t="s">
        <v>18</v>
      </c>
      <c r="B2355" t="s">
        <v>6980</v>
      </c>
      <c r="C2355" t="s">
        <v>6982</v>
      </c>
      <c r="D2355" t="s">
        <v>20</v>
      </c>
      <c r="E2355" t="s">
        <v>11</v>
      </c>
      <c r="F2355">
        <v>4177.536</v>
      </c>
      <c r="G2355">
        <v>18</v>
      </c>
      <c r="L2355" t="s">
        <v>6983</v>
      </c>
      <c r="O2355" t="s">
        <v>6984</v>
      </c>
    </row>
    <row r="2356" spans="1:15" x14ac:dyDescent="0.25">
      <c r="A2356" t="s">
        <v>18</v>
      </c>
      <c r="B2356" t="s">
        <v>6983</v>
      </c>
      <c r="C2356" t="s">
        <v>6985</v>
      </c>
      <c r="D2356" t="s">
        <v>20</v>
      </c>
      <c r="E2356" t="s">
        <v>11</v>
      </c>
      <c r="F2356">
        <v>6135.755999999999</v>
      </c>
      <c r="G2356">
        <v>18</v>
      </c>
      <c r="L2356" t="s">
        <v>6986</v>
      </c>
      <c r="O2356" t="s">
        <v>6987</v>
      </c>
    </row>
    <row r="2357" spans="1:15" x14ac:dyDescent="0.25">
      <c r="A2357" t="s">
        <v>18</v>
      </c>
      <c r="B2357" t="s">
        <v>6986</v>
      </c>
      <c r="C2357" t="s">
        <v>6988</v>
      </c>
      <c r="D2357" t="s">
        <v>20</v>
      </c>
      <c r="E2357" t="s">
        <v>11</v>
      </c>
      <c r="F2357">
        <v>6984.318</v>
      </c>
      <c r="G2357">
        <v>18</v>
      </c>
      <c r="L2357" t="s">
        <v>6989</v>
      </c>
      <c r="O2357" t="s">
        <v>6990</v>
      </c>
    </row>
    <row r="2358" spans="1:15" x14ac:dyDescent="0.25">
      <c r="A2358" t="s">
        <v>18</v>
      </c>
      <c r="B2358" t="s">
        <v>6989</v>
      </c>
      <c r="C2358" t="s">
        <v>6991</v>
      </c>
      <c r="D2358" t="s">
        <v>20</v>
      </c>
      <c r="E2358" t="s">
        <v>11</v>
      </c>
      <c r="F2358">
        <v>6201.030000000001</v>
      </c>
      <c r="G2358">
        <v>18</v>
      </c>
      <c r="L2358" t="s">
        <v>6992</v>
      </c>
      <c r="O2358" t="s">
        <v>6993</v>
      </c>
    </row>
    <row r="2359" spans="1:15" x14ac:dyDescent="0.25">
      <c r="A2359" t="s">
        <v>18</v>
      </c>
      <c r="B2359" t="s">
        <v>6992</v>
      </c>
      <c r="C2359" t="s">
        <v>6994</v>
      </c>
      <c r="D2359" t="s">
        <v>20</v>
      </c>
      <c r="E2359" t="s">
        <v>11</v>
      </c>
      <c r="F2359">
        <v>6201.030000000001</v>
      </c>
      <c r="G2359">
        <v>18</v>
      </c>
      <c r="L2359" t="s">
        <v>6995</v>
      </c>
      <c r="O2359" t="s">
        <v>6996</v>
      </c>
    </row>
    <row r="2360" spans="1:15" x14ac:dyDescent="0.25">
      <c r="A2360" t="s">
        <v>18</v>
      </c>
      <c r="B2360" t="s">
        <v>6995</v>
      </c>
      <c r="C2360" t="s">
        <v>6997</v>
      </c>
      <c r="D2360" t="s">
        <v>20</v>
      </c>
      <c r="E2360" t="s">
        <v>11</v>
      </c>
      <c r="F2360">
        <v>8877.264</v>
      </c>
      <c r="G2360">
        <v>18</v>
      </c>
      <c r="L2360" t="s">
        <v>6998</v>
      </c>
      <c r="O2360" t="s">
        <v>6999</v>
      </c>
    </row>
    <row r="2361" spans="1:15" x14ac:dyDescent="0.25">
      <c r="A2361" t="s">
        <v>18</v>
      </c>
      <c r="B2361" t="s">
        <v>6998</v>
      </c>
      <c r="C2361" t="s">
        <v>7000</v>
      </c>
      <c r="D2361" t="s">
        <v>20</v>
      </c>
      <c r="E2361" t="s">
        <v>11</v>
      </c>
      <c r="F2361">
        <v>4112.262</v>
      </c>
      <c r="G2361">
        <v>18</v>
      </c>
      <c r="L2361" t="s">
        <v>7001</v>
      </c>
      <c r="O2361" t="s">
        <v>7002</v>
      </c>
    </row>
    <row r="2362" spans="1:15" x14ac:dyDescent="0.25">
      <c r="A2362" t="s">
        <v>18</v>
      </c>
      <c r="B2362" t="s">
        <v>7001</v>
      </c>
      <c r="C2362" t="s">
        <v>7003</v>
      </c>
      <c r="D2362" t="s">
        <v>20</v>
      </c>
      <c r="E2362" t="s">
        <v>11</v>
      </c>
      <c r="F2362">
        <v>1892.946</v>
      </c>
      <c r="G2362">
        <v>18</v>
      </c>
      <c r="L2362" t="s">
        <v>7004</v>
      </c>
      <c r="O2362" t="s">
        <v>7005</v>
      </c>
    </row>
    <row r="2363" spans="1:15" x14ac:dyDescent="0.25">
      <c r="A2363" t="s">
        <v>18</v>
      </c>
      <c r="B2363" t="s">
        <v>7004</v>
      </c>
      <c r="C2363" t="s">
        <v>7006</v>
      </c>
      <c r="D2363" t="s">
        <v>20</v>
      </c>
      <c r="E2363" t="s">
        <v>11</v>
      </c>
      <c r="F2363">
        <v>4112.262</v>
      </c>
      <c r="G2363">
        <v>18</v>
      </c>
      <c r="L2363" t="s">
        <v>7007</v>
      </c>
      <c r="O2363" t="s">
        <v>7008</v>
      </c>
    </row>
    <row r="2364" spans="1:15" x14ac:dyDescent="0.25">
      <c r="A2364" t="s">
        <v>18</v>
      </c>
      <c r="B2364" t="s">
        <v>7007</v>
      </c>
      <c r="C2364" t="s">
        <v>7009</v>
      </c>
      <c r="D2364" t="s">
        <v>20</v>
      </c>
      <c r="E2364" t="s">
        <v>11</v>
      </c>
      <c r="F2364">
        <v>1044.384</v>
      </c>
      <c r="G2364">
        <v>18</v>
      </c>
      <c r="L2364" t="s">
        <v>7010</v>
      </c>
      <c r="O2364" t="s">
        <v>7011</v>
      </c>
    </row>
    <row r="2365" spans="1:15" x14ac:dyDescent="0.25">
      <c r="A2365" t="s">
        <v>18</v>
      </c>
      <c r="B2365" t="s">
        <v>7010</v>
      </c>
      <c r="C2365" t="s">
        <v>7012</v>
      </c>
      <c r="D2365" t="s">
        <v>20</v>
      </c>
      <c r="E2365" t="s">
        <v>11</v>
      </c>
      <c r="F2365">
        <v>1240.2060000000001</v>
      </c>
      <c r="G2365">
        <v>18</v>
      </c>
      <c r="L2365" t="s">
        <v>7013</v>
      </c>
      <c r="O2365" t="s">
        <v>7014</v>
      </c>
    </row>
    <row r="2366" spans="1:15" x14ac:dyDescent="0.25">
      <c r="A2366" t="s">
        <v>18</v>
      </c>
      <c r="B2366" t="s">
        <v>7013</v>
      </c>
      <c r="C2366" t="s">
        <v>7015</v>
      </c>
      <c r="D2366" t="s">
        <v>20</v>
      </c>
      <c r="E2366" t="s">
        <v>11</v>
      </c>
      <c r="F2366">
        <v>718.014</v>
      </c>
      <c r="G2366">
        <v>18</v>
      </c>
      <c r="L2366" t="s">
        <v>7016</v>
      </c>
      <c r="O2366" t="s">
        <v>7017</v>
      </c>
    </row>
    <row r="2367" spans="1:15" x14ac:dyDescent="0.25">
      <c r="A2367" t="s">
        <v>18</v>
      </c>
      <c r="B2367" t="s">
        <v>7016</v>
      </c>
      <c r="C2367" t="s">
        <v>7018</v>
      </c>
      <c r="D2367" t="s">
        <v>20</v>
      </c>
      <c r="E2367" t="s">
        <v>11</v>
      </c>
      <c r="F2367">
        <v>783.2879999999999</v>
      </c>
      <c r="G2367">
        <v>18</v>
      </c>
      <c r="L2367" t="s">
        <v>7019</v>
      </c>
      <c r="O2367" t="s">
        <v>7020</v>
      </c>
    </row>
    <row r="2368" spans="1:15" x14ac:dyDescent="0.25">
      <c r="A2368" t="s">
        <v>18</v>
      </c>
      <c r="B2368" t="s">
        <v>7019</v>
      </c>
      <c r="C2368" t="s">
        <v>7021</v>
      </c>
      <c r="D2368" t="s">
        <v>20</v>
      </c>
      <c r="E2368" t="s">
        <v>11</v>
      </c>
      <c r="F2368">
        <v>1370.754</v>
      </c>
      <c r="G2368">
        <v>18</v>
      </c>
      <c r="L2368" t="s">
        <v>7022</v>
      </c>
      <c r="O2368" t="s">
        <v>7023</v>
      </c>
    </row>
    <row r="2369" spans="1:15" x14ac:dyDescent="0.25">
      <c r="A2369" t="s">
        <v>18</v>
      </c>
      <c r="B2369" t="s">
        <v>7022</v>
      </c>
      <c r="C2369" t="s">
        <v>7024</v>
      </c>
      <c r="D2369" t="s">
        <v>20</v>
      </c>
      <c r="E2369" t="s">
        <v>11</v>
      </c>
      <c r="F2369">
        <v>1044.384</v>
      </c>
      <c r="G2369">
        <v>18</v>
      </c>
      <c r="L2369" t="s">
        <v>7025</v>
      </c>
      <c r="O2369" t="s">
        <v>7026</v>
      </c>
    </row>
    <row r="2370" spans="1:15" x14ac:dyDescent="0.25">
      <c r="A2370" t="s">
        <v>18</v>
      </c>
      <c r="B2370" t="s">
        <v>7025</v>
      </c>
      <c r="C2370" t="s">
        <v>7027</v>
      </c>
      <c r="D2370" t="s">
        <v>20</v>
      </c>
      <c r="E2370" t="s">
        <v>11</v>
      </c>
      <c r="F2370">
        <v>2284.59</v>
      </c>
      <c r="G2370">
        <v>18</v>
      </c>
      <c r="L2370" t="s">
        <v>7028</v>
      </c>
      <c r="O2370" t="s">
        <v>7029</v>
      </c>
    </row>
    <row r="2371" spans="1:15" x14ac:dyDescent="0.25">
      <c r="A2371" t="s">
        <v>18</v>
      </c>
      <c r="B2371" t="s">
        <v>7028</v>
      </c>
      <c r="C2371" t="s">
        <v>7030</v>
      </c>
      <c r="D2371" t="s">
        <v>20</v>
      </c>
      <c r="E2371" t="s">
        <v>11</v>
      </c>
      <c r="F2371">
        <v>5678.838</v>
      </c>
      <c r="G2371">
        <v>18</v>
      </c>
      <c r="L2371" t="s">
        <v>7031</v>
      </c>
      <c r="O2371" t="s">
        <v>7032</v>
      </c>
    </row>
    <row r="2372" spans="1:15" x14ac:dyDescent="0.25">
      <c r="A2372" t="s">
        <v>18</v>
      </c>
      <c r="B2372" t="s">
        <v>7031</v>
      </c>
      <c r="C2372" t="s">
        <v>7033</v>
      </c>
      <c r="D2372" t="s">
        <v>20</v>
      </c>
      <c r="E2372" t="s">
        <v>11</v>
      </c>
      <c r="F2372">
        <v>718.014</v>
      </c>
      <c r="G2372">
        <v>18</v>
      </c>
      <c r="L2372" t="s">
        <v>7034</v>
      </c>
      <c r="O2372" t="s">
        <v>7035</v>
      </c>
    </row>
    <row r="2373" spans="1:15" x14ac:dyDescent="0.25">
      <c r="A2373" t="s">
        <v>18</v>
      </c>
      <c r="B2373" t="s">
        <v>7034</v>
      </c>
      <c r="C2373" t="s">
        <v>7036</v>
      </c>
      <c r="D2373" t="s">
        <v>20</v>
      </c>
      <c r="E2373" t="s">
        <v>11</v>
      </c>
      <c r="F2373">
        <v>18472.541999999998</v>
      </c>
      <c r="G2373">
        <v>18</v>
      </c>
      <c r="L2373" t="s">
        <v>7037</v>
      </c>
      <c r="O2373" t="s">
        <v>7038</v>
      </c>
    </row>
    <row r="2374" spans="1:15" x14ac:dyDescent="0.25">
      <c r="A2374" t="s">
        <v>18</v>
      </c>
      <c r="B2374" t="s">
        <v>7037</v>
      </c>
      <c r="C2374" t="s">
        <v>7039</v>
      </c>
      <c r="D2374" t="s">
        <v>20</v>
      </c>
      <c r="E2374" t="s">
        <v>11</v>
      </c>
      <c r="F2374">
        <v>33224.466</v>
      </c>
      <c r="G2374">
        <v>18</v>
      </c>
      <c r="L2374" t="s">
        <v>7040</v>
      </c>
      <c r="O2374" t="s">
        <v>7041</v>
      </c>
    </row>
    <row r="2375" spans="1:15" x14ac:dyDescent="0.25">
      <c r="A2375" t="s">
        <v>18</v>
      </c>
      <c r="B2375" t="s">
        <v>7040</v>
      </c>
      <c r="C2375" t="s">
        <v>7042</v>
      </c>
      <c r="D2375" t="s">
        <v>20</v>
      </c>
      <c r="E2375" t="s">
        <v>11</v>
      </c>
      <c r="F2375">
        <v>1762.3980000000001</v>
      </c>
      <c r="G2375">
        <v>18</v>
      </c>
      <c r="L2375" t="s">
        <v>7043</v>
      </c>
      <c r="O2375" t="s">
        <v>7044</v>
      </c>
    </row>
    <row r="2376" spans="1:15" x14ac:dyDescent="0.25">
      <c r="A2376" t="s">
        <v>18</v>
      </c>
      <c r="B2376" t="s">
        <v>7043</v>
      </c>
      <c r="C2376" t="s">
        <v>7045</v>
      </c>
      <c r="D2376" t="s">
        <v>20</v>
      </c>
      <c r="E2376" t="s">
        <v>11</v>
      </c>
      <c r="F2376">
        <v>2154.042</v>
      </c>
      <c r="G2376">
        <v>18</v>
      </c>
      <c r="L2376" t="s">
        <v>7046</v>
      </c>
      <c r="O2376" t="s">
        <v>7047</v>
      </c>
    </row>
    <row r="2377" spans="1:15" x14ac:dyDescent="0.25">
      <c r="A2377" t="s">
        <v>18</v>
      </c>
      <c r="B2377" t="s">
        <v>7046</v>
      </c>
      <c r="C2377" t="s">
        <v>7048</v>
      </c>
      <c r="D2377" t="s">
        <v>20</v>
      </c>
      <c r="E2377" t="s">
        <v>11</v>
      </c>
      <c r="F2377">
        <v>8616.168</v>
      </c>
      <c r="G2377">
        <v>18</v>
      </c>
      <c r="L2377" t="s">
        <v>7049</v>
      </c>
      <c r="O2377" t="s">
        <v>7050</v>
      </c>
    </row>
    <row r="2378" spans="1:15" x14ac:dyDescent="0.25">
      <c r="A2378" t="s">
        <v>18</v>
      </c>
      <c r="B2378" t="s">
        <v>7049</v>
      </c>
      <c r="C2378" t="s">
        <v>7051</v>
      </c>
      <c r="D2378" t="s">
        <v>20</v>
      </c>
      <c r="E2378" t="s">
        <v>11</v>
      </c>
      <c r="F2378">
        <v>8616.168</v>
      </c>
      <c r="G2378">
        <v>18</v>
      </c>
      <c r="L2378" t="s">
        <v>7052</v>
      </c>
      <c r="O2378" t="s">
        <v>7053</v>
      </c>
    </row>
    <row r="2379" spans="1:15" x14ac:dyDescent="0.25">
      <c r="A2379" t="s">
        <v>18</v>
      </c>
      <c r="B2379" t="s">
        <v>7052</v>
      </c>
      <c r="C2379" t="s">
        <v>7054</v>
      </c>
      <c r="D2379" t="s">
        <v>20</v>
      </c>
      <c r="E2379" t="s">
        <v>11</v>
      </c>
      <c r="F2379">
        <v>8616.168</v>
      </c>
      <c r="G2379">
        <v>18</v>
      </c>
      <c r="L2379" t="s">
        <v>7055</v>
      </c>
      <c r="O2379" t="s">
        <v>7056</v>
      </c>
    </row>
    <row r="2380" spans="1:15" x14ac:dyDescent="0.25">
      <c r="A2380" t="s">
        <v>18</v>
      </c>
      <c r="B2380" t="s">
        <v>7055</v>
      </c>
      <c r="C2380" t="s">
        <v>7057</v>
      </c>
      <c r="D2380" t="s">
        <v>20</v>
      </c>
      <c r="E2380" t="s">
        <v>11</v>
      </c>
      <c r="F2380">
        <v>2545.6859999999997</v>
      </c>
      <c r="G2380">
        <v>18</v>
      </c>
      <c r="L2380" t="s">
        <v>7058</v>
      </c>
      <c r="O2380" t="s">
        <v>7059</v>
      </c>
    </row>
    <row r="2381" spans="1:15" x14ac:dyDescent="0.25">
      <c r="A2381" t="s">
        <v>18</v>
      </c>
      <c r="B2381" t="s">
        <v>7058</v>
      </c>
      <c r="C2381" t="s">
        <v>7060</v>
      </c>
      <c r="D2381" t="s">
        <v>20</v>
      </c>
      <c r="E2381" t="s">
        <v>11</v>
      </c>
      <c r="F2381">
        <v>4308.084</v>
      </c>
      <c r="G2381">
        <v>18</v>
      </c>
      <c r="L2381" t="s">
        <v>7061</v>
      </c>
      <c r="O2381" t="s">
        <v>7062</v>
      </c>
    </row>
    <row r="2382" spans="1:15" x14ac:dyDescent="0.25">
      <c r="A2382" t="s">
        <v>18</v>
      </c>
      <c r="B2382" t="s">
        <v>7061</v>
      </c>
      <c r="C2382" t="s">
        <v>7063</v>
      </c>
      <c r="D2382" t="s">
        <v>20</v>
      </c>
      <c r="E2382" t="s">
        <v>11</v>
      </c>
      <c r="F2382">
        <v>12728.429999999998</v>
      </c>
      <c r="G2382">
        <v>18</v>
      </c>
      <c r="L2382" t="s">
        <v>7064</v>
      </c>
      <c r="O2382" t="s">
        <v>7065</v>
      </c>
    </row>
    <row r="2383" spans="1:15" x14ac:dyDescent="0.25">
      <c r="A2383" t="s">
        <v>18</v>
      </c>
      <c r="B2383" t="s">
        <v>7064</v>
      </c>
      <c r="C2383" t="s">
        <v>7066</v>
      </c>
      <c r="D2383" t="s">
        <v>20</v>
      </c>
      <c r="E2383" t="s">
        <v>11</v>
      </c>
      <c r="F2383">
        <v>2415.138</v>
      </c>
      <c r="G2383">
        <v>18</v>
      </c>
      <c r="L2383" t="s">
        <v>7067</v>
      </c>
      <c r="O2383" t="s">
        <v>7068</v>
      </c>
    </row>
    <row r="2384" spans="1:15" x14ac:dyDescent="0.25">
      <c r="A2384" t="s">
        <v>18</v>
      </c>
      <c r="B2384" t="s">
        <v>7067</v>
      </c>
      <c r="C2384" t="s">
        <v>7069</v>
      </c>
      <c r="D2384" t="s">
        <v>20</v>
      </c>
      <c r="E2384" t="s">
        <v>11</v>
      </c>
      <c r="F2384">
        <v>5678.838</v>
      </c>
      <c r="G2384">
        <v>18</v>
      </c>
      <c r="L2384" t="s">
        <v>7070</v>
      </c>
      <c r="O2384" t="s">
        <v>7071</v>
      </c>
    </row>
    <row r="2385" spans="1:15" x14ac:dyDescent="0.25">
      <c r="A2385" t="s">
        <v>18</v>
      </c>
      <c r="B2385" t="s">
        <v>7070</v>
      </c>
      <c r="C2385" t="s">
        <v>7072</v>
      </c>
      <c r="D2385" t="s">
        <v>20</v>
      </c>
      <c r="E2385" t="s">
        <v>11</v>
      </c>
      <c r="F2385">
        <v>6201.030000000001</v>
      </c>
      <c r="G2385">
        <v>18</v>
      </c>
      <c r="L2385" t="s">
        <v>7073</v>
      </c>
      <c r="O2385" t="s">
        <v>7074</v>
      </c>
    </row>
    <row r="2386" spans="1:15" x14ac:dyDescent="0.25">
      <c r="A2386" t="s">
        <v>18</v>
      </c>
      <c r="B2386" t="s">
        <v>7073</v>
      </c>
      <c r="C2386" t="s">
        <v>7075</v>
      </c>
      <c r="D2386" t="s">
        <v>20</v>
      </c>
      <c r="E2386" t="s">
        <v>11</v>
      </c>
      <c r="F2386">
        <v>1240.2060000000001</v>
      </c>
      <c r="G2386">
        <v>18</v>
      </c>
      <c r="L2386" t="s">
        <v>7076</v>
      </c>
      <c r="O2386" t="s">
        <v>7077</v>
      </c>
    </row>
    <row r="2387" spans="1:15" x14ac:dyDescent="0.25">
      <c r="A2387" t="s">
        <v>18</v>
      </c>
      <c r="B2387" t="s">
        <v>7076</v>
      </c>
      <c r="C2387" t="s">
        <v>7078</v>
      </c>
      <c r="D2387" t="s">
        <v>20</v>
      </c>
      <c r="E2387" t="s">
        <v>11</v>
      </c>
      <c r="F2387">
        <v>783.2879999999999</v>
      </c>
      <c r="G2387">
        <v>18</v>
      </c>
      <c r="L2387" t="s">
        <v>7079</v>
      </c>
      <c r="O2387" t="s">
        <v>7080</v>
      </c>
    </row>
    <row r="2388" spans="1:15" x14ac:dyDescent="0.25">
      <c r="A2388" t="s">
        <v>18</v>
      </c>
      <c r="B2388" t="s">
        <v>7079</v>
      </c>
      <c r="C2388" t="s">
        <v>7081</v>
      </c>
      <c r="D2388" t="s">
        <v>20</v>
      </c>
      <c r="E2388" t="s">
        <v>11</v>
      </c>
      <c r="F2388">
        <v>2219.316</v>
      </c>
      <c r="G2388">
        <v>18</v>
      </c>
      <c r="L2388" t="s">
        <v>7082</v>
      </c>
      <c r="O2388" t="s">
        <v>7083</v>
      </c>
    </row>
    <row r="2389" spans="1:15" x14ac:dyDescent="0.25">
      <c r="A2389" t="s">
        <v>18</v>
      </c>
      <c r="B2389" t="s">
        <v>7082</v>
      </c>
      <c r="C2389" t="s">
        <v>7084</v>
      </c>
      <c r="D2389" t="s">
        <v>20</v>
      </c>
      <c r="E2389" t="s">
        <v>11</v>
      </c>
      <c r="F2389">
        <v>3394.2479999999996</v>
      </c>
      <c r="G2389">
        <v>18</v>
      </c>
      <c r="L2389" t="s">
        <v>7085</v>
      </c>
      <c r="O2389" t="s">
        <v>7086</v>
      </c>
    </row>
    <row r="2390" spans="1:15" x14ac:dyDescent="0.25">
      <c r="A2390" t="s">
        <v>18</v>
      </c>
      <c r="B2390" t="s">
        <v>7085</v>
      </c>
      <c r="C2390" t="s">
        <v>7087</v>
      </c>
      <c r="D2390" t="s">
        <v>20</v>
      </c>
      <c r="E2390" t="s">
        <v>11</v>
      </c>
      <c r="F2390">
        <v>2023.494</v>
      </c>
      <c r="G2390">
        <v>18</v>
      </c>
      <c r="L2390" t="s">
        <v>7088</v>
      </c>
      <c r="O2390" t="s">
        <v>7089</v>
      </c>
    </row>
    <row r="2391" spans="1:15" x14ac:dyDescent="0.25">
      <c r="A2391" t="s">
        <v>18</v>
      </c>
      <c r="B2391" t="s">
        <v>7088</v>
      </c>
      <c r="C2391" t="s">
        <v>7090</v>
      </c>
      <c r="D2391" t="s">
        <v>20</v>
      </c>
      <c r="E2391" t="s">
        <v>11</v>
      </c>
      <c r="F2391">
        <v>979.11</v>
      </c>
      <c r="G2391">
        <v>18</v>
      </c>
      <c r="L2391" t="s">
        <v>7091</v>
      </c>
      <c r="O2391" t="s">
        <v>7092</v>
      </c>
    </row>
    <row r="2392" spans="1:15" x14ac:dyDescent="0.25">
      <c r="A2392" t="s">
        <v>18</v>
      </c>
      <c r="B2392" t="s">
        <v>7091</v>
      </c>
      <c r="C2392" t="s">
        <v>7093</v>
      </c>
      <c r="D2392" t="s">
        <v>20</v>
      </c>
      <c r="E2392" t="s">
        <v>11</v>
      </c>
      <c r="F2392">
        <v>522.192</v>
      </c>
      <c r="G2392">
        <v>18</v>
      </c>
      <c r="L2392" t="s">
        <v>7094</v>
      </c>
      <c r="O2392" t="s">
        <v>7095</v>
      </c>
    </row>
    <row r="2393" spans="1:15" x14ac:dyDescent="0.25">
      <c r="A2393" t="s">
        <v>18</v>
      </c>
      <c r="B2393" t="s">
        <v>7094</v>
      </c>
      <c r="C2393" t="s">
        <v>7096</v>
      </c>
      <c r="D2393" t="s">
        <v>20</v>
      </c>
      <c r="E2393" t="s">
        <v>11</v>
      </c>
      <c r="F2393">
        <v>9399.455999999998</v>
      </c>
      <c r="G2393">
        <v>18</v>
      </c>
      <c r="L2393" t="s">
        <v>7097</v>
      </c>
      <c r="O2393" t="s">
        <v>7098</v>
      </c>
    </row>
    <row r="2394" spans="1:15" x14ac:dyDescent="0.25">
      <c r="A2394" t="s">
        <v>18</v>
      </c>
      <c r="B2394" t="s">
        <v>7097</v>
      </c>
      <c r="C2394" t="s">
        <v>7099</v>
      </c>
      <c r="D2394" t="s">
        <v>20</v>
      </c>
      <c r="E2394" t="s">
        <v>11</v>
      </c>
      <c r="F2394">
        <v>3328.9739999999997</v>
      </c>
      <c r="G2394">
        <v>18</v>
      </c>
      <c r="L2394" t="s">
        <v>7100</v>
      </c>
      <c r="O2394" t="s">
        <v>7101</v>
      </c>
    </row>
    <row r="2395" spans="1:15" x14ac:dyDescent="0.25">
      <c r="A2395" t="s">
        <v>18</v>
      </c>
      <c r="B2395" t="s">
        <v>7100</v>
      </c>
      <c r="C2395" t="s">
        <v>7102</v>
      </c>
      <c r="D2395" t="s">
        <v>20</v>
      </c>
      <c r="E2395" t="s">
        <v>11</v>
      </c>
      <c r="F2395">
        <v>2741.508</v>
      </c>
      <c r="G2395">
        <v>18</v>
      </c>
      <c r="L2395" t="s">
        <v>7103</v>
      </c>
      <c r="O2395" t="s">
        <v>7104</v>
      </c>
    </row>
    <row r="2396" spans="1:15" x14ac:dyDescent="0.25">
      <c r="A2396" t="s">
        <v>18</v>
      </c>
      <c r="B2396" t="s">
        <v>7103</v>
      </c>
      <c r="C2396" t="s">
        <v>7105</v>
      </c>
      <c r="D2396" t="s">
        <v>20</v>
      </c>
      <c r="E2396" t="s">
        <v>11</v>
      </c>
      <c r="F2396">
        <v>29634.395999999997</v>
      </c>
      <c r="G2396">
        <v>18</v>
      </c>
      <c r="L2396" t="s">
        <v>7106</v>
      </c>
      <c r="O2396" t="s">
        <v>7107</v>
      </c>
    </row>
    <row r="2397" spans="1:15" x14ac:dyDescent="0.25">
      <c r="A2397" t="s">
        <v>18</v>
      </c>
      <c r="B2397" t="s">
        <v>7106</v>
      </c>
      <c r="C2397" t="s">
        <v>7108</v>
      </c>
      <c r="D2397" t="s">
        <v>20</v>
      </c>
      <c r="E2397" t="s">
        <v>11</v>
      </c>
      <c r="F2397">
        <v>2088.768</v>
      </c>
      <c r="G2397">
        <v>18</v>
      </c>
      <c r="L2397" t="s">
        <v>7109</v>
      </c>
      <c r="O2397" t="s">
        <v>7110</v>
      </c>
    </row>
    <row r="2398" spans="1:15" x14ac:dyDescent="0.25">
      <c r="A2398" t="s">
        <v>18</v>
      </c>
      <c r="B2398" t="s">
        <v>7109</v>
      </c>
      <c r="C2398" t="s">
        <v>7111</v>
      </c>
      <c r="D2398" t="s">
        <v>20</v>
      </c>
      <c r="E2398" t="s">
        <v>11</v>
      </c>
      <c r="F2398">
        <v>15274.116</v>
      </c>
      <c r="G2398">
        <v>18</v>
      </c>
      <c r="L2398" t="s">
        <v>7112</v>
      </c>
      <c r="O2398" t="s">
        <v>7113</v>
      </c>
    </row>
    <row r="2399" spans="1:15" x14ac:dyDescent="0.25">
      <c r="A2399" t="s">
        <v>18</v>
      </c>
      <c r="B2399" t="s">
        <v>7112</v>
      </c>
      <c r="C2399" t="s">
        <v>7114</v>
      </c>
      <c r="D2399" t="s">
        <v>20</v>
      </c>
      <c r="E2399" t="s">
        <v>11</v>
      </c>
      <c r="F2399">
        <v>18668.363999999998</v>
      </c>
      <c r="G2399">
        <v>18</v>
      </c>
      <c r="L2399" t="s">
        <v>7115</v>
      </c>
      <c r="O2399" t="s">
        <v>7116</v>
      </c>
    </row>
    <row r="2400" spans="1:15" x14ac:dyDescent="0.25">
      <c r="A2400" t="s">
        <v>18</v>
      </c>
      <c r="B2400" t="s">
        <v>7115</v>
      </c>
      <c r="C2400" t="s">
        <v>7117</v>
      </c>
      <c r="D2400" t="s">
        <v>20</v>
      </c>
      <c r="E2400" t="s">
        <v>11</v>
      </c>
      <c r="F2400">
        <v>2219.316</v>
      </c>
      <c r="G2400">
        <v>18</v>
      </c>
      <c r="L2400" t="s">
        <v>7118</v>
      </c>
      <c r="O2400" t="s">
        <v>7119</v>
      </c>
    </row>
    <row r="2401" spans="1:15" x14ac:dyDescent="0.25">
      <c r="A2401" t="s">
        <v>18</v>
      </c>
      <c r="B2401" t="s">
        <v>7118</v>
      </c>
      <c r="C2401" t="s">
        <v>7120</v>
      </c>
      <c r="D2401" t="s">
        <v>20</v>
      </c>
      <c r="E2401" t="s">
        <v>11</v>
      </c>
      <c r="F2401">
        <v>25065.215999999997</v>
      </c>
      <c r="G2401">
        <v>18</v>
      </c>
      <c r="L2401" t="s">
        <v>7121</v>
      </c>
      <c r="O2401" t="s">
        <v>7122</v>
      </c>
    </row>
    <row r="2402" spans="1:15" x14ac:dyDescent="0.25">
      <c r="A2402" t="s">
        <v>18</v>
      </c>
      <c r="B2402" t="s">
        <v>7121</v>
      </c>
      <c r="C2402" t="s">
        <v>7123</v>
      </c>
      <c r="D2402" t="s">
        <v>20</v>
      </c>
      <c r="E2402" t="s">
        <v>11</v>
      </c>
      <c r="F2402">
        <v>23433.365999999998</v>
      </c>
      <c r="G2402">
        <v>18</v>
      </c>
      <c r="L2402" t="s">
        <v>7124</v>
      </c>
      <c r="O2402" t="s">
        <v>7125</v>
      </c>
    </row>
    <row r="2403" spans="1:15" x14ac:dyDescent="0.25">
      <c r="A2403" t="s">
        <v>18</v>
      </c>
      <c r="B2403" t="s">
        <v>7124</v>
      </c>
      <c r="C2403" t="s">
        <v>7126</v>
      </c>
      <c r="D2403" t="s">
        <v>20</v>
      </c>
      <c r="E2403" t="s">
        <v>11</v>
      </c>
      <c r="F2403">
        <v>979.11</v>
      </c>
      <c r="G2403">
        <v>18</v>
      </c>
      <c r="L2403" t="s">
        <v>7127</v>
      </c>
      <c r="O2403" t="s">
        <v>7128</v>
      </c>
    </row>
    <row r="2404" spans="1:15" x14ac:dyDescent="0.25">
      <c r="A2404" t="s">
        <v>18</v>
      </c>
      <c r="B2404" t="s">
        <v>7127</v>
      </c>
      <c r="C2404" t="s">
        <v>7129</v>
      </c>
      <c r="D2404" t="s">
        <v>20</v>
      </c>
      <c r="E2404" t="s">
        <v>11</v>
      </c>
      <c r="F2404">
        <v>18146.172</v>
      </c>
      <c r="G2404">
        <v>18</v>
      </c>
      <c r="L2404" t="s">
        <v>7130</v>
      </c>
      <c r="O2404" t="s">
        <v>7131</v>
      </c>
    </row>
    <row r="2405" spans="1:15" x14ac:dyDescent="0.25">
      <c r="A2405" t="s">
        <v>18</v>
      </c>
      <c r="B2405" t="s">
        <v>7130</v>
      </c>
      <c r="C2405" t="s">
        <v>7132</v>
      </c>
      <c r="D2405" t="s">
        <v>20</v>
      </c>
      <c r="E2405" t="s">
        <v>11</v>
      </c>
      <c r="F2405">
        <v>6919.043999999999</v>
      </c>
      <c r="G2405">
        <v>18</v>
      </c>
      <c r="L2405" t="s">
        <v>7133</v>
      </c>
      <c r="O2405" t="s">
        <v>7134</v>
      </c>
    </row>
    <row r="2406" spans="1:15" x14ac:dyDescent="0.25">
      <c r="A2406" t="s">
        <v>18</v>
      </c>
      <c r="B2406" t="s">
        <v>7133</v>
      </c>
      <c r="C2406" t="s">
        <v>7135</v>
      </c>
      <c r="D2406" t="s">
        <v>20</v>
      </c>
      <c r="E2406" t="s">
        <v>11</v>
      </c>
      <c r="F2406">
        <v>9203.633999999998</v>
      </c>
      <c r="G2406">
        <v>18</v>
      </c>
      <c r="L2406" t="s">
        <v>7136</v>
      </c>
      <c r="O2406" t="s">
        <v>7137</v>
      </c>
    </row>
    <row r="2407" spans="1:15" x14ac:dyDescent="0.25">
      <c r="A2407" t="s">
        <v>18</v>
      </c>
      <c r="B2407" t="s">
        <v>7136</v>
      </c>
      <c r="C2407" t="s">
        <v>7138</v>
      </c>
      <c r="D2407" t="s">
        <v>20</v>
      </c>
      <c r="E2407" t="s">
        <v>11</v>
      </c>
      <c r="F2407">
        <v>21605.693999999996</v>
      </c>
      <c r="G2407">
        <v>18</v>
      </c>
      <c r="L2407" t="s">
        <v>7139</v>
      </c>
      <c r="O2407" t="s">
        <v>7140</v>
      </c>
    </row>
    <row r="2408" spans="1:15" x14ac:dyDescent="0.25">
      <c r="A2408" t="s">
        <v>18</v>
      </c>
      <c r="B2408" t="s">
        <v>7139</v>
      </c>
      <c r="C2408" t="s">
        <v>7141</v>
      </c>
      <c r="D2408" t="s">
        <v>20</v>
      </c>
      <c r="E2408" t="s">
        <v>11</v>
      </c>
      <c r="F2408">
        <v>21605.693999999996</v>
      </c>
      <c r="G2408">
        <v>18</v>
      </c>
      <c r="L2408" t="s">
        <v>7142</v>
      </c>
      <c r="O2408" t="s">
        <v>7143</v>
      </c>
    </row>
    <row r="2409" spans="1:15" x14ac:dyDescent="0.25">
      <c r="A2409" t="s">
        <v>18</v>
      </c>
      <c r="B2409" t="s">
        <v>7142</v>
      </c>
      <c r="C2409" t="s">
        <v>7144</v>
      </c>
      <c r="D2409" t="s">
        <v>20</v>
      </c>
      <c r="E2409" t="s">
        <v>11</v>
      </c>
      <c r="F2409">
        <v>6331.5779999999995</v>
      </c>
      <c r="G2409">
        <v>18</v>
      </c>
      <c r="L2409" t="s">
        <v>7145</v>
      </c>
      <c r="O2409" t="s">
        <v>7146</v>
      </c>
    </row>
    <row r="2410" spans="1:15" x14ac:dyDescent="0.25">
      <c r="A2410" t="s">
        <v>18</v>
      </c>
      <c r="B2410" t="s">
        <v>7145</v>
      </c>
      <c r="C2410" t="s">
        <v>7147</v>
      </c>
      <c r="D2410" t="s">
        <v>20</v>
      </c>
      <c r="E2410" t="s">
        <v>11</v>
      </c>
      <c r="F2410">
        <v>26958.161999999997</v>
      </c>
      <c r="G2410">
        <v>18</v>
      </c>
      <c r="L2410" t="s">
        <v>7148</v>
      </c>
      <c r="O2410" t="s">
        <v>7149</v>
      </c>
    </row>
    <row r="2411" spans="1:15" x14ac:dyDescent="0.25">
      <c r="A2411" t="s">
        <v>18</v>
      </c>
      <c r="B2411" t="s">
        <v>7148</v>
      </c>
      <c r="C2411" t="s">
        <v>7150</v>
      </c>
      <c r="D2411" t="s">
        <v>20</v>
      </c>
      <c r="E2411" t="s">
        <v>11</v>
      </c>
      <c r="F2411">
        <v>2219.316</v>
      </c>
      <c r="G2411">
        <v>18</v>
      </c>
      <c r="L2411" t="s">
        <v>7151</v>
      </c>
      <c r="O2411" t="s">
        <v>7152</v>
      </c>
    </row>
    <row r="2412" spans="1:15" x14ac:dyDescent="0.25">
      <c r="A2412" t="s">
        <v>18</v>
      </c>
      <c r="B2412" t="s">
        <v>7151</v>
      </c>
      <c r="C2412" t="s">
        <v>7153</v>
      </c>
      <c r="D2412" t="s">
        <v>20</v>
      </c>
      <c r="E2412" t="s">
        <v>11</v>
      </c>
      <c r="F2412">
        <v>7441.235999999999</v>
      </c>
      <c r="G2412">
        <v>18</v>
      </c>
      <c r="L2412" t="s">
        <v>7154</v>
      </c>
      <c r="O2412" t="s">
        <v>7155</v>
      </c>
    </row>
    <row r="2413" spans="1:15" x14ac:dyDescent="0.25">
      <c r="A2413" t="s">
        <v>18</v>
      </c>
      <c r="B2413" t="s">
        <v>7154</v>
      </c>
      <c r="C2413" t="s">
        <v>7156</v>
      </c>
      <c r="D2413" t="s">
        <v>20</v>
      </c>
      <c r="E2413" t="s">
        <v>11</v>
      </c>
      <c r="F2413">
        <v>11357.676</v>
      </c>
      <c r="G2413">
        <v>18</v>
      </c>
      <c r="L2413" t="s">
        <v>7157</v>
      </c>
      <c r="O2413" t="s">
        <v>7158</v>
      </c>
    </row>
    <row r="2414" spans="1:15" x14ac:dyDescent="0.25">
      <c r="A2414" t="s">
        <v>18</v>
      </c>
      <c r="B2414" t="s">
        <v>7157</v>
      </c>
      <c r="C2414" t="s">
        <v>7159</v>
      </c>
      <c r="D2414" t="s">
        <v>20</v>
      </c>
      <c r="E2414" t="s">
        <v>11</v>
      </c>
      <c r="F2414">
        <v>14556.101999999999</v>
      </c>
      <c r="G2414">
        <v>18</v>
      </c>
      <c r="L2414" t="s">
        <v>7160</v>
      </c>
      <c r="O2414" t="s">
        <v>7161</v>
      </c>
    </row>
    <row r="2415" spans="1:15" x14ac:dyDescent="0.25">
      <c r="A2415" t="s">
        <v>18</v>
      </c>
      <c r="B2415" t="s">
        <v>7160</v>
      </c>
      <c r="C2415" t="s">
        <v>7162</v>
      </c>
      <c r="D2415" t="s">
        <v>20</v>
      </c>
      <c r="E2415" t="s">
        <v>11</v>
      </c>
      <c r="F2415">
        <v>3981.714</v>
      </c>
      <c r="G2415">
        <v>18</v>
      </c>
      <c r="L2415" t="s">
        <v>7163</v>
      </c>
      <c r="O2415" t="s">
        <v>7164</v>
      </c>
    </row>
    <row r="2416" spans="1:15" x14ac:dyDescent="0.25">
      <c r="A2416" t="s">
        <v>18</v>
      </c>
      <c r="B2416" t="s">
        <v>7163</v>
      </c>
      <c r="C2416" t="s">
        <v>7165</v>
      </c>
      <c r="D2416" t="s">
        <v>20</v>
      </c>
      <c r="E2416" t="s">
        <v>11</v>
      </c>
      <c r="F2416">
        <v>3590.0699999999997</v>
      </c>
      <c r="G2416">
        <v>18</v>
      </c>
      <c r="L2416" t="s">
        <v>7166</v>
      </c>
      <c r="O2416" t="s">
        <v>7167</v>
      </c>
    </row>
    <row r="2417" spans="1:15" x14ac:dyDescent="0.25">
      <c r="A2417" t="s">
        <v>18</v>
      </c>
      <c r="B2417" t="s">
        <v>7166</v>
      </c>
      <c r="C2417" t="s">
        <v>7168</v>
      </c>
      <c r="D2417" t="s">
        <v>20</v>
      </c>
      <c r="E2417" t="s">
        <v>11</v>
      </c>
      <c r="F2417">
        <v>8811.99</v>
      </c>
      <c r="G2417">
        <v>18</v>
      </c>
      <c r="L2417" t="s">
        <v>7169</v>
      </c>
      <c r="O2417" t="s">
        <v>7170</v>
      </c>
    </row>
    <row r="2418" spans="1:15" x14ac:dyDescent="0.25">
      <c r="A2418" t="s">
        <v>18</v>
      </c>
      <c r="B2418" t="s">
        <v>7169</v>
      </c>
      <c r="C2418" t="s">
        <v>7171</v>
      </c>
      <c r="D2418" t="s">
        <v>20</v>
      </c>
      <c r="E2418" t="s">
        <v>11</v>
      </c>
      <c r="F2418">
        <v>19125.282</v>
      </c>
      <c r="G2418">
        <v>18</v>
      </c>
      <c r="L2418" t="s">
        <v>7172</v>
      </c>
      <c r="O2418" t="s">
        <v>7173</v>
      </c>
    </row>
    <row r="2419" spans="1:15" x14ac:dyDescent="0.25">
      <c r="A2419" t="s">
        <v>18</v>
      </c>
      <c r="B2419" t="s">
        <v>7172</v>
      </c>
      <c r="C2419" t="s">
        <v>7174</v>
      </c>
      <c r="D2419" t="s">
        <v>20</v>
      </c>
      <c r="E2419" t="s">
        <v>11</v>
      </c>
      <c r="F2419">
        <v>3394.2479999999996</v>
      </c>
      <c r="G2419">
        <v>18</v>
      </c>
      <c r="L2419" t="s">
        <v>7175</v>
      </c>
      <c r="O2419" t="s">
        <v>7176</v>
      </c>
    </row>
    <row r="2420" spans="1:15" x14ac:dyDescent="0.25">
      <c r="A2420" t="s">
        <v>18</v>
      </c>
      <c r="B2420" t="s">
        <v>7175</v>
      </c>
      <c r="C2420" t="s">
        <v>7177</v>
      </c>
      <c r="D2420" t="s">
        <v>20</v>
      </c>
      <c r="E2420" t="s">
        <v>11</v>
      </c>
      <c r="F2420">
        <v>5483.016</v>
      </c>
      <c r="G2420">
        <v>18</v>
      </c>
      <c r="L2420" t="s">
        <v>7178</v>
      </c>
      <c r="O2420" t="s">
        <v>7179</v>
      </c>
    </row>
    <row r="2421" spans="1:15" x14ac:dyDescent="0.25">
      <c r="A2421" t="s">
        <v>18</v>
      </c>
      <c r="B2421" t="s">
        <v>7178</v>
      </c>
      <c r="C2421" t="s">
        <v>7180</v>
      </c>
      <c r="D2421" t="s">
        <v>20</v>
      </c>
      <c r="E2421" t="s">
        <v>11</v>
      </c>
      <c r="F2421">
        <v>3394.2479999999996</v>
      </c>
      <c r="G2421">
        <v>18</v>
      </c>
      <c r="L2421" t="s">
        <v>7181</v>
      </c>
      <c r="O2421" t="s">
        <v>7182</v>
      </c>
    </row>
    <row r="2422" spans="1:15" x14ac:dyDescent="0.25">
      <c r="A2422" t="s">
        <v>18</v>
      </c>
      <c r="B2422" t="s">
        <v>7181</v>
      </c>
      <c r="C2422" t="s">
        <v>7183</v>
      </c>
      <c r="D2422" t="s">
        <v>20</v>
      </c>
      <c r="E2422" t="s">
        <v>11</v>
      </c>
      <c r="F2422">
        <v>21409.872</v>
      </c>
      <c r="G2422">
        <v>18</v>
      </c>
      <c r="L2422" t="s">
        <v>7184</v>
      </c>
      <c r="O2422" t="s">
        <v>7185</v>
      </c>
    </row>
    <row r="2423" spans="1:15" x14ac:dyDescent="0.25">
      <c r="A2423" t="s">
        <v>18</v>
      </c>
      <c r="B2423" t="s">
        <v>7184</v>
      </c>
      <c r="C2423" t="s">
        <v>7186</v>
      </c>
      <c r="D2423" t="s">
        <v>20</v>
      </c>
      <c r="E2423" t="s">
        <v>11</v>
      </c>
      <c r="F2423">
        <v>3067.8779999999997</v>
      </c>
      <c r="G2423">
        <v>18</v>
      </c>
      <c r="L2423" t="s">
        <v>7187</v>
      </c>
      <c r="O2423" t="s">
        <v>7188</v>
      </c>
    </row>
    <row r="2424" spans="1:15" x14ac:dyDescent="0.25">
      <c r="A2424" t="s">
        <v>18</v>
      </c>
      <c r="B2424" t="s">
        <v>7187</v>
      </c>
      <c r="C2424" t="s">
        <v>7189</v>
      </c>
      <c r="D2424" t="s">
        <v>20</v>
      </c>
      <c r="E2424" t="s">
        <v>11</v>
      </c>
      <c r="F2424">
        <v>3067.8779999999997</v>
      </c>
      <c r="G2424">
        <v>18</v>
      </c>
      <c r="L2424" t="s">
        <v>7190</v>
      </c>
      <c r="O2424" t="s">
        <v>7191</v>
      </c>
    </row>
    <row r="2425" spans="1:15" x14ac:dyDescent="0.25">
      <c r="A2425" t="s">
        <v>18</v>
      </c>
      <c r="B2425" t="s">
        <v>7190</v>
      </c>
      <c r="C2425" t="s">
        <v>7192</v>
      </c>
      <c r="D2425" t="s">
        <v>20</v>
      </c>
      <c r="E2425" t="s">
        <v>11</v>
      </c>
      <c r="F2425">
        <v>12532.607999999998</v>
      </c>
      <c r="G2425">
        <v>18</v>
      </c>
      <c r="L2425" t="s">
        <v>7193</v>
      </c>
      <c r="O2425" t="s">
        <v>7194</v>
      </c>
    </row>
    <row r="2426" spans="1:15" x14ac:dyDescent="0.25">
      <c r="A2426" t="s">
        <v>18</v>
      </c>
      <c r="B2426" t="s">
        <v>7193</v>
      </c>
      <c r="C2426" t="s">
        <v>7195</v>
      </c>
      <c r="D2426" t="s">
        <v>20</v>
      </c>
      <c r="E2426" t="s">
        <v>11</v>
      </c>
      <c r="F2426">
        <v>16318.5</v>
      </c>
      <c r="G2426">
        <v>18</v>
      </c>
      <c r="L2426" t="s">
        <v>7196</v>
      </c>
      <c r="O2426" t="s">
        <v>7197</v>
      </c>
    </row>
    <row r="2427" spans="1:15" x14ac:dyDescent="0.25">
      <c r="A2427" t="s">
        <v>18</v>
      </c>
      <c r="B2427" t="s">
        <v>7196</v>
      </c>
      <c r="C2427" t="s">
        <v>7198</v>
      </c>
      <c r="D2427" t="s">
        <v>20</v>
      </c>
      <c r="E2427" t="s">
        <v>11</v>
      </c>
      <c r="F2427">
        <v>9073.086</v>
      </c>
      <c r="G2427">
        <v>18</v>
      </c>
      <c r="L2427" t="s">
        <v>7199</v>
      </c>
      <c r="O2427" t="s">
        <v>7200</v>
      </c>
    </row>
    <row r="2428" spans="1:15" x14ac:dyDescent="0.25">
      <c r="A2428" t="s">
        <v>18</v>
      </c>
      <c r="B2428" t="s">
        <v>7199</v>
      </c>
      <c r="C2428" t="s">
        <v>7201</v>
      </c>
      <c r="D2428" t="s">
        <v>20</v>
      </c>
      <c r="E2428" t="s">
        <v>11</v>
      </c>
      <c r="F2428">
        <v>3851.166</v>
      </c>
      <c r="G2428">
        <v>18</v>
      </c>
      <c r="L2428" t="s">
        <v>7202</v>
      </c>
      <c r="O2428" t="s">
        <v>7203</v>
      </c>
    </row>
    <row r="2429" spans="1:15" x14ac:dyDescent="0.25">
      <c r="A2429" t="s">
        <v>18</v>
      </c>
      <c r="B2429" t="s">
        <v>7202</v>
      </c>
      <c r="C2429" t="s">
        <v>7204</v>
      </c>
      <c r="D2429" t="s">
        <v>20</v>
      </c>
      <c r="E2429" t="s">
        <v>11</v>
      </c>
      <c r="F2429">
        <v>3133.1519999999996</v>
      </c>
      <c r="G2429">
        <v>18</v>
      </c>
      <c r="L2429" t="s">
        <v>7205</v>
      </c>
      <c r="O2429" t="s">
        <v>7206</v>
      </c>
    </row>
    <row r="2430" spans="1:15" x14ac:dyDescent="0.25">
      <c r="A2430" t="s">
        <v>18</v>
      </c>
      <c r="B2430" t="s">
        <v>7205</v>
      </c>
      <c r="C2430" t="s">
        <v>7207</v>
      </c>
      <c r="D2430" t="s">
        <v>20</v>
      </c>
      <c r="E2430" t="s">
        <v>11</v>
      </c>
      <c r="F2430">
        <v>4765.0019999999995</v>
      </c>
      <c r="G2430">
        <v>18</v>
      </c>
      <c r="L2430" t="s">
        <v>7208</v>
      </c>
      <c r="O2430" t="s">
        <v>7209</v>
      </c>
    </row>
    <row r="2431" spans="1:15" x14ac:dyDescent="0.25">
      <c r="A2431" t="s">
        <v>18</v>
      </c>
      <c r="B2431" t="s">
        <v>7208</v>
      </c>
      <c r="C2431" t="s">
        <v>7210</v>
      </c>
      <c r="D2431" t="s">
        <v>20</v>
      </c>
      <c r="E2431" t="s">
        <v>11</v>
      </c>
      <c r="F2431">
        <v>3851.166</v>
      </c>
      <c r="G2431">
        <v>18</v>
      </c>
      <c r="L2431" t="s">
        <v>7211</v>
      </c>
      <c r="O2431" t="s">
        <v>7212</v>
      </c>
    </row>
    <row r="2432" spans="1:15" x14ac:dyDescent="0.25">
      <c r="A2432" t="s">
        <v>18</v>
      </c>
      <c r="B2432" t="s">
        <v>7211</v>
      </c>
      <c r="C2432" t="s">
        <v>7213</v>
      </c>
      <c r="D2432" t="s">
        <v>20</v>
      </c>
      <c r="E2432" t="s">
        <v>11</v>
      </c>
      <c r="F2432">
        <v>2480.4120000000003</v>
      </c>
      <c r="G2432">
        <v>18</v>
      </c>
      <c r="L2432" t="s">
        <v>7214</v>
      </c>
      <c r="O2432" t="s">
        <v>7215</v>
      </c>
    </row>
    <row r="2433" spans="1:15" x14ac:dyDescent="0.25">
      <c r="A2433" t="s">
        <v>18</v>
      </c>
      <c r="B2433" t="s">
        <v>7214</v>
      </c>
      <c r="C2433" t="s">
        <v>7216</v>
      </c>
      <c r="D2433" t="s">
        <v>20</v>
      </c>
      <c r="E2433" t="s">
        <v>11</v>
      </c>
      <c r="F2433">
        <v>4373.358</v>
      </c>
      <c r="G2433">
        <v>18</v>
      </c>
      <c r="L2433" t="s">
        <v>7217</v>
      </c>
      <c r="O2433" t="s">
        <v>7218</v>
      </c>
    </row>
    <row r="2434" spans="1:15" x14ac:dyDescent="0.25">
      <c r="A2434" t="s">
        <v>18</v>
      </c>
      <c r="B2434" t="s">
        <v>7217</v>
      </c>
      <c r="C2434" t="s">
        <v>7219</v>
      </c>
      <c r="D2434" t="s">
        <v>20</v>
      </c>
      <c r="E2434" t="s">
        <v>11</v>
      </c>
      <c r="F2434">
        <v>4112.262</v>
      </c>
      <c r="G2434">
        <v>18</v>
      </c>
      <c r="L2434" t="s">
        <v>7220</v>
      </c>
      <c r="O2434" t="s">
        <v>7221</v>
      </c>
    </row>
    <row r="2435" spans="1:15" x14ac:dyDescent="0.25">
      <c r="A2435" t="s">
        <v>18</v>
      </c>
      <c r="B2435" t="s">
        <v>7220</v>
      </c>
      <c r="C2435" t="s">
        <v>7222</v>
      </c>
      <c r="D2435" t="s">
        <v>20</v>
      </c>
      <c r="E2435" t="s">
        <v>11</v>
      </c>
      <c r="F2435">
        <v>12924.252</v>
      </c>
      <c r="G2435">
        <v>18</v>
      </c>
      <c r="L2435" t="s">
        <v>7223</v>
      </c>
      <c r="O2435" t="s">
        <v>7224</v>
      </c>
    </row>
    <row r="2436" spans="1:15" x14ac:dyDescent="0.25">
      <c r="A2436" t="s">
        <v>18</v>
      </c>
      <c r="B2436" t="s">
        <v>7223</v>
      </c>
      <c r="C2436" t="s">
        <v>7225</v>
      </c>
      <c r="D2436" t="s">
        <v>20</v>
      </c>
      <c r="E2436" t="s">
        <v>11</v>
      </c>
      <c r="F2436">
        <v>16383.774000000001</v>
      </c>
      <c r="G2436">
        <v>18</v>
      </c>
      <c r="L2436" t="s">
        <v>7226</v>
      </c>
      <c r="O2436" t="s">
        <v>7227</v>
      </c>
    </row>
    <row r="2437" spans="1:15" x14ac:dyDescent="0.25">
      <c r="A2437" t="s">
        <v>18</v>
      </c>
      <c r="B2437" t="s">
        <v>7226</v>
      </c>
      <c r="C2437" t="s">
        <v>7228</v>
      </c>
      <c r="D2437" t="s">
        <v>20</v>
      </c>
      <c r="E2437" t="s">
        <v>11</v>
      </c>
      <c r="F2437">
        <v>32637</v>
      </c>
      <c r="G2437">
        <v>18</v>
      </c>
      <c r="L2437" t="s">
        <v>7229</v>
      </c>
      <c r="O2437" t="s">
        <v>7230</v>
      </c>
    </row>
    <row r="2438" spans="1:15" x14ac:dyDescent="0.25">
      <c r="A2438" t="s">
        <v>18</v>
      </c>
      <c r="B2438" t="s">
        <v>7229</v>
      </c>
      <c r="C2438" t="s">
        <v>7231</v>
      </c>
      <c r="D2438" t="s">
        <v>20</v>
      </c>
      <c r="E2438" t="s">
        <v>11</v>
      </c>
      <c r="F2438">
        <v>1305.48</v>
      </c>
      <c r="G2438">
        <v>18</v>
      </c>
      <c r="L2438" t="s">
        <v>7232</v>
      </c>
      <c r="O2438" t="s">
        <v>7233</v>
      </c>
    </row>
    <row r="2439" spans="1:15" x14ac:dyDescent="0.25">
      <c r="A2439" t="s">
        <v>18</v>
      </c>
      <c r="B2439" t="s">
        <v>7232</v>
      </c>
      <c r="C2439" t="s">
        <v>7234</v>
      </c>
      <c r="D2439" t="s">
        <v>20</v>
      </c>
      <c r="E2439" t="s">
        <v>11</v>
      </c>
      <c r="F2439">
        <v>1370.754</v>
      </c>
      <c r="G2439">
        <v>18</v>
      </c>
      <c r="L2439" t="s">
        <v>7235</v>
      </c>
      <c r="O2439" t="s">
        <v>7236</v>
      </c>
    </row>
    <row r="2440" spans="1:15" x14ac:dyDescent="0.25">
      <c r="A2440" t="s">
        <v>18</v>
      </c>
      <c r="B2440" t="s">
        <v>7235</v>
      </c>
      <c r="C2440" t="s">
        <v>7237</v>
      </c>
      <c r="D2440" t="s">
        <v>20</v>
      </c>
      <c r="E2440" t="s">
        <v>11</v>
      </c>
      <c r="F2440">
        <v>2741.508</v>
      </c>
      <c r="G2440">
        <v>18</v>
      </c>
      <c r="L2440" t="s">
        <v>7238</v>
      </c>
      <c r="O2440" t="s">
        <v>7239</v>
      </c>
    </row>
    <row r="2441" spans="1:15" x14ac:dyDescent="0.25">
      <c r="A2441" t="s">
        <v>18</v>
      </c>
      <c r="B2441" t="s">
        <v>7238</v>
      </c>
      <c r="C2441" t="s">
        <v>7240</v>
      </c>
      <c r="D2441" t="s">
        <v>20</v>
      </c>
      <c r="E2441" t="s">
        <v>11</v>
      </c>
      <c r="F2441">
        <v>2219.316</v>
      </c>
      <c r="G2441">
        <v>18</v>
      </c>
      <c r="L2441" t="s">
        <v>7241</v>
      </c>
      <c r="O2441" t="s">
        <v>7242</v>
      </c>
    </row>
    <row r="2442" spans="1:15" x14ac:dyDescent="0.25">
      <c r="A2442" t="s">
        <v>18</v>
      </c>
      <c r="B2442" t="s">
        <v>7241</v>
      </c>
      <c r="C2442" t="s">
        <v>7243</v>
      </c>
      <c r="D2442" t="s">
        <v>20</v>
      </c>
      <c r="E2442" t="s">
        <v>11</v>
      </c>
      <c r="F2442">
        <v>2937.3300000000004</v>
      </c>
      <c r="G2442">
        <v>18</v>
      </c>
      <c r="L2442" t="s">
        <v>7244</v>
      </c>
      <c r="O2442" t="s">
        <v>7245</v>
      </c>
    </row>
    <row r="2443" spans="1:15" x14ac:dyDescent="0.25">
      <c r="A2443" t="s">
        <v>18</v>
      </c>
      <c r="B2443" t="s">
        <v>7244</v>
      </c>
      <c r="C2443" t="s">
        <v>7246</v>
      </c>
      <c r="D2443" t="s">
        <v>20</v>
      </c>
      <c r="E2443" t="s">
        <v>11</v>
      </c>
      <c r="F2443">
        <v>913.836</v>
      </c>
      <c r="G2443">
        <v>18</v>
      </c>
      <c r="L2443" t="s">
        <v>7247</v>
      </c>
      <c r="O2443" t="s">
        <v>7248</v>
      </c>
    </row>
    <row r="2444" spans="1:15" x14ac:dyDescent="0.25">
      <c r="A2444" t="s">
        <v>18</v>
      </c>
      <c r="B2444" t="s">
        <v>7247</v>
      </c>
      <c r="C2444" t="s">
        <v>7249</v>
      </c>
      <c r="D2444" t="s">
        <v>20</v>
      </c>
      <c r="E2444" t="s">
        <v>11</v>
      </c>
      <c r="F2444">
        <v>913.836</v>
      </c>
      <c r="G2444">
        <v>18</v>
      </c>
      <c r="L2444" t="s">
        <v>7250</v>
      </c>
      <c r="O2444" t="s">
        <v>7251</v>
      </c>
    </row>
    <row r="2445" spans="1:15" x14ac:dyDescent="0.25">
      <c r="A2445" t="s">
        <v>18</v>
      </c>
      <c r="B2445" t="s">
        <v>7250</v>
      </c>
      <c r="C2445" t="s">
        <v>7252</v>
      </c>
      <c r="D2445" t="s">
        <v>20</v>
      </c>
      <c r="E2445" t="s">
        <v>11</v>
      </c>
      <c r="F2445">
        <v>913.836</v>
      </c>
      <c r="G2445">
        <v>18</v>
      </c>
      <c r="L2445" t="s">
        <v>7253</v>
      </c>
      <c r="O2445" t="s">
        <v>7254</v>
      </c>
    </row>
    <row r="2446" spans="1:15" x14ac:dyDescent="0.25">
      <c r="A2446" t="s">
        <v>18</v>
      </c>
      <c r="B2446" t="s">
        <v>7253</v>
      </c>
      <c r="C2446" t="s">
        <v>7255</v>
      </c>
      <c r="D2446" t="s">
        <v>20</v>
      </c>
      <c r="E2446" t="s">
        <v>11</v>
      </c>
      <c r="F2446">
        <v>913.836</v>
      </c>
      <c r="G2446">
        <v>18</v>
      </c>
      <c r="L2446" t="s">
        <v>7256</v>
      </c>
      <c r="O2446" t="s">
        <v>7257</v>
      </c>
    </row>
    <row r="2447" spans="1:15" x14ac:dyDescent="0.25">
      <c r="A2447" t="s">
        <v>18</v>
      </c>
      <c r="B2447" t="s">
        <v>7256</v>
      </c>
      <c r="C2447" t="s">
        <v>7258</v>
      </c>
      <c r="D2447" t="s">
        <v>20</v>
      </c>
      <c r="E2447" t="s">
        <v>11</v>
      </c>
      <c r="F2447">
        <v>913.836</v>
      </c>
      <c r="G2447">
        <v>18</v>
      </c>
      <c r="L2447" t="s">
        <v>7259</v>
      </c>
      <c r="O2447" t="s">
        <v>7260</v>
      </c>
    </row>
    <row r="2448" spans="1:15" x14ac:dyDescent="0.25">
      <c r="A2448" t="s">
        <v>18</v>
      </c>
      <c r="B2448" t="s">
        <v>7259</v>
      </c>
      <c r="C2448" t="s">
        <v>7261</v>
      </c>
      <c r="D2448" t="s">
        <v>20</v>
      </c>
      <c r="E2448" t="s">
        <v>11</v>
      </c>
      <c r="F2448">
        <v>913.836</v>
      </c>
      <c r="G2448">
        <v>18</v>
      </c>
      <c r="L2448" t="s">
        <v>7262</v>
      </c>
      <c r="O2448" t="s">
        <v>7263</v>
      </c>
    </row>
    <row r="2449" spans="1:15" x14ac:dyDescent="0.25">
      <c r="A2449" t="s">
        <v>18</v>
      </c>
      <c r="B2449" t="s">
        <v>7262</v>
      </c>
      <c r="C2449" t="s">
        <v>7264</v>
      </c>
      <c r="D2449" t="s">
        <v>20</v>
      </c>
      <c r="E2449" t="s">
        <v>11</v>
      </c>
      <c r="F2449">
        <v>913.836</v>
      </c>
      <c r="G2449">
        <v>18</v>
      </c>
      <c r="L2449" t="s">
        <v>7265</v>
      </c>
      <c r="O2449" t="s">
        <v>7266</v>
      </c>
    </row>
    <row r="2450" spans="1:15" x14ac:dyDescent="0.25">
      <c r="A2450" t="s">
        <v>18</v>
      </c>
      <c r="B2450" t="s">
        <v>7265</v>
      </c>
      <c r="C2450" t="s">
        <v>7267</v>
      </c>
      <c r="D2450" t="s">
        <v>20</v>
      </c>
      <c r="E2450" t="s">
        <v>11</v>
      </c>
      <c r="F2450">
        <v>913.836</v>
      </c>
      <c r="G2450">
        <v>18</v>
      </c>
      <c r="L2450" t="s">
        <v>7268</v>
      </c>
      <c r="O2450" t="s">
        <v>7269</v>
      </c>
    </row>
    <row r="2451" spans="1:15" x14ac:dyDescent="0.25">
      <c r="A2451" t="s">
        <v>18</v>
      </c>
      <c r="B2451" t="s">
        <v>7268</v>
      </c>
      <c r="C2451" t="s">
        <v>7270</v>
      </c>
      <c r="D2451" t="s">
        <v>20</v>
      </c>
      <c r="E2451" t="s">
        <v>11</v>
      </c>
      <c r="F2451">
        <v>913.836</v>
      </c>
      <c r="G2451">
        <v>18</v>
      </c>
      <c r="L2451" t="s">
        <v>7271</v>
      </c>
      <c r="O2451" t="s">
        <v>7272</v>
      </c>
    </row>
    <row r="2452" spans="1:15" x14ac:dyDescent="0.25">
      <c r="A2452" t="s">
        <v>18</v>
      </c>
      <c r="B2452" t="s">
        <v>7271</v>
      </c>
      <c r="C2452" t="s">
        <v>7273</v>
      </c>
      <c r="D2452" t="s">
        <v>20</v>
      </c>
      <c r="E2452" t="s">
        <v>11</v>
      </c>
      <c r="F2452">
        <v>913.836</v>
      </c>
      <c r="G2452">
        <v>18</v>
      </c>
      <c r="L2452" t="s">
        <v>7274</v>
      </c>
      <c r="O2452" t="s">
        <v>7275</v>
      </c>
    </row>
    <row r="2453" spans="1:15" x14ac:dyDescent="0.25">
      <c r="A2453" t="s">
        <v>18</v>
      </c>
      <c r="B2453" t="s">
        <v>7274</v>
      </c>
      <c r="C2453" t="s">
        <v>7276</v>
      </c>
      <c r="D2453" t="s">
        <v>20</v>
      </c>
      <c r="E2453" t="s">
        <v>11</v>
      </c>
      <c r="F2453">
        <v>913.836</v>
      </c>
      <c r="G2453">
        <v>18</v>
      </c>
      <c r="L2453" t="s">
        <v>7277</v>
      </c>
      <c r="O2453" t="s">
        <v>7278</v>
      </c>
    </row>
    <row r="2454" spans="1:15" x14ac:dyDescent="0.25">
      <c r="A2454" t="s">
        <v>18</v>
      </c>
      <c r="B2454" t="s">
        <v>7277</v>
      </c>
      <c r="C2454" t="s">
        <v>7279</v>
      </c>
      <c r="D2454" t="s">
        <v>20</v>
      </c>
      <c r="E2454" t="s">
        <v>11</v>
      </c>
      <c r="F2454">
        <v>913.836</v>
      </c>
      <c r="G2454">
        <v>18</v>
      </c>
      <c r="L2454" t="s">
        <v>7280</v>
      </c>
      <c r="O2454" t="s">
        <v>7281</v>
      </c>
    </row>
    <row r="2455" spans="1:15" x14ac:dyDescent="0.25">
      <c r="A2455" t="s">
        <v>18</v>
      </c>
      <c r="B2455" t="s">
        <v>7280</v>
      </c>
      <c r="C2455" t="s">
        <v>7282</v>
      </c>
      <c r="D2455" t="s">
        <v>20</v>
      </c>
      <c r="E2455" t="s">
        <v>11</v>
      </c>
      <c r="F2455">
        <v>913.836</v>
      </c>
      <c r="G2455">
        <v>18</v>
      </c>
      <c r="L2455" t="s">
        <v>7283</v>
      </c>
      <c r="O2455" t="s">
        <v>7284</v>
      </c>
    </row>
    <row r="2456" spans="1:15" x14ac:dyDescent="0.25">
      <c r="A2456" t="s">
        <v>18</v>
      </c>
      <c r="B2456" t="s">
        <v>7283</v>
      </c>
      <c r="C2456" t="s">
        <v>7285</v>
      </c>
      <c r="D2456" t="s">
        <v>20</v>
      </c>
      <c r="E2456" t="s">
        <v>11</v>
      </c>
      <c r="F2456">
        <v>913.836</v>
      </c>
      <c r="G2456">
        <v>18</v>
      </c>
      <c r="L2456" t="s">
        <v>7286</v>
      </c>
      <c r="O2456" t="s">
        <v>7287</v>
      </c>
    </row>
    <row r="2457" spans="1:15" x14ac:dyDescent="0.25">
      <c r="A2457" t="s">
        <v>18</v>
      </c>
      <c r="B2457" t="s">
        <v>7286</v>
      </c>
      <c r="C2457" t="s">
        <v>7288</v>
      </c>
      <c r="D2457" t="s">
        <v>20</v>
      </c>
      <c r="E2457" t="s">
        <v>11</v>
      </c>
      <c r="F2457">
        <v>4046.988</v>
      </c>
      <c r="G2457">
        <v>18</v>
      </c>
      <c r="L2457" t="s">
        <v>7289</v>
      </c>
      <c r="O2457" t="s">
        <v>7290</v>
      </c>
    </row>
    <row r="2458" spans="1:15" x14ac:dyDescent="0.25">
      <c r="A2458" t="s">
        <v>18</v>
      </c>
      <c r="B2458" t="s">
        <v>7289</v>
      </c>
      <c r="C2458" t="s">
        <v>7291</v>
      </c>
      <c r="D2458" t="s">
        <v>20</v>
      </c>
      <c r="E2458" t="s">
        <v>11</v>
      </c>
      <c r="F2458">
        <v>3133.1519999999996</v>
      </c>
      <c r="G2458">
        <v>18</v>
      </c>
      <c r="L2458" t="s">
        <v>7292</v>
      </c>
      <c r="O2458" t="s">
        <v>7293</v>
      </c>
    </row>
    <row r="2459" spans="1:15" x14ac:dyDescent="0.25">
      <c r="A2459" t="s">
        <v>18</v>
      </c>
      <c r="B2459" t="s">
        <v>7292</v>
      </c>
      <c r="C2459" t="s">
        <v>7294</v>
      </c>
      <c r="D2459" t="s">
        <v>20</v>
      </c>
      <c r="E2459" t="s">
        <v>11</v>
      </c>
      <c r="F2459">
        <v>4046.988</v>
      </c>
      <c r="G2459">
        <v>18</v>
      </c>
      <c r="L2459" t="s">
        <v>7295</v>
      </c>
      <c r="O2459" t="s">
        <v>7296</v>
      </c>
    </row>
    <row r="2460" spans="1:15" x14ac:dyDescent="0.25">
      <c r="A2460" t="s">
        <v>18</v>
      </c>
      <c r="B2460" t="s">
        <v>7295</v>
      </c>
      <c r="C2460" t="s">
        <v>7297</v>
      </c>
      <c r="D2460" t="s">
        <v>20</v>
      </c>
      <c r="E2460" t="s">
        <v>11</v>
      </c>
      <c r="F2460">
        <v>2349.8639999999996</v>
      </c>
      <c r="G2460">
        <v>18</v>
      </c>
      <c r="L2460" t="s">
        <v>7298</v>
      </c>
      <c r="O2460" t="s">
        <v>7299</v>
      </c>
    </row>
    <row r="2461" spans="1:15" x14ac:dyDescent="0.25">
      <c r="A2461" t="s">
        <v>18</v>
      </c>
      <c r="B2461" t="s">
        <v>7298</v>
      </c>
      <c r="C2461" t="s">
        <v>7300</v>
      </c>
      <c r="D2461" t="s">
        <v>20</v>
      </c>
      <c r="E2461" t="s">
        <v>11</v>
      </c>
      <c r="F2461">
        <v>3263.7</v>
      </c>
      <c r="G2461">
        <v>18</v>
      </c>
      <c r="L2461" t="s">
        <v>7301</v>
      </c>
      <c r="O2461" t="s">
        <v>7302</v>
      </c>
    </row>
    <row r="2462" spans="1:15" x14ac:dyDescent="0.25">
      <c r="A2462" t="s">
        <v>18</v>
      </c>
      <c r="B2462" t="s">
        <v>7301</v>
      </c>
      <c r="C2462" t="s">
        <v>7303</v>
      </c>
      <c r="D2462" t="s">
        <v>20</v>
      </c>
      <c r="E2462" t="s">
        <v>11</v>
      </c>
      <c r="F2462">
        <v>5678.838</v>
      </c>
      <c r="G2462">
        <v>18</v>
      </c>
      <c r="L2462" t="s">
        <v>7304</v>
      </c>
      <c r="O2462" t="s">
        <v>7305</v>
      </c>
    </row>
    <row r="2463" spans="1:15" x14ac:dyDescent="0.25">
      <c r="A2463" t="s">
        <v>18</v>
      </c>
      <c r="B2463" t="s">
        <v>7304</v>
      </c>
      <c r="C2463" t="s">
        <v>7306</v>
      </c>
      <c r="D2463" t="s">
        <v>20</v>
      </c>
      <c r="E2463" t="s">
        <v>11</v>
      </c>
      <c r="F2463">
        <v>2806.7819999999997</v>
      </c>
      <c r="G2463">
        <v>18</v>
      </c>
      <c r="L2463" t="s">
        <v>7307</v>
      </c>
      <c r="O2463" t="s">
        <v>7308</v>
      </c>
    </row>
    <row r="2464" spans="1:15" x14ac:dyDescent="0.25">
      <c r="A2464" t="s">
        <v>18</v>
      </c>
      <c r="B2464" t="s">
        <v>7307</v>
      </c>
      <c r="C2464" t="s">
        <v>7309</v>
      </c>
      <c r="D2464" t="s">
        <v>20</v>
      </c>
      <c r="E2464" t="s">
        <v>11</v>
      </c>
      <c r="F2464">
        <v>5809.3859999999995</v>
      </c>
      <c r="G2464">
        <v>18</v>
      </c>
      <c r="L2464" t="s">
        <v>7310</v>
      </c>
      <c r="O2464" t="s">
        <v>7311</v>
      </c>
    </row>
    <row r="2465" spans="1:15" x14ac:dyDescent="0.25">
      <c r="A2465" t="s">
        <v>18</v>
      </c>
      <c r="B2465" t="s">
        <v>7310</v>
      </c>
      <c r="C2465" t="s">
        <v>7312</v>
      </c>
      <c r="D2465" t="s">
        <v>20</v>
      </c>
      <c r="E2465" t="s">
        <v>11</v>
      </c>
      <c r="F2465">
        <v>6266.303999999999</v>
      </c>
      <c r="G2465">
        <v>18</v>
      </c>
      <c r="L2465" t="s">
        <v>7313</v>
      </c>
      <c r="O2465" t="s">
        <v>7314</v>
      </c>
    </row>
    <row r="2466" spans="1:15" x14ac:dyDescent="0.25">
      <c r="A2466" t="s">
        <v>18</v>
      </c>
      <c r="B2466" t="s">
        <v>7313</v>
      </c>
      <c r="C2466" t="s">
        <v>7315</v>
      </c>
      <c r="D2466" t="s">
        <v>20</v>
      </c>
      <c r="E2466" t="s">
        <v>11</v>
      </c>
      <c r="F2466">
        <v>12728.429999999998</v>
      </c>
      <c r="G2466">
        <v>18</v>
      </c>
      <c r="L2466" t="s">
        <v>7316</v>
      </c>
      <c r="O2466" t="s">
        <v>7317</v>
      </c>
    </row>
    <row r="2467" spans="1:15" x14ac:dyDescent="0.25">
      <c r="A2467" t="s">
        <v>18</v>
      </c>
      <c r="B2467" t="s">
        <v>7316</v>
      </c>
      <c r="C2467" t="s">
        <v>7318</v>
      </c>
      <c r="D2467" t="s">
        <v>20</v>
      </c>
      <c r="E2467" t="s">
        <v>11</v>
      </c>
      <c r="F2467">
        <v>6527.4</v>
      </c>
      <c r="G2467">
        <v>18</v>
      </c>
      <c r="L2467" t="s">
        <v>7319</v>
      </c>
      <c r="O2467" t="s">
        <v>7320</v>
      </c>
    </row>
    <row r="2468" spans="1:15" x14ac:dyDescent="0.25">
      <c r="A2468" t="s">
        <v>18</v>
      </c>
      <c r="B2468" t="s">
        <v>7319</v>
      </c>
      <c r="C2468" t="s">
        <v>7321</v>
      </c>
      <c r="D2468" t="s">
        <v>20</v>
      </c>
      <c r="E2468" t="s">
        <v>11</v>
      </c>
      <c r="F2468">
        <v>2676.234</v>
      </c>
      <c r="G2468">
        <v>18</v>
      </c>
      <c r="L2468" t="s">
        <v>7322</v>
      </c>
      <c r="O2468" t="s">
        <v>7323</v>
      </c>
    </row>
    <row r="2469" spans="1:15" x14ac:dyDescent="0.25">
      <c r="A2469" t="s">
        <v>18</v>
      </c>
      <c r="B2469" t="s">
        <v>7322</v>
      </c>
      <c r="C2469" t="s">
        <v>7324</v>
      </c>
      <c r="D2469" t="s">
        <v>20</v>
      </c>
      <c r="E2469" t="s">
        <v>11</v>
      </c>
      <c r="F2469">
        <v>2937.3300000000004</v>
      </c>
      <c r="G2469">
        <v>18</v>
      </c>
      <c r="L2469" t="s">
        <v>7325</v>
      </c>
      <c r="O2469" t="s">
        <v>7326</v>
      </c>
    </row>
    <row r="2470" spans="1:15" x14ac:dyDescent="0.25">
      <c r="A2470" t="s">
        <v>18</v>
      </c>
      <c r="B2470" t="s">
        <v>7325</v>
      </c>
      <c r="C2470" t="s">
        <v>7327</v>
      </c>
      <c r="D2470" t="s">
        <v>20</v>
      </c>
      <c r="E2470" t="s">
        <v>11</v>
      </c>
      <c r="F2470">
        <v>2937.3300000000004</v>
      </c>
      <c r="G2470">
        <v>18</v>
      </c>
      <c r="L2470" t="s">
        <v>7328</v>
      </c>
      <c r="O2470" t="s">
        <v>7329</v>
      </c>
    </row>
    <row r="2471" spans="1:15" x14ac:dyDescent="0.25">
      <c r="A2471" t="s">
        <v>18</v>
      </c>
      <c r="B2471" t="s">
        <v>7328</v>
      </c>
      <c r="C2471" t="s">
        <v>7330</v>
      </c>
      <c r="D2471" t="s">
        <v>20</v>
      </c>
      <c r="E2471" t="s">
        <v>11</v>
      </c>
      <c r="F2471">
        <v>2545.6859999999997</v>
      </c>
      <c r="G2471">
        <v>18</v>
      </c>
      <c r="L2471" t="s">
        <v>7331</v>
      </c>
      <c r="O2471" t="s">
        <v>7332</v>
      </c>
    </row>
    <row r="2472" spans="1:15" x14ac:dyDescent="0.25">
      <c r="A2472" t="s">
        <v>18</v>
      </c>
      <c r="B2472" t="s">
        <v>7331</v>
      </c>
      <c r="C2472" t="s">
        <v>7333</v>
      </c>
      <c r="D2472" t="s">
        <v>20</v>
      </c>
      <c r="E2472" t="s">
        <v>11</v>
      </c>
      <c r="F2472">
        <v>3328.9739999999997</v>
      </c>
      <c r="G2472">
        <v>18</v>
      </c>
      <c r="L2472" t="s">
        <v>7334</v>
      </c>
      <c r="O2472" t="s">
        <v>7335</v>
      </c>
    </row>
    <row r="2473" spans="1:15" x14ac:dyDescent="0.25">
      <c r="A2473" t="s">
        <v>18</v>
      </c>
      <c r="B2473" t="s">
        <v>7334</v>
      </c>
      <c r="C2473" t="s">
        <v>7336</v>
      </c>
      <c r="D2473" t="s">
        <v>20</v>
      </c>
      <c r="E2473" t="s">
        <v>11</v>
      </c>
      <c r="F2473">
        <v>3851.166</v>
      </c>
      <c r="G2473">
        <v>18</v>
      </c>
      <c r="L2473" t="s">
        <v>7337</v>
      </c>
      <c r="O2473" t="s">
        <v>7338</v>
      </c>
    </row>
    <row r="2474" spans="1:15" x14ac:dyDescent="0.25">
      <c r="A2474" t="s">
        <v>18</v>
      </c>
      <c r="B2474" t="s">
        <v>7337</v>
      </c>
      <c r="C2474" t="s">
        <v>7339</v>
      </c>
      <c r="D2474" t="s">
        <v>20</v>
      </c>
      <c r="E2474" t="s">
        <v>11</v>
      </c>
      <c r="F2474">
        <v>7114.866</v>
      </c>
      <c r="G2474">
        <v>18</v>
      </c>
      <c r="L2474" t="s">
        <v>7340</v>
      </c>
      <c r="O2474" t="s">
        <v>7341</v>
      </c>
    </row>
    <row r="2475" spans="1:15" x14ac:dyDescent="0.25">
      <c r="A2475" t="s">
        <v>18</v>
      </c>
      <c r="B2475" t="s">
        <v>7340</v>
      </c>
      <c r="C2475" t="s">
        <v>7342</v>
      </c>
      <c r="D2475" t="s">
        <v>20</v>
      </c>
      <c r="E2475" t="s">
        <v>11</v>
      </c>
      <c r="F2475">
        <v>4569.18</v>
      </c>
      <c r="G2475">
        <v>18</v>
      </c>
      <c r="L2475" t="s">
        <v>7343</v>
      </c>
      <c r="O2475" t="s">
        <v>7344</v>
      </c>
    </row>
    <row r="2476" spans="1:15" x14ac:dyDescent="0.25">
      <c r="A2476" t="s">
        <v>18</v>
      </c>
      <c r="B2476" t="s">
        <v>7343</v>
      </c>
      <c r="C2476" t="s">
        <v>7345</v>
      </c>
      <c r="D2476" t="s">
        <v>20</v>
      </c>
      <c r="E2476" t="s">
        <v>11</v>
      </c>
      <c r="F2476">
        <v>5221.92</v>
      </c>
      <c r="G2476">
        <v>18</v>
      </c>
      <c r="L2476" t="s">
        <v>7346</v>
      </c>
      <c r="O2476" t="s">
        <v>7347</v>
      </c>
    </row>
    <row r="2477" spans="1:15" x14ac:dyDescent="0.25">
      <c r="A2477" t="s">
        <v>18</v>
      </c>
      <c r="B2477" t="s">
        <v>7346</v>
      </c>
      <c r="C2477" t="s">
        <v>7348</v>
      </c>
      <c r="D2477" t="s">
        <v>20</v>
      </c>
      <c r="E2477" t="s">
        <v>11</v>
      </c>
      <c r="F2477">
        <v>9138.36</v>
      </c>
      <c r="G2477">
        <v>18</v>
      </c>
      <c r="L2477" t="s">
        <v>7349</v>
      </c>
      <c r="O2477" t="s">
        <v>7350</v>
      </c>
    </row>
    <row r="2478" spans="1:15" x14ac:dyDescent="0.25">
      <c r="A2478" t="s">
        <v>18</v>
      </c>
      <c r="B2478" t="s">
        <v>7349</v>
      </c>
      <c r="C2478" t="s">
        <v>7351</v>
      </c>
      <c r="D2478" t="s">
        <v>20</v>
      </c>
      <c r="E2478" t="s">
        <v>11</v>
      </c>
      <c r="F2478">
        <v>6201.030000000001</v>
      </c>
      <c r="G2478">
        <v>18</v>
      </c>
      <c r="L2478" t="s">
        <v>7352</v>
      </c>
      <c r="O2478" t="s">
        <v>7353</v>
      </c>
    </row>
    <row r="2479" spans="1:15" x14ac:dyDescent="0.25">
      <c r="A2479" t="s">
        <v>18</v>
      </c>
      <c r="B2479" t="s">
        <v>7352</v>
      </c>
      <c r="C2479" t="s">
        <v>7354</v>
      </c>
      <c r="D2479" t="s">
        <v>20</v>
      </c>
      <c r="E2479" t="s">
        <v>11</v>
      </c>
      <c r="F2479">
        <v>9791.1</v>
      </c>
      <c r="G2479">
        <v>18</v>
      </c>
      <c r="L2479" t="s">
        <v>7355</v>
      </c>
      <c r="O2479" t="s">
        <v>7356</v>
      </c>
    </row>
    <row r="2480" spans="1:15" x14ac:dyDescent="0.25">
      <c r="A2480" t="s">
        <v>18</v>
      </c>
      <c r="B2480" t="s">
        <v>7355</v>
      </c>
      <c r="C2480" t="s">
        <v>7357</v>
      </c>
      <c r="D2480" t="s">
        <v>20</v>
      </c>
      <c r="E2480" t="s">
        <v>11</v>
      </c>
      <c r="F2480">
        <v>14556.101999999999</v>
      </c>
      <c r="G2480">
        <v>18</v>
      </c>
      <c r="L2480" t="s">
        <v>7358</v>
      </c>
      <c r="O2480" t="s">
        <v>7359</v>
      </c>
    </row>
    <row r="2481" spans="1:15" x14ac:dyDescent="0.25">
      <c r="A2481" t="s">
        <v>18</v>
      </c>
      <c r="B2481" t="s">
        <v>7358</v>
      </c>
      <c r="C2481" t="s">
        <v>7360</v>
      </c>
      <c r="D2481" t="s">
        <v>20</v>
      </c>
      <c r="E2481" t="s">
        <v>11</v>
      </c>
      <c r="F2481">
        <v>20234.940000000002</v>
      </c>
      <c r="G2481">
        <v>18</v>
      </c>
      <c r="L2481" t="s">
        <v>7361</v>
      </c>
      <c r="O2481" t="s">
        <v>7362</v>
      </c>
    </row>
    <row r="2482" spans="1:15" x14ac:dyDescent="0.25">
      <c r="A2482" t="s">
        <v>18</v>
      </c>
      <c r="B2482" t="s">
        <v>7361</v>
      </c>
      <c r="C2482" t="s">
        <v>7363</v>
      </c>
      <c r="D2482" t="s">
        <v>20</v>
      </c>
      <c r="E2482" t="s">
        <v>11</v>
      </c>
      <c r="F2482">
        <v>16644.870000000003</v>
      </c>
      <c r="G2482">
        <v>18</v>
      </c>
      <c r="L2482" t="s">
        <v>7364</v>
      </c>
      <c r="O2482" t="s">
        <v>7365</v>
      </c>
    </row>
    <row r="2483" spans="1:15" x14ac:dyDescent="0.25">
      <c r="A2483" t="s">
        <v>18</v>
      </c>
      <c r="B2483" t="s">
        <v>7364</v>
      </c>
      <c r="C2483" t="s">
        <v>7366</v>
      </c>
      <c r="D2483" t="s">
        <v>20</v>
      </c>
      <c r="E2483" t="s">
        <v>11</v>
      </c>
      <c r="F2483">
        <v>10966.032</v>
      </c>
      <c r="G2483">
        <v>18</v>
      </c>
      <c r="L2483" t="s">
        <v>7367</v>
      </c>
      <c r="O2483" t="s">
        <v>7368</v>
      </c>
    </row>
    <row r="2484" spans="1:15" x14ac:dyDescent="0.25">
      <c r="A2484" t="s">
        <v>18</v>
      </c>
      <c r="B2484" t="s">
        <v>7367</v>
      </c>
      <c r="C2484" t="s">
        <v>7369</v>
      </c>
      <c r="D2484" t="s">
        <v>20</v>
      </c>
      <c r="E2484" t="s">
        <v>11</v>
      </c>
      <c r="F2484">
        <v>391.64399999999995</v>
      </c>
      <c r="G2484">
        <v>18</v>
      </c>
      <c r="L2484" t="s">
        <v>7370</v>
      </c>
      <c r="O2484" t="s">
        <v>7371</v>
      </c>
    </row>
    <row r="2485" spans="1:15" x14ac:dyDescent="0.25">
      <c r="A2485" t="s">
        <v>18</v>
      </c>
      <c r="B2485" t="s">
        <v>7370</v>
      </c>
      <c r="C2485" t="s">
        <v>7372</v>
      </c>
      <c r="D2485" t="s">
        <v>20</v>
      </c>
      <c r="E2485" t="s">
        <v>11</v>
      </c>
      <c r="F2485">
        <v>522.192</v>
      </c>
      <c r="G2485">
        <v>18</v>
      </c>
      <c r="L2485" t="s">
        <v>7373</v>
      </c>
      <c r="O2485" t="s">
        <v>7374</v>
      </c>
    </row>
    <row r="2486" spans="1:15" x14ac:dyDescent="0.25">
      <c r="A2486" t="s">
        <v>18</v>
      </c>
      <c r="B2486" t="s">
        <v>7373</v>
      </c>
      <c r="C2486" t="s">
        <v>7375</v>
      </c>
      <c r="D2486" t="s">
        <v>20</v>
      </c>
      <c r="E2486" t="s">
        <v>11</v>
      </c>
      <c r="F2486">
        <v>456.918</v>
      </c>
      <c r="G2486">
        <v>18</v>
      </c>
      <c r="L2486" t="s">
        <v>7376</v>
      </c>
      <c r="O2486" t="s">
        <v>7377</v>
      </c>
    </row>
    <row r="2487" spans="1:15" x14ac:dyDescent="0.25">
      <c r="A2487" t="s">
        <v>18</v>
      </c>
      <c r="B2487" t="s">
        <v>7376</v>
      </c>
      <c r="C2487" t="s">
        <v>7378</v>
      </c>
      <c r="D2487" t="s">
        <v>20</v>
      </c>
      <c r="E2487" t="s">
        <v>11</v>
      </c>
      <c r="F2487">
        <v>4960.8240000000005</v>
      </c>
      <c r="G2487">
        <v>18</v>
      </c>
      <c r="L2487" t="s">
        <v>7379</v>
      </c>
      <c r="O2487" t="s">
        <v>7380</v>
      </c>
    </row>
    <row r="2488" spans="1:15" x14ac:dyDescent="0.25">
      <c r="A2488" t="s">
        <v>18</v>
      </c>
      <c r="B2488" t="s">
        <v>7379</v>
      </c>
      <c r="C2488" t="s">
        <v>7381</v>
      </c>
      <c r="D2488" t="s">
        <v>20</v>
      </c>
      <c r="E2488" t="s">
        <v>11</v>
      </c>
      <c r="F2488">
        <v>5939.933999999999</v>
      </c>
      <c r="G2488">
        <v>18</v>
      </c>
      <c r="L2488" t="s">
        <v>7382</v>
      </c>
      <c r="O2488" t="s">
        <v>7383</v>
      </c>
    </row>
    <row r="2489" spans="1:15" x14ac:dyDescent="0.25">
      <c r="A2489" t="s">
        <v>18</v>
      </c>
      <c r="B2489" t="s">
        <v>7382</v>
      </c>
      <c r="C2489" t="s">
        <v>7384</v>
      </c>
      <c r="D2489" t="s">
        <v>20</v>
      </c>
      <c r="E2489" t="s">
        <v>11</v>
      </c>
      <c r="F2489">
        <v>6788.495999999999</v>
      </c>
      <c r="G2489">
        <v>18</v>
      </c>
      <c r="L2489" t="s">
        <v>7385</v>
      </c>
      <c r="O2489" t="s">
        <v>7386</v>
      </c>
    </row>
    <row r="2490" spans="1:15" x14ac:dyDescent="0.25">
      <c r="A2490" t="s">
        <v>18</v>
      </c>
      <c r="B2490" t="s">
        <v>7385</v>
      </c>
      <c r="C2490" t="s">
        <v>7387</v>
      </c>
      <c r="D2490" t="s">
        <v>20</v>
      </c>
      <c r="E2490" t="s">
        <v>11</v>
      </c>
      <c r="F2490">
        <v>6788.495999999999</v>
      </c>
      <c r="G2490">
        <v>18</v>
      </c>
      <c r="L2490" t="s">
        <v>7388</v>
      </c>
      <c r="O2490" t="s">
        <v>7389</v>
      </c>
    </row>
    <row r="2491" spans="1:15" x14ac:dyDescent="0.25">
      <c r="A2491" t="s">
        <v>18</v>
      </c>
      <c r="B2491" t="s">
        <v>7388</v>
      </c>
      <c r="C2491" t="s">
        <v>7390</v>
      </c>
      <c r="D2491" t="s">
        <v>20</v>
      </c>
      <c r="E2491" t="s">
        <v>11</v>
      </c>
      <c r="F2491">
        <v>5483.016</v>
      </c>
      <c r="G2491">
        <v>18</v>
      </c>
      <c r="L2491" t="s">
        <v>7391</v>
      </c>
      <c r="O2491" t="s">
        <v>7392</v>
      </c>
    </row>
    <row r="2492" spans="1:15" x14ac:dyDescent="0.25">
      <c r="A2492" t="s">
        <v>18</v>
      </c>
      <c r="B2492" t="s">
        <v>7391</v>
      </c>
      <c r="C2492" t="s">
        <v>7393</v>
      </c>
      <c r="D2492" t="s">
        <v>20</v>
      </c>
      <c r="E2492" t="s">
        <v>11</v>
      </c>
      <c r="F2492">
        <v>6005.208</v>
      </c>
      <c r="G2492">
        <v>18</v>
      </c>
      <c r="L2492" t="s">
        <v>7394</v>
      </c>
      <c r="O2492" t="s">
        <v>7395</v>
      </c>
    </row>
    <row r="2493" spans="1:15" x14ac:dyDescent="0.25">
      <c r="A2493" t="s">
        <v>18</v>
      </c>
      <c r="B2493" t="s">
        <v>7394</v>
      </c>
      <c r="C2493" t="s">
        <v>7396</v>
      </c>
      <c r="D2493" t="s">
        <v>20</v>
      </c>
      <c r="E2493" t="s">
        <v>11</v>
      </c>
      <c r="F2493">
        <v>1958.22</v>
      </c>
      <c r="G2493">
        <v>18</v>
      </c>
      <c r="L2493" t="s">
        <v>7397</v>
      </c>
      <c r="O2493" t="s">
        <v>7398</v>
      </c>
    </row>
    <row r="2494" spans="1:15" x14ac:dyDescent="0.25">
      <c r="A2494" t="s">
        <v>18</v>
      </c>
      <c r="B2494" t="s">
        <v>7397</v>
      </c>
      <c r="C2494" t="s">
        <v>7399</v>
      </c>
      <c r="D2494" t="s">
        <v>20</v>
      </c>
      <c r="E2494" t="s">
        <v>11</v>
      </c>
      <c r="F2494">
        <v>1436.028</v>
      </c>
      <c r="G2494">
        <v>18</v>
      </c>
      <c r="L2494" t="s">
        <v>7400</v>
      </c>
      <c r="O2494" t="s">
        <v>7401</v>
      </c>
    </row>
    <row r="2495" spans="1:15" x14ac:dyDescent="0.25">
      <c r="A2495" t="s">
        <v>18</v>
      </c>
      <c r="B2495" t="s">
        <v>7400</v>
      </c>
      <c r="C2495" t="s">
        <v>7402</v>
      </c>
      <c r="D2495" t="s">
        <v>20</v>
      </c>
      <c r="E2495" t="s">
        <v>11</v>
      </c>
      <c r="F2495">
        <v>1958.22</v>
      </c>
      <c r="G2495">
        <v>18</v>
      </c>
      <c r="L2495" t="s">
        <v>7403</v>
      </c>
      <c r="O2495" t="s">
        <v>7404</v>
      </c>
    </row>
    <row r="2496" spans="1:15" x14ac:dyDescent="0.25">
      <c r="A2496" t="s">
        <v>18</v>
      </c>
      <c r="B2496" t="s">
        <v>7403</v>
      </c>
      <c r="C2496" t="s">
        <v>7405</v>
      </c>
      <c r="D2496" t="s">
        <v>20</v>
      </c>
      <c r="E2496" t="s">
        <v>11</v>
      </c>
      <c r="F2496">
        <v>2088.768</v>
      </c>
      <c r="G2496">
        <v>18</v>
      </c>
      <c r="L2496" t="s">
        <v>7406</v>
      </c>
      <c r="O2496" t="s">
        <v>7407</v>
      </c>
    </row>
    <row r="2497" spans="1:15" x14ac:dyDescent="0.25">
      <c r="A2497" t="s">
        <v>18</v>
      </c>
      <c r="B2497" t="s">
        <v>7406</v>
      </c>
      <c r="C2497" t="s">
        <v>7408</v>
      </c>
      <c r="D2497" t="s">
        <v>20</v>
      </c>
      <c r="E2497" t="s">
        <v>11</v>
      </c>
      <c r="F2497">
        <v>2154.042</v>
      </c>
      <c r="G2497">
        <v>18</v>
      </c>
      <c r="L2497" t="s">
        <v>7409</v>
      </c>
      <c r="O2497" t="s">
        <v>7410</v>
      </c>
    </row>
    <row r="2498" spans="1:15" x14ac:dyDescent="0.25">
      <c r="A2498" t="s">
        <v>18</v>
      </c>
      <c r="B2498" t="s">
        <v>7409</v>
      </c>
      <c r="C2498" t="s">
        <v>7411</v>
      </c>
      <c r="D2498" t="s">
        <v>20</v>
      </c>
      <c r="E2498" t="s">
        <v>11</v>
      </c>
      <c r="F2498">
        <v>587.4659999999999</v>
      </c>
      <c r="G2498">
        <v>18</v>
      </c>
      <c r="L2498" t="s">
        <v>7412</v>
      </c>
      <c r="O2498" t="s">
        <v>7413</v>
      </c>
    </row>
    <row r="2499" spans="1:15" x14ac:dyDescent="0.25">
      <c r="A2499" t="s">
        <v>18</v>
      </c>
      <c r="B2499" t="s">
        <v>7412</v>
      </c>
      <c r="C2499" t="s">
        <v>7414</v>
      </c>
      <c r="D2499" t="s">
        <v>20</v>
      </c>
      <c r="E2499" t="s">
        <v>11</v>
      </c>
      <c r="F2499">
        <v>1305.48</v>
      </c>
      <c r="G2499">
        <v>18</v>
      </c>
      <c r="L2499" t="s">
        <v>7415</v>
      </c>
      <c r="O2499" t="s">
        <v>7416</v>
      </c>
    </row>
    <row r="2500" spans="1:15" x14ac:dyDescent="0.25">
      <c r="A2500" t="s">
        <v>18</v>
      </c>
      <c r="B2500" t="s">
        <v>7415</v>
      </c>
      <c r="C2500" t="s">
        <v>7417</v>
      </c>
      <c r="D2500" t="s">
        <v>20</v>
      </c>
      <c r="E2500" t="s">
        <v>11</v>
      </c>
      <c r="F2500">
        <v>1697.1239999999998</v>
      </c>
      <c r="G2500">
        <v>18</v>
      </c>
      <c r="L2500" t="s">
        <v>7418</v>
      </c>
      <c r="O2500" t="s">
        <v>7419</v>
      </c>
    </row>
    <row r="2501" spans="1:15" x14ac:dyDescent="0.25">
      <c r="A2501" t="s">
        <v>18</v>
      </c>
      <c r="B2501" t="s">
        <v>7418</v>
      </c>
      <c r="C2501" t="s">
        <v>7420</v>
      </c>
      <c r="D2501" t="s">
        <v>20</v>
      </c>
      <c r="E2501" t="s">
        <v>11</v>
      </c>
      <c r="F2501">
        <v>2545.6859999999997</v>
      </c>
      <c r="G2501">
        <v>18</v>
      </c>
      <c r="L2501" t="s">
        <v>7421</v>
      </c>
      <c r="O2501" t="s">
        <v>7422</v>
      </c>
    </row>
    <row r="2502" spans="1:15" x14ac:dyDescent="0.25">
      <c r="A2502" t="s">
        <v>18</v>
      </c>
      <c r="B2502" t="s">
        <v>7421</v>
      </c>
      <c r="C2502" t="s">
        <v>7423</v>
      </c>
      <c r="D2502" t="s">
        <v>20</v>
      </c>
      <c r="E2502" t="s">
        <v>11</v>
      </c>
      <c r="F2502">
        <v>3328.9739999999997</v>
      </c>
      <c r="G2502">
        <v>18</v>
      </c>
      <c r="L2502" t="s">
        <v>7424</v>
      </c>
      <c r="O2502" t="s">
        <v>7425</v>
      </c>
    </row>
    <row r="2503" spans="1:15" x14ac:dyDescent="0.25">
      <c r="A2503" t="s">
        <v>18</v>
      </c>
      <c r="B2503" t="s">
        <v>7424</v>
      </c>
      <c r="C2503" t="s">
        <v>7426</v>
      </c>
      <c r="D2503" t="s">
        <v>20</v>
      </c>
      <c r="E2503" t="s">
        <v>11</v>
      </c>
      <c r="F2503">
        <v>2872.056</v>
      </c>
      <c r="G2503">
        <v>18</v>
      </c>
      <c r="L2503" t="s">
        <v>7427</v>
      </c>
      <c r="O2503" t="s">
        <v>7428</v>
      </c>
    </row>
    <row r="2504" spans="1:15" x14ac:dyDescent="0.25">
      <c r="A2504" t="s">
        <v>18</v>
      </c>
      <c r="B2504" t="s">
        <v>7427</v>
      </c>
      <c r="C2504" t="s">
        <v>7429</v>
      </c>
      <c r="D2504" t="s">
        <v>20</v>
      </c>
      <c r="E2504" t="s">
        <v>11</v>
      </c>
      <c r="F2504">
        <v>3394.2479999999996</v>
      </c>
      <c r="G2504">
        <v>18</v>
      </c>
      <c r="L2504" t="s">
        <v>7430</v>
      </c>
      <c r="O2504" t="s">
        <v>7431</v>
      </c>
    </row>
    <row r="2505" spans="1:15" x14ac:dyDescent="0.25">
      <c r="A2505" t="s">
        <v>18</v>
      </c>
      <c r="B2505" t="s">
        <v>7430</v>
      </c>
      <c r="C2505" t="s">
        <v>7432</v>
      </c>
      <c r="D2505" t="s">
        <v>20</v>
      </c>
      <c r="E2505" t="s">
        <v>11</v>
      </c>
      <c r="F2505">
        <v>3133.1519999999996</v>
      </c>
      <c r="G2505">
        <v>18</v>
      </c>
      <c r="L2505" t="s">
        <v>7433</v>
      </c>
      <c r="O2505" t="s">
        <v>7434</v>
      </c>
    </row>
    <row r="2506" spans="1:15" x14ac:dyDescent="0.25">
      <c r="A2506" t="s">
        <v>18</v>
      </c>
      <c r="B2506" t="s">
        <v>7433</v>
      </c>
      <c r="C2506" t="s">
        <v>7435</v>
      </c>
      <c r="D2506" t="s">
        <v>20</v>
      </c>
      <c r="E2506" t="s">
        <v>11</v>
      </c>
      <c r="F2506">
        <v>2806.7819999999997</v>
      </c>
      <c r="G2506">
        <v>18</v>
      </c>
      <c r="L2506" t="s">
        <v>7436</v>
      </c>
      <c r="O2506" t="s">
        <v>7437</v>
      </c>
    </row>
    <row r="2507" spans="1:15" x14ac:dyDescent="0.25">
      <c r="A2507" t="s">
        <v>18</v>
      </c>
      <c r="B2507" t="s">
        <v>7436</v>
      </c>
      <c r="C2507" t="s">
        <v>7438</v>
      </c>
      <c r="D2507" t="s">
        <v>20</v>
      </c>
      <c r="E2507" t="s">
        <v>11</v>
      </c>
      <c r="F2507">
        <v>3133.1519999999996</v>
      </c>
      <c r="G2507">
        <v>18</v>
      </c>
      <c r="L2507" t="s">
        <v>7439</v>
      </c>
      <c r="O2507" t="s">
        <v>7440</v>
      </c>
    </row>
    <row r="2508" spans="1:15" x14ac:dyDescent="0.25">
      <c r="A2508" t="s">
        <v>18</v>
      </c>
      <c r="B2508" t="s">
        <v>7439</v>
      </c>
      <c r="C2508" t="s">
        <v>7441</v>
      </c>
      <c r="D2508" t="s">
        <v>20</v>
      </c>
      <c r="E2508" t="s">
        <v>11</v>
      </c>
      <c r="F2508">
        <v>6331.5779999999995</v>
      </c>
      <c r="G2508">
        <v>18</v>
      </c>
      <c r="L2508" t="s">
        <v>7442</v>
      </c>
      <c r="O2508" t="s">
        <v>7443</v>
      </c>
    </row>
    <row r="2509" spans="1:15" x14ac:dyDescent="0.25">
      <c r="A2509" t="s">
        <v>18</v>
      </c>
      <c r="B2509" t="s">
        <v>7442</v>
      </c>
      <c r="C2509" t="s">
        <v>7444</v>
      </c>
      <c r="D2509" t="s">
        <v>20</v>
      </c>
      <c r="E2509" t="s">
        <v>11</v>
      </c>
      <c r="F2509">
        <v>7310.688</v>
      </c>
      <c r="G2509">
        <v>18</v>
      </c>
      <c r="L2509" t="s">
        <v>7445</v>
      </c>
      <c r="O2509" t="s">
        <v>7446</v>
      </c>
    </row>
    <row r="2510" spans="1:15" x14ac:dyDescent="0.25">
      <c r="A2510" t="s">
        <v>18</v>
      </c>
      <c r="B2510" t="s">
        <v>7445</v>
      </c>
      <c r="C2510" t="s">
        <v>7447</v>
      </c>
      <c r="D2510" t="s">
        <v>20</v>
      </c>
      <c r="E2510" t="s">
        <v>11</v>
      </c>
      <c r="F2510">
        <v>1370.754</v>
      </c>
      <c r="G2510">
        <v>18</v>
      </c>
      <c r="L2510" t="s">
        <v>7448</v>
      </c>
      <c r="O2510" t="s">
        <v>7449</v>
      </c>
    </row>
    <row r="2511" spans="1:15" x14ac:dyDescent="0.25">
      <c r="A2511" t="s">
        <v>18</v>
      </c>
      <c r="B2511" t="s">
        <v>7448</v>
      </c>
      <c r="C2511" t="s">
        <v>7450</v>
      </c>
      <c r="D2511" t="s">
        <v>20</v>
      </c>
      <c r="E2511" t="s">
        <v>11</v>
      </c>
      <c r="F2511">
        <v>718.014</v>
      </c>
      <c r="G2511">
        <v>18</v>
      </c>
      <c r="L2511" t="s">
        <v>7451</v>
      </c>
      <c r="O2511" t="s">
        <v>7452</v>
      </c>
    </row>
    <row r="2512" spans="1:15" x14ac:dyDescent="0.25">
      <c r="A2512" t="s">
        <v>18</v>
      </c>
      <c r="B2512" t="s">
        <v>7451</v>
      </c>
      <c r="C2512" t="s">
        <v>7453</v>
      </c>
      <c r="D2512" t="s">
        <v>20</v>
      </c>
      <c r="E2512" t="s">
        <v>11</v>
      </c>
      <c r="F2512">
        <v>783.2879999999999</v>
      </c>
      <c r="G2512">
        <v>18</v>
      </c>
      <c r="L2512" t="s">
        <v>7454</v>
      </c>
      <c r="O2512" t="s">
        <v>7455</v>
      </c>
    </row>
    <row r="2513" spans="1:15" x14ac:dyDescent="0.25">
      <c r="A2513" t="s">
        <v>18</v>
      </c>
      <c r="B2513" t="s">
        <v>7454</v>
      </c>
      <c r="C2513" t="s">
        <v>7456</v>
      </c>
      <c r="D2513" t="s">
        <v>20</v>
      </c>
      <c r="E2513" t="s">
        <v>11</v>
      </c>
      <c r="F2513">
        <v>783.2879999999999</v>
      </c>
      <c r="G2513">
        <v>18</v>
      </c>
      <c r="L2513" t="s">
        <v>7457</v>
      </c>
      <c r="O2513" t="s">
        <v>7458</v>
      </c>
    </row>
    <row r="2514" spans="1:15" x14ac:dyDescent="0.25">
      <c r="A2514" t="s">
        <v>18</v>
      </c>
      <c r="B2514" t="s">
        <v>7457</v>
      </c>
      <c r="C2514" t="s">
        <v>7459</v>
      </c>
      <c r="D2514" t="s">
        <v>20</v>
      </c>
      <c r="E2514" t="s">
        <v>11</v>
      </c>
      <c r="F2514">
        <v>3851.166</v>
      </c>
      <c r="G2514">
        <v>18</v>
      </c>
      <c r="L2514" t="s">
        <v>7460</v>
      </c>
      <c r="O2514" t="s">
        <v>7461</v>
      </c>
    </row>
    <row r="2515" spans="1:15" x14ac:dyDescent="0.25">
      <c r="A2515" t="s">
        <v>18</v>
      </c>
      <c r="B2515" t="s">
        <v>7460</v>
      </c>
      <c r="C2515" t="s">
        <v>7462</v>
      </c>
      <c r="D2515" t="s">
        <v>20</v>
      </c>
      <c r="E2515" t="s">
        <v>11</v>
      </c>
      <c r="F2515">
        <v>718.014</v>
      </c>
      <c r="G2515">
        <v>18</v>
      </c>
      <c r="L2515" t="s">
        <v>7463</v>
      </c>
      <c r="O2515" t="s">
        <v>7464</v>
      </c>
    </row>
    <row r="2516" spans="1:15" x14ac:dyDescent="0.25">
      <c r="A2516" t="s">
        <v>18</v>
      </c>
      <c r="B2516" t="s">
        <v>7463</v>
      </c>
      <c r="C2516" t="s">
        <v>7465</v>
      </c>
      <c r="D2516" t="s">
        <v>20</v>
      </c>
      <c r="E2516" t="s">
        <v>11</v>
      </c>
      <c r="F2516">
        <v>718.014</v>
      </c>
      <c r="G2516">
        <v>18</v>
      </c>
      <c r="L2516" t="s">
        <v>7466</v>
      </c>
      <c r="O2516" t="s">
        <v>7467</v>
      </c>
    </row>
    <row r="2517" spans="1:15" x14ac:dyDescent="0.25">
      <c r="A2517" t="s">
        <v>18</v>
      </c>
      <c r="B2517" t="s">
        <v>7466</v>
      </c>
      <c r="C2517" t="s">
        <v>7468</v>
      </c>
      <c r="D2517" t="s">
        <v>20</v>
      </c>
      <c r="E2517" t="s">
        <v>11</v>
      </c>
      <c r="F2517">
        <v>391.64399999999995</v>
      </c>
      <c r="G2517">
        <v>18</v>
      </c>
      <c r="L2517" t="s">
        <v>7469</v>
      </c>
      <c r="O2517" t="s">
        <v>7470</v>
      </c>
    </row>
    <row r="2518" spans="1:15" x14ac:dyDescent="0.25">
      <c r="A2518" t="s">
        <v>18</v>
      </c>
      <c r="B2518" t="s">
        <v>7469</v>
      </c>
      <c r="C2518" t="s">
        <v>7471</v>
      </c>
      <c r="D2518" t="s">
        <v>20</v>
      </c>
      <c r="E2518" t="s">
        <v>11</v>
      </c>
      <c r="F2518">
        <v>3590.0699999999997</v>
      </c>
      <c r="G2518">
        <v>18</v>
      </c>
      <c r="L2518" t="s">
        <v>7472</v>
      </c>
      <c r="O2518" t="s">
        <v>7473</v>
      </c>
    </row>
    <row r="2519" spans="1:15" x14ac:dyDescent="0.25">
      <c r="A2519" t="s">
        <v>18</v>
      </c>
      <c r="B2519" t="s">
        <v>7472</v>
      </c>
      <c r="C2519" t="s">
        <v>7474</v>
      </c>
      <c r="D2519" t="s">
        <v>20</v>
      </c>
      <c r="E2519" t="s">
        <v>11</v>
      </c>
      <c r="F2519">
        <v>3851.166</v>
      </c>
      <c r="G2519">
        <v>18</v>
      </c>
      <c r="L2519" t="s">
        <v>7475</v>
      </c>
      <c r="O2519" t="s">
        <v>7476</v>
      </c>
    </row>
    <row r="2520" spans="1:15" x14ac:dyDescent="0.25">
      <c r="A2520" t="s">
        <v>18</v>
      </c>
      <c r="B2520" t="s">
        <v>7475</v>
      </c>
      <c r="C2520" t="s">
        <v>7477</v>
      </c>
      <c r="D2520" t="s">
        <v>20</v>
      </c>
      <c r="E2520" t="s">
        <v>11</v>
      </c>
      <c r="F2520">
        <v>391.64399999999995</v>
      </c>
      <c r="G2520">
        <v>18</v>
      </c>
      <c r="L2520" t="s">
        <v>7478</v>
      </c>
      <c r="O2520" t="s">
        <v>7479</v>
      </c>
    </row>
    <row r="2521" spans="1:15" x14ac:dyDescent="0.25">
      <c r="A2521" t="s">
        <v>18</v>
      </c>
      <c r="B2521" t="s">
        <v>7478</v>
      </c>
      <c r="C2521" t="s">
        <v>7480</v>
      </c>
      <c r="D2521" t="s">
        <v>20</v>
      </c>
      <c r="E2521" t="s">
        <v>11</v>
      </c>
      <c r="F2521">
        <v>4438.632</v>
      </c>
      <c r="G2521">
        <v>18</v>
      </c>
      <c r="L2521" t="s">
        <v>7481</v>
      </c>
      <c r="O2521" t="s">
        <v>7482</v>
      </c>
    </row>
    <row r="2522" spans="1:15" x14ac:dyDescent="0.25">
      <c r="A2522" t="s">
        <v>18</v>
      </c>
      <c r="B2522" t="s">
        <v>7481</v>
      </c>
      <c r="C2522" t="s">
        <v>7483</v>
      </c>
      <c r="D2522" t="s">
        <v>20</v>
      </c>
      <c r="E2522" t="s">
        <v>11</v>
      </c>
      <c r="F2522">
        <v>8159.25</v>
      </c>
      <c r="G2522">
        <v>18</v>
      </c>
      <c r="L2522" t="s">
        <v>7484</v>
      </c>
      <c r="O2522" t="s">
        <v>7485</v>
      </c>
    </row>
    <row r="2523" spans="1:15" x14ac:dyDescent="0.25">
      <c r="A2523" t="s">
        <v>18</v>
      </c>
      <c r="B2523" t="s">
        <v>7484</v>
      </c>
      <c r="C2523" t="s">
        <v>7486</v>
      </c>
      <c r="D2523" t="s">
        <v>20</v>
      </c>
      <c r="E2523" t="s">
        <v>11</v>
      </c>
      <c r="F2523">
        <v>3067.8779999999997</v>
      </c>
      <c r="G2523">
        <v>18</v>
      </c>
      <c r="L2523" t="s">
        <v>7487</v>
      </c>
      <c r="O2523" t="s">
        <v>7488</v>
      </c>
    </row>
    <row r="2524" spans="1:15" x14ac:dyDescent="0.25">
      <c r="A2524" t="s">
        <v>18</v>
      </c>
      <c r="B2524" t="s">
        <v>7487</v>
      </c>
      <c r="C2524" t="s">
        <v>7489</v>
      </c>
      <c r="D2524" t="s">
        <v>20</v>
      </c>
      <c r="E2524" t="s">
        <v>11</v>
      </c>
      <c r="F2524">
        <v>3394.2479999999996</v>
      </c>
      <c r="G2524">
        <v>18</v>
      </c>
      <c r="L2524" t="s">
        <v>7490</v>
      </c>
      <c r="O2524" t="s">
        <v>7491</v>
      </c>
    </row>
    <row r="2525" spans="1:15" x14ac:dyDescent="0.25">
      <c r="A2525" t="s">
        <v>18</v>
      </c>
      <c r="B2525" t="s">
        <v>7490</v>
      </c>
      <c r="C2525" t="s">
        <v>7492</v>
      </c>
      <c r="D2525" t="s">
        <v>20</v>
      </c>
      <c r="E2525" t="s">
        <v>11</v>
      </c>
      <c r="F2525">
        <v>3394.2479999999996</v>
      </c>
      <c r="G2525">
        <v>18</v>
      </c>
      <c r="L2525" t="s">
        <v>7493</v>
      </c>
      <c r="O2525" t="s">
        <v>7494</v>
      </c>
    </row>
    <row r="2526" spans="1:15" x14ac:dyDescent="0.25">
      <c r="A2526" t="s">
        <v>18</v>
      </c>
      <c r="B2526" t="s">
        <v>7493</v>
      </c>
      <c r="C2526" t="s">
        <v>7495</v>
      </c>
      <c r="D2526" t="s">
        <v>20</v>
      </c>
      <c r="E2526" t="s">
        <v>11</v>
      </c>
      <c r="F2526">
        <v>3394.2479999999996</v>
      </c>
      <c r="G2526">
        <v>18</v>
      </c>
      <c r="L2526" t="s">
        <v>7496</v>
      </c>
      <c r="O2526" t="s">
        <v>7497</v>
      </c>
    </row>
    <row r="2527" spans="1:15" x14ac:dyDescent="0.25">
      <c r="A2527" t="s">
        <v>18</v>
      </c>
      <c r="B2527" t="s">
        <v>7496</v>
      </c>
      <c r="C2527" t="s">
        <v>7498</v>
      </c>
      <c r="D2527" t="s">
        <v>20</v>
      </c>
      <c r="E2527" t="s">
        <v>11</v>
      </c>
      <c r="F2527">
        <v>979.11</v>
      </c>
      <c r="G2527">
        <v>18</v>
      </c>
      <c r="L2527" t="s">
        <v>7499</v>
      </c>
      <c r="O2527" t="s">
        <v>7500</v>
      </c>
    </row>
    <row r="2528" spans="1:15" x14ac:dyDescent="0.25">
      <c r="A2528" t="s">
        <v>18</v>
      </c>
      <c r="B2528" t="s">
        <v>7499</v>
      </c>
      <c r="C2528" t="s">
        <v>7501</v>
      </c>
      <c r="D2528" t="s">
        <v>20</v>
      </c>
      <c r="E2528" t="s">
        <v>11</v>
      </c>
      <c r="F2528">
        <v>979.11</v>
      </c>
      <c r="G2528">
        <v>18</v>
      </c>
      <c r="L2528" t="s">
        <v>7502</v>
      </c>
      <c r="O2528" t="s">
        <v>7503</v>
      </c>
    </row>
    <row r="2529" spans="1:15" x14ac:dyDescent="0.25">
      <c r="A2529" t="s">
        <v>18</v>
      </c>
      <c r="B2529" t="s">
        <v>7502</v>
      </c>
      <c r="C2529" t="s">
        <v>7504</v>
      </c>
      <c r="D2529" t="s">
        <v>20</v>
      </c>
      <c r="E2529" t="s">
        <v>11</v>
      </c>
      <c r="F2529">
        <v>848.5619999999999</v>
      </c>
      <c r="G2529">
        <v>18</v>
      </c>
      <c r="L2529" t="s">
        <v>7505</v>
      </c>
      <c r="O2529" t="s">
        <v>7506</v>
      </c>
    </row>
    <row r="2530" spans="1:15" x14ac:dyDescent="0.25">
      <c r="A2530" t="s">
        <v>18</v>
      </c>
      <c r="B2530" t="s">
        <v>7505</v>
      </c>
      <c r="C2530" t="s">
        <v>7507</v>
      </c>
      <c r="D2530" t="s">
        <v>20</v>
      </c>
      <c r="E2530" t="s">
        <v>11</v>
      </c>
      <c r="F2530">
        <v>979.11</v>
      </c>
      <c r="G2530">
        <v>18</v>
      </c>
      <c r="L2530" t="s">
        <v>7508</v>
      </c>
      <c r="O2530" t="s">
        <v>7509</v>
      </c>
    </row>
    <row r="2531" spans="1:15" x14ac:dyDescent="0.25">
      <c r="A2531" t="s">
        <v>18</v>
      </c>
      <c r="B2531" t="s">
        <v>7508</v>
      </c>
      <c r="C2531" t="s">
        <v>7510</v>
      </c>
      <c r="D2531" t="s">
        <v>20</v>
      </c>
      <c r="E2531" t="s">
        <v>11</v>
      </c>
      <c r="F2531">
        <v>979.11</v>
      </c>
      <c r="G2531">
        <v>18</v>
      </c>
      <c r="L2531" t="s">
        <v>7511</v>
      </c>
      <c r="O2531" t="s">
        <v>7512</v>
      </c>
    </row>
    <row r="2532" spans="1:15" x14ac:dyDescent="0.25">
      <c r="A2532" t="s">
        <v>18</v>
      </c>
      <c r="B2532" t="s">
        <v>7511</v>
      </c>
      <c r="C2532" t="s">
        <v>7513</v>
      </c>
      <c r="D2532" t="s">
        <v>20</v>
      </c>
      <c r="E2532" t="s">
        <v>11</v>
      </c>
      <c r="F2532">
        <v>4046.988</v>
      </c>
      <c r="G2532">
        <v>18</v>
      </c>
      <c r="L2532" t="s">
        <v>7514</v>
      </c>
      <c r="O2532" t="s">
        <v>7515</v>
      </c>
    </row>
    <row r="2533" spans="1:15" x14ac:dyDescent="0.25">
      <c r="A2533" t="s">
        <v>18</v>
      </c>
      <c r="B2533" t="s">
        <v>7514</v>
      </c>
      <c r="C2533" t="s">
        <v>7516</v>
      </c>
      <c r="D2533" t="s">
        <v>20</v>
      </c>
      <c r="E2533" t="s">
        <v>11</v>
      </c>
      <c r="F2533">
        <v>2154.042</v>
      </c>
      <c r="G2533">
        <v>18</v>
      </c>
      <c r="L2533" t="s">
        <v>7517</v>
      </c>
      <c r="O2533" t="s">
        <v>7518</v>
      </c>
    </row>
    <row r="2534" spans="1:15" x14ac:dyDescent="0.25">
      <c r="A2534" t="s">
        <v>18</v>
      </c>
      <c r="B2534" t="s">
        <v>7517</v>
      </c>
      <c r="C2534" t="s">
        <v>7519</v>
      </c>
      <c r="D2534" t="s">
        <v>20</v>
      </c>
      <c r="E2534" t="s">
        <v>11</v>
      </c>
      <c r="F2534">
        <v>2349.8639999999996</v>
      </c>
      <c r="G2534">
        <v>18</v>
      </c>
      <c r="L2534" t="s">
        <v>7520</v>
      </c>
      <c r="O2534" t="s">
        <v>7521</v>
      </c>
    </row>
    <row r="2535" spans="1:15" x14ac:dyDescent="0.25">
      <c r="A2535" t="s">
        <v>18</v>
      </c>
      <c r="B2535" t="s">
        <v>7520</v>
      </c>
      <c r="C2535" t="s">
        <v>7522</v>
      </c>
      <c r="D2535" t="s">
        <v>20</v>
      </c>
      <c r="E2535" t="s">
        <v>11</v>
      </c>
      <c r="F2535">
        <v>2349.8639999999996</v>
      </c>
      <c r="G2535">
        <v>18</v>
      </c>
      <c r="L2535" t="s">
        <v>7523</v>
      </c>
      <c r="O2535" t="s">
        <v>7524</v>
      </c>
    </row>
    <row r="2536" spans="1:15" x14ac:dyDescent="0.25">
      <c r="A2536" t="s">
        <v>18</v>
      </c>
      <c r="B2536" t="s">
        <v>7523</v>
      </c>
      <c r="C2536" t="s">
        <v>7525</v>
      </c>
      <c r="D2536" t="s">
        <v>20</v>
      </c>
      <c r="E2536" t="s">
        <v>11</v>
      </c>
      <c r="F2536">
        <v>16318.5</v>
      </c>
      <c r="G2536">
        <v>18</v>
      </c>
      <c r="L2536" t="s">
        <v>7526</v>
      </c>
      <c r="O2536" t="s">
        <v>7527</v>
      </c>
    </row>
    <row r="2537" spans="1:15" x14ac:dyDescent="0.25">
      <c r="A2537" t="s">
        <v>18</v>
      </c>
      <c r="B2537" t="s">
        <v>7526</v>
      </c>
      <c r="C2537" t="s">
        <v>7528</v>
      </c>
      <c r="D2537" t="s">
        <v>20</v>
      </c>
      <c r="E2537" t="s">
        <v>11</v>
      </c>
      <c r="F2537">
        <v>15404.664</v>
      </c>
      <c r="G2537">
        <v>18</v>
      </c>
      <c r="L2537" t="s">
        <v>7529</v>
      </c>
      <c r="O2537" t="s">
        <v>7530</v>
      </c>
    </row>
    <row r="2538" spans="1:15" x14ac:dyDescent="0.25">
      <c r="A2538" t="s">
        <v>18</v>
      </c>
      <c r="B2538" t="s">
        <v>7529</v>
      </c>
      <c r="C2538" t="s">
        <v>7531</v>
      </c>
      <c r="D2538" t="s">
        <v>20</v>
      </c>
      <c r="E2538" t="s">
        <v>11</v>
      </c>
      <c r="F2538">
        <v>23041.722</v>
      </c>
      <c r="G2538">
        <v>18</v>
      </c>
      <c r="L2538" t="s">
        <v>7532</v>
      </c>
      <c r="O2538" t="s">
        <v>7533</v>
      </c>
    </row>
    <row r="2539" spans="1:15" x14ac:dyDescent="0.25">
      <c r="A2539" t="s">
        <v>18</v>
      </c>
      <c r="B2539" t="s">
        <v>7532</v>
      </c>
      <c r="C2539" t="s">
        <v>7534</v>
      </c>
      <c r="D2539" t="s">
        <v>20</v>
      </c>
      <c r="E2539" t="s">
        <v>11</v>
      </c>
      <c r="F2539">
        <v>5548.29</v>
      </c>
      <c r="G2539">
        <v>18</v>
      </c>
      <c r="L2539" t="s">
        <v>7535</v>
      </c>
      <c r="O2539" t="s">
        <v>7536</v>
      </c>
    </row>
    <row r="2540" spans="1:15" x14ac:dyDescent="0.25">
      <c r="A2540" t="s">
        <v>18</v>
      </c>
      <c r="B2540" t="s">
        <v>7535</v>
      </c>
      <c r="C2540" t="s">
        <v>7537</v>
      </c>
      <c r="D2540" t="s">
        <v>20</v>
      </c>
      <c r="E2540" t="s">
        <v>11</v>
      </c>
      <c r="F2540">
        <v>3067.8779999999997</v>
      </c>
      <c r="G2540">
        <v>18</v>
      </c>
      <c r="L2540" t="s">
        <v>7538</v>
      </c>
      <c r="O2540" t="s">
        <v>7539</v>
      </c>
    </row>
    <row r="2541" spans="1:15" x14ac:dyDescent="0.25">
      <c r="A2541" t="s">
        <v>18</v>
      </c>
      <c r="B2541" t="s">
        <v>7538</v>
      </c>
      <c r="C2541" t="s">
        <v>7540</v>
      </c>
      <c r="D2541" t="s">
        <v>20</v>
      </c>
      <c r="E2541" t="s">
        <v>11</v>
      </c>
      <c r="F2541">
        <v>1892.946</v>
      </c>
      <c r="G2541">
        <v>18</v>
      </c>
      <c r="L2541" t="s">
        <v>7541</v>
      </c>
      <c r="O2541" t="s">
        <v>7542</v>
      </c>
    </row>
    <row r="2542" spans="1:15" x14ac:dyDescent="0.25">
      <c r="A2542" t="s">
        <v>18</v>
      </c>
      <c r="B2542" t="s">
        <v>7541</v>
      </c>
      <c r="C2542" t="s">
        <v>7543</v>
      </c>
      <c r="D2542" t="s">
        <v>20</v>
      </c>
      <c r="E2542" t="s">
        <v>11</v>
      </c>
      <c r="F2542">
        <v>11227.127999999999</v>
      </c>
      <c r="G2542">
        <v>18</v>
      </c>
      <c r="L2542" t="s">
        <v>7544</v>
      </c>
      <c r="O2542" t="s">
        <v>7545</v>
      </c>
    </row>
    <row r="2543" spans="1:15" x14ac:dyDescent="0.25">
      <c r="A2543" t="s">
        <v>18</v>
      </c>
      <c r="B2543" t="s">
        <v>7544</v>
      </c>
      <c r="C2543" t="s">
        <v>7546</v>
      </c>
      <c r="D2543" t="s">
        <v>20</v>
      </c>
      <c r="E2543" t="s">
        <v>11</v>
      </c>
      <c r="F2543">
        <v>5809.3859999999995</v>
      </c>
      <c r="G2543">
        <v>18</v>
      </c>
      <c r="L2543" t="s">
        <v>7547</v>
      </c>
      <c r="O2543" t="s">
        <v>7548</v>
      </c>
    </row>
    <row r="2544" spans="1:15" x14ac:dyDescent="0.25">
      <c r="A2544" t="s">
        <v>18</v>
      </c>
      <c r="B2544" t="s">
        <v>7547</v>
      </c>
      <c r="C2544" t="s">
        <v>7549</v>
      </c>
      <c r="D2544" t="s">
        <v>20</v>
      </c>
      <c r="E2544" t="s">
        <v>11</v>
      </c>
      <c r="F2544">
        <v>3263.7</v>
      </c>
      <c r="G2544">
        <v>18</v>
      </c>
      <c r="L2544" t="s">
        <v>7550</v>
      </c>
      <c r="O2544" t="s">
        <v>7551</v>
      </c>
    </row>
    <row r="2545" spans="1:15" x14ac:dyDescent="0.25">
      <c r="A2545" t="s">
        <v>18</v>
      </c>
      <c r="B2545" t="s">
        <v>7550</v>
      </c>
      <c r="C2545" t="s">
        <v>7552</v>
      </c>
      <c r="D2545" t="s">
        <v>20</v>
      </c>
      <c r="E2545" t="s">
        <v>11</v>
      </c>
      <c r="F2545">
        <v>4569.18</v>
      </c>
      <c r="G2545">
        <v>18</v>
      </c>
      <c r="L2545" t="s">
        <v>7553</v>
      </c>
      <c r="O2545" t="s">
        <v>7554</v>
      </c>
    </row>
    <row r="2546" spans="1:15" x14ac:dyDescent="0.25">
      <c r="A2546" t="s">
        <v>18</v>
      </c>
      <c r="B2546" t="s">
        <v>7553</v>
      </c>
      <c r="C2546" t="s">
        <v>7555</v>
      </c>
      <c r="D2546" t="s">
        <v>20</v>
      </c>
      <c r="E2546" t="s">
        <v>11</v>
      </c>
      <c r="F2546">
        <v>2023.494</v>
      </c>
      <c r="G2546">
        <v>18</v>
      </c>
      <c r="L2546" t="s">
        <v>7556</v>
      </c>
      <c r="O2546" t="s">
        <v>7557</v>
      </c>
    </row>
    <row r="2547" spans="1:15" x14ac:dyDescent="0.25">
      <c r="A2547" t="s">
        <v>18</v>
      </c>
      <c r="B2547" t="s">
        <v>7556</v>
      </c>
      <c r="C2547" t="s">
        <v>7558</v>
      </c>
      <c r="D2547" t="s">
        <v>20</v>
      </c>
      <c r="E2547" t="s">
        <v>11</v>
      </c>
      <c r="F2547">
        <v>5221.92</v>
      </c>
      <c r="G2547">
        <v>18</v>
      </c>
      <c r="L2547" t="s">
        <v>7559</v>
      </c>
      <c r="O2547" t="s">
        <v>7560</v>
      </c>
    </row>
    <row r="2548" spans="1:15" x14ac:dyDescent="0.25">
      <c r="A2548" t="s">
        <v>18</v>
      </c>
      <c r="B2548" t="s">
        <v>7559</v>
      </c>
      <c r="C2548" t="s">
        <v>7561</v>
      </c>
      <c r="D2548" t="s">
        <v>20</v>
      </c>
      <c r="E2548" t="s">
        <v>11</v>
      </c>
      <c r="F2548">
        <v>587.4659999999999</v>
      </c>
      <c r="G2548">
        <v>18</v>
      </c>
      <c r="L2548" t="s">
        <v>7562</v>
      </c>
      <c r="O2548" t="s">
        <v>7563</v>
      </c>
    </row>
    <row r="2549" spans="1:15" x14ac:dyDescent="0.25">
      <c r="A2549" t="s">
        <v>18</v>
      </c>
      <c r="B2549" t="s">
        <v>7562</v>
      </c>
      <c r="C2549" t="s">
        <v>7564</v>
      </c>
      <c r="D2549" t="s">
        <v>20</v>
      </c>
      <c r="E2549" t="s">
        <v>11</v>
      </c>
      <c r="F2549">
        <v>587.4659999999999</v>
      </c>
      <c r="G2549">
        <v>18</v>
      </c>
      <c r="L2549" t="s">
        <v>7565</v>
      </c>
      <c r="O2549" t="s">
        <v>7566</v>
      </c>
    </row>
    <row r="2550" spans="1:15" x14ac:dyDescent="0.25">
      <c r="A2550" t="s">
        <v>18</v>
      </c>
      <c r="B2550" t="s">
        <v>7565</v>
      </c>
      <c r="C2550" t="s">
        <v>7567</v>
      </c>
      <c r="D2550" t="s">
        <v>20</v>
      </c>
      <c r="E2550" t="s">
        <v>11</v>
      </c>
      <c r="F2550">
        <v>6919.043999999999</v>
      </c>
      <c r="G2550">
        <v>18</v>
      </c>
      <c r="L2550" t="s">
        <v>7568</v>
      </c>
      <c r="O2550" t="s">
        <v>7569</v>
      </c>
    </row>
    <row r="2551" spans="1:15" x14ac:dyDescent="0.25">
      <c r="A2551" t="s">
        <v>18</v>
      </c>
      <c r="B2551" t="s">
        <v>7568</v>
      </c>
      <c r="C2551" t="s">
        <v>7570</v>
      </c>
      <c r="D2551" t="s">
        <v>20</v>
      </c>
      <c r="E2551" t="s">
        <v>11</v>
      </c>
      <c r="F2551">
        <v>34725.768000000004</v>
      </c>
      <c r="G2551">
        <v>18</v>
      </c>
      <c r="L2551" t="s">
        <v>7571</v>
      </c>
      <c r="O2551" t="s">
        <v>7572</v>
      </c>
    </row>
    <row r="2552" spans="1:15" x14ac:dyDescent="0.25">
      <c r="A2552" t="s">
        <v>18</v>
      </c>
      <c r="B2552" t="s">
        <v>7571</v>
      </c>
      <c r="C2552" t="s">
        <v>7573</v>
      </c>
      <c r="D2552" t="s">
        <v>20</v>
      </c>
      <c r="E2552" t="s">
        <v>11</v>
      </c>
      <c r="F2552">
        <v>11986.128</v>
      </c>
      <c r="G2552">
        <v>18</v>
      </c>
      <c r="L2552" t="s">
        <v>7574</v>
      </c>
      <c r="O2552" t="s">
        <v>7575</v>
      </c>
    </row>
    <row r="2553" spans="1:15" x14ac:dyDescent="0.25">
      <c r="A2553" t="s">
        <v>18</v>
      </c>
      <c r="B2553" t="s">
        <v>7574</v>
      </c>
      <c r="C2553" t="s">
        <v>7576</v>
      </c>
      <c r="D2553" t="s">
        <v>20</v>
      </c>
      <c r="E2553" t="s">
        <v>11</v>
      </c>
      <c r="F2553">
        <v>13772.814</v>
      </c>
      <c r="G2553">
        <v>18</v>
      </c>
      <c r="L2553" t="s">
        <v>7577</v>
      </c>
      <c r="O2553" t="s">
        <v>7578</v>
      </c>
    </row>
    <row r="2554" spans="1:15" x14ac:dyDescent="0.25">
      <c r="A2554" t="s">
        <v>18</v>
      </c>
      <c r="B2554" t="s">
        <v>7577</v>
      </c>
      <c r="C2554" t="s">
        <v>7579</v>
      </c>
      <c r="D2554" t="s">
        <v>20</v>
      </c>
      <c r="E2554" t="s">
        <v>11</v>
      </c>
      <c r="F2554">
        <v>7310.688</v>
      </c>
      <c r="G2554">
        <v>18</v>
      </c>
      <c r="L2554" t="s">
        <v>7580</v>
      </c>
      <c r="O2554" t="s">
        <v>7581</v>
      </c>
    </row>
    <row r="2555" spans="1:15" x14ac:dyDescent="0.25">
      <c r="A2555" t="s">
        <v>18</v>
      </c>
      <c r="B2555" t="s">
        <v>7580</v>
      </c>
      <c r="C2555" t="s">
        <v>7582</v>
      </c>
      <c r="D2555" t="s">
        <v>20</v>
      </c>
      <c r="E2555" t="s">
        <v>11</v>
      </c>
      <c r="F2555">
        <v>7441.235999999999</v>
      </c>
      <c r="G2555">
        <v>18</v>
      </c>
      <c r="L2555" t="s">
        <v>7583</v>
      </c>
      <c r="O2555" t="s">
        <v>7584</v>
      </c>
    </row>
    <row r="2556" spans="1:15" x14ac:dyDescent="0.25">
      <c r="A2556" t="s">
        <v>18</v>
      </c>
      <c r="B2556" t="s">
        <v>7583</v>
      </c>
      <c r="C2556" t="s">
        <v>7585</v>
      </c>
      <c r="D2556" t="s">
        <v>20</v>
      </c>
      <c r="E2556" t="s">
        <v>11</v>
      </c>
      <c r="F2556">
        <v>12793.704</v>
      </c>
      <c r="G2556">
        <v>18</v>
      </c>
      <c r="L2556" t="s">
        <v>7586</v>
      </c>
      <c r="O2556" t="s">
        <v>7587</v>
      </c>
    </row>
    <row r="2557" spans="1:15" x14ac:dyDescent="0.25">
      <c r="A2557" t="s">
        <v>18</v>
      </c>
      <c r="B2557" t="s">
        <v>7586</v>
      </c>
      <c r="C2557" t="s">
        <v>7588</v>
      </c>
      <c r="D2557" t="s">
        <v>20</v>
      </c>
      <c r="E2557" t="s">
        <v>11</v>
      </c>
      <c r="F2557">
        <v>5483.016</v>
      </c>
      <c r="G2557">
        <v>18</v>
      </c>
      <c r="L2557" t="s">
        <v>7589</v>
      </c>
      <c r="O2557" t="s">
        <v>7590</v>
      </c>
    </row>
    <row r="2558" spans="1:15" x14ac:dyDescent="0.25">
      <c r="A2558" t="s">
        <v>18</v>
      </c>
      <c r="B2558" t="s">
        <v>7589</v>
      </c>
      <c r="C2558" t="s">
        <v>7591</v>
      </c>
      <c r="D2558" t="s">
        <v>20</v>
      </c>
      <c r="E2558" t="s">
        <v>11</v>
      </c>
      <c r="F2558">
        <v>652.74</v>
      </c>
      <c r="G2558">
        <v>18</v>
      </c>
      <c r="L2558" t="s">
        <v>7592</v>
      </c>
      <c r="O2558" t="s">
        <v>7593</v>
      </c>
    </row>
    <row r="2559" spans="1:15" x14ac:dyDescent="0.25">
      <c r="A2559" t="s">
        <v>18</v>
      </c>
      <c r="B2559" t="s">
        <v>7592</v>
      </c>
      <c r="C2559" t="s">
        <v>7594</v>
      </c>
      <c r="D2559" t="s">
        <v>20</v>
      </c>
      <c r="E2559" t="s">
        <v>11</v>
      </c>
      <c r="F2559">
        <v>3851.166</v>
      </c>
      <c r="G2559">
        <v>18</v>
      </c>
      <c r="L2559" t="s">
        <v>7595</v>
      </c>
      <c r="O2559" t="s">
        <v>7596</v>
      </c>
    </row>
    <row r="2560" spans="1:15" x14ac:dyDescent="0.25">
      <c r="A2560" t="s">
        <v>18</v>
      </c>
      <c r="B2560" t="s">
        <v>7595</v>
      </c>
      <c r="C2560" t="s">
        <v>7597</v>
      </c>
      <c r="D2560" t="s">
        <v>20</v>
      </c>
      <c r="E2560" t="s">
        <v>11</v>
      </c>
      <c r="F2560">
        <v>24020.832</v>
      </c>
      <c r="G2560">
        <v>18</v>
      </c>
      <c r="L2560" t="s">
        <v>7598</v>
      </c>
      <c r="O2560" t="s">
        <v>7599</v>
      </c>
    </row>
    <row r="2561" spans="1:15" x14ac:dyDescent="0.25">
      <c r="A2561" t="s">
        <v>18</v>
      </c>
      <c r="B2561" t="s">
        <v>7598</v>
      </c>
      <c r="C2561" t="s">
        <v>7600</v>
      </c>
      <c r="D2561" t="s">
        <v>20</v>
      </c>
      <c r="E2561" t="s">
        <v>11</v>
      </c>
      <c r="F2561">
        <v>7245.414</v>
      </c>
      <c r="G2561">
        <v>18</v>
      </c>
      <c r="L2561" t="s">
        <v>7601</v>
      </c>
      <c r="O2561" t="s">
        <v>7602</v>
      </c>
    </row>
    <row r="2562" spans="1:15" x14ac:dyDescent="0.25">
      <c r="A2562" t="s">
        <v>18</v>
      </c>
      <c r="B2562" t="s">
        <v>7601</v>
      </c>
      <c r="C2562" t="s">
        <v>7603</v>
      </c>
      <c r="D2562" t="s">
        <v>20</v>
      </c>
      <c r="E2562" t="s">
        <v>11</v>
      </c>
      <c r="F2562">
        <v>10704.936</v>
      </c>
      <c r="G2562">
        <v>18</v>
      </c>
      <c r="L2562" t="s">
        <v>7604</v>
      </c>
      <c r="O2562" t="s">
        <v>7605</v>
      </c>
    </row>
    <row r="2563" spans="1:15" x14ac:dyDescent="0.25">
      <c r="A2563" t="s">
        <v>18</v>
      </c>
      <c r="B2563" t="s">
        <v>7604</v>
      </c>
      <c r="C2563" t="s">
        <v>7606</v>
      </c>
      <c r="D2563" t="s">
        <v>20</v>
      </c>
      <c r="E2563" t="s">
        <v>11</v>
      </c>
      <c r="F2563">
        <v>7637.058</v>
      </c>
      <c r="G2563">
        <v>18</v>
      </c>
      <c r="L2563" t="s">
        <v>7607</v>
      </c>
      <c r="O2563" t="s">
        <v>7608</v>
      </c>
    </row>
    <row r="2564" spans="1:15" x14ac:dyDescent="0.25">
      <c r="A2564" t="s">
        <v>18</v>
      </c>
      <c r="B2564" t="s">
        <v>7607</v>
      </c>
      <c r="C2564" t="s">
        <v>7609</v>
      </c>
      <c r="D2564" t="s">
        <v>20</v>
      </c>
      <c r="E2564" t="s">
        <v>11</v>
      </c>
      <c r="F2564">
        <v>9660.552</v>
      </c>
      <c r="G2564">
        <v>18</v>
      </c>
      <c r="L2564" t="s">
        <v>7610</v>
      </c>
      <c r="O2564" t="s">
        <v>7611</v>
      </c>
    </row>
    <row r="2565" spans="1:15" x14ac:dyDescent="0.25">
      <c r="A2565" t="s">
        <v>18</v>
      </c>
      <c r="B2565" t="s">
        <v>7610</v>
      </c>
      <c r="C2565" t="s">
        <v>7612</v>
      </c>
      <c r="D2565" t="s">
        <v>20</v>
      </c>
      <c r="E2565" t="s">
        <v>11</v>
      </c>
      <c r="F2565">
        <v>1566.5759999999998</v>
      </c>
      <c r="G2565">
        <v>18</v>
      </c>
      <c r="L2565" t="s">
        <v>7613</v>
      </c>
      <c r="O2565" t="s">
        <v>7614</v>
      </c>
    </row>
    <row r="2566" spans="1:15" x14ac:dyDescent="0.25">
      <c r="A2566" t="s">
        <v>18</v>
      </c>
      <c r="B2566" t="s">
        <v>7613</v>
      </c>
      <c r="C2566" t="s">
        <v>7615</v>
      </c>
      <c r="D2566" t="s">
        <v>20</v>
      </c>
      <c r="E2566" t="s">
        <v>11</v>
      </c>
      <c r="F2566">
        <v>4569.18</v>
      </c>
      <c r="G2566">
        <v>18</v>
      </c>
      <c r="L2566" t="s">
        <v>7616</v>
      </c>
      <c r="O2566" t="s">
        <v>7617</v>
      </c>
    </row>
    <row r="2567" spans="1:15" x14ac:dyDescent="0.25">
      <c r="A2567" t="s">
        <v>18</v>
      </c>
      <c r="B2567" t="s">
        <v>7616</v>
      </c>
      <c r="C2567" t="s">
        <v>7618</v>
      </c>
      <c r="D2567" t="s">
        <v>20</v>
      </c>
      <c r="E2567" t="s">
        <v>11</v>
      </c>
      <c r="F2567">
        <v>587.4659999999999</v>
      </c>
      <c r="G2567">
        <v>18</v>
      </c>
      <c r="L2567" t="s">
        <v>7619</v>
      </c>
      <c r="O2567" t="s">
        <v>7620</v>
      </c>
    </row>
    <row r="2568" spans="1:15" x14ac:dyDescent="0.25">
      <c r="A2568" t="s">
        <v>18</v>
      </c>
      <c r="B2568" t="s">
        <v>7619</v>
      </c>
      <c r="C2568" t="s">
        <v>7621</v>
      </c>
      <c r="D2568" t="s">
        <v>20</v>
      </c>
      <c r="E2568" t="s">
        <v>11</v>
      </c>
      <c r="F2568">
        <v>979.11</v>
      </c>
      <c r="G2568">
        <v>18</v>
      </c>
      <c r="L2568" t="s">
        <v>7622</v>
      </c>
      <c r="O2568" t="s">
        <v>7623</v>
      </c>
    </row>
    <row r="2569" spans="1:15" x14ac:dyDescent="0.25">
      <c r="A2569" t="s">
        <v>18</v>
      </c>
      <c r="B2569" t="s">
        <v>7622</v>
      </c>
      <c r="C2569" t="s">
        <v>7624</v>
      </c>
      <c r="D2569" t="s">
        <v>20</v>
      </c>
      <c r="E2569" t="s">
        <v>11</v>
      </c>
      <c r="F2569">
        <v>1044.384</v>
      </c>
      <c r="G2569">
        <v>18</v>
      </c>
      <c r="L2569" t="s">
        <v>7625</v>
      </c>
      <c r="O2569" t="s">
        <v>7626</v>
      </c>
    </row>
    <row r="2570" spans="1:15" x14ac:dyDescent="0.25">
      <c r="A2570" t="s">
        <v>18</v>
      </c>
      <c r="B2570" t="s">
        <v>7625</v>
      </c>
      <c r="C2570" t="s">
        <v>7627</v>
      </c>
      <c r="D2570" t="s">
        <v>20</v>
      </c>
      <c r="E2570" t="s">
        <v>11</v>
      </c>
      <c r="F2570">
        <v>4503.906</v>
      </c>
      <c r="G2570">
        <v>18</v>
      </c>
      <c r="L2570" t="s">
        <v>7628</v>
      </c>
      <c r="O2570" t="s">
        <v>7629</v>
      </c>
    </row>
    <row r="2571" spans="1:15" x14ac:dyDescent="0.25">
      <c r="A2571" t="s">
        <v>18</v>
      </c>
      <c r="B2571" t="s">
        <v>7628</v>
      </c>
      <c r="C2571" t="s">
        <v>7630</v>
      </c>
      <c r="D2571" t="s">
        <v>20</v>
      </c>
      <c r="E2571" t="s">
        <v>11</v>
      </c>
      <c r="F2571">
        <v>3851.166</v>
      </c>
      <c r="G2571">
        <v>18</v>
      </c>
      <c r="L2571" t="s">
        <v>7631</v>
      </c>
      <c r="O2571" t="s">
        <v>7632</v>
      </c>
    </row>
    <row r="2572" spans="1:15" x14ac:dyDescent="0.25">
      <c r="A2572" t="s">
        <v>18</v>
      </c>
      <c r="B2572" t="s">
        <v>7631</v>
      </c>
      <c r="C2572" t="s">
        <v>7633</v>
      </c>
      <c r="D2572" t="s">
        <v>20</v>
      </c>
      <c r="E2572" t="s">
        <v>11</v>
      </c>
      <c r="F2572">
        <v>4765.0019999999995</v>
      </c>
      <c r="G2572">
        <v>18</v>
      </c>
      <c r="L2572" t="s">
        <v>7634</v>
      </c>
      <c r="O2572" t="s">
        <v>7635</v>
      </c>
    </row>
    <row r="2573" spans="1:15" x14ac:dyDescent="0.25">
      <c r="A2573" t="s">
        <v>18</v>
      </c>
      <c r="B2573" t="s">
        <v>7634</v>
      </c>
      <c r="C2573" t="s">
        <v>7636</v>
      </c>
      <c r="D2573" t="s">
        <v>20</v>
      </c>
      <c r="E2573" t="s">
        <v>11</v>
      </c>
      <c r="F2573">
        <v>1892.946</v>
      </c>
      <c r="G2573">
        <v>18</v>
      </c>
      <c r="L2573" t="s">
        <v>7637</v>
      </c>
      <c r="O2573" t="s">
        <v>7638</v>
      </c>
    </row>
    <row r="2574" spans="1:15" x14ac:dyDescent="0.25">
      <c r="A2574" t="s">
        <v>18</v>
      </c>
      <c r="B2574" t="s">
        <v>7637</v>
      </c>
      <c r="C2574" t="s">
        <v>7639</v>
      </c>
      <c r="D2574" t="s">
        <v>20</v>
      </c>
      <c r="E2574" t="s">
        <v>11</v>
      </c>
      <c r="F2574">
        <v>456.918</v>
      </c>
      <c r="G2574">
        <v>18</v>
      </c>
      <c r="L2574" t="s">
        <v>7640</v>
      </c>
      <c r="O2574" t="s">
        <v>7641</v>
      </c>
    </row>
    <row r="2575" spans="1:15" x14ac:dyDescent="0.25">
      <c r="A2575" t="s">
        <v>18</v>
      </c>
      <c r="B2575" t="s">
        <v>7640</v>
      </c>
      <c r="C2575" t="s">
        <v>7642</v>
      </c>
      <c r="D2575" t="s">
        <v>20</v>
      </c>
      <c r="E2575" t="s">
        <v>11</v>
      </c>
      <c r="F2575">
        <v>587.4659999999999</v>
      </c>
      <c r="G2575">
        <v>18</v>
      </c>
      <c r="L2575" t="s">
        <v>7643</v>
      </c>
      <c r="O2575" t="s">
        <v>7644</v>
      </c>
    </row>
    <row r="2576" spans="1:15" x14ac:dyDescent="0.25">
      <c r="A2576" t="s">
        <v>18</v>
      </c>
      <c r="B2576" t="s">
        <v>7643</v>
      </c>
      <c r="C2576" t="s">
        <v>7645</v>
      </c>
      <c r="D2576" t="s">
        <v>20</v>
      </c>
      <c r="E2576" t="s">
        <v>11</v>
      </c>
      <c r="F2576">
        <v>1305.48</v>
      </c>
      <c r="G2576">
        <v>18</v>
      </c>
      <c r="L2576" t="s">
        <v>7646</v>
      </c>
      <c r="O2576" t="s">
        <v>7647</v>
      </c>
    </row>
    <row r="2577" spans="1:15" x14ac:dyDescent="0.25">
      <c r="A2577" t="s">
        <v>18</v>
      </c>
      <c r="B2577" t="s">
        <v>7646</v>
      </c>
      <c r="C2577" t="s">
        <v>7648</v>
      </c>
      <c r="D2577" t="s">
        <v>20</v>
      </c>
      <c r="E2577" t="s">
        <v>11</v>
      </c>
      <c r="F2577">
        <v>652.74</v>
      </c>
      <c r="G2577">
        <v>18</v>
      </c>
      <c r="L2577" t="s">
        <v>7649</v>
      </c>
      <c r="O2577" t="s">
        <v>7650</v>
      </c>
    </row>
    <row r="2578" spans="1:15" x14ac:dyDescent="0.25">
      <c r="A2578" t="s">
        <v>18</v>
      </c>
      <c r="B2578" t="s">
        <v>7649</v>
      </c>
      <c r="C2578" t="s">
        <v>7651</v>
      </c>
      <c r="D2578" t="s">
        <v>20</v>
      </c>
      <c r="E2578" t="s">
        <v>11</v>
      </c>
      <c r="F2578">
        <v>913.836</v>
      </c>
      <c r="G2578">
        <v>18</v>
      </c>
      <c r="L2578" t="s">
        <v>7652</v>
      </c>
      <c r="O2578" t="s">
        <v>7653</v>
      </c>
    </row>
    <row r="2579" spans="1:15" x14ac:dyDescent="0.25">
      <c r="A2579" t="s">
        <v>18</v>
      </c>
      <c r="B2579" t="s">
        <v>7652</v>
      </c>
      <c r="C2579" t="s">
        <v>7654</v>
      </c>
      <c r="D2579" t="s">
        <v>20</v>
      </c>
      <c r="E2579" t="s">
        <v>11</v>
      </c>
      <c r="F2579">
        <v>1044.384</v>
      </c>
      <c r="G2579">
        <v>18</v>
      </c>
      <c r="L2579" t="s">
        <v>7655</v>
      </c>
      <c r="O2579" t="s">
        <v>7656</v>
      </c>
    </row>
    <row r="2580" spans="1:15" x14ac:dyDescent="0.25">
      <c r="A2580" t="s">
        <v>18</v>
      </c>
      <c r="B2580" t="s">
        <v>7655</v>
      </c>
      <c r="C2580" t="s">
        <v>7657</v>
      </c>
      <c r="D2580" t="s">
        <v>20</v>
      </c>
      <c r="E2580" t="s">
        <v>11</v>
      </c>
      <c r="F2580">
        <v>1305.48</v>
      </c>
      <c r="G2580">
        <v>18</v>
      </c>
      <c r="L2580" t="s">
        <v>7658</v>
      </c>
      <c r="O2580" t="s">
        <v>7659</v>
      </c>
    </row>
    <row r="2581" spans="1:15" x14ac:dyDescent="0.25">
      <c r="A2581" t="s">
        <v>18</v>
      </c>
      <c r="B2581" t="s">
        <v>7658</v>
      </c>
      <c r="C2581" t="s">
        <v>7660</v>
      </c>
      <c r="D2581" t="s">
        <v>20</v>
      </c>
      <c r="E2581" t="s">
        <v>11</v>
      </c>
      <c r="F2581">
        <v>1697.1239999999998</v>
      </c>
      <c r="G2581">
        <v>18</v>
      </c>
      <c r="L2581" t="s">
        <v>7661</v>
      </c>
      <c r="O2581" t="s">
        <v>7662</v>
      </c>
    </row>
    <row r="2582" spans="1:15" x14ac:dyDescent="0.25">
      <c r="A2582" t="s">
        <v>18</v>
      </c>
      <c r="B2582" t="s">
        <v>7661</v>
      </c>
      <c r="C2582" t="s">
        <v>7663</v>
      </c>
      <c r="D2582" t="s">
        <v>20</v>
      </c>
      <c r="E2582" t="s">
        <v>11</v>
      </c>
      <c r="F2582">
        <v>3394.2479999999996</v>
      </c>
      <c r="G2582">
        <v>18</v>
      </c>
      <c r="L2582" t="s">
        <v>7664</v>
      </c>
      <c r="O2582" t="s">
        <v>7665</v>
      </c>
    </row>
    <row r="2583" spans="1:15" x14ac:dyDescent="0.25">
      <c r="A2583" t="s">
        <v>18</v>
      </c>
      <c r="B2583" t="s">
        <v>7664</v>
      </c>
      <c r="C2583" t="s">
        <v>7666</v>
      </c>
      <c r="D2583" t="s">
        <v>20</v>
      </c>
      <c r="E2583" t="s">
        <v>11</v>
      </c>
      <c r="F2583">
        <v>848.5619999999999</v>
      </c>
      <c r="G2583">
        <v>18</v>
      </c>
      <c r="L2583" t="s">
        <v>7667</v>
      </c>
      <c r="O2583" t="s">
        <v>7668</v>
      </c>
    </row>
    <row r="2584" spans="1:15" x14ac:dyDescent="0.25">
      <c r="A2584" t="s">
        <v>18</v>
      </c>
      <c r="B2584" t="s">
        <v>7667</v>
      </c>
      <c r="C2584" t="s">
        <v>7669</v>
      </c>
      <c r="D2584" t="s">
        <v>20</v>
      </c>
      <c r="E2584" t="s">
        <v>11</v>
      </c>
      <c r="F2584">
        <v>1044.384</v>
      </c>
      <c r="G2584">
        <v>18</v>
      </c>
      <c r="L2584" t="s">
        <v>7670</v>
      </c>
      <c r="O2584" t="s">
        <v>7671</v>
      </c>
    </row>
    <row r="2585" spans="1:15" x14ac:dyDescent="0.25">
      <c r="A2585" t="s">
        <v>18</v>
      </c>
      <c r="B2585" t="s">
        <v>7670</v>
      </c>
      <c r="C2585" t="s">
        <v>7672</v>
      </c>
      <c r="D2585" t="s">
        <v>20</v>
      </c>
      <c r="E2585" t="s">
        <v>11</v>
      </c>
      <c r="F2585">
        <v>783.2879999999999</v>
      </c>
      <c r="G2585">
        <v>18</v>
      </c>
      <c r="L2585" t="s">
        <v>7673</v>
      </c>
      <c r="O2585" t="s">
        <v>7674</v>
      </c>
    </row>
    <row r="2586" spans="1:15" x14ac:dyDescent="0.25">
      <c r="A2586" t="s">
        <v>18</v>
      </c>
      <c r="B2586" t="s">
        <v>7673</v>
      </c>
      <c r="C2586" t="s">
        <v>7675</v>
      </c>
      <c r="D2586" t="s">
        <v>20</v>
      </c>
      <c r="E2586" t="s">
        <v>11</v>
      </c>
      <c r="F2586">
        <v>2154.042</v>
      </c>
      <c r="G2586">
        <v>18</v>
      </c>
      <c r="L2586" t="s">
        <v>7676</v>
      </c>
      <c r="O2586" t="s">
        <v>7677</v>
      </c>
    </row>
    <row r="2587" spans="1:15" x14ac:dyDescent="0.25">
      <c r="A2587" t="s">
        <v>18</v>
      </c>
      <c r="B2587" t="s">
        <v>7676</v>
      </c>
      <c r="C2587" t="s">
        <v>7678</v>
      </c>
      <c r="D2587" t="s">
        <v>20</v>
      </c>
      <c r="E2587" t="s">
        <v>11</v>
      </c>
      <c r="F2587">
        <v>2741.508</v>
      </c>
      <c r="G2587">
        <v>18</v>
      </c>
      <c r="L2587" t="s">
        <v>7679</v>
      </c>
      <c r="O2587" t="s">
        <v>7680</v>
      </c>
    </row>
    <row r="2588" spans="1:15" x14ac:dyDescent="0.25">
      <c r="A2588" t="s">
        <v>18</v>
      </c>
      <c r="B2588" t="s">
        <v>7679</v>
      </c>
      <c r="C2588" t="s">
        <v>7681</v>
      </c>
      <c r="D2588" t="s">
        <v>20</v>
      </c>
      <c r="E2588" t="s">
        <v>11</v>
      </c>
      <c r="F2588">
        <v>652.74</v>
      </c>
      <c r="G2588">
        <v>18</v>
      </c>
      <c r="L2588" t="s">
        <v>7682</v>
      </c>
      <c r="O2588" t="s">
        <v>7683</v>
      </c>
    </row>
    <row r="2589" spans="1:15" x14ac:dyDescent="0.25">
      <c r="A2589" t="s">
        <v>18</v>
      </c>
      <c r="B2589" t="s">
        <v>7682</v>
      </c>
      <c r="C2589" t="s">
        <v>7684</v>
      </c>
      <c r="D2589" t="s">
        <v>20</v>
      </c>
      <c r="E2589" t="s">
        <v>11</v>
      </c>
      <c r="F2589">
        <v>652.74</v>
      </c>
      <c r="G2589">
        <v>18</v>
      </c>
      <c r="L2589" t="s">
        <v>7685</v>
      </c>
      <c r="O2589" t="s">
        <v>7686</v>
      </c>
    </row>
    <row r="2590" spans="1:15" x14ac:dyDescent="0.25">
      <c r="A2590" t="s">
        <v>18</v>
      </c>
      <c r="B2590" t="s">
        <v>7685</v>
      </c>
      <c r="C2590" t="s">
        <v>7687</v>
      </c>
      <c r="D2590" t="s">
        <v>20</v>
      </c>
      <c r="E2590" t="s">
        <v>11</v>
      </c>
      <c r="F2590">
        <v>848.5619999999999</v>
      </c>
      <c r="G2590">
        <v>18</v>
      </c>
      <c r="L2590" t="s">
        <v>7688</v>
      </c>
      <c r="O2590" t="s">
        <v>7689</v>
      </c>
    </row>
    <row r="2591" spans="1:15" x14ac:dyDescent="0.25">
      <c r="A2591" t="s">
        <v>18</v>
      </c>
      <c r="B2591" t="s">
        <v>7688</v>
      </c>
      <c r="C2591" t="s">
        <v>7690</v>
      </c>
      <c r="D2591" t="s">
        <v>20</v>
      </c>
      <c r="E2591" t="s">
        <v>11</v>
      </c>
      <c r="F2591">
        <v>848.5619999999999</v>
      </c>
      <c r="G2591">
        <v>18</v>
      </c>
      <c r="L2591" t="s">
        <v>7691</v>
      </c>
      <c r="O2591" t="s">
        <v>7692</v>
      </c>
    </row>
    <row r="2592" spans="1:15" x14ac:dyDescent="0.25">
      <c r="A2592" t="s">
        <v>18</v>
      </c>
      <c r="B2592" t="s">
        <v>7691</v>
      </c>
      <c r="C2592" t="s">
        <v>7693</v>
      </c>
      <c r="D2592" t="s">
        <v>20</v>
      </c>
      <c r="E2592" t="s">
        <v>11</v>
      </c>
      <c r="F2592">
        <v>1044.384</v>
      </c>
      <c r="G2592">
        <v>18</v>
      </c>
      <c r="L2592" t="s">
        <v>7694</v>
      </c>
      <c r="O2592" t="s">
        <v>7695</v>
      </c>
    </row>
    <row r="2593" spans="1:15" x14ac:dyDescent="0.25">
      <c r="A2593" t="s">
        <v>18</v>
      </c>
      <c r="B2593" t="s">
        <v>7694</v>
      </c>
      <c r="C2593" t="s">
        <v>7696</v>
      </c>
      <c r="D2593" t="s">
        <v>20</v>
      </c>
      <c r="E2593" t="s">
        <v>11</v>
      </c>
      <c r="F2593">
        <v>718.014</v>
      </c>
      <c r="G2593">
        <v>18</v>
      </c>
      <c r="L2593" t="s">
        <v>7697</v>
      </c>
      <c r="O2593" t="s">
        <v>7698</v>
      </c>
    </row>
    <row r="2594" spans="1:15" x14ac:dyDescent="0.25">
      <c r="A2594" t="s">
        <v>18</v>
      </c>
      <c r="B2594" t="s">
        <v>7697</v>
      </c>
      <c r="C2594" t="s">
        <v>7699</v>
      </c>
      <c r="D2594" t="s">
        <v>20</v>
      </c>
      <c r="E2594" t="s">
        <v>11</v>
      </c>
      <c r="F2594">
        <v>652.74</v>
      </c>
      <c r="G2594">
        <v>18</v>
      </c>
      <c r="L2594" t="s">
        <v>7700</v>
      </c>
      <c r="O2594" t="s">
        <v>7701</v>
      </c>
    </row>
    <row r="2595" spans="1:15" x14ac:dyDescent="0.25">
      <c r="A2595" t="s">
        <v>18</v>
      </c>
      <c r="B2595" t="s">
        <v>7700</v>
      </c>
      <c r="C2595" t="s">
        <v>7702</v>
      </c>
      <c r="D2595" t="s">
        <v>20</v>
      </c>
      <c r="E2595" t="s">
        <v>11</v>
      </c>
      <c r="F2595">
        <v>587.4659999999999</v>
      </c>
      <c r="G2595">
        <v>18</v>
      </c>
      <c r="L2595" t="s">
        <v>7703</v>
      </c>
      <c r="O2595" t="s">
        <v>7704</v>
      </c>
    </row>
    <row r="2596" spans="1:15" x14ac:dyDescent="0.25">
      <c r="A2596" t="s">
        <v>18</v>
      </c>
      <c r="B2596" t="s">
        <v>7703</v>
      </c>
      <c r="C2596" t="s">
        <v>7705</v>
      </c>
      <c r="D2596" t="s">
        <v>20</v>
      </c>
      <c r="E2596" t="s">
        <v>11</v>
      </c>
      <c r="F2596">
        <v>587.4659999999999</v>
      </c>
      <c r="G2596">
        <v>18</v>
      </c>
      <c r="L2596" t="s">
        <v>7706</v>
      </c>
      <c r="O2596" t="s">
        <v>7707</v>
      </c>
    </row>
    <row r="2597" spans="1:15" x14ac:dyDescent="0.25">
      <c r="A2597" t="s">
        <v>18</v>
      </c>
      <c r="B2597" t="s">
        <v>7706</v>
      </c>
      <c r="C2597" t="s">
        <v>7708</v>
      </c>
      <c r="D2597" t="s">
        <v>20</v>
      </c>
      <c r="E2597" t="s">
        <v>11</v>
      </c>
      <c r="F2597">
        <v>391.64399999999995</v>
      </c>
      <c r="G2597">
        <v>18</v>
      </c>
      <c r="L2597" t="s">
        <v>7709</v>
      </c>
      <c r="O2597" t="s">
        <v>7710</v>
      </c>
    </row>
    <row r="2598" spans="1:15" x14ac:dyDescent="0.25">
      <c r="A2598" t="s">
        <v>18</v>
      </c>
      <c r="B2598" t="s">
        <v>7709</v>
      </c>
      <c r="C2598" t="s">
        <v>7711</v>
      </c>
      <c r="D2598" t="s">
        <v>20</v>
      </c>
      <c r="E2598" t="s">
        <v>11</v>
      </c>
      <c r="F2598">
        <v>848.5619999999999</v>
      </c>
      <c r="G2598">
        <v>18</v>
      </c>
      <c r="L2598" t="s">
        <v>7712</v>
      </c>
      <c r="O2598" t="s">
        <v>7713</v>
      </c>
    </row>
    <row r="2599" spans="1:15" x14ac:dyDescent="0.25">
      <c r="A2599" t="s">
        <v>18</v>
      </c>
      <c r="B2599" t="s">
        <v>7712</v>
      </c>
      <c r="C2599" t="s">
        <v>7714</v>
      </c>
      <c r="D2599" t="s">
        <v>20</v>
      </c>
      <c r="E2599" t="s">
        <v>11</v>
      </c>
      <c r="F2599">
        <v>783.2879999999999</v>
      </c>
      <c r="G2599">
        <v>18</v>
      </c>
      <c r="L2599" t="s">
        <v>7715</v>
      </c>
      <c r="O2599" t="s">
        <v>7716</v>
      </c>
    </row>
    <row r="2600" spans="1:15" x14ac:dyDescent="0.25">
      <c r="A2600" t="s">
        <v>18</v>
      </c>
      <c r="B2600" t="s">
        <v>7715</v>
      </c>
      <c r="C2600" t="s">
        <v>7717</v>
      </c>
      <c r="D2600" t="s">
        <v>20</v>
      </c>
      <c r="E2600" t="s">
        <v>11</v>
      </c>
      <c r="F2600">
        <v>1958.22</v>
      </c>
      <c r="G2600">
        <v>18</v>
      </c>
      <c r="L2600" t="s">
        <v>7718</v>
      </c>
      <c r="O2600" t="s">
        <v>7719</v>
      </c>
    </row>
    <row r="2601" spans="1:15" x14ac:dyDescent="0.25">
      <c r="A2601" t="s">
        <v>18</v>
      </c>
      <c r="B2601" t="s">
        <v>7718</v>
      </c>
      <c r="C2601" t="s">
        <v>7720</v>
      </c>
      <c r="D2601" t="s">
        <v>20</v>
      </c>
      <c r="E2601" t="s">
        <v>11</v>
      </c>
      <c r="F2601">
        <v>1109.658</v>
      </c>
      <c r="G2601">
        <v>18</v>
      </c>
      <c r="L2601" t="s">
        <v>7721</v>
      </c>
      <c r="O2601" t="s">
        <v>7722</v>
      </c>
    </row>
    <row r="2602" spans="1:15" x14ac:dyDescent="0.25">
      <c r="A2602" t="s">
        <v>18</v>
      </c>
      <c r="B2602" t="s">
        <v>7721</v>
      </c>
      <c r="C2602" t="s">
        <v>7723</v>
      </c>
      <c r="D2602" t="s">
        <v>20</v>
      </c>
      <c r="E2602" t="s">
        <v>11</v>
      </c>
      <c r="F2602">
        <v>783.2879999999999</v>
      </c>
      <c r="G2602">
        <v>18</v>
      </c>
      <c r="L2602" t="s">
        <v>7724</v>
      </c>
      <c r="O2602" t="s">
        <v>7725</v>
      </c>
    </row>
    <row r="2603" spans="1:15" x14ac:dyDescent="0.25">
      <c r="A2603" t="s">
        <v>18</v>
      </c>
      <c r="B2603" t="s">
        <v>7724</v>
      </c>
      <c r="C2603" t="s">
        <v>7726</v>
      </c>
      <c r="D2603" t="s">
        <v>20</v>
      </c>
      <c r="E2603" t="s">
        <v>11</v>
      </c>
      <c r="F2603">
        <v>326.37</v>
      </c>
      <c r="G2603">
        <v>18</v>
      </c>
      <c r="L2603" t="s">
        <v>7727</v>
      </c>
      <c r="O2603" t="s">
        <v>7728</v>
      </c>
    </row>
    <row r="2604" spans="1:15" x14ac:dyDescent="0.25">
      <c r="A2604" t="s">
        <v>18</v>
      </c>
      <c r="B2604" t="s">
        <v>7727</v>
      </c>
      <c r="C2604" t="s">
        <v>7729</v>
      </c>
      <c r="D2604" t="s">
        <v>20</v>
      </c>
      <c r="E2604" t="s">
        <v>11</v>
      </c>
      <c r="F2604">
        <v>913.836</v>
      </c>
      <c r="G2604">
        <v>18</v>
      </c>
      <c r="L2604" t="s">
        <v>7730</v>
      </c>
      <c r="O2604" t="s">
        <v>7731</v>
      </c>
    </row>
    <row r="2605" spans="1:15" x14ac:dyDescent="0.25">
      <c r="A2605" t="s">
        <v>18</v>
      </c>
      <c r="B2605" t="s">
        <v>7730</v>
      </c>
      <c r="C2605" t="s">
        <v>7732</v>
      </c>
      <c r="D2605" t="s">
        <v>20</v>
      </c>
      <c r="E2605" t="s">
        <v>11</v>
      </c>
      <c r="F2605">
        <v>1566.5759999999998</v>
      </c>
      <c r="G2605">
        <v>18</v>
      </c>
      <c r="L2605" t="s">
        <v>7733</v>
      </c>
      <c r="O2605" t="s">
        <v>7734</v>
      </c>
    </row>
    <row r="2606" spans="1:15" x14ac:dyDescent="0.25">
      <c r="A2606" t="s">
        <v>18</v>
      </c>
      <c r="B2606" t="s">
        <v>7733</v>
      </c>
      <c r="C2606" t="s">
        <v>7735</v>
      </c>
      <c r="D2606" t="s">
        <v>20</v>
      </c>
      <c r="E2606" t="s">
        <v>11</v>
      </c>
      <c r="F2606">
        <v>2415.138</v>
      </c>
      <c r="G2606">
        <v>18</v>
      </c>
      <c r="L2606" t="s">
        <v>7736</v>
      </c>
      <c r="O2606" t="s">
        <v>7737</v>
      </c>
    </row>
    <row r="2607" spans="1:15" x14ac:dyDescent="0.25">
      <c r="A2607" t="s">
        <v>18</v>
      </c>
      <c r="B2607" t="s">
        <v>7736</v>
      </c>
      <c r="C2607" t="s">
        <v>7738</v>
      </c>
      <c r="D2607" t="s">
        <v>20</v>
      </c>
      <c r="E2607" t="s">
        <v>11</v>
      </c>
      <c r="F2607">
        <v>2154.042</v>
      </c>
      <c r="G2607">
        <v>18</v>
      </c>
      <c r="L2607" t="s">
        <v>7739</v>
      </c>
      <c r="O2607" t="s">
        <v>7740</v>
      </c>
    </row>
    <row r="2608" spans="1:15" x14ac:dyDescent="0.25">
      <c r="A2608" t="s">
        <v>18</v>
      </c>
      <c r="B2608" t="s">
        <v>7739</v>
      </c>
      <c r="C2608" t="s">
        <v>7741</v>
      </c>
      <c r="D2608" t="s">
        <v>20</v>
      </c>
      <c r="E2608" t="s">
        <v>11</v>
      </c>
      <c r="F2608">
        <v>4960.8240000000005</v>
      </c>
      <c r="G2608">
        <v>18</v>
      </c>
      <c r="L2608" t="s">
        <v>7742</v>
      </c>
      <c r="O2608" t="s">
        <v>7743</v>
      </c>
    </row>
    <row r="2609" spans="1:15" x14ac:dyDescent="0.25">
      <c r="A2609" t="s">
        <v>18</v>
      </c>
      <c r="B2609" t="s">
        <v>7742</v>
      </c>
      <c r="C2609" t="s">
        <v>7744</v>
      </c>
      <c r="D2609" t="s">
        <v>20</v>
      </c>
      <c r="E2609" t="s">
        <v>11</v>
      </c>
      <c r="F2609">
        <v>1631.85</v>
      </c>
      <c r="G2609">
        <v>18</v>
      </c>
      <c r="L2609" t="s">
        <v>7745</v>
      </c>
      <c r="O2609" t="s">
        <v>7746</v>
      </c>
    </row>
    <row r="2610" spans="1:15" x14ac:dyDescent="0.25">
      <c r="A2610" t="s">
        <v>18</v>
      </c>
      <c r="B2610" t="s">
        <v>7745</v>
      </c>
      <c r="C2610" t="s">
        <v>7747</v>
      </c>
      <c r="D2610" t="s">
        <v>20</v>
      </c>
      <c r="E2610" t="s">
        <v>11</v>
      </c>
      <c r="F2610">
        <v>2480.4120000000003</v>
      </c>
      <c r="G2610">
        <v>18</v>
      </c>
      <c r="L2610" t="s">
        <v>7748</v>
      </c>
      <c r="O2610" t="s">
        <v>7749</v>
      </c>
    </row>
    <row r="2611" spans="1:15" x14ac:dyDescent="0.25">
      <c r="A2611" t="s">
        <v>18</v>
      </c>
      <c r="B2611" t="s">
        <v>7748</v>
      </c>
      <c r="C2611" t="s">
        <v>7750</v>
      </c>
      <c r="D2611" t="s">
        <v>20</v>
      </c>
      <c r="E2611" t="s">
        <v>11</v>
      </c>
      <c r="F2611">
        <v>1827.672</v>
      </c>
      <c r="G2611">
        <v>18</v>
      </c>
      <c r="L2611" t="s">
        <v>7751</v>
      </c>
      <c r="O2611" t="s">
        <v>7752</v>
      </c>
    </row>
    <row r="2612" spans="1:15" x14ac:dyDescent="0.25">
      <c r="A2612" t="s">
        <v>18</v>
      </c>
      <c r="B2612" t="s">
        <v>7751</v>
      </c>
      <c r="C2612" t="s">
        <v>7753</v>
      </c>
      <c r="D2612" t="s">
        <v>20</v>
      </c>
      <c r="E2612" t="s">
        <v>11</v>
      </c>
      <c r="F2612">
        <v>2872.056</v>
      </c>
      <c r="G2612">
        <v>18</v>
      </c>
      <c r="L2612" t="s">
        <v>7754</v>
      </c>
      <c r="O2612" t="s">
        <v>7755</v>
      </c>
    </row>
    <row r="2613" spans="1:15" x14ac:dyDescent="0.25">
      <c r="A2613" t="s">
        <v>18</v>
      </c>
      <c r="B2613" t="s">
        <v>7754</v>
      </c>
      <c r="C2613" t="s">
        <v>7756</v>
      </c>
      <c r="D2613" t="s">
        <v>20</v>
      </c>
      <c r="E2613" t="s">
        <v>11</v>
      </c>
      <c r="F2613">
        <v>1697.1239999999998</v>
      </c>
      <c r="G2613">
        <v>18</v>
      </c>
      <c r="L2613" t="s">
        <v>7757</v>
      </c>
      <c r="O2613" t="s">
        <v>7758</v>
      </c>
    </row>
    <row r="2614" spans="1:15" x14ac:dyDescent="0.25">
      <c r="A2614" t="s">
        <v>18</v>
      </c>
      <c r="B2614" t="s">
        <v>7757</v>
      </c>
      <c r="C2614" t="s">
        <v>7759</v>
      </c>
      <c r="D2614" t="s">
        <v>20</v>
      </c>
      <c r="E2614" t="s">
        <v>11</v>
      </c>
      <c r="F2614">
        <v>3328.9739999999997</v>
      </c>
      <c r="G2614">
        <v>18</v>
      </c>
      <c r="L2614" t="s">
        <v>7760</v>
      </c>
      <c r="O2614" t="s">
        <v>7761</v>
      </c>
    </row>
    <row r="2615" spans="1:15" x14ac:dyDescent="0.25">
      <c r="A2615" t="s">
        <v>18</v>
      </c>
      <c r="B2615" t="s">
        <v>7760</v>
      </c>
      <c r="C2615" t="s">
        <v>7762</v>
      </c>
      <c r="D2615" t="s">
        <v>20</v>
      </c>
      <c r="E2615" t="s">
        <v>11</v>
      </c>
      <c r="F2615">
        <v>4207.896</v>
      </c>
      <c r="G2615">
        <v>18</v>
      </c>
      <c r="L2615" t="s">
        <v>7763</v>
      </c>
      <c r="O2615" t="s">
        <v>7764</v>
      </c>
    </row>
    <row r="2616" spans="1:15" x14ac:dyDescent="0.25">
      <c r="A2616" t="s">
        <v>18</v>
      </c>
      <c r="B2616" t="s">
        <v>7763</v>
      </c>
      <c r="C2616" t="s">
        <v>7765</v>
      </c>
      <c r="D2616" t="s">
        <v>20</v>
      </c>
      <c r="E2616" t="s">
        <v>11</v>
      </c>
      <c r="F2616">
        <v>4207.896</v>
      </c>
      <c r="G2616">
        <v>18</v>
      </c>
      <c r="L2616" t="s">
        <v>7766</v>
      </c>
      <c r="O2616" t="s">
        <v>7767</v>
      </c>
    </row>
    <row r="2617" spans="1:15" x14ac:dyDescent="0.25">
      <c r="A2617" t="s">
        <v>18</v>
      </c>
      <c r="B2617" t="s">
        <v>7766</v>
      </c>
      <c r="C2617" t="s">
        <v>7768</v>
      </c>
      <c r="D2617" t="s">
        <v>20</v>
      </c>
      <c r="E2617" t="s">
        <v>11</v>
      </c>
      <c r="F2617">
        <v>3394.2479999999996</v>
      </c>
      <c r="G2617">
        <v>18</v>
      </c>
      <c r="L2617" t="s">
        <v>7769</v>
      </c>
      <c r="O2617" t="s">
        <v>7770</v>
      </c>
    </row>
    <row r="2618" spans="1:15" x14ac:dyDescent="0.25">
      <c r="A2618" t="s">
        <v>18</v>
      </c>
      <c r="B2618" t="s">
        <v>7769</v>
      </c>
      <c r="C2618" t="s">
        <v>7771</v>
      </c>
      <c r="D2618" t="s">
        <v>20</v>
      </c>
      <c r="E2618" t="s">
        <v>11</v>
      </c>
      <c r="F2618">
        <v>3394.2479999999996</v>
      </c>
      <c r="G2618">
        <v>18</v>
      </c>
      <c r="L2618" t="s">
        <v>7772</v>
      </c>
      <c r="O2618" t="s">
        <v>7773</v>
      </c>
    </row>
    <row r="2619" spans="1:15" x14ac:dyDescent="0.25">
      <c r="A2619" t="s">
        <v>18</v>
      </c>
      <c r="B2619" t="s">
        <v>7772</v>
      </c>
      <c r="C2619" t="s">
        <v>7774</v>
      </c>
      <c r="D2619" t="s">
        <v>20</v>
      </c>
      <c r="E2619" t="s">
        <v>11</v>
      </c>
      <c r="F2619">
        <v>5809.3859999999995</v>
      </c>
      <c r="G2619">
        <v>18</v>
      </c>
      <c r="L2619" t="s">
        <v>7775</v>
      </c>
      <c r="O2619" t="s">
        <v>7776</v>
      </c>
    </row>
    <row r="2620" spans="1:15" x14ac:dyDescent="0.25">
      <c r="A2620" t="s">
        <v>18</v>
      </c>
      <c r="B2620" t="s">
        <v>7775</v>
      </c>
      <c r="C2620" t="s">
        <v>7777</v>
      </c>
      <c r="D2620" t="s">
        <v>20</v>
      </c>
      <c r="E2620" t="s">
        <v>11</v>
      </c>
      <c r="F2620">
        <v>29830.218</v>
      </c>
      <c r="G2620">
        <v>18</v>
      </c>
      <c r="L2620" t="s">
        <v>7778</v>
      </c>
      <c r="O2620" t="s">
        <v>7779</v>
      </c>
    </row>
    <row r="2621" spans="1:15" x14ac:dyDescent="0.25">
      <c r="A2621" t="s">
        <v>18</v>
      </c>
      <c r="B2621" t="s">
        <v>7778</v>
      </c>
      <c r="C2621" t="s">
        <v>7780</v>
      </c>
      <c r="D2621" t="s">
        <v>20</v>
      </c>
      <c r="E2621" t="s">
        <v>11</v>
      </c>
      <c r="F2621">
        <v>5809.3859999999995</v>
      </c>
      <c r="G2621">
        <v>18</v>
      </c>
      <c r="L2621" t="s">
        <v>7781</v>
      </c>
      <c r="O2621" t="s">
        <v>7782</v>
      </c>
    </row>
    <row r="2622" spans="1:15" x14ac:dyDescent="0.25">
      <c r="A2622" t="s">
        <v>18</v>
      </c>
      <c r="B2622" t="s">
        <v>7781</v>
      </c>
      <c r="C2622" t="s">
        <v>7783</v>
      </c>
      <c r="D2622" t="s">
        <v>20</v>
      </c>
      <c r="E2622" t="s">
        <v>11</v>
      </c>
      <c r="F2622">
        <v>1697.1239999999998</v>
      </c>
      <c r="G2622">
        <v>18</v>
      </c>
      <c r="L2622" t="s">
        <v>7784</v>
      </c>
      <c r="O2622" t="s">
        <v>7785</v>
      </c>
    </row>
    <row r="2623" spans="1:15" x14ac:dyDescent="0.25">
      <c r="A2623" t="s">
        <v>18</v>
      </c>
      <c r="B2623" t="s">
        <v>7784</v>
      </c>
      <c r="C2623" t="s">
        <v>7786</v>
      </c>
      <c r="D2623" t="s">
        <v>20</v>
      </c>
      <c r="E2623" t="s">
        <v>11</v>
      </c>
      <c r="F2623">
        <v>3655.344</v>
      </c>
      <c r="G2623">
        <v>18</v>
      </c>
      <c r="L2623" t="s">
        <v>7787</v>
      </c>
      <c r="O2623" t="s">
        <v>7788</v>
      </c>
    </row>
    <row r="2624" spans="1:15" x14ac:dyDescent="0.25">
      <c r="A2624" t="s">
        <v>18</v>
      </c>
      <c r="B2624" t="s">
        <v>7787</v>
      </c>
      <c r="C2624" t="s">
        <v>7789</v>
      </c>
      <c r="D2624" t="s">
        <v>20</v>
      </c>
      <c r="E2624" t="s">
        <v>11</v>
      </c>
      <c r="F2624">
        <v>3590.0699999999997</v>
      </c>
      <c r="G2624">
        <v>18</v>
      </c>
      <c r="L2624" t="s">
        <v>7790</v>
      </c>
      <c r="O2624" t="s">
        <v>7791</v>
      </c>
    </row>
    <row r="2625" spans="1:15" x14ac:dyDescent="0.25">
      <c r="A2625" t="s">
        <v>18</v>
      </c>
      <c r="B2625" t="s">
        <v>7790</v>
      </c>
      <c r="C2625" t="s">
        <v>7792</v>
      </c>
      <c r="D2625" t="s">
        <v>20</v>
      </c>
      <c r="E2625" t="s">
        <v>11</v>
      </c>
      <c r="F2625">
        <v>3328.9739999999997</v>
      </c>
      <c r="G2625">
        <v>18</v>
      </c>
      <c r="L2625" t="s">
        <v>7793</v>
      </c>
      <c r="O2625" t="s">
        <v>7794</v>
      </c>
    </row>
    <row r="2626" spans="1:15" x14ac:dyDescent="0.25">
      <c r="A2626" t="s">
        <v>18</v>
      </c>
      <c r="B2626" t="s">
        <v>7793</v>
      </c>
      <c r="C2626" t="s">
        <v>7795</v>
      </c>
      <c r="D2626" t="s">
        <v>20</v>
      </c>
      <c r="E2626" t="s">
        <v>11</v>
      </c>
      <c r="F2626">
        <v>13511.717999999999</v>
      </c>
      <c r="G2626">
        <v>18</v>
      </c>
      <c r="L2626" t="s">
        <v>7796</v>
      </c>
      <c r="O2626" t="s">
        <v>7797</v>
      </c>
    </row>
    <row r="2627" spans="1:15" x14ac:dyDescent="0.25">
      <c r="A2627" t="s">
        <v>18</v>
      </c>
      <c r="B2627" t="s">
        <v>7796</v>
      </c>
      <c r="C2627" t="s">
        <v>7798</v>
      </c>
      <c r="D2627" t="s">
        <v>20</v>
      </c>
      <c r="E2627" t="s">
        <v>11</v>
      </c>
      <c r="F2627">
        <v>195.82199999999997</v>
      </c>
      <c r="G2627">
        <v>18</v>
      </c>
      <c r="L2627" t="s">
        <v>7799</v>
      </c>
      <c r="O2627" t="s">
        <v>7800</v>
      </c>
    </row>
    <row r="2628" spans="1:15" x14ac:dyDescent="0.25">
      <c r="A2628" t="s">
        <v>18</v>
      </c>
      <c r="B2628" t="s">
        <v>7799</v>
      </c>
      <c r="C2628" t="s">
        <v>7801</v>
      </c>
      <c r="D2628" t="s">
        <v>20</v>
      </c>
      <c r="E2628" t="s">
        <v>11</v>
      </c>
      <c r="F2628">
        <v>3785.892</v>
      </c>
      <c r="G2628">
        <v>18</v>
      </c>
      <c r="L2628" t="s">
        <v>7802</v>
      </c>
      <c r="O2628" t="s">
        <v>7803</v>
      </c>
    </row>
    <row r="2629" spans="1:15" x14ac:dyDescent="0.25">
      <c r="A2629" t="s">
        <v>18</v>
      </c>
      <c r="B2629" t="s">
        <v>7802</v>
      </c>
      <c r="C2629" t="s">
        <v>7804</v>
      </c>
      <c r="D2629" t="s">
        <v>20</v>
      </c>
      <c r="E2629" t="s">
        <v>11</v>
      </c>
      <c r="F2629">
        <v>12532.607999999998</v>
      </c>
      <c r="G2629">
        <v>18</v>
      </c>
      <c r="L2629" t="s">
        <v>7805</v>
      </c>
      <c r="O2629" t="s">
        <v>7806</v>
      </c>
    </row>
    <row r="2630" spans="1:15" x14ac:dyDescent="0.25">
      <c r="A2630" t="s">
        <v>18</v>
      </c>
      <c r="B2630" t="s">
        <v>7805</v>
      </c>
      <c r="C2630" t="s">
        <v>7807</v>
      </c>
      <c r="D2630" t="s">
        <v>20</v>
      </c>
      <c r="E2630" t="s">
        <v>11</v>
      </c>
      <c r="F2630">
        <v>8224.524</v>
      </c>
      <c r="G2630">
        <v>18</v>
      </c>
      <c r="L2630" t="s">
        <v>7808</v>
      </c>
      <c r="O2630" t="s">
        <v>7809</v>
      </c>
    </row>
    <row r="2631" spans="1:15" x14ac:dyDescent="0.25">
      <c r="A2631" t="s">
        <v>18</v>
      </c>
      <c r="B2631" t="s">
        <v>7808</v>
      </c>
      <c r="C2631" t="s">
        <v>7810</v>
      </c>
      <c r="D2631" t="s">
        <v>20</v>
      </c>
      <c r="E2631" t="s">
        <v>11</v>
      </c>
      <c r="F2631">
        <v>913.836</v>
      </c>
      <c r="G2631">
        <v>18</v>
      </c>
      <c r="L2631" t="s">
        <v>7811</v>
      </c>
      <c r="O2631" t="s">
        <v>7812</v>
      </c>
    </row>
    <row r="2632" spans="1:15" x14ac:dyDescent="0.25">
      <c r="A2632" t="s">
        <v>18</v>
      </c>
      <c r="B2632" t="s">
        <v>7811</v>
      </c>
      <c r="C2632" t="s">
        <v>7813</v>
      </c>
      <c r="D2632" t="s">
        <v>20</v>
      </c>
      <c r="E2632" t="s">
        <v>11</v>
      </c>
      <c r="F2632">
        <v>913.836</v>
      </c>
      <c r="G2632">
        <v>18</v>
      </c>
      <c r="L2632" t="s">
        <v>7814</v>
      </c>
      <c r="O2632" t="s">
        <v>7815</v>
      </c>
    </row>
    <row r="2633" spans="1:15" x14ac:dyDescent="0.25">
      <c r="A2633" t="s">
        <v>18</v>
      </c>
      <c r="B2633" t="s">
        <v>7814</v>
      </c>
      <c r="C2633" t="s">
        <v>7816</v>
      </c>
      <c r="D2633" t="s">
        <v>20</v>
      </c>
      <c r="E2633" t="s">
        <v>11</v>
      </c>
      <c r="F2633">
        <v>3851.166</v>
      </c>
      <c r="G2633">
        <v>18</v>
      </c>
      <c r="L2633" t="s">
        <v>7817</v>
      </c>
      <c r="O2633" t="s">
        <v>7818</v>
      </c>
    </row>
    <row r="2634" spans="1:15" x14ac:dyDescent="0.25">
      <c r="A2634" t="s">
        <v>18</v>
      </c>
      <c r="B2634" t="s">
        <v>7817</v>
      </c>
      <c r="C2634" t="s">
        <v>7819</v>
      </c>
      <c r="D2634" t="s">
        <v>20</v>
      </c>
      <c r="E2634" t="s">
        <v>11</v>
      </c>
      <c r="F2634">
        <v>1109.658</v>
      </c>
      <c r="G2634">
        <v>18</v>
      </c>
      <c r="L2634" t="s">
        <v>7820</v>
      </c>
      <c r="O2634" t="s">
        <v>7821</v>
      </c>
    </row>
    <row r="2635" spans="1:15" x14ac:dyDescent="0.25">
      <c r="A2635" t="s">
        <v>18</v>
      </c>
      <c r="B2635" t="s">
        <v>7820</v>
      </c>
      <c r="C2635" t="s">
        <v>7822</v>
      </c>
      <c r="D2635" t="s">
        <v>20</v>
      </c>
      <c r="E2635" t="s">
        <v>11</v>
      </c>
      <c r="F2635">
        <v>5483.016</v>
      </c>
      <c r="G2635">
        <v>18</v>
      </c>
      <c r="L2635" t="s">
        <v>7823</v>
      </c>
      <c r="O2635" t="s">
        <v>7824</v>
      </c>
    </row>
    <row r="2636" spans="1:15" x14ac:dyDescent="0.25">
      <c r="A2636" t="s">
        <v>18</v>
      </c>
      <c r="B2636" t="s">
        <v>7823</v>
      </c>
      <c r="C2636" t="s">
        <v>7825</v>
      </c>
      <c r="D2636" t="s">
        <v>20</v>
      </c>
      <c r="E2636" t="s">
        <v>11</v>
      </c>
      <c r="F2636">
        <v>8093.976</v>
      </c>
      <c r="G2636">
        <v>18</v>
      </c>
      <c r="L2636" t="s">
        <v>7826</v>
      </c>
      <c r="O2636" t="s">
        <v>7827</v>
      </c>
    </row>
    <row r="2637" spans="1:15" x14ac:dyDescent="0.25">
      <c r="A2637" t="s">
        <v>18</v>
      </c>
      <c r="B2637" t="s">
        <v>7826</v>
      </c>
      <c r="C2637" t="s">
        <v>7828</v>
      </c>
      <c r="D2637" t="s">
        <v>20</v>
      </c>
      <c r="E2637" t="s">
        <v>11</v>
      </c>
      <c r="F2637">
        <v>522.192</v>
      </c>
      <c r="G2637">
        <v>18</v>
      </c>
      <c r="L2637" t="s">
        <v>7829</v>
      </c>
      <c r="O2637" t="s">
        <v>7830</v>
      </c>
    </row>
    <row r="2638" spans="1:15" x14ac:dyDescent="0.25">
      <c r="A2638" t="s">
        <v>18</v>
      </c>
      <c r="B2638" t="s">
        <v>7829</v>
      </c>
      <c r="C2638" t="s">
        <v>7831</v>
      </c>
      <c r="D2638" t="s">
        <v>20</v>
      </c>
      <c r="E2638" t="s">
        <v>11</v>
      </c>
      <c r="F2638">
        <v>522.192</v>
      </c>
      <c r="G2638">
        <v>18</v>
      </c>
      <c r="L2638" t="s">
        <v>7832</v>
      </c>
      <c r="O2638" t="s">
        <v>7833</v>
      </c>
    </row>
    <row r="2639" spans="1:15" x14ac:dyDescent="0.25">
      <c r="A2639" t="s">
        <v>18</v>
      </c>
      <c r="B2639" t="s">
        <v>7832</v>
      </c>
      <c r="C2639" t="s">
        <v>7834</v>
      </c>
      <c r="D2639" t="s">
        <v>20</v>
      </c>
      <c r="E2639" t="s">
        <v>11</v>
      </c>
      <c r="F2639">
        <v>12402.060000000001</v>
      </c>
      <c r="G2639">
        <v>18</v>
      </c>
      <c r="L2639" t="s">
        <v>7835</v>
      </c>
      <c r="O2639" t="s">
        <v>7836</v>
      </c>
    </row>
    <row r="2640" spans="1:15" x14ac:dyDescent="0.25">
      <c r="A2640" t="s">
        <v>18</v>
      </c>
      <c r="B2640" t="s">
        <v>7835</v>
      </c>
      <c r="C2640" t="s">
        <v>7837</v>
      </c>
      <c r="D2640" t="s">
        <v>20</v>
      </c>
      <c r="E2640" t="s">
        <v>11</v>
      </c>
      <c r="F2640">
        <v>3655.344</v>
      </c>
      <c r="G2640">
        <v>18</v>
      </c>
      <c r="L2640" t="s">
        <v>7838</v>
      </c>
      <c r="O2640" t="s">
        <v>7839</v>
      </c>
    </row>
    <row r="2641" spans="1:15" x14ac:dyDescent="0.25">
      <c r="A2641" t="s">
        <v>18</v>
      </c>
      <c r="B2641" t="s">
        <v>7838</v>
      </c>
      <c r="C2641" t="s">
        <v>7840</v>
      </c>
      <c r="D2641" t="s">
        <v>20</v>
      </c>
      <c r="E2641" t="s">
        <v>11</v>
      </c>
      <c r="F2641">
        <v>5678.838</v>
      </c>
      <c r="G2641">
        <v>18</v>
      </c>
      <c r="L2641" t="s">
        <v>7841</v>
      </c>
      <c r="O2641" t="s">
        <v>7842</v>
      </c>
    </row>
    <row r="2642" spans="1:15" x14ac:dyDescent="0.25">
      <c r="A2642" t="s">
        <v>18</v>
      </c>
      <c r="B2642" t="s">
        <v>7841</v>
      </c>
      <c r="C2642" t="s">
        <v>7843</v>
      </c>
      <c r="D2642" t="s">
        <v>20</v>
      </c>
      <c r="E2642" t="s">
        <v>11</v>
      </c>
      <c r="F2642">
        <v>7637.058</v>
      </c>
      <c r="G2642">
        <v>18</v>
      </c>
      <c r="L2642" t="s">
        <v>7844</v>
      </c>
      <c r="O2642" t="s">
        <v>7845</v>
      </c>
    </row>
    <row r="2643" spans="1:15" x14ac:dyDescent="0.25">
      <c r="A2643" t="s">
        <v>18</v>
      </c>
      <c r="B2643" t="s">
        <v>7844</v>
      </c>
      <c r="C2643" t="s">
        <v>7846</v>
      </c>
      <c r="D2643" t="s">
        <v>20</v>
      </c>
      <c r="E2643" t="s">
        <v>11</v>
      </c>
      <c r="F2643">
        <v>3394.2479999999996</v>
      </c>
      <c r="G2643">
        <v>18</v>
      </c>
      <c r="L2643" t="s">
        <v>7847</v>
      </c>
      <c r="O2643" t="s">
        <v>7848</v>
      </c>
    </row>
    <row r="2644" spans="1:15" x14ac:dyDescent="0.25">
      <c r="A2644" t="s">
        <v>18</v>
      </c>
      <c r="B2644" t="s">
        <v>7847</v>
      </c>
      <c r="C2644" t="s">
        <v>7849</v>
      </c>
      <c r="D2644" t="s">
        <v>20</v>
      </c>
      <c r="E2644" t="s">
        <v>11</v>
      </c>
      <c r="F2644">
        <v>4177.536</v>
      </c>
      <c r="G2644">
        <v>18</v>
      </c>
      <c r="L2644" t="s">
        <v>7850</v>
      </c>
      <c r="O2644" t="s">
        <v>7851</v>
      </c>
    </row>
    <row r="2645" spans="1:15" x14ac:dyDescent="0.25">
      <c r="A2645" t="s">
        <v>18</v>
      </c>
      <c r="B2645" t="s">
        <v>7850</v>
      </c>
      <c r="C2645" t="s">
        <v>7852</v>
      </c>
      <c r="D2645" t="s">
        <v>20</v>
      </c>
      <c r="E2645" t="s">
        <v>11</v>
      </c>
      <c r="F2645">
        <v>4177.536</v>
      </c>
      <c r="G2645">
        <v>18</v>
      </c>
      <c r="L2645" t="s">
        <v>7853</v>
      </c>
      <c r="O2645" t="s">
        <v>7854</v>
      </c>
    </row>
    <row r="2646" spans="1:15" x14ac:dyDescent="0.25">
      <c r="A2646" t="s">
        <v>18</v>
      </c>
      <c r="B2646" t="s">
        <v>7853</v>
      </c>
      <c r="C2646" t="s">
        <v>7855</v>
      </c>
      <c r="D2646" t="s">
        <v>20</v>
      </c>
      <c r="E2646" t="s">
        <v>11</v>
      </c>
      <c r="F2646">
        <v>5221.92</v>
      </c>
      <c r="G2646">
        <v>18</v>
      </c>
      <c r="L2646" t="s">
        <v>7856</v>
      </c>
      <c r="O2646" t="s">
        <v>7857</v>
      </c>
    </row>
    <row r="2647" spans="1:15" x14ac:dyDescent="0.25">
      <c r="A2647" t="s">
        <v>18</v>
      </c>
      <c r="B2647" t="s">
        <v>7856</v>
      </c>
      <c r="C2647" t="s">
        <v>7858</v>
      </c>
      <c r="D2647" t="s">
        <v>20</v>
      </c>
      <c r="E2647" t="s">
        <v>11</v>
      </c>
      <c r="F2647">
        <v>4046.988</v>
      </c>
      <c r="G2647">
        <v>18</v>
      </c>
      <c r="L2647" t="s">
        <v>7859</v>
      </c>
      <c r="O2647" t="s">
        <v>7860</v>
      </c>
    </row>
    <row r="2648" spans="1:15" x14ac:dyDescent="0.25">
      <c r="A2648" t="s">
        <v>18</v>
      </c>
      <c r="B2648" t="s">
        <v>7859</v>
      </c>
      <c r="C2648" t="s">
        <v>7861</v>
      </c>
      <c r="D2648" t="s">
        <v>20</v>
      </c>
      <c r="E2648" t="s">
        <v>11</v>
      </c>
      <c r="F2648">
        <v>1370.754</v>
      </c>
      <c r="G2648">
        <v>18</v>
      </c>
      <c r="L2648" t="s">
        <v>7862</v>
      </c>
      <c r="O2648" t="s">
        <v>7863</v>
      </c>
    </row>
    <row r="2649" spans="1:15" x14ac:dyDescent="0.25">
      <c r="A2649" t="s">
        <v>18</v>
      </c>
      <c r="B2649" t="s">
        <v>7862</v>
      </c>
      <c r="C2649" t="s">
        <v>7864</v>
      </c>
      <c r="D2649" t="s">
        <v>20</v>
      </c>
      <c r="E2649" t="s">
        <v>11</v>
      </c>
      <c r="F2649">
        <v>1370.754</v>
      </c>
      <c r="G2649">
        <v>18</v>
      </c>
      <c r="L2649" t="s">
        <v>7865</v>
      </c>
      <c r="O2649" t="s">
        <v>7866</v>
      </c>
    </row>
    <row r="2650" spans="1:15" x14ac:dyDescent="0.25">
      <c r="A2650" t="s">
        <v>18</v>
      </c>
      <c r="B2650" t="s">
        <v>7865</v>
      </c>
      <c r="C2650" t="s">
        <v>7867</v>
      </c>
      <c r="D2650" t="s">
        <v>20</v>
      </c>
      <c r="E2650" t="s">
        <v>11</v>
      </c>
      <c r="F2650">
        <v>1370.754</v>
      </c>
      <c r="G2650">
        <v>18</v>
      </c>
      <c r="L2650" t="s">
        <v>7868</v>
      </c>
      <c r="O2650" t="s">
        <v>7869</v>
      </c>
    </row>
    <row r="2651" spans="1:15" x14ac:dyDescent="0.25">
      <c r="A2651" t="s">
        <v>18</v>
      </c>
      <c r="B2651" t="s">
        <v>7868</v>
      </c>
      <c r="C2651" t="s">
        <v>7870</v>
      </c>
      <c r="D2651" t="s">
        <v>20</v>
      </c>
      <c r="E2651" t="s">
        <v>11</v>
      </c>
      <c r="F2651">
        <v>1501.302</v>
      </c>
      <c r="G2651">
        <v>18</v>
      </c>
      <c r="L2651" t="s">
        <v>7871</v>
      </c>
      <c r="O2651" t="s">
        <v>7872</v>
      </c>
    </row>
    <row r="2652" spans="1:15" x14ac:dyDescent="0.25">
      <c r="A2652" t="s">
        <v>18</v>
      </c>
      <c r="B2652" t="s">
        <v>7871</v>
      </c>
      <c r="C2652" t="s">
        <v>7873</v>
      </c>
      <c r="D2652" t="s">
        <v>20</v>
      </c>
      <c r="E2652" t="s">
        <v>11</v>
      </c>
      <c r="F2652">
        <v>1501.302</v>
      </c>
      <c r="G2652">
        <v>18</v>
      </c>
      <c r="L2652" t="s">
        <v>7874</v>
      </c>
      <c r="O2652" t="s">
        <v>7875</v>
      </c>
    </row>
    <row r="2653" spans="1:15" x14ac:dyDescent="0.25">
      <c r="A2653" t="s">
        <v>18</v>
      </c>
      <c r="B2653" t="s">
        <v>7874</v>
      </c>
      <c r="C2653" t="s">
        <v>7876</v>
      </c>
      <c r="D2653" t="s">
        <v>20</v>
      </c>
      <c r="E2653" t="s">
        <v>11</v>
      </c>
      <c r="F2653">
        <v>1501.302</v>
      </c>
      <c r="G2653">
        <v>18</v>
      </c>
      <c r="L2653" t="s">
        <v>7877</v>
      </c>
      <c r="O2653" t="s">
        <v>7878</v>
      </c>
    </row>
    <row r="2654" spans="1:15" x14ac:dyDescent="0.25">
      <c r="A2654" t="s">
        <v>18</v>
      </c>
      <c r="B2654" t="s">
        <v>7877</v>
      </c>
      <c r="C2654" t="s">
        <v>7879</v>
      </c>
      <c r="D2654" t="s">
        <v>20</v>
      </c>
      <c r="E2654" t="s">
        <v>11</v>
      </c>
      <c r="F2654">
        <v>4177.536</v>
      </c>
      <c r="G2654">
        <v>18</v>
      </c>
      <c r="L2654" t="s">
        <v>7880</v>
      </c>
      <c r="O2654" t="s">
        <v>7881</v>
      </c>
    </row>
    <row r="2655" spans="1:15" x14ac:dyDescent="0.25">
      <c r="A2655" t="s">
        <v>18</v>
      </c>
      <c r="B2655" t="s">
        <v>7880</v>
      </c>
      <c r="C2655" t="s">
        <v>7882</v>
      </c>
      <c r="D2655" t="s">
        <v>20</v>
      </c>
      <c r="E2655" t="s">
        <v>11</v>
      </c>
      <c r="F2655">
        <v>5287.193999999999</v>
      </c>
      <c r="G2655">
        <v>18</v>
      </c>
      <c r="L2655" t="s">
        <v>7883</v>
      </c>
      <c r="O2655" t="s">
        <v>7884</v>
      </c>
    </row>
    <row r="2656" spans="1:15" x14ac:dyDescent="0.25">
      <c r="A2656" t="s">
        <v>18</v>
      </c>
      <c r="B2656" t="s">
        <v>7883</v>
      </c>
      <c r="C2656" t="s">
        <v>7885</v>
      </c>
      <c r="D2656" t="s">
        <v>20</v>
      </c>
      <c r="E2656" t="s">
        <v>11</v>
      </c>
      <c r="F2656">
        <v>7767.605999999999</v>
      </c>
      <c r="G2656">
        <v>18</v>
      </c>
      <c r="L2656" t="s">
        <v>7886</v>
      </c>
      <c r="O2656" t="s">
        <v>7887</v>
      </c>
    </row>
    <row r="2657" spans="1:15" x14ac:dyDescent="0.25">
      <c r="A2657" t="s">
        <v>18</v>
      </c>
      <c r="B2657" t="s">
        <v>7886</v>
      </c>
      <c r="C2657" t="s">
        <v>7888</v>
      </c>
      <c r="D2657" t="s">
        <v>20</v>
      </c>
      <c r="E2657" t="s">
        <v>11</v>
      </c>
      <c r="F2657">
        <v>5744.112</v>
      </c>
      <c r="G2657">
        <v>18</v>
      </c>
      <c r="L2657" t="s">
        <v>7889</v>
      </c>
      <c r="O2657" t="s">
        <v>7890</v>
      </c>
    </row>
    <row r="2658" spans="1:15" x14ac:dyDescent="0.25">
      <c r="A2658" t="s">
        <v>18</v>
      </c>
      <c r="B2658" t="s">
        <v>7889</v>
      </c>
      <c r="C2658" t="s">
        <v>7891</v>
      </c>
      <c r="D2658" t="s">
        <v>20</v>
      </c>
      <c r="E2658" t="s">
        <v>11</v>
      </c>
      <c r="F2658">
        <v>10835.484</v>
      </c>
      <c r="G2658">
        <v>18</v>
      </c>
      <c r="L2658" t="s">
        <v>7892</v>
      </c>
      <c r="O2658" t="s">
        <v>7893</v>
      </c>
    </row>
    <row r="2659" spans="1:15" x14ac:dyDescent="0.25">
      <c r="A2659" t="s">
        <v>18</v>
      </c>
      <c r="B2659" t="s">
        <v>7892</v>
      </c>
      <c r="C2659" t="s">
        <v>7894</v>
      </c>
      <c r="D2659" t="s">
        <v>20</v>
      </c>
      <c r="E2659" t="s">
        <v>11</v>
      </c>
      <c r="F2659">
        <v>4177.536</v>
      </c>
      <c r="G2659">
        <v>18</v>
      </c>
      <c r="L2659" t="s">
        <v>7895</v>
      </c>
      <c r="O2659" t="s">
        <v>7896</v>
      </c>
    </row>
    <row r="2660" spans="1:15" x14ac:dyDescent="0.25">
      <c r="A2660" t="s">
        <v>18</v>
      </c>
      <c r="B2660" t="s">
        <v>7895</v>
      </c>
      <c r="C2660" t="s">
        <v>7897</v>
      </c>
      <c r="D2660" t="s">
        <v>20</v>
      </c>
      <c r="E2660" t="s">
        <v>11</v>
      </c>
      <c r="F2660">
        <v>4569.18</v>
      </c>
      <c r="G2660">
        <v>18</v>
      </c>
      <c r="L2660" t="s">
        <v>7898</v>
      </c>
      <c r="O2660" t="s">
        <v>7899</v>
      </c>
    </row>
    <row r="2661" spans="1:15" x14ac:dyDescent="0.25">
      <c r="A2661" t="s">
        <v>18</v>
      </c>
      <c r="B2661" t="s">
        <v>7898</v>
      </c>
      <c r="C2661" t="s">
        <v>7900</v>
      </c>
      <c r="D2661" t="s">
        <v>20</v>
      </c>
      <c r="E2661" t="s">
        <v>11</v>
      </c>
      <c r="F2661">
        <v>2550.24</v>
      </c>
      <c r="G2661">
        <v>18</v>
      </c>
      <c r="L2661" t="s">
        <v>7901</v>
      </c>
      <c r="O2661" t="s">
        <v>7902</v>
      </c>
    </row>
    <row r="2662" spans="1:15" x14ac:dyDescent="0.25">
      <c r="A2662" t="s">
        <v>18</v>
      </c>
      <c r="B2662" t="s">
        <v>7901</v>
      </c>
      <c r="C2662" t="s">
        <v>7903</v>
      </c>
      <c r="D2662" t="s">
        <v>20</v>
      </c>
      <c r="E2662" t="s">
        <v>11</v>
      </c>
      <c r="F2662">
        <v>5352.468</v>
      </c>
      <c r="G2662">
        <v>18</v>
      </c>
      <c r="L2662" t="s">
        <v>7904</v>
      </c>
      <c r="O2662" t="s">
        <v>7905</v>
      </c>
    </row>
    <row r="2663" spans="1:15" x14ac:dyDescent="0.25">
      <c r="A2663" t="s">
        <v>18</v>
      </c>
      <c r="B2663" t="s">
        <v>7904</v>
      </c>
      <c r="C2663" t="s">
        <v>7906</v>
      </c>
      <c r="D2663" t="s">
        <v>20</v>
      </c>
      <c r="E2663" t="s">
        <v>11</v>
      </c>
      <c r="F2663">
        <v>4634.454</v>
      </c>
      <c r="G2663">
        <v>18</v>
      </c>
      <c r="L2663" t="s">
        <v>7907</v>
      </c>
      <c r="O2663" t="s">
        <v>7908</v>
      </c>
    </row>
    <row r="2664" spans="1:15" x14ac:dyDescent="0.25">
      <c r="A2664" t="s">
        <v>18</v>
      </c>
      <c r="B2664" t="s">
        <v>7907</v>
      </c>
      <c r="C2664" t="s">
        <v>7909</v>
      </c>
      <c r="D2664" t="s">
        <v>20</v>
      </c>
      <c r="E2664" t="s">
        <v>11</v>
      </c>
      <c r="F2664">
        <v>7245.414</v>
      </c>
      <c r="G2664">
        <v>18</v>
      </c>
      <c r="L2664" t="s">
        <v>7910</v>
      </c>
      <c r="O2664" t="s">
        <v>7911</v>
      </c>
    </row>
    <row r="2665" spans="1:15" x14ac:dyDescent="0.25">
      <c r="A2665" t="s">
        <v>18</v>
      </c>
      <c r="B2665" t="s">
        <v>7910</v>
      </c>
      <c r="C2665" t="s">
        <v>7912</v>
      </c>
      <c r="D2665" t="s">
        <v>20</v>
      </c>
      <c r="E2665" t="s">
        <v>11</v>
      </c>
      <c r="F2665">
        <v>5613.563999999999</v>
      </c>
      <c r="G2665">
        <v>18</v>
      </c>
      <c r="L2665" t="s">
        <v>7913</v>
      </c>
      <c r="O2665" t="s">
        <v>7914</v>
      </c>
    </row>
    <row r="2666" spans="1:15" x14ac:dyDescent="0.25">
      <c r="A2666" t="s">
        <v>18</v>
      </c>
      <c r="B2666" t="s">
        <v>7913</v>
      </c>
      <c r="C2666" t="s">
        <v>7915</v>
      </c>
      <c r="D2666" t="s">
        <v>20</v>
      </c>
      <c r="E2666" t="s">
        <v>11</v>
      </c>
      <c r="F2666">
        <v>3981.714</v>
      </c>
      <c r="G2666">
        <v>18</v>
      </c>
      <c r="L2666" t="s">
        <v>7916</v>
      </c>
      <c r="O2666" t="s">
        <v>7917</v>
      </c>
    </row>
    <row r="2667" spans="1:15" x14ac:dyDescent="0.25">
      <c r="A2667" t="s">
        <v>18</v>
      </c>
      <c r="B2667" t="s">
        <v>7916</v>
      </c>
      <c r="C2667" t="s">
        <v>7918</v>
      </c>
      <c r="D2667" t="s">
        <v>20</v>
      </c>
      <c r="E2667" t="s">
        <v>11</v>
      </c>
      <c r="F2667">
        <v>4177.536</v>
      </c>
      <c r="G2667">
        <v>18</v>
      </c>
      <c r="L2667" t="s">
        <v>7919</v>
      </c>
      <c r="O2667" t="s">
        <v>7920</v>
      </c>
    </row>
    <row r="2668" spans="1:15" x14ac:dyDescent="0.25">
      <c r="A2668" t="s">
        <v>18</v>
      </c>
      <c r="B2668" t="s">
        <v>7919</v>
      </c>
      <c r="C2668" t="s">
        <v>7921</v>
      </c>
      <c r="D2668" t="s">
        <v>20</v>
      </c>
      <c r="E2668" t="s">
        <v>11</v>
      </c>
      <c r="F2668">
        <v>3851.166</v>
      </c>
      <c r="G2668">
        <v>18</v>
      </c>
      <c r="L2668" t="s">
        <v>7922</v>
      </c>
      <c r="O2668" t="s">
        <v>7923</v>
      </c>
    </row>
    <row r="2669" spans="1:15" x14ac:dyDescent="0.25">
      <c r="A2669" t="s">
        <v>18</v>
      </c>
      <c r="B2669" t="s">
        <v>7922</v>
      </c>
      <c r="C2669" t="s">
        <v>7924</v>
      </c>
      <c r="D2669" t="s">
        <v>20</v>
      </c>
      <c r="E2669" t="s">
        <v>11</v>
      </c>
      <c r="F2669">
        <v>5026.097999999999</v>
      </c>
      <c r="G2669">
        <v>18</v>
      </c>
      <c r="L2669" t="s">
        <v>7925</v>
      </c>
      <c r="O2669" t="s">
        <v>7926</v>
      </c>
    </row>
    <row r="2670" spans="1:15" x14ac:dyDescent="0.25">
      <c r="A2670" t="s">
        <v>18</v>
      </c>
      <c r="B2670" t="s">
        <v>7925</v>
      </c>
      <c r="C2670" t="s">
        <v>7927</v>
      </c>
      <c r="D2670" t="s">
        <v>20</v>
      </c>
      <c r="E2670" t="s">
        <v>11</v>
      </c>
      <c r="F2670">
        <v>6592.673999999999</v>
      </c>
      <c r="G2670">
        <v>18</v>
      </c>
      <c r="L2670" t="s">
        <v>7928</v>
      </c>
      <c r="O2670" t="s">
        <v>7929</v>
      </c>
    </row>
    <row r="2671" spans="1:15" x14ac:dyDescent="0.25">
      <c r="A2671" t="s">
        <v>18</v>
      </c>
      <c r="B2671" t="s">
        <v>7928</v>
      </c>
      <c r="C2671" t="s">
        <v>7930</v>
      </c>
      <c r="D2671" t="s">
        <v>20</v>
      </c>
      <c r="E2671" t="s">
        <v>11</v>
      </c>
      <c r="F2671">
        <v>10052.195999999998</v>
      </c>
      <c r="G2671">
        <v>18</v>
      </c>
      <c r="L2671" t="s">
        <v>7931</v>
      </c>
      <c r="O2671" t="s">
        <v>7932</v>
      </c>
    </row>
    <row r="2672" spans="1:15" x14ac:dyDescent="0.25">
      <c r="A2672" t="s">
        <v>18</v>
      </c>
      <c r="B2672" t="s">
        <v>7931</v>
      </c>
      <c r="C2672" t="s">
        <v>7933</v>
      </c>
      <c r="D2672" t="s">
        <v>20</v>
      </c>
      <c r="E2672" t="s">
        <v>11</v>
      </c>
      <c r="F2672">
        <v>4438.632</v>
      </c>
      <c r="G2672">
        <v>18</v>
      </c>
      <c r="L2672" t="s">
        <v>7934</v>
      </c>
      <c r="O2672" t="s">
        <v>7935</v>
      </c>
    </row>
    <row r="2673" spans="1:15" x14ac:dyDescent="0.25">
      <c r="A2673" t="s">
        <v>18</v>
      </c>
      <c r="B2673" t="s">
        <v>7934</v>
      </c>
      <c r="C2673" t="s">
        <v>7936</v>
      </c>
      <c r="D2673" t="s">
        <v>20</v>
      </c>
      <c r="E2673" t="s">
        <v>11</v>
      </c>
      <c r="F2673">
        <v>6331.5779999999995</v>
      </c>
      <c r="G2673">
        <v>18</v>
      </c>
      <c r="L2673" t="s">
        <v>7937</v>
      </c>
      <c r="O2673" t="s">
        <v>7938</v>
      </c>
    </row>
    <row r="2674" spans="1:15" x14ac:dyDescent="0.25">
      <c r="A2674" t="s">
        <v>18</v>
      </c>
      <c r="B2674" t="s">
        <v>7937</v>
      </c>
      <c r="C2674" t="s">
        <v>7939</v>
      </c>
      <c r="D2674" t="s">
        <v>20</v>
      </c>
      <c r="E2674" t="s">
        <v>11</v>
      </c>
      <c r="F2674">
        <v>7049.592000000001</v>
      </c>
      <c r="G2674">
        <v>18</v>
      </c>
      <c r="L2674" t="s">
        <v>7940</v>
      </c>
      <c r="O2674" t="s">
        <v>7941</v>
      </c>
    </row>
    <row r="2675" spans="1:15" x14ac:dyDescent="0.25">
      <c r="A2675" t="s">
        <v>18</v>
      </c>
      <c r="B2675" t="s">
        <v>7940</v>
      </c>
      <c r="C2675" t="s">
        <v>7942</v>
      </c>
      <c r="D2675" t="s">
        <v>20</v>
      </c>
      <c r="E2675" t="s">
        <v>11</v>
      </c>
      <c r="F2675">
        <v>7702.332</v>
      </c>
      <c r="G2675">
        <v>18</v>
      </c>
      <c r="L2675" t="s">
        <v>7943</v>
      </c>
      <c r="O2675" t="s">
        <v>7944</v>
      </c>
    </row>
    <row r="2676" spans="1:15" x14ac:dyDescent="0.25">
      <c r="A2676" t="s">
        <v>18</v>
      </c>
      <c r="B2676" t="s">
        <v>7943</v>
      </c>
      <c r="C2676" t="s">
        <v>7945</v>
      </c>
      <c r="D2676" t="s">
        <v>20</v>
      </c>
      <c r="E2676" t="s">
        <v>11</v>
      </c>
      <c r="F2676">
        <v>3590.0699999999997</v>
      </c>
      <c r="G2676">
        <v>18</v>
      </c>
      <c r="L2676" t="s">
        <v>7946</v>
      </c>
      <c r="O2676" t="s">
        <v>7947</v>
      </c>
    </row>
    <row r="2677" spans="1:15" x14ac:dyDescent="0.25">
      <c r="A2677" t="s">
        <v>18</v>
      </c>
      <c r="B2677" t="s">
        <v>7946</v>
      </c>
      <c r="C2677" t="s">
        <v>7948</v>
      </c>
      <c r="D2677" t="s">
        <v>20</v>
      </c>
      <c r="E2677" t="s">
        <v>11</v>
      </c>
      <c r="F2677">
        <v>3720.6179999999995</v>
      </c>
      <c r="G2677">
        <v>18</v>
      </c>
      <c r="L2677" t="s">
        <v>7949</v>
      </c>
      <c r="O2677" t="s">
        <v>7950</v>
      </c>
    </row>
    <row r="2678" spans="1:15" x14ac:dyDescent="0.25">
      <c r="A2678" t="s">
        <v>18</v>
      </c>
      <c r="B2678" t="s">
        <v>7949</v>
      </c>
      <c r="C2678" t="s">
        <v>7951</v>
      </c>
      <c r="D2678" t="s">
        <v>20</v>
      </c>
      <c r="E2678" t="s">
        <v>11</v>
      </c>
      <c r="F2678">
        <v>5352.468</v>
      </c>
      <c r="G2678">
        <v>18</v>
      </c>
      <c r="L2678" t="s">
        <v>7952</v>
      </c>
      <c r="O2678" t="s">
        <v>7953</v>
      </c>
    </row>
    <row r="2679" spans="1:15" x14ac:dyDescent="0.25">
      <c r="A2679" t="s">
        <v>18</v>
      </c>
      <c r="B2679" t="s">
        <v>7952</v>
      </c>
      <c r="C2679" t="s">
        <v>7954</v>
      </c>
      <c r="D2679" t="s">
        <v>20</v>
      </c>
      <c r="E2679" t="s">
        <v>11</v>
      </c>
      <c r="F2679">
        <v>3590.0699999999997</v>
      </c>
      <c r="G2679">
        <v>18</v>
      </c>
      <c r="L2679" t="s">
        <v>7955</v>
      </c>
      <c r="O2679" t="s">
        <v>7956</v>
      </c>
    </row>
    <row r="2680" spans="1:15" x14ac:dyDescent="0.25">
      <c r="A2680" t="s">
        <v>18</v>
      </c>
      <c r="B2680" t="s">
        <v>7955</v>
      </c>
      <c r="C2680" t="s">
        <v>7957</v>
      </c>
      <c r="D2680" t="s">
        <v>20</v>
      </c>
      <c r="E2680" t="s">
        <v>11</v>
      </c>
      <c r="F2680">
        <v>2154.042</v>
      </c>
      <c r="G2680">
        <v>18</v>
      </c>
      <c r="L2680" t="s">
        <v>7958</v>
      </c>
      <c r="O2680" t="s">
        <v>7959</v>
      </c>
    </row>
    <row r="2681" spans="1:15" x14ac:dyDescent="0.25">
      <c r="A2681" t="s">
        <v>18</v>
      </c>
      <c r="B2681" t="s">
        <v>7958</v>
      </c>
      <c r="C2681" t="s">
        <v>7960</v>
      </c>
      <c r="D2681" t="s">
        <v>20</v>
      </c>
      <c r="E2681" t="s">
        <v>11</v>
      </c>
      <c r="F2681">
        <v>8942.538</v>
      </c>
      <c r="G2681">
        <v>18</v>
      </c>
      <c r="L2681" t="s">
        <v>7961</v>
      </c>
      <c r="O2681" t="s">
        <v>7962</v>
      </c>
    </row>
    <row r="2682" spans="1:15" x14ac:dyDescent="0.25">
      <c r="A2682" t="s">
        <v>18</v>
      </c>
      <c r="B2682" t="s">
        <v>7961</v>
      </c>
      <c r="C2682" t="s">
        <v>7963</v>
      </c>
      <c r="D2682" t="s">
        <v>20</v>
      </c>
      <c r="E2682" t="s">
        <v>11</v>
      </c>
      <c r="F2682">
        <v>29438.573999999997</v>
      </c>
      <c r="G2682">
        <v>18</v>
      </c>
      <c r="L2682" t="s">
        <v>7964</v>
      </c>
      <c r="O2682" t="s">
        <v>7965</v>
      </c>
    </row>
    <row r="2683" spans="1:15" x14ac:dyDescent="0.25">
      <c r="A2683" t="s">
        <v>18</v>
      </c>
      <c r="B2683" t="s">
        <v>7964</v>
      </c>
      <c r="C2683" t="s">
        <v>7966</v>
      </c>
      <c r="D2683" t="s">
        <v>20</v>
      </c>
      <c r="E2683" t="s">
        <v>11</v>
      </c>
      <c r="F2683">
        <v>4373.358</v>
      </c>
      <c r="G2683">
        <v>18</v>
      </c>
      <c r="L2683" t="s">
        <v>7967</v>
      </c>
      <c r="O2683" t="s">
        <v>7968</v>
      </c>
    </row>
    <row r="2684" spans="1:15" x14ac:dyDescent="0.25">
      <c r="A2684" t="s">
        <v>18</v>
      </c>
      <c r="B2684" t="s">
        <v>7967</v>
      </c>
      <c r="C2684" t="s">
        <v>7969</v>
      </c>
      <c r="D2684" t="s">
        <v>20</v>
      </c>
      <c r="E2684" t="s">
        <v>11</v>
      </c>
      <c r="F2684">
        <v>7180.139999999999</v>
      </c>
      <c r="G2684">
        <v>18</v>
      </c>
      <c r="L2684" t="s">
        <v>7970</v>
      </c>
      <c r="O2684" t="s">
        <v>7971</v>
      </c>
    </row>
    <row r="2685" spans="1:15" x14ac:dyDescent="0.25">
      <c r="A2685" t="s">
        <v>18</v>
      </c>
      <c r="B2685" t="s">
        <v>7970</v>
      </c>
      <c r="C2685" t="s">
        <v>7972</v>
      </c>
      <c r="D2685" t="s">
        <v>20</v>
      </c>
      <c r="E2685" t="s">
        <v>11</v>
      </c>
      <c r="F2685">
        <v>9138.36</v>
      </c>
      <c r="G2685">
        <v>18</v>
      </c>
      <c r="L2685" t="s">
        <v>7973</v>
      </c>
      <c r="O2685" t="s">
        <v>7974</v>
      </c>
    </row>
    <row r="2686" spans="1:15" x14ac:dyDescent="0.25">
      <c r="A2686" t="s">
        <v>18</v>
      </c>
      <c r="B2686" t="s">
        <v>7973</v>
      </c>
      <c r="C2686" t="s">
        <v>7975</v>
      </c>
      <c r="D2686" t="s">
        <v>20</v>
      </c>
      <c r="E2686" t="s">
        <v>11</v>
      </c>
      <c r="F2686">
        <v>5352.468</v>
      </c>
      <c r="G2686">
        <v>18</v>
      </c>
      <c r="L2686" t="s">
        <v>7976</v>
      </c>
      <c r="O2686" t="s">
        <v>7977</v>
      </c>
    </row>
    <row r="2687" spans="1:15" x14ac:dyDescent="0.25">
      <c r="A2687" t="s">
        <v>18</v>
      </c>
      <c r="B2687" t="s">
        <v>7976</v>
      </c>
      <c r="C2687" t="s">
        <v>7978</v>
      </c>
      <c r="D2687" t="s">
        <v>20</v>
      </c>
      <c r="E2687" t="s">
        <v>11</v>
      </c>
      <c r="F2687">
        <v>7049.592000000001</v>
      </c>
      <c r="G2687">
        <v>18</v>
      </c>
      <c r="L2687" t="s">
        <v>7979</v>
      </c>
      <c r="O2687" t="s">
        <v>7980</v>
      </c>
    </row>
    <row r="2688" spans="1:15" x14ac:dyDescent="0.25">
      <c r="A2688" t="s">
        <v>18</v>
      </c>
      <c r="B2688" t="s">
        <v>7979</v>
      </c>
      <c r="C2688" t="s">
        <v>7981</v>
      </c>
      <c r="D2688" t="s">
        <v>20</v>
      </c>
      <c r="E2688" t="s">
        <v>11</v>
      </c>
      <c r="F2688">
        <v>6984.318</v>
      </c>
      <c r="G2688">
        <v>18</v>
      </c>
      <c r="L2688" t="s">
        <v>7982</v>
      </c>
      <c r="O2688" t="s">
        <v>7983</v>
      </c>
    </row>
    <row r="2689" spans="1:15" x14ac:dyDescent="0.25">
      <c r="A2689" t="s">
        <v>18</v>
      </c>
      <c r="B2689" t="s">
        <v>7982</v>
      </c>
      <c r="C2689" t="s">
        <v>7984</v>
      </c>
      <c r="D2689" t="s">
        <v>20</v>
      </c>
      <c r="E2689" t="s">
        <v>11</v>
      </c>
      <c r="F2689">
        <v>4503.906</v>
      </c>
      <c r="G2689">
        <v>18</v>
      </c>
      <c r="L2689" t="s">
        <v>7985</v>
      </c>
      <c r="O2689" t="s">
        <v>7986</v>
      </c>
    </row>
    <row r="2690" spans="1:15" x14ac:dyDescent="0.25">
      <c r="A2690" t="s">
        <v>18</v>
      </c>
      <c r="B2690" t="s">
        <v>7985</v>
      </c>
      <c r="C2690" t="s">
        <v>7987</v>
      </c>
      <c r="D2690" t="s">
        <v>20</v>
      </c>
      <c r="E2690" t="s">
        <v>11</v>
      </c>
      <c r="F2690">
        <v>3851.166</v>
      </c>
      <c r="G2690">
        <v>18</v>
      </c>
      <c r="L2690" t="s">
        <v>7988</v>
      </c>
      <c r="O2690" t="s">
        <v>7989</v>
      </c>
    </row>
    <row r="2691" spans="1:15" x14ac:dyDescent="0.25">
      <c r="A2691" t="s">
        <v>18</v>
      </c>
      <c r="B2691" t="s">
        <v>7988</v>
      </c>
      <c r="C2691" t="s">
        <v>7990</v>
      </c>
      <c r="D2691" t="s">
        <v>20</v>
      </c>
      <c r="E2691" t="s">
        <v>11</v>
      </c>
      <c r="F2691">
        <v>4242.8099999999995</v>
      </c>
      <c r="G2691">
        <v>18</v>
      </c>
      <c r="L2691" t="s">
        <v>7991</v>
      </c>
      <c r="O2691" t="s">
        <v>7992</v>
      </c>
    </row>
    <row r="2692" spans="1:15" x14ac:dyDescent="0.25">
      <c r="A2692" t="s">
        <v>18</v>
      </c>
      <c r="B2692" t="s">
        <v>7991</v>
      </c>
      <c r="C2692" t="s">
        <v>7993</v>
      </c>
      <c r="D2692" t="s">
        <v>20</v>
      </c>
      <c r="E2692" t="s">
        <v>11</v>
      </c>
      <c r="F2692">
        <v>5221.92</v>
      </c>
      <c r="G2692">
        <v>18</v>
      </c>
      <c r="L2692" t="s">
        <v>7994</v>
      </c>
      <c r="O2692" t="s">
        <v>7995</v>
      </c>
    </row>
    <row r="2693" spans="1:15" x14ac:dyDescent="0.25">
      <c r="A2693" t="s">
        <v>18</v>
      </c>
      <c r="B2693" t="s">
        <v>7994</v>
      </c>
      <c r="C2693" t="s">
        <v>7996</v>
      </c>
      <c r="D2693" t="s">
        <v>20</v>
      </c>
      <c r="E2693" t="s">
        <v>11</v>
      </c>
      <c r="F2693">
        <v>6657.947999999999</v>
      </c>
      <c r="G2693">
        <v>18</v>
      </c>
      <c r="L2693" t="s">
        <v>7997</v>
      </c>
      <c r="O2693" t="s">
        <v>7998</v>
      </c>
    </row>
    <row r="2694" spans="1:15" x14ac:dyDescent="0.25">
      <c r="A2694" t="s">
        <v>18</v>
      </c>
      <c r="B2694" t="s">
        <v>7997</v>
      </c>
      <c r="C2694" t="s">
        <v>7999</v>
      </c>
      <c r="D2694" t="s">
        <v>20</v>
      </c>
      <c r="E2694" t="s">
        <v>11</v>
      </c>
      <c r="F2694">
        <v>6657.947999999999</v>
      </c>
      <c r="G2694">
        <v>18</v>
      </c>
      <c r="L2694" t="s">
        <v>8000</v>
      </c>
      <c r="O2694" t="s">
        <v>8001</v>
      </c>
    </row>
    <row r="2695" spans="1:15" x14ac:dyDescent="0.25">
      <c r="A2695" t="s">
        <v>18</v>
      </c>
      <c r="B2695" t="s">
        <v>8000</v>
      </c>
      <c r="C2695" t="s">
        <v>8002</v>
      </c>
      <c r="D2695" t="s">
        <v>20</v>
      </c>
      <c r="E2695" t="s">
        <v>11</v>
      </c>
      <c r="F2695">
        <v>4634.454</v>
      </c>
      <c r="G2695">
        <v>18</v>
      </c>
      <c r="L2695" t="s">
        <v>8003</v>
      </c>
      <c r="O2695" t="s">
        <v>8004</v>
      </c>
    </row>
    <row r="2696" spans="1:15" x14ac:dyDescent="0.25">
      <c r="A2696" t="s">
        <v>18</v>
      </c>
      <c r="B2696" t="s">
        <v>8003</v>
      </c>
      <c r="C2696" t="s">
        <v>8005</v>
      </c>
      <c r="D2696" t="s">
        <v>20</v>
      </c>
      <c r="E2696" t="s">
        <v>11</v>
      </c>
      <c r="F2696">
        <v>13381.17</v>
      </c>
      <c r="G2696">
        <v>18</v>
      </c>
      <c r="L2696" t="s">
        <v>8006</v>
      </c>
      <c r="O2696" t="s">
        <v>8007</v>
      </c>
    </row>
    <row r="2697" spans="1:15" x14ac:dyDescent="0.25">
      <c r="A2697" t="s">
        <v>18</v>
      </c>
      <c r="B2697" t="s">
        <v>8006</v>
      </c>
      <c r="C2697" t="s">
        <v>8008</v>
      </c>
      <c r="D2697" t="s">
        <v>20</v>
      </c>
      <c r="E2697" t="s">
        <v>11</v>
      </c>
      <c r="F2697">
        <v>13576.991999999998</v>
      </c>
      <c r="G2697">
        <v>18</v>
      </c>
      <c r="L2697" t="s">
        <v>8009</v>
      </c>
      <c r="O2697" t="s">
        <v>8010</v>
      </c>
    </row>
    <row r="2698" spans="1:15" x14ac:dyDescent="0.25">
      <c r="A2698" t="s">
        <v>18</v>
      </c>
      <c r="B2698" t="s">
        <v>8009</v>
      </c>
      <c r="C2698" t="s">
        <v>8011</v>
      </c>
      <c r="D2698" t="s">
        <v>20</v>
      </c>
      <c r="E2698" t="s">
        <v>11</v>
      </c>
      <c r="F2698">
        <v>18472.541999999998</v>
      </c>
      <c r="G2698">
        <v>18</v>
      </c>
      <c r="L2698" t="s">
        <v>8012</v>
      </c>
      <c r="O2698" t="s">
        <v>8013</v>
      </c>
    </row>
    <row r="2699" spans="1:15" x14ac:dyDescent="0.25">
      <c r="A2699" t="s">
        <v>18</v>
      </c>
      <c r="B2699" t="s">
        <v>8012</v>
      </c>
      <c r="C2699" t="s">
        <v>8014</v>
      </c>
      <c r="D2699" t="s">
        <v>20</v>
      </c>
      <c r="E2699" t="s">
        <v>11</v>
      </c>
      <c r="F2699">
        <v>3981.714</v>
      </c>
      <c r="G2699">
        <v>18</v>
      </c>
      <c r="L2699" t="s">
        <v>8015</v>
      </c>
      <c r="O2699" t="s">
        <v>8016</v>
      </c>
    </row>
    <row r="2700" spans="1:15" x14ac:dyDescent="0.25">
      <c r="A2700" t="s">
        <v>18</v>
      </c>
      <c r="B2700" t="s">
        <v>8015</v>
      </c>
      <c r="C2700" t="s">
        <v>8017</v>
      </c>
      <c r="D2700" t="s">
        <v>20</v>
      </c>
      <c r="E2700" t="s">
        <v>11</v>
      </c>
      <c r="F2700">
        <v>23433.365999999998</v>
      </c>
      <c r="G2700">
        <v>18</v>
      </c>
      <c r="L2700" t="s">
        <v>8018</v>
      </c>
      <c r="O2700" t="s">
        <v>8019</v>
      </c>
    </row>
    <row r="2701" spans="1:15" x14ac:dyDescent="0.25">
      <c r="A2701" t="s">
        <v>18</v>
      </c>
      <c r="B2701" t="s">
        <v>8018</v>
      </c>
      <c r="C2701" t="s">
        <v>8020</v>
      </c>
      <c r="D2701" t="s">
        <v>20</v>
      </c>
      <c r="E2701" t="s">
        <v>11</v>
      </c>
      <c r="F2701">
        <v>23433.365999999998</v>
      </c>
      <c r="G2701">
        <v>18</v>
      </c>
      <c r="L2701" t="s">
        <v>8021</v>
      </c>
      <c r="O2701" t="s">
        <v>8022</v>
      </c>
    </row>
    <row r="2702" spans="1:15" x14ac:dyDescent="0.25">
      <c r="A2702" t="s">
        <v>18</v>
      </c>
      <c r="B2702" t="s">
        <v>8021</v>
      </c>
      <c r="C2702" t="s">
        <v>8023</v>
      </c>
      <c r="D2702" t="s">
        <v>20</v>
      </c>
      <c r="E2702" t="s">
        <v>11</v>
      </c>
      <c r="F2702">
        <v>2415.138</v>
      </c>
      <c r="G2702">
        <v>18</v>
      </c>
      <c r="L2702" t="s">
        <v>8024</v>
      </c>
      <c r="O2702" t="s">
        <v>8025</v>
      </c>
    </row>
    <row r="2703" spans="1:15" x14ac:dyDescent="0.25">
      <c r="A2703" t="s">
        <v>18</v>
      </c>
      <c r="B2703" t="s">
        <v>8024</v>
      </c>
      <c r="C2703" t="s">
        <v>8026</v>
      </c>
      <c r="D2703" t="s">
        <v>20</v>
      </c>
      <c r="E2703" t="s">
        <v>11</v>
      </c>
      <c r="F2703">
        <v>1370.754</v>
      </c>
      <c r="G2703">
        <v>18</v>
      </c>
      <c r="L2703" t="s">
        <v>8027</v>
      </c>
      <c r="O2703" t="s">
        <v>8028</v>
      </c>
    </row>
    <row r="2704" spans="1:15" x14ac:dyDescent="0.25">
      <c r="A2704" t="s">
        <v>18</v>
      </c>
      <c r="B2704" t="s">
        <v>8027</v>
      </c>
      <c r="C2704" t="s">
        <v>8029</v>
      </c>
      <c r="D2704" t="s">
        <v>20</v>
      </c>
      <c r="E2704" t="s">
        <v>11</v>
      </c>
      <c r="F2704">
        <v>2284.59</v>
      </c>
      <c r="G2704">
        <v>18</v>
      </c>
      <c r="L2704" t="s">
        <v>8030</v>
      </c>
      <c r="O2704" t="s">
        <v>8031</v>
      </c>
    </row>
    <row r="2705" spans="1:15" x14ac:dyDescent="0.25">
      <c r="A2705" t="s">
        <v>18</v>
      </c>
      <c r="B2705" t="s">
        <v>8030</v>
      </c>
      <c r="C2705" t="s">
        <v>8032</v>
      </c>
      <c r="D2705" t="s">
        <v>20</v>
      </c>
      <c r="E2705" t="s">
        <v>11</v>
      </c>
      <c r="F2705">
        <v>46866.731999999996</v>
      </c>
      <c r="G2705">
        <v>18</v>
      </c>
      <c r="L2705" t="s">
        <v>8033</v>
      </c>
      <c r="O2705" t="s">
        <v>8034</v>
      </c>
    </row>
    <row r="2706" spans="1:15" x14ac:dyDescent="0.25">
      <c r="A2706" t="s">
        <v>18</v>
      </c>
      <c r="B2706" t="s">
        <v>8033</v>
      </c>
      <c r="C2706" t="s">
        <v>8035</v>
      </c>
      <c r="D2706" t="s">
        <v>20</v>
      </c>
      <c r="E2706" t="s">
        <v>11</v>
      </c>
      <c r="F2706">
        <v>5417.742</v>
      </c>
      <c r="G2706">
        <v>18</v>
      </c>
      <c r="L2706" t="s">
        <v>8036</v>
      </c>
      <c r="O2706" t="s">
        <v>8037</v>
      </c>
    </row>
    <row r="2707" spans="1:15" x14ac:dyDescent="0.25">
      <c r="A2707" t="s">
        <v>18</v>
      </c>
      <c r="B2707" t="s">
        <v>8036</v>
      </c>
      <c r="C2707" t="s">
        <v>8038</v>
      </c>
      <c r="D2707" t="s">
        <v>20</v>
      </c>
      <c r="E2707" t="s">
        <v>11</v>
      </c>
      <c r="F2707">
        <v>28524.738</v>
      </c>
      <c r="G2707">
        <v>18</v>
      </c>
      <c r="L2707" t="s">
        <v>8039</v>
      </c>
      <c r="O2707" t="s">
        <v>8040</v>
      </c>
    </row>
    <row r="2708" spans="1:15" x14ac:dyDescent="0.25">
      <c r="A2708" t="s">
        <v>18</v>
      </c>
      <c r="B2708" t="s">
        <v>8039</v>
      </c>
      <c r="C2708" t="s">
        <v>8041</v>
      </c>
      <c r="D2708" t="s">
        <v>20</v>
      </c>
      <c r="E2708" t="s">
        <v>11</v>
      </c>
      <c r="F2708">
        <v>7702.332</v>
      </c>
      <c r="G2708">
        <v>18</v>
      </c>
      <c r="L2708" t="s">
        <v>8042</v>
      </c>
      <c r="O2708" t="s">
        <v>8043</v>
      </c>
    </row>
    <row r="2709" spans="1:15" x14ac:dyDescent="0.25">
      <c r="A2709" t="s">
        <v>18</v>
      </c>
      <c r="B2709" t="s">
        <v>8042</v>
      </c>
      <c r="C2709" t="s">
        <v>8044</v>
      </c>
      <c r="D2709" t="s">
        <v>20</v>
      </c>
      <c r="E2709" t="s">
        <v>11</v>
      </c>
      <c r="F2709">
        <v>22650.078</v>
      </c>
      <c r="G2709">
        <v>18</v>
      </c>
      <c r="L2709" t="s">
        <v>8045</v>
      </c>
      <c r="O2709" t="s">
        <v>8046</v>
      </c>
    </row>
    <row r="2710" spans="1:15" x14ac:dyDescent="0.25">
      <c r="A2710" t="s">
        <v>18</v>
      </c>
      <c r="B2710" t="s">
        <v>8045</v>
      </c>
      <c r="C2710" t="s">
        <v>8047</v>
      </c>
      <c r="D2710" t="s">
        <v>20</v>
      </c>
      <c r="E2710" t="s">
        <v>11</v>
      </c>
      <c r="F2710">
        <v>33854.435999999994</v>
      </c>
      <c r="G2710">
        <v>18</v>
      </c>
      <c r="L2710" t="s">
        <v>8048</v>
      </c>
      <c r="O2710" t="s">
        <v>8049</v>
      </c>
    </row>
    <row r="2711" spans="1:15" x14ac:dyDescent="0.25">
      <c r="A2711" t="s">
        <v>18</v>
      </c>
      <c r="B2711" t="s">
        <v>8048</v>
      </c>
      <c r="C2711" t="s">
        <v>8050</v>
      </c>
      <c r="D2711" t="s">
        <v>20</v>
      </c>
      <c r="E2711" t="s">
        <v>11</v>
      </c>
      <c r="F2711">
        <v>783.2879999999999</v>
      </c>
      <c r="G2711">
        <v>18</v>
      </c>
      <c r="L2711" t="s">
        <v>8051</v>
      </c>
      <c r="O2711" t="s">
        <v>8052</v>
      </c>
    </row>
    <row r="2712" spans="1:15" x14ac:dyDescent="0.25">
      <c r="A2712" t="s">
        <v>18</v>
      </c>
      <c r="B2712" t="s">
        <v>8051</v>
      </c>
      <c r="C2712" t="s">
        <v>8053</v>
      </c>
      <c r="D2712" t="s">
        <v>20</v>
      </c>
      <c r="E2712" t="s">
        <v>11</v>
      </c>
      <c r="F2712">
        <v>4438.632</v>
      </c>
      <c r="G2712">
        <v>18</v>
      </c>
      <c r="L2712" t="s">
        <v>8054</v>
      </c>
      <c r="O2712" t="s">
        <v>8055</v>
      </c>
    </row>
    <row r="2713" spans="1:15" x14ac:dyDescent="0.25">
      <c r="A2713" t="s">
        <v>18</v>
      </c>
      <c r="B2713" t="s">
        <v>8054</v>
      </c>
      <c r="C2713" t="s">
        <v>8056</v>
      </c>
      <c r="D2713" t="s">
        <v>20</v>
      </c>
      <c r="E2713" t="s">
        <v>11</v>
      </c>
      <c r="F2713">
        <v>2284.59</v>
      </c>
      <c r="G2713">
        <v>18</v>
      </c>
      <c r="L2713" t="s">
        <v>8057</v>
      </c>
      <c r="O2713" t="s">
        <v>8058</v>
      </c>
    </row>
    <row r="2714" spans="1:15" x14ac:dyDescent="0.25">
      <c r="A2714" t="s">
        <v>18</v>
      </c>
      <c r="B2714" t="s">
        <v>8057</v>
      </c>
      <c r="C2714" t="s">
        <v>8059</v>
      </c>
      <c r="D2714" t="s">
        <v>20</v>
      </c>
      <c r="E2714" t="s">
        <v>11</v>
      </c>
      <c r="F2714">
        <v>96540.24599999998</v>
      </c>
      <c r="G2714">
        <v>18</v>
      </c>
      <c r="L2714" t="s">
        <v>8060</v>
      </c>
      <c r="O2714" t="s">
        <v>8061</v>
      </c>
    </row>
    <row r="2715" spans="1:15" x14ac:dyDescent="0.25">
      <c r="A2715" t="s">
        <v>18</v>
      </c>
      <c r="B2715" t="s">
        <v>8060</v>
      </c>
      <c r="C2715" t="s">
        <v>8062</v>
      </c>
      <c r="D2715" t="s">
        <v>20</v>
      </c>
      <c r="E2715" t="s">
        <v>11</v>
      </c>
      <c r="F2715">
        <v>5548.29</v>
      </c>
      <c r="G2715">
        <v>18</v>
      </c>
      <c r="L2715" t="s">
        <v>8063</v>
      </c>
      <c r="O2715" t="s">
        <v>8064</v>
      </c>
    </row>
    <row r="2716" spans="1:15" x14ac:dyDescent="0.25">
      <c r="A2716" t="s">
        <v>18</v>
      </c>
      <c r="B2716" t="s">
        <v>8063</v>
      </c>
      <c r="C2716" t="s">
        <v>8065</v>
      </c>
      <c r="D2716" t="s">
        <v>20</v>
      </c>
      <c r="E2716" t="s">
        <v>11</v>
      </c>
      <c r="F2716">
        <v>6135.755999999999</v>
      </c>
      <c r="G2716">
        <v>18</v>
      </c>
      <c r="L2716" t="s">
        <v>8066</v>
      </c>
      <c r="O2716" t="s">
        <v>8067</v>
      </c>
    </row>
    <row r="2717" spans="1:15" x14ac:dyDescent="0.25">
      <c r="A2717" t="s">
        <v>18</v>
      </c>
      <c r="B2717" t="s">
        <v>8066</v>
      </c>
      <c r="C2717" t="s">
        <v>8068</v>
      </c>
      <c r="D2717" t="s">
        <v>20</v>
      </c>
      <c r="E2717" t="s">
        <v>11</v>
      </c>
      <c r="F2717">
        <v>6135.755999999999</v>
      </c>
      <c r="G2717">
        <v>18</v>
      </c>
      <c r="L2717" t="s">
        <v>8069</v>
      </c>
      <c r="O2717" t="s">
        <v>8070</v>
      </c>
    </row>
    <row r="2718" spans="1:15" x14ac:dyDescent="0.25">
      <c r="A2718" t="s">
        <v>18</v>
      </c>
      <c r="B2718" t="s">
        <v>8069</v>
      </c>
      <c r="C2718" t="s">
        <v>8071</v>
      </c>
      <c r="D2718" t="s">
        <v>20</v>
      </c>
      <c r="E2718" t="s">
        <v>11</v>
      </c>
      <c r="F2718">
        <v>1109.658</v>
      </c>
      <c r="G2718">
        <v>18</v>
      </c>
      <c r="L2718" t="s">
        <v>8072</v>
      </c>
      <c r="O2718" t="s">
        <v>8073</v>
      </c>
    </row>
    <row r="2719" spans="1:15" x14ac:dyDescent="0.25">
      <c r="A2719" t="s">
        <v>18</v>
      </c>
      <c r="B2719" t="s">
        <v>8072</v>
      </c>
      <c r="C2719" t="s">
        <v>8074</v>
      </c>
      <c r="D2719" t="s">
        <v>20</v>
      </c>
      <c r="E2719" t="s">
        <v>11</v>
      </c>
      <c r="F2719">
        <v>6919.043999999999</v>
      </c>
      <c r="G2719">
        <v>18</v>
      </c>
      <c r="L2719" t="s">
        <v>8075</v>
      </c>
      <c r="O2719" t="s">
        <v>8076</v>
      </c>
    </row>
    <row r="2720" spans="1:15" x14ac:dyDescent="0.25">
      <c r="A2720" t="s">
        <v>18</v>
      </c>
      <c r="B2720" t="s">
        <v>8075</v>
      </c>
      <c r="C2720" t="s">
        <v>8077</v>
      </c>
      <c r="D2720" t="s">
        <v>20</v>
      </c>
      <c r="E2720" t="s">
        <v>11</v>
      </c>
      <c r="F2720">
        <v>2284.59</v>
      </c>
      <c r="G2720">
        <v>18</v>
      </c>
      <c r="L2720" t="s">
        <v>8078</v>
      </c>
      <c r="O2720" t="s">
        <v>8079</v>
      </c>
    </row>
    <row r="2721" spans="1:15" x14ac:dyDescent="0.25">
      <c r="A2721" t="s">
        <v>18</v>
      </c>
      <c r="B2721" t="s">
        <v>8078</v>
      </c>
      <c r="C2721" t="s">
        <v>8080</v>
      </c>
      <c r="D2721" t="s">
        <v>20</v>
      </c>
      <c r="E2721" t="s">
        <v>11</v>
      </c>
      <c r="F2721">
        <v>10378.565999999999</v>
      </c>
      <c r="G2721">
        <v>18</v>
      </c>
      <c r="L2721" t="s">
        <v>8081</v>
      </c>
      <c r="O2721" t="s">
        <v>8082</v>
      </c>
    </row>
    <row r="2722" spans="1:15" x14ac:dyDescent="0.25">
      <c r="A2722" t="s">
        <v>18</v>
      </c>
      <c r="B2722" t="s">
        <v>8081</v>
      </c>
      <c r="C2722" t="s">
        <v>8083</v>
      </c>
      <c r="D2722" t="s">
        <v>20</v>
      </c>
      <c r="E2722" t="s">
        <v>11</v>
      </c>
      <c r="F2722">
        <v>9856.374</v>
      </c>
      <c r="G2722">
        <v>18</v>
      </c>
      <c r="L2722" t="s">
        <v>8084</v>
      </c>
      <c r="O2722" t="s">
        <v>8085</v>
      </c>
    </row>
    <row r="2723" spans="1:15" x14ac:dyDescent="0.25">
      <c r="A2723" t="s">
        <v>18</v>
      </c>
      <c r="B2723" t="s">
        <v>8084</v>
      </c>
      <c r="C2723" t="s">
        <v>8086</v>
      </c>
      <c r="D2723" t="s">
        <v>20</v>
      </c>
      <c r="E2723" t="s">
        <v>11</v>
      </c>
      <c r="F2723">
        <v>6723.222000000001</v>
      </c>
      <c r="G2723">
        <v>18</v>
      </c>
      <c r="L2723" t="s">
        <v>8087</v>
      </c>
      <c r="O2723" t="s">
        <v>8088</v>
      </c>
    </row>
    <row r="2724" spans="1:15" x14ac:dyDescent="0.25">
      <c r="A2724" t="s">
        <v>18</v>
      </c>
      <c r="B2724" t="s">
        <v>8087</v>
      </c>
      <c r="C2724" t="s">
        <v>8089</v>
      </c>
      <c r="D2724" t="s">
        <v>20</v>
      </c>
      <c r="E2724" t="s">
        <v>11</v>
      </c>
      <c r="F2724">
        <v>9921.648000000001</v>
      </c>
      <c r="G2724">
        <v>18</v>
      </c>
      <c r="L2724" t="s">
        <v>8090</v>
      </c>
      <c r="O2724" t="s">
        <v>8091</v>
      </c>
    </row>
    <row r="2725" spans="1:15" x14ac:dyDescent="0.25">
      <c r="A2725" t="s">
        <v>18</v>
      </c>
      <c r="B2725" t="s">
        <v>8090</v>
      </c>
      <c r="C2725" t="s">
        <v>8092</v>
      </c>
      <c r="D2725" t="s">
        <v>20</v>
      </c>
      <c r="E2725" t="s">
        <v>11</v>
      </c>
      <c r="F2725">
        <v>3394.2479999999996</v>
      </c>
      <c r="G2725">
        <v>18</v>
      </c>
      <c r="L2725" t="s">
        <v>8093</v>
      </c>
      <c r="O2725" t="s">
        <v>8094</v>
      </c>
    </row>
    <row r="2726" spans="1:15" x14ac:dyDescent="0.25">
      <c r="A2726" t="s">
        <v>18</v>
      </c>
      <c r="B2726" t="s">
        <v>8093</v>
      </c>
      <c r="C2726" t="s">
        <v>8095</v>
      </c>
      <c r="D2726" t="s">
        <v>20</v>
      </c>
      <c r="E2726" t="s">
        <v>11</v>
      </c>
      <c r="F2726">
        <v>1044.384</v>
      </c>
      <c r="G2726">
        <v>18</v>
      </c>
      <c r="L2726" t="s">
        <v>8096</v>
      </c>
      <c r="O2726" t="s">
        <v>8097</v>
      </c>
    </row>
    <row r="2727" spans="1:15" x14ac:dyDescent="0.25">
      <c r="A2727" t="s">
        <v>18</v>
      </c>
      <c r="B2727" t="s">
        <v>8096</v>
      </c>
      <c r="C2727" t="s">
        <v>7993</v>
      </c>
      <c r="D2727" t="s">
        <v>20</v>
      </c>
      <c r="E2727" t="s">
        <v>11</v>
      </c>
      <c r="F2727">
        <v>3198.426</v>
      </c>
      <c r="G2727">
        <v>18</v>
      </c>
      <c r="L2727" t="s">
        <v>8098</v>
      </c>
      <c r="O2727" t="s">
        <v>8099</v>
      </c>
    </row>
    <row r="2728" spans="1:15" x14ac:dyDescent="0.25">
      <c r="A2728" t="s">
        <v>18</v>
      </c>
      <c r="B2728" t="s">
        <v>8098</v>
      </c>
      <c r="C2728" t="s">
        <v>8100</v>
      </c>
      <c r="D2728" t="s">
        <v>20</v>
      </c>
      <c r="E2728" t="s">
        <v>11</v>
      </c>
      <c r="F2728">
        <v>9007.812</v>
      </c>
      <c r="G2728">
        <v>18</v>
      </c>
      <c r="L2728" t="s">
        <v>8101</v>
      </c>
      <c r="O2728" t="s">
        <v>8102</v>
      </c>
    </row>
    <row r="2729" spans="1:15" x14ac:dyDescent="0.25">
      <c r="A2729" t="s">
        <v>18</v>
      </c>
      <c r="B2729" t="s">
        <v>8101</v>
      </c>
      <c r="C2729" t="s">
        <v>8103</v>
      </c>
      <c r="D2729" t="s">
        <v>20</v>
      </c>
      <c r="E2729" t="s">
        <v>11</v>
      </c>
      <c r="F2729">
        <v>9007.812</v>
      </c>
      <c r="G2729">
        <v>18</v>
      </c>
      <c r="L2729" t="s">
        <v>8104</v>
      </c>
      <c r="O2729" t="s">
        <v>8105</v>
      </c>
    </row>
    <row r="2730" spans="1:15" x14ac:dyDescent="0.25">
      <c r="A2730" t="s">
        <v>18</v>
      </c>
      <c r="B2730" t="s">
        <v>8104</v>
      </c>
      <c r="C2730" t="s">
        <v>8106</v>
      </c>
      <c r="D2730" t="s">
        <v>20</v>
      </c>
      <c r="E2730" t="s">
        <v>11</v>
      </c>
      <c r="F2730">
        <v>14425.554</v>
      </c>
      <c r="G2730">
        <v>18</v>
      </c>
      <c r="L2730" t="s">
        <v>8107</v>
      </c>
      <c r="O2730" t="s">
        <v>8108</v>
      </c>
    </row>
    <row r="2731" spans="1:15" x14ac:dyDescent="0.25">
      <c r="A2731" t="s">
        <v>18</v>
      </c>
      <c r="B2731" t="s">
        <v>8107</v>
      </c>
      <c r="C2731" t="s">
        <v>8109</v>
      </c>
      <c r="D2731" t="s">
        <v>20</v>
      </c>
      <c r="E2731" t="s">
        <v>11</v>
      </c>
      <c r="F2731">
        <v>7832.88</v>
      </c>
      <c r="G2731">
        <v>18</v>
      </c>
      <c r="L2731" t="s">
        <v>8110</v>
      </c>
      <c r="O2731" t="s">
        <v>8111</v>
      </c>
    </row>
    <row r="2732" spans="1:15" x14ac:dyDescent="0.25">
      <c r="A2732" t="s">
        <v>18</v>
      </c>
      <c r="B2732" t="s">
        <v>8110</v>
      </c>
      <c r="C2732" t="s">
        <v>8112</v>
      </c>
      <c r="D2732" t="s">
        <v>20</v>
      </c>
      <c r="E2732" t="s">
        <v>11</v>
      </c>
      <c r="F2732">
        <v>14425.554</v>
      </c>
      <c r="G2732">
        <v>18</v>
      </c>
      <c r="L2732" t="s">
        <v>8113</v>
      </c>
      <c r="O2732" t="s">
        <v>8114</v>
      </c>
    </row>
    <row r="2733" spans="1:15" x14ac:dyDescent="0.25">
      <c r="A2733" t="s">
        <v>18</v>
      </c>
      <c r="B2733" t="s">
        <v>8113</v>
      </c>
      <c r="C2733" t="s">
        <v>8115</v>
      </c>
      <c r="D2733" t="s">
        <v>20</v>
      </c>
      <c r="E2733" t="s">
        <v>11</v>
      </c>
      <c r="F2733">
        <v>4438.632</v>
      </c>
      <c r="G2733">
        <v>18</v>
      </c>
      <c r="L2733" t="s">
        <v>8116</v>
      </c>
      <c r="O2733" t="s">
        <v>8117</v>
      </c>
    </row>
    <row r="2734" spans="1:15" x14ac:dyDescent="0.25">
      <c r="A2734" t="s">
        <v>18</v>
      </c>
      <c r="B2734" t="s">
        <v>8116</v>
      </c>
      <c r="C2734" t="s">
        <v>8118</v>
      </c>
      <c r="D2734" t="s">
        <v>20</v>
      </c>
      <c r="E2734" t="s">
        <v>11</v>
      </c>
      <c r="F2734">
        <v>3394.2479999999996</v>
      </c>
      <c r="G2734">
        <v>18</v>
      </c>
      <c r="L2734" t="s">
        <v>8119</v>
      </c>
      <c r="O2734" t="s">
        <v>8120</v>
      </c>
    </row>
    <row r="2735" spans="1:15" x14ac:dyDescent="0.25">
      <c r="A2735" t="s">
        <v>18</v>
      </c>
      <c r="B2735" t="s">
        <v>8119</v>
      </c>
      <c r="C2735" t="s">
        <v>8121</v>
      </c>
      <c r="D2735" t="s">
        <v>20</v>
      </c>
      <c r="E2735" t="s">
        <v>11</v>
      </c>
      <c r="F2735">
        <v>5678.838</v>
      </c>
      <c r="G2735">
        <v>18</v>
      </c>
      <c r="L2735" t="s">
        <v>8122</v>
      </c>
      <c r="O2735" t="s">
        <v>8123</v>
      </c>
    </row>
    <row r="2736" spans="1:15" x14ac:dyDescent="0.25">
      <c r="A2736" t="s">
        <v>18</v>
      </c>
      <c r="B2736" t="s">
        <v>8122</v>
      </c>
      <c r="C2736" t="s">
        <v>8124</v>
      </c>
      <c r="D2736" t="s">
        <v>20</v>
      </c>
      <c r="E2736" t="s">
        <v>11</v>
      </c>
      <c r="F2736">
        <v>7375.962</v>
      </c>
      <c r="G2736">
        <v>18</v>
      </c>
      <c r="L2736" t="s">
        <v>8125</v>
      </c>
      <c r="O2736" t="s">
        <v>8126</v>
      </c>
    </row>
    <row r="2737" spans="1:15" x14ac:dyDescent="0.25">
      <c r="A2737" t="s">
        <v>18</v>
      </c>
      <c r="B2737" t="s">
        <v>8125</v>
      </c>
      <c r="C2737" t="s">
        <v>8127</v>
      </c>
      <c r="D2737" t="s">
        <v>20</v>
      </c>
      <c r="E2737" t="s">
        <v>11</v>
      </c>
      <c r="F2737">
        <v>10443.84</v>
      </c>
      <c r="G2737">
        <v>18</v>
      </c>
      <c r="L2737" t="s">
        <v>8128</v>
      </c>
      <c r="O2737" t="s">
        <v>8129</v>
      </c>
    </row>
    <row r="2738" spans="1:15" x14ac:dyDescent="0.25">
      <c r="A2738" t="s">
        <v>18</v>
      </c>
      <c r="B2738" t="s">
        <v>8128</v>
      </c>
      <c r="C2738" t="s">
        <v>8130</v>
      </c>
      <c r="D2738" t="s">
        <v>20</v>
      </c>
      <c r="E2738" t="s">
        <v>11</v>
      </c>
      <c r="F2738">
        <v>1044.384</v>
      </c>
      <c r="G2738">
        <v>18</v>
      </c>
      <c r="L2738" t="s">
        <v>8131</v>
      </c>
      <c r="O2738" t="s">
        <v>8132</v>
      </c>
    </row>
    <row r="2739" spans="1:15" x14ac:dyDescent="0.25">
      <c r="A2739" t="s">
        <v>18</v>
      </c>
      <c r="B2739" t="s">
        <v>8131</v>
      </c>
      <c r="C2739" t="s">
        <v>8133</v>
      </c>
      <c r="D2739" t="s">
        <v>20</v>
      </c>
      <c r="E2739" t="s">
        <v>11</v>
      </c>
      <c r="F2739">
        <v>718.014</v>
      </c>
      <c r="G2739">
        <v>18</v>
      </c>
      <c r="L2739" t="s">
        <v>8134</v>
      </c>
      <c r="O2739" t="s">
        <v>8135</v>
      </c>
    </row>
    <row r="2740" spans="1:15" x14ac:dyDescent="0.25">
      <c r="A2740" t="s">
        <v>18</v>
      </c>
      <c r="B2740" t="s">
        <v>8134</v>
      </c>
      <c r="C2740" t="s">
        <v>8136</v>
      </c>
      <c r="D2740" t="s">
        <v>20</v>
      </c>
      <c r="E2740" t="s">
        <v>11</v>
      </c>
      <c r="F2740">
        <v>2415.138</v>
      </c>
      <c r="G2740">
        <v>18</v>
      </c>
      <c r="L2740" t="s">
        <v>8137</v>
      </c>
      <c r="O2740" t="s">
        <v>8138</v>
      </c>
    </row>
    <row r="2741" spans="1:15" x14ac:dyDescent="0.25">
      <c r="A2741" t="s">
        <v>18</v>
      </c>
      <c r="B2741" t="s">
        <v>8137</v>
      </c>
      <c r="C2741" t="s">
        <v>8139</v>
      </c>
      <c r="D2741" t="s">
        <v>20</v>
      </c>
      <c r="E2741" t="s">
        <v>11</v>
      </c>
      <c r="F2741">
        <v>9203.633999999998</v>
      </c>
      <c r="G2741">
        <v>18</v>
      </c>
      <c r="L2741" t="s">
        <v>8140</v>
      </c>
      <c r="O2741" t="s">
        <v>8141</v>
      </c>
    </row>
    <row r="2742" spans="1:15" x14ac:dyDescent="0.25">
      <c r="A2742" t="s">
        <v>18</v>
      </c>
      <c r="B2742" t="s">
        <v>8140</v>
      </c>
      <c r="C2742" t="s">
        <v>8142</v>
      </c>
      <c r="D2742" t="s">
        <v>20</v>
      </c>
      <c r="E2742" t="s">
        <v>11</v>
      </c>
      <c r="F2742">
        <v>8159.25</v>
      </c>
      <c r="G2742">
        <v>18</v>
      </c>
      <c r="L2742" t="s">
        <v>8143</v>
      </c>
      <c r="O2742" t="s">
        <v>8144</v>
      </c>
    </row>
    <row r="2743" spans="1:15" x14ac:dyDescent="0.25">
      <c r="A2743" t="s">
        <v>18</v>
      </c>
      <c r="B2743" t="s">
        <v>8143</v>
      </c>
      <c r="C2743" t="s">
        <v>8145</v>
      </c>
      <c r="D2743" t="s">
        <v>20</v>
      </c>
      <c r="E2743" t="s">
        <v>11</v>
      </c>
      <c r="F2743">
        <v>7375.962</v>
      </c>
      <c r="G2743">
        <v>18</v>
      </c>
      <c r="L2743" t="s">
        <v>8146</v>
      </c>
      <c r="O2743" t="s">
        <v>8147</v>
      </c>
    </row>
    <row r="2744" spans="1:15" x14ac:dyDescent="0.25">
      <c r="A2744" t="s">
        <v>18</v>
      </c>
      <c r="B2744" t="s">
        <v>8146</v>
      </c>
      <c r="C2744" t="s">
        <v>8148</v>
      </c>
      <c r="D2744" t="s">
        <v>20</v>
      </c>
      <c r="E2744" t="s">
        <v>11</v>
      </c>
      <c r="F2744">
        <v>11096.58</v>
      </c>
      <c r="G2744">
        <v>18</v>
      </c>
      <c r="L2744" t="s">
        <v>8149</v>
      </c>
      <c r="O2744" t="s">
        <v>8150</v>
      </c>
    </row>
    <row r="2745" spans="1:15" x14ac:dyDescent="0.25">
      <c r="A2745" t="s">
        <v>18</v>
      </c>
      <c r="B2745" t="s">
        <v>8149</v>
      </c>
      <c r="C2745" t="s">
        <v>8151</v>
      </c>
      <c r="D2745" t="s">
        <v>20</v>
      </c>
      <c r="E2745" t="s">
        <v>11</v>
      </c>
      <c r="F2745">
        <v>9464.73</v>
      </c>
      <c r="G2745">
        <v>18</v>
      </c>
      <c r="L2745" t="s">
        <v>8152</v>
      </c>
      <c r="O2745" t="s">
        <v>8153</v>
      </c>
    </row>
    <row r="2746" spans="1:15" x14ac:dyDescent="0.25">
      <c r="A2746" t="s">
        <v>18</v>
      </c>
      <c r="B2746" t="s">
        <v>8152</v>
      </c>
      <c r="C2746" t="s">
        <v>8154</v>
      </c>
      <c r="D2746" t="s">
        <v>20</v>
      </c>
      <c r="E2746" t="s">
        <v>11</v>
      </c>
      <c r="F2746">
        <v>9464.73</v>
      </c>
      <c r="G2746">
        <v>18</v>
      </c>
      <c r="L2746" t="s">
        <v>8155</v>
      </c>
      <c r="O2746" t="s">
        <v>8156</v>
      </c>
    </row>
    <row r="2747" spans="1:15" x14ac:dyDescent="0.25">
      <c r="A2747" t="s">
        <v>18</v>
      </c>
      <c r="B2747" t="s">
        <v>8155</v>
      </c>
      <c r="C2747" t="s">
        <v>8157</v>
      </c>
      <c r="D2747" t="s">
        <v>20</v>
      </c>
      <c r="E2747" t="s">
        <v>11</v>
      </c>
      <c r="F2747">
        <v>652.74</v>
      </c>
      <c r="G2747">
        <v>18</v>
      </c>
      <c r="L2747" t="s">
        <v>8158</v>
      </c>
      <c r="O2747" t="s">
        <v>8159</v>
      </c>
    </row>
    <row r="2748" spans="1:15" x14ac:dyDescent="0.25">
      <c r="A2748" t="s">
        <v>18</v>
      </c>
      <c r="B2748" t="s">
        <v>8158</v>
      </c>
      <c r="C2748" t="s">
        <v>8160</v>
      </c>
      <c r="D2748" t="s">
        <v>20</v>
      </c>
      <c r="E2748" t="s">
        <v>11</v>
      </c>
      <c r="F2748">
        <v>2480.4120000000003</v>
      </c>
      <c r="G2748">
        <v>18</v>
      </c>
      <c r="L2748" t="s">
        <v>8161</v>
      </c>
      <c r="O2748" t="s">
        <v>8162</v>
      </c>
    </row>
    <row r="2749" spans="1:15" x14ac:dyDescent="0.25">
      <c r="A2749" t="s">
        <v>18</v>
      </c>
      <c r="B2749" t="s">
        <v>8161</v>
      </c>
      <c r="C2749" t="s">
        <v>8163</v>
      </c>
      <c r="D2749" t="s">
        <v>20</v>
      </c>
      <c r="E2749" t="s">
        <v>11</v>
      </c>
      <c r="F2749">
        <v>913.836</v>
      </c>
      <c r="G2749">
        <v>18</v>
      </c>
      <c r="L2749" t="s">
        <v>8164</v>
      </c>
      <c r="O2749" t="s">
        <v>8165</v>
      </c>
    </row>
    <row r="2750" spans="1:15" x14ac:dyDescent="0.25">
      <c r="A2750" t="s">
        <v>18</v>
      </c>
      <c r="B2750" t="s">
        <v>8164</v>
      </c>
      <c r="C2750" t="s">
        <v>8166</v>
      </c>
      <c r="D2750" t="s">
        <v>20</v>
      </c>
      <c r="E2750" t="s">
        <v>11</v>
      </c>
      <c r="F2750">
        <v>701.316</v>
      </c>
      <c r="G2750">
        <v>18</v>
      </c>
      <c r="L2750" t="s">
        <v>8167</v>
      </c>
      <c r="O2750" t="s">
        <v>8168</v>
      </c>
    </row>
    <row r="2751" spans="1:15" x14ac:dyDescent="0.25">
      <c r="A2751" t="s">
        <v>18</v>
      </c>
      <c r="B2751" t="s">
        <v>8167</v>
      </c>
      <c r="C2751" t="s">
        <v>8169</v>
      </c>
      <c r="D2751" t="s">
        <v>20</v>
      </c>
      <c r="E2751" t="s">
        <v>11</v>
      </c>
      <c r="F2751">
        <v>391.64399999999995</v>
      </c>
      <c r="G2751">
        <v>18</v>
      </c>
      <c r="L2751" t="s">
        <v>8170</v>
      </c>
      <c r="O2751" t="s">
        <v>8171</v>
      </c>
    </row>
    <row r="2752" spans="1:15" x14ac:dyDescent="0.25">
      <c r="A2752" t="s">
        <v>18</v>
      </c>
      <c r="B2752" t="s">
        <v>8170</v>
      </c>
      <c r="C2752" t="s">
        <v>8172</v>
      </c>
      <c r="D2752" t="s">
        <v>20</v>
      </c>
      <c r="E2752" t="s">
        <v>11</v>
      </c>
      <c r="F2752">
        <v>456.918</v>
      </c>
      <c r="G2752">
        <v>18</v>
      </c>
      <c r="L2752" t="s">
        <v>8173</v>
      </c>
      <c r="O2752" t="s">
        <v>8174</v>
      </c>
    </row>
    <row r="2753" spans="1:15" x14ac:dyDescent="0.25">
      <c r="A2753" t="s">
        <v>18</v>
      </c>
      <c r="B2753" t="s">
        <v>8173</v>
      </c>
      <c r="C2753" t="s">
        <v>8175</v>
      </c>
      <c r="D2753" t="s">
        <v>20</v>
      </c>
      <c r="E2753" t="s">
        <v>11</v>
      </c>
      <c r="F2753">
        <v>652.74</v>
      </c>
      <c r="G2753">
        <v>18</v>
      </c>
      <c r="L2753" t="s">
        <v>8176</v>
      </c>
      <c r="O2753" t="s">
        <v>8177</v>
      </c>
    </row>
    <row r="2754" spans="1:15" x14ac:dyDescent="0.25">
      <c r="A2754" t="s">
        <v>18</v>
      </c>
      <c r="B2754" t="s">
        <v>8176</v>
      </c>
      <c r="C2754" t="s">
        <v>8178</v>
      </c>
      <c r="D2754" t="s">
        <v>20</v>
      </c>
      <c r="E2754" t="s">
        <v>11</v>
      </c>
      <c r="F2754">
        <v>1370.754</v>
      </c>
      <c r="G2754">
        <v>18</v>
      </c>
      <c r="L2754" t="s">
        <v>8179</v>
      </c>
      <c r="O2754" t="s">
        <v>8180</v>
      </c>
    </row>
    <row r="2755" spans="1:15" x14ac:dyDescent="0.25">
      <c r="A2755" t="s">
        <v>18</v>
      </c>
      <c r="B2755" t="s">
        <v>8179</v>
      </c>
      <c r="C2755" t="s">
        <v>8181</v>
      </c>
      <c r="D2755" t="s">
        <v>20</v>
      </c>
      <c r="E2755" t="s">
        <v>11</v>
      </c>
      <c r="F2755">
        <v>783.2879999999999</v>
      </c>
      <c r="G2755">
        <v>18</v>
      </c>
      <c r="L2755" t="s">
        <v>8182</v>
      </c>
      <c r="O2755" t="s">
        <v>8183</v>
      </c>
    </row>
    <row r="2756" spans="1:15" x14ac:dyDescent="0.25">
      <c r="A2756" t="s">
        <v>18</v>
      </c>
      <c r="B2756" t="s">
        <v>8182</v>
      </c>
      <c r="C2756" t="s">
        <v>8184</v>
      </c>
      <c r="D2756" t="s">
        <v>20</v>
      </c>
      <c r="E2756" t="s">
        <v>11</v>
      </c>
      <c r="F2756">
        <v>783.2879999999999</v>
      </c>
      <c r="G2756">
        <v>18</v>
      </c>
      <c r="L2756" t="s">
        <v>8185</v>
      </c>
      <c r="O2756" t="s">
        <v>8186</v>
      </c>
    </row>
    <row r="2757" spans="1:15" x14ac:dyDescent="0.25">
      <c r="A2757" t="s">
        <v>18</v>
      </c>
      <c r="B2757" t="s">
        <v>8185</v>
      </c>
      <c r="C2757" t="s">
        <v>8187</v>
      </c>
      <c r="D2757" t="s">
        <v>20</v>
      </c>
      <c r="E2757" t="s">
        <v>11</v>
      </c>
      <c r="F2757">
        <v>15600.486</v>
      </c>
      <c r="G2757">
        <v>18</v>
      </c>
      <c r="L2757" t="s">
        <v>8188</v>
      </c>
      <c r="O2757" t="s">
        <v>8189</v>
      </c>
    </row>
    <row r="2758" spans="1:15" x14ac:dyDescent="0.25">
      <c r="A2758" t="s">
        <v>18</v>
      </c>
      <c r="B2758" t="s">
        <v>8188</v>
      </c>
      <c r="C2758" t="s">
        <v>8190</v>
      </c>
      <c r="D2758" t="s">
        <v>20</v>
      </c>
      <c r="E2758" t="s">
        <v>11</v>
      </c>
      <c r="F2758">
        <v>15861.581999999999</v>
      </c>
      <c r="G2758">
        <v>18</v>
      </c>
      <c r="L2758" t="s">
        <v>8191</v>
      </c>
      <c r="O2758" t="s">
        <v>8192</v>
      </c>
    </row>
    <row r="2759" spans="1:15" x14ac:dyDescent="0.25">
      <c r="A2759" t="s">
        <v>18</v>
      </c>
      <c r="B2759" t="s">
        <v>8191</v>
      </c>
      <c r="C2759" t="s">
        <v>8193</v>
      </c>
      <c r="D2759" t="s">
        <v>20</v>
      </c>
      <c r="E2759" t="s">
        <v>11</v>
      </c>
      <c r="F2759">
        <v>8681.442000000001</v>
      </c>
      <c r="G2759">
        <v>18</v>
      </c>
      <c r="L2759" t="s">
        <v>8194</v>
      </c>
      <c r="O2759" t="s">
        <v>8195</v>
      </c>
    </row>
    <row r="2760" spans="1:15" x14ac:dyDescent="0.25">
      <c r="A2760" t="s">
        <v>18</v>
      </c>
      <c r="B2760" t="s">
        <v>8194</v>
      </c>
      <c r="C2760" t="s">
        <v>8196</v>
      </c>
      <c r="D2760" t="s">
        <v>20</v>
      </c>
      <c r="E2760" t="s">
        <v>11</v>
      </c>
      <c r="F2760">
        <v>3655.344</v>
      </c>
      <c r="G2760">
        <v>18</v>
      </c>
      <c r="L2760" t="s">
        <v>8197</v>
      </c>
      <c r="O2760" t="s">
        <v>8198</v>
      </c>
    </row>
    <row r="2761" spans="1:15" x14ac:dyDescent="0.25">
      <c r="A2761" t="s">
        <v>18</v>
      </c>
      <c r="B2761" t="s">
        <v>8197</v>
      </c>
      <c r="C2761" t="s">
        <v>8199</v>
      </c>
      <c r="D2761" t="s">
        <v>20</v>
      </c>
      <c r="E2761" t="s">
        <v>11</v>
      </c>
      <c r="F2761">
        <v>4046.988</v>
      </c>
      <c r="G2761">
        <v>18</v>
      </c>
      <c r="L2761" t="s">
        <v>8200</v>
      </c>
      <c r="O2761" t="s">
        <v>8201</v>
      </c>
    </row>
    <row r="2762" spans="1:15" x14ac:dyDescent="0.25">
      <c r="A2762" t="s">
        <v>18</v>
      </c>
      <c r="B2762" t="s">
        <v>8200</v>
      </c>
      <c r="C2762" t="s">
        <v>8202</v>
      </c>
      <c r="D2762" t="s">
        <v>20</v>
      </c>
      <c r="E2762" t="s">
        <v>11</v>
      </c>
      <c r="F2762">
        <v>2349.8639999999996</v>
      </c>
      <c r="G2762">
        <v>18</v>
      </c>
      <c r="L2762" t="s">
        <v>8203</v>
      </c>
      <c r="O2762" t="s">
        <v>8204</v>
      </c>
    </row>
    <row r="2763" spans="1:15" x14ac:dyDescent="0.25">
      <c r="A2763" t="s">
        <v>18</v>
      </c>
      <c r="B2763" t="s">
        <v>8203</v>
      </c>
      <c r="C2763" t="s">
        <v>8205</v>
      </c>
      <c r="D2763" t="s">
        <v>20</v>
      </c>
      <c r="E2763" t="s">
        <v>11</v>
      </c>
      <c r="F2763">
        <v>913.836</v>
      </c>
      <c r="G2763">
        <v>18</v>
      </c>
      <c r="L2763" t="s">
        <v>8206</v>
      </c>
      <c r="O2763" t="s">
        <v>8207</v>
      </c>
    </row>
    <row r="2764" spans="1:15" x14ac:dyDescent="0.25">
      <c r="A2764" t="s">
        <v>18</v>
      </c>
      <c r="B2764" t="s">
        <v>8206</v>
      </c>
      <c r="C2764" t="s">
        <v>8208</v>
      </c>
      <c r="D2764" t="s">
        <v>20</v>
      </c>
      <c r="E2764" t="s">
        <v>11</v>
      </c>
      <c r="F2764">
        <v>391.64399999999995</v>
      </c>
      <c r="G2764">
        <v>18</v>
      </c>
      <c r="L2764" t="s">
        <v>8209</v>
      </c>
      <c r="O2764" t="s">
        <v>8210</v>
      </c>
    </row>
    <row r="2765" spans="1:15" x14ac:dyDescent="0.25">
      <c r="A2765" t="s">
        <v>18</v>
      </c>
      <c r="B2765" t="s">
        <v>8209</v>
      </c>
      <c r="C2765" t="s">
        <v>8211</v>
      </c>
      <c r="D2765" t="s">
        <v>20</v>
      </c>
      <c r="E2765" t="s">
        <v>11</v>
      </c>
      <c r="F2765">
        <v>6070.482</v>
      </c>
      <c r="G2765">
        <v>18</v>
      </c>
      <c r="L2765" t="s">
        <v>8212</v>
      </c>
      <c r="O2765" t="s">
        <v>8213</v>
      </c>
    </row>
    <row r="2766" spans="1:15" x14ac:dyDescent="0.25">
      <c r="A2766" t="s">
        <v>18</v>
      </c>
      <c r="B2766" t="s">
        <v>8212</v>
      </c>
      <c r="C2766" t="s">
        <v>8214</v>
      </c>
      <c r="D2766" t="s">
        <v>20</v>
      </c>
      <c r="E2766" t="s">
        <v>11</v>
      </c>
      <c r="F2766">
        <v>1109.658</v>
      </c>
      <c r="G2766">
        <v>18</v>
      </c>
      <c r="L2766" t="s">
        <v>8215</v>
      </c>
      <c r="O2766" t="s">
        <v>8216</v>
      </c>
    </row>
    <row r="2767" spans="1:15" x14ac:dyDescent="0.25">
      <c r="A2767" t="s">
        <v>18</v>
      </c>
      <c r="B2767" t="s">
        <v>8215</v>
      </c>
      <c r="C2767" t="s">
        <v>8217</v>
      </c>
      <c r="D2767" t="s">
        <v>20</v>
      </c>
      <c r="E2767" t="s">
        <v>11</v>
      </c>
      <c r="F2767">
        <v>1566.5759999999998</v>
      </c>
      <c r="G2767">
        <v>18</v>
      </c>
      <c r="L2767" t="s">
        <v>8218</v>
      </c>
      <c r="O2767" t="s">
        <v>8219</v>
      </c>
    </row>
    <row r="2768" spans="1:15" x14ac:dyDescent="0.25">
      <c r="A2768" t="s">
        <v>18</v>
      </c>
      <c r="B2768" t="s">
        <v>8218</v>
      </c>
      <c r="C2768" t="s">
        <v>8220</v>
      </c>
      <c r="D2768" t="s">
        <v>20</v>
      </c>
      <c r="E2768" t="s">
        <v>11</v>
      </c>
      <c r="F2768">
        <v>1305.48</v>
      </c>
      <c r="G2768">
        <v>18</v>
      </c>
      <c r="L2768" t="s">
        <v>8221</v>
      </c>
      <c r="O2768" t="s">
        <v>8222</v>
      </c>
    </row>
    <row r="2769" spans="1:15" x14ac:dyDescent="0.25">
      <c r="A2769" t="s">
        <v>18</v>
      </c>
      <c r="B2769" t="s">
        <v>8221</v>
      </c>
      <c r="C2769" t="s">
        <v>8223</v>
      </c>
      <c r="D2769" t="s">
        <v>20</v>
      </c>
      <c r="E2769" t="s">
        <v>11</v>
      </c>
      <c r="F2769">
        <v>783.2879999999999</v>
      </c>
      <c r="G2769">
        <v>18</v>
      </c>
      <c r="L2769" t="s">
        <v>8224</v>
      </c>
      <c r="O2769" t="s">
        <v>8225</v>
      </c>
    </row>
    <row r="2770" spans="1:15" x14ac:dyDescent="0.25">
      <c r="A2770" t="s">
        <v>18</v>
      </c>
      <c r="B2770" t="s">
        <v>8224</v>
      </c>
      <c r="C2770" t="s">
        <v>8226</v>
      </c>
      <c r="D2770" t="s">
        <v>20</v>
      </c>
      <c r="E2770" t="s">
        <v>11</v>
      </c>
      <c r="F2770">
        <v>587.4659999999999</v>
      </c>
      <c r="G2770">
        <v>18</v>
      </c>
      <c r="L2770" t="s">
        <v>8227</v>
      </c>
      <c r="O2770" t="s">
        <v>8228</v>
      </c>
    </row>
    <row r="2771" spans="1:15" x14ac:dyDescent="0.25">
      <c r="A2771" t="s">
        <v>18</v>
      </c>
      <c r="B2771" t="s">
        <v>8227</v>
      </c>
      <c r="C2771" t="s">
        <v>8229</v>
      </c>
      <c r="D2771" t="s">
        <v>20</v>
      </c>
      <c r="E2771" t="s">
        <v>11</v>
      </c>
      <c r="F2771">
        <v>29503.848</v>
      </c>
      <c r="G2771">
        <v>18</v>
      </c>
      <c r="L2771" t="s">
        <v>8230</v>
      </c>
      <c r="O2771" t="s">
        <v>8231</v>
      </c>
    </row>
    <row r="2772" spans="1:15" x14ac:dyDescent="0.25">
      <c r="A2772" t="s">
        <v>18</v>
      </c>
      <c r="B2772" t="s">
        <v>8230</v>
      </c>
      <c r="C2772" t="s">
        <v>8232</v>
      </c>
      <c r="D2772" t="s">
        <v>20</v>
      </c>
      <c r="E2772" t="s">
        <v>11</v>
      </c>
      <c r="F2772">
        <v>42101.73</v>
      </c>
      <c r="G2772">
        <v>18</v>
      </c>
      <c r="L2772" t="s">
        <v>8233</v>
      </c>
      <c r="O2772" t="s">
        <v>8234</v>
      </c>
    </row>
    <row r="2773" spans="1:15" x14ac:dyDescent="0.25">
      <c r="A2773" t="s">
        <v>18</v>
      </c>
      <c r="B2773" t="s">
        <v>8233</v>
      </c>
      <c r="C2773" t="s">
        <v>8235</v>
      </c>
      <c r="D2773" t="s">
        <v>20</v>
      </c>
      <c r="E2773" t="s">
        <v>11</v>
      </c>
      <c r="F2773">
        <v>652.74</v>
      </c>
      <c r="G2773">
        <v>18</v>
      </c>
      <c r="L2773" t="s">
        <v>8236</v>
      </c>
      <c r="O2773" t="s">
        <v>8237</v>
      </c>
    </row>
    <row r="2774" spans="1:15" x14ac:dyDescent="0.25">
      <c r="A2774" t="s">
        <v>18</v>
      </c>
      <c r="B2774" t="s">
        <v>8236</v>
      </c>
      <c r="C2774" t="s">
        <v>8238</v>
      </c>
      <c r="D2774" t="s">
        <v>20</v>
      </c>
      <c r="E2774" t="s">
        <v>11</v>
      </c>
      <c r="F2774">
        <v>718.014</v>
      </c>
      <c r="G2774">
        <v>18</v>
      </c>
      <c r="L2774" t="s">
        <v>8239</v>
      </c>
      <c r="O2774" t="s">
        <v>8240</v>
      </c>
    </row>
    <row r="2775" spans="1:15" x14ac:dyDescent="0.25">
      <c r="A2775" t="s">
        <v>18</v>
      </c>
      <c r="B2775" t="s">
        <v>8239</v>
      </c>
      <c r="C2775" t="s">
        <v>8241</v>
      </c>
      <c r="D2775" t="s">
        <v>20</v>
      </c>
      <c r="E2775" t="s">
        <v>11</v>
      </c>
      <c r="F2775">
        <v>6135.755999999999</v>
      </c>
      <c r="G2775">
        <v>18</v>
      </c>
      <c r="L2775" t="s">
        <v>8242</v>
      </c>
      <c r="O2775" t="s">
        <v>8243</v>
      </c>
    </row>
    <row r="2776" spans="1:15" x14ac:dyDescent="0.25">
      <c r="A2776" t="s">
        <v>18</v>
      </c>
      <c r="B2776" t="s">
        <v>8242</v>
      </c>
      <c r="C2776" t="s">
        <v>8244</v>
      </c>
      <c r="D2776" t="s">
        <v>20</v>
      </c>
      <c r="E2776" t="s">
        <v>11</v>
      </c>
      <c r="F2776">
        <v>1109.658</v>
      </c>
      <c r="G2776">
        <v>18</v>
      </c>
      <c r="L2776" t="s">
        <v>8245</v>
      </c>
      <c r="O2776" t="s">
        <v>8246</v>
      </c>
    </row>
    <row r="2777" spans="1:15" x14ac:dyDescent="0.25">
      <c r="A2777" t="s">
        <v>18</v>
      </c>
      <c r="B2777" t="s">
        <v>8245</v>
      </c>
      <c r="C2777" t="s">
        <v>8247</v>
      </c>
      <c r="D2777" t="s">
        <v>20</v>
      </c>
      <c r="E2777" t="s">
        <v>11</v>
      </c>
      <c r="F2777">
        <v>1109.658</v>
      </c>
      <c r="G2777">
        <v>18</v>
      </c>
      <c r="L2777" t="s">
        <v>8248</v>
      </c>
      <c r="O2777" t="s">
        <v>8249</v>
      </c>
    </row>
    <row r="2778" spans="1:15" x14ac:dyDescent="0.25">
      <c r="A2778" t="s">
        <v>18</v>
      </c>
      <c r="B2778" t="s">
        <v>8248</v>
      </c>
      <c r="C2778" t="s">
        <v>8250</v>
      </c>
      <c r="D2778" t="s">
        <v>20</v>
      </c>
      <c r="E2778" t="s">
        <v>11</v>
      </c>
      <c r="F2778">
        <v>2154.042</v>
      </c>
      <c r="G2778">
        <v>18</v>
      </c>
      <c r="L2778" t="s">
        <v>8251</v>
      </c>
      <c r="O2778" t="s">
        <v>8252</v>
      </c>
    </row>
    <row r="2779" spans="1:15" x14ac:dyDescent="0.25">
      <c r="A2779" t="s">
        <v>18</v>
      </c>
      <c r="B2779" t="s">
        <v>8251</v>
      </c>
      <c r="C2779" t="s">
        <v>8253</v>
      </c>
      <c r="D2779" t="s">
        <v>20</v>
      </c>
      <c r="E2779" t="s">
        <v>11</v>
      </c>
      <c r="F2779">
        <v>4503.906</v>
      </c>
      <c r="G2779">
        <v>18</v>
      </c>
      <c r="L2779" t="s">
        <v>8254</v>
      </c>
      <c r="O2779" t="s">
        <v>8255</v>
      </c>
    </row>
    <row r="2780" spans="1:15" x14ac:dyDescent="0.25">
      <c r="A2780" t="s">
        <v>18</v>
      </c>
      <c r="B2780" t="s">
        <v>8254</v>
      </c>
      <c r="C2780" t="s">
        <v>8256</v>
      </c>
      <c r="D2780" t="s">
        <v>20</v>
      </c>
      <c r="E2780" t="s">
        <v>11</v>
      </c>
      <c r="F2780">
        <v>1697.1239999999998</v>
      </c>
      <c r="G2780">
        <v>18</v>
      </c>
      <c r="L2780" t="s">
        <v>8257</v>
      </c>
      <c r="O2780" t="s">
        <v>8258</v>
      </c>
    </row>
    <row r="2781" spans="1:15" x14ac:dyDescent="0.25">
      <c r="A2781" t="s">
        <v>18</v>
      </c>
      <c r="B2781" t="s">
        <v>8257</v>
      </c>
      <c r="C2781" t="s">
        <v>8259</v>
      </c>
      <c r="D2781" t="s">
        <v>20</v>
      </c>
      <c r="E2781" t="s">
        <v>11</v>
      </c>
      <c r="F2781">
        <v>4308.084</v>
      </c>
      <c r="G2781">
        <v>18</v>
      </c>
      <c r="L2781" t="s">
        <v>8260</v>
      </c>
      <c r="O2781" t="s">
        <v>8261</v>
      </c>
    </row>
    <row r="2782" spans="1:15" x14ac:dyDescent="0.25">
      <c r="A2782" t="s">
        <v>18</v>
      </c>
      <c r="B2782" t="s">
        <v>8260</v>
      </c>
      <c r="C2782" t="s">
        <v>8262</v>
      </c>
      <c r="D2782" t="s">
        <v>20</v>
      </c>
      <c r="E2782" t="s">
        <v>11</v>
      </c>
      <c r="F2782">
        <v>1109.658</v>
      </c>
      <c r="G2782">
        <v>18</v>
      </c>
      <c r="L2782" t="s">
        <v>8263</v>
      </c>
      <c r="O2782" t="s">
        <v>8264</v>
      </c>
    </row>
    <row r="2783" spans="1:15" x14ac:dyDescent="0.25">
      <c r="A2783" t="s">
        <v>18</v>
      </c>
      <c r="B2783" t="s">
        <v>8263</v>
      </c>
      <c r="C2783" t="s">
        <v>8265</v>
      </c>
      <c r="D2783" t="s">
        <v>20</v>
      </c>
      <c r="E2783" t="s">
        <v>11</v>
      </c>
      <c r="F2783">
        <v>1566.5759999999998</v>
      </c>
      <c r="G2783">
        <v>18</v>
      </c>
      <c r="L2783" t="s">
        <v>8266</v>
      </c>
      <c r="O2783" t="s">
        <v>8267</v>
      </c>
    </row>
    <row r="2784" spans="1:15" x14ac:dyDescent="0.25">
      <c r="A2784" t="s">
        <v>18</v>
      </c>
      <c r="B2784" t="s">
        <v>8266</v>
      </c>
      <c r="C2784" t="s">
        <v>8268</v>
      </c>
      <c r="D2784" t="s">
        <v>20</v>
      </c>
      <c r="E2784" t="s">
        <v>11</v>
      </c>
      <c r="F2784">
        <v>3263.7</v>
      </c>
      <c r="G2784">
        <v>18</v>
      </c>
      <c r="L2784" t="s">
        <v>8269</v>
      </c>
      <c r="O2784" t="s">
        <v>8270</v>
      </c>
    </row>
    <row r="2785" spans="1:15" x14ac:dyDescent="0.25">
      <c r="A2785" t="s">
        <v>18</v>
      </c>
      <c r="B2785" t="s">
        <v>8269</v>
      </c>
      <c r="C2785" t="s">
        <v>8271</v>
      </c>
      <c r="D2785" t="s">
        <v>20</v>
      </c>
      <c r="E2785" t="s">
        <v>11</v>
      </c>
      <c r="F2785">
        <v>130.548</v>
      </c>
      <c r="G2785">
        <v>18</v>
      </c>
      <c r="L2785" t="s">
        <v>8272</v>
      </c>
      <c r="O2785" t="s">
        <v>8273</v>
      </c>
    </row>
    <row r="2786" spans="1:15" x14ac:dyDescent="0.25">
      <c r="A2786" t="s">
        <v>18</v>
      </c>
      <c r="B2786" t="s">
        <v>8272</v>
      </c>
      <c r="C2786" t="s">
        <v>8274</v>
      </c>
      <c r="D2786" t="s">
        <v>20</v>
      </c>
      <c r="E2786" t="s">
        <v>11</v>
      </c>
      <c r="F2786">
        <v>20561.309999999998</v>
      </c>
      <c r="G2786">
        <v>18</v>
      </c>
      <c r="L2786" t="s">
        <v>8275</v>
      </c>
      <c r="O2786" t="s">
        <v>8276</v>
      </c>
    </row>
    <row r="2787" spans="1:15" x14ac:dyDescent="0.25">
      <c r="A2787" t="s">
        <v>18</v>
      </c>
      <c r="B2787" t="s">
        <v>8275</v>
      </c>
      <c r="C2787" t="s">
        <v>8277</v>
      </c>
      <c r="D2787" t="s">
        <v>20</v>
      </c>
      <c r="E2787" t="s">
        <v>11</v>
      </c>
      <c r="F2787">
        <v>9595.278</v>
      </c>
      <c r="G2787">
        <v>18</v>
      </c>
      <c r="L2787" t="s">
        <v>8278</v>
      </c>
      <c r="O2787" t="s">
        <v>8279</v>
      </c>
    </row>
    <row r="2788" spans="1:15" x14ac:dyDescent="0.25">
      <c r="A2788" t="s">
        <v>18</v>
      </c>
      <c r="B2788" t="s">
        <v>8278</v>
      </c>
      <c r="C2788" t="s">
        <v>8280</v>
      </c>
      <c r="D2788" t="s">
        <v>20</v>
      </c>
      <c r="E2788" t="s">
        <v>11</v>
      </c>
      <c r="F2788">
        <v>18994.733999999997</v>
      </c>
      <c r="G2788">
        <v>18</v>
      </c>
      <c r="L2788" t="s">
        <v>8281</v>
      </c>
      <c r="O2788" t="s">
        <v>8282</v>
      </c>
    </row>
    <row r="2789" spans="1:15" x14ac:dyDescent="0.25">
      <c r="A2789" t="s">
        <v>18</v>
      </c>
      <c r="B2789" t="s">
        <v>8281</v>
      </c>
      <c r="C2789" t="s">
        <v>8283</v>
      </c>
      <c r="D2789" t="s">
        <v>20</v>
      </c>
      <c r="E2789" t="s">
        <v>11</v>
      </c>
      <c r="F2789">
        <v>16057.403999999999</v>
      </c>
      <c r="G2789">
        <v>18</v>
      </c>
      <c r="L2789" t="s">
        <v>8284</v>
      </c>
      <c r="O2789" t="s">
        <v>8285</v>
      </c>
    </row>
    <row r="2790" spans="1:15" x14ac:dyDescent="0.25">
      <c r="A2790" t="s">
        <v>18</v>
      </c>
      <c r="B2790" t="s">
        <v>8284</v>
      </c>
      <c r="C2790" t="s">
        <v>8286</v>
      </c>
      <c r="D2790" t="s">
        <v>20</v>
      </c>
      <c r="E2790" t="s">
        <v>11</v>
      </c>
      <c r="F2790">
        <v>48955.5</v>
      </c>
      <c r="G2790">
        <v>18</v>
      </c>
      <c r="L2790" t="s">
        <v>8287</v>
      </c>
      <c r="O2790" t="s">
        <v>8288</v>
      </c>
    </row>
    <row r="2791" spans="1:15" x14ac:dyDescent="0.25">
      <c r="A2791" t="s">
        <v>18</v>
      </c>
      <c r="B2791" t="s">
        <v>8287</v>
      </c>
      <c r="C2791" t="s">
        <v>8289</v>
      </c>
      <c r="D2791" t="s">
        <v>20</v>
      </c>
      <c r="E2791" t="s">
        <v>11</v>
      </c>
      <c r="F2791">
        <v>3328.9739999999997</v>
      </c>
      <c r="G2791">
        <v>18</v>
      </c>
      <c r="L2791" t="s">
        <v>8290</v>
      </c>
      <c r="O2791" t="s">
        <v>8291</v>
      </c>
    </row>
    <row r="2792" spans="1:15" x14ac:dyDescent="0.25">
      <c r="A2792" t="s">
        <v>18</v>
      </c>
      <c r="B2792" t="s">
        <v>8290</v>
      </c>
      <c r="C2792" t="s">
        <v>8292</v>
      </c>
      <c r="D2792" t="s">
        <v>20</v>
      </c>
      <c r="E2792" t="s">
        <v>11</v>
      </c>
      <c r="F2792">
        <v>195.82199999999997</v>
      </c>
      <c r="G2792">
        <v>18</v>
      </c>
      <c r="L2792" t="s">
        <v>8293</v>
      </c>
      <c r="O2792" t="s">
        <v>8294</v>
      </c>
    </row>
    <row r="2793" spans="1:15" x14ac:dyDescent="0.25">
      <c r="A2793" t="s">
        <v>18</v>
      </c>
      <c r="B2793" t="s">
        <v>8293</v>
      </c>
      <c r="C2793" t="s">
        <v>8295</v>
      </c>
      <c r="D2793" t="s">
        <v>20</v>
      </c>
      <c r="E2793" t="s">
        <v>11</v>
      </c>
      <c r="F2793">
        <v>130.548</v>
      </c>
      <c r="G2793">
        <v>18</v>
      </c>
      <c r="L2793" t="s">
        <v>8296</v>
      </c>
      <c r="O2793" t="s">
        <v>8297</v>
      </c>
    </row>
    <row r="2794" spans="1:15" x14ac:dyDescent="0.25">
      <c r="A2794" t="s">
        <v>18</v>
      </c>
      <c r="B2794" t="s">
        <v>8296</v>
      </c>
      <c r="C2794" t="s">
        <v>8298</v>
      </c>
      <c r="D2794" t="s">
        <v>20</v>
      </c>
      <c r="E2794" t="s">
        <v>11</v>
      </c>
      <c r="F2794">
        <v>326.37</v>
      </c>
      <c r="G2794">
        <v>18</v>
      </c>
      <c r="L2794" t="s">
        <v>8299</v>
      </c>
      <c r="O2794" t="s">
        <v>8300</v>
      </c>
    </row>
    <row r="2795" spans="1:15" x14ac:dyDescent="0.25">
      <c r="A2795" t="s">
        <v>18</v>
      </c>
      <c r="B2795" t="s">
        <v>8299</v>
      </c>
      <c r="C2795" t="s">
        <v>8301</v>
      </c>
      <c r="D2795" t="s">
        <v>20</v>
      </c>
      <c r="E2795" t="s">
        <v>11</v>
      </c>
      <c r="F2795">
        <v>1566.5759999999998</v>
      </c>
      <c r="G2795">
        <v>18</v>
      </c>
      <c r="L2795" t="s">
        <v>8302</v>
      </c>
      <c r="O2795" t="s">
        <v>8303</v>
      </c>
    </row>
    <row r="2796" spans="1:15" x14ac:dyDescent="0.25">
      <c r="A2796" t="s">
        <v>18</v>
      </c>
      <c r="B2796" t="s">
        <v>8302</v>
      </c>
      <c r="C2796" t="s">
        <v>8304</v>
      </c>
      <c r="D2796" t="s">
        <v>20</v>
      </c>
      <c r="E2796" t="s">
        <v>11</v>
      </c>
      <c r="F2796">
        <v>12597.882</v>
      </c>
      <c r="G2796">
        <v>18</v>
      </c>
      <c r="L2796" t="s">
        <v>8305</v>
      </c>
      <c r="O2796" t="s">
        <v>8306</v>
      </c>
    </row>
    <row r="2797" spans="1:15" x14ac:dyDescent="0.25">
      <c r="A2797" t="s">
        <v>18</v>
      </c>
      <c r="B2797" t="s">
        <v>8305</v>
      </c>
      <c r="C2797" t="s">
        <v>8307</v>
      </c>
      <c r="D2797" t="s">
        <v>20</v>
      </c>
      <c r="E2797" t="s">
        <v>11</v>
      </c>
      <c r="F2797">
        <v>261.096</v>
      </c>
      <c r="G2797">
        <v>18</v>
      </c>
      <c r="L2797" t="s">
        <v>8308</v>
      </c>
      <c r="O2797" t="s">
        <v>8309</v>
      </c>
    </row>
    <row r="2798" spans="1:15" x14ac:dyDescent="0.25">
      <c r="A2798" t="s">
        <v>18</v>
      </c>
      <c r="B2798" t="s">
        <v>8308</v>
      </c>
      <c r="C2798" t="s">
        <v>8310</v>
      </c>
      <c r="D2798" t="s">
        <v>20</v>
      </c>
      <c r="E2798" t="s">
        <v>11</v>
      </c>
      <c r="F2798">
        <v>3328.9739999999997</v>
      </c>
      <c r="G2798">
        <v>18</v>
      </c>
      <c r="L2798" t="s">
        <v>8311</v>
      </c>
      <c r="O2798" t="s">
        <v>8312</v>
      </c>
    </row>
    <row r="2799" spans="1:15" x14ac:dyDescent="0.25">
      <c r="A2799" t="s">
        <v>18</v>
      </c>
      <c r="B2799" t="s">
        <v>8311</v>
      </c>
      <c r="C2799" t="s">
        <v>8313</v>
      </c>
      <c r="D2799" t="s">
        <v>20</v>
      </c>
      <c r="E2799" t="s">
        <v>11</v>
      </c>
      <c r="F2799">
        <v>3655.344</v>
      </c>
      <c r="G2799">
        <v>18</v>
      </c>
      <c r="L2799" t="s">
        <v>8314</v>
      </c>
      <c r="O2799" t="s">
        <v>8315</v>
      </c>
    </row>
    <row r="2800" spans="1:15" x14ac:dyDescent="0.25">
      <c r="A2800" t="s">
        <v>18</v>
      </c>
      <c r="B2800" t="s">
        <v>8314</v>
      </c>
      <c r="C2800" t="s">
        <v>8316</v>
      </c>
      <c r="D2800" t="s">
        <v>20</v>
      </c>
      <c r="E2800" t="s">
        <v>11</v>
      </c>
      <c r="F2800">
        <v>1174.9319999999998</v>
      </c>
      <c r="G2800">
        <v>18</v>
      </c>
      <c r="L2800" t="s">
        <v>8317</v>
      </c>
      <c r="O2800" t="s">
        <v>8318</v>
      </c>
    </row>
    <row r="2801" spans="1:15" x14ac:dyDescent="0.25">
      <c r="A2801" t="s">
        <v>18</v>
      </c>
      <c r="B2801" t="s">
        <v>8317</v>
      </c>
      <c r="C2801" t="s">
        <v>8319</v>
      </c>
      <c r="D2801" t="s">
        <v>20</v>
      </c>
      <c r="E2801" t="s">
        <v>11</v>
      </c>
      <c r="F2801">
        <v>1697.1239999999998</v>
      </c>
      <c r="G2801">
        <v>18</v>
      </c>
      <c r="L2801" t="s">
        <v>8320</v>
      </c>
      <c r="O2801" t="s">
        <v>8321</v>
      </c>
    </row>
    <row r="2802" spans="1:15" x14ac:dyDescent="0.25">
      <c r="A2802" t="s">
        <v>18</v>
      </c>
      <c r="B2802" t="s">
        <v>8320</v>
      </c>
      <c r="C2802" t="s">
        <v>8322</v>
      </c>
      <c r="D2802" t="s">
        <v>20</v>
      </c>
      <c r="E2802" t="s">
        <v>11</v>
      </c>
      <c r="F2802">
        <v>10835.484</v>
      </c>
      <c r="G2802">
        <v>18</v>
      </c>
      <c r="L2802" t="s">
        <v>8323</v>
      </c>
      <c r="O2802" t="s">
        <v>8324</v>
      </c>
    </row>
    <row r="2803" spans="1:15" x14ac:dyDescent="0.25">
      <c r="A2803" t="s">
        <v>18</v>
      </c>
      <c r="B2803" t="s">
        <v>8323</v>
      </c>
      <c r="C2803" t="s">
        <v>8325</v>
      </c>
      <c r="D2803" t="s">
        <v>20</v>
      </c>
      <c r="E2803" t="s">
        <v>11</v>
      </c>
      <c r="F2803">
        <v>5352.468</v>
      </c>
      <c r="G2803">
        <v>18</v>
      </c>
      <c r="L2803" t="s">
        <v>8326</v>
      </c>
      <c r="O2803" t="s">
        <v>8327</v>
      </c>
    </row>
    <row r="2804" spans="1:15" x14ac:dyDescent="0.25">
      <c r="A2804" t="s">
        <v>18</v>
      </c>
      <c r="B2804" t="s">
        <v>8326</v>
      </c>
      <c r="C2804" t="s">
        <v>8328</v>
      </c>
      <c r="D2804" t="s">
        <v>20</v>
      </c>
      <c r="E2804" t="s">
        <v>11</v>
      </c>
      <c r="F2804">
        <v>16187.952</v>
      </c>
      <c r="G2804">
        <v>18</v>
      </c>
      <c r="L2804" t="s">
        <v>8329</v>
      </c>
      <c r="O2804" t="s">
        <v>8330</v>
      </c>
    </row>
    <row r="2805" spans="1:15" x14ac:dyDescent="0.25">
      <c r="A2805" t="s">
        <v>18</v>
      </c>
      <c r="B2805" t="s">
        <v>8329</v>
      </c>
      <c r="C2805" t="s">
        <v>8331</v>
      </c>
      <c r="D2805" t="s">
        <v>20</v>
      </c>
      <c r="E2805" t="s">
        <v>11</v>
      </c>
      <c r="F2805">
        <v>16579.595999999998</v>
      </c>
      <c r="G2805">
        <v>18</v>
      </c>
      <c r="L2805" t="s">
        <v>8332</v>
      </c>
      <c r="O2805" t="s">
        <v>8333</v>
      </c>
    </row>
    <row r="2806" spans="1:15" x14ac:dyDescent="0.25">
      <c r="A2806" t="s">
        <v>18</v>
      </c>
      <c r="B2806" t="s">
        <v>8332</v>
      </c>
      <c r="C2806" t="s">
        <v>8334</v>
      </c>
      <c r="D2806" t="s">
        <v>20</v>
      </c>
      <c r="E2806" t="s">
        <v>11</v>
      </c>
      <c r="F2806">
        <v>16449.048</v>
      </c>
      <c r="G2806">
        <v>18</v>
      </c>
      <c r="L2806" t="s">
        <v>8335</v>
      </c>
      <c r="O2806" t="s">
        <v>8336</v>
      </c>
    </row>
    <row r="2807" spans="1:15" x14ac:dyDescent="0.25">
      <c r="A2807" t="s">
        <v>18</v>
      </c>
      <c r="B2807" t="s">
        <v>8335</v>
      </c>
      <c r="C2807" t="s">
        <v>8337</v>
      </c>
      <c r="D2807" t="s">
        <v>20</v>
      </c>
      <c r="E2807" t="s">
        <v>11</v>
      </c>
      <c r="F2807">
        <v>12663.155999999999</v>
      </c>
      <c r="G2807">
        <v>18</v>
      </c>
      <c r="L2807" t="s">
        <v>8338</v>
      </c>
      <c r="O2807" t="s">
        <v>8339</v>
      </c>
    </row>
    <row r="2808" spans="1:15" x14ac:dyDescent="0.25">
      <c r="A2808" t="s">
        <v>18</v>
      </c>
      <c r="B2808" t="s">
        <v>8338</v>
      </c>
      <c r="C2808" t="s">
        <v>8340</v>
      </c>
      <c r="D2808" t="s">
        <v>20</v>
      </c>
      <c r="E2808" t="s">
        <v>11</v>
      </c>
      <c r="F2808">
        <v>4634.454</v>
      </c>
      <c r="G2808">
        <v>18</v>
      </c>
      <c r="L2808" t="s">
        <v>8341</v>
      </c>
      <c r="O2808" t="s">
        <v>8342</v>
      </c>
    </row>
    <row r="2809" spans="1:15" x14ac:dyDescent="0.25">
      <c r="A2809" t="s">
        <v>18</v>
      </c>
      <c r="B2809" t="s">
        <v>8341</v>
      </c>
      <c r="C2809" t="s">
        <v>8343</v>
      </c>
      <c r="D2809" t="s">
        <v>20</v>
      </c>
      <c r="E2809" t="s">
        <v>11</v>
      </c>
      <c r="F2809">
        <v>2219.316</v>
      </c>
      <c r="G2809">
        <v>18</v>
      </c>
      <c r="L2809" t="s">
        <v>8344</v>
      </c>
      <c r="O2809" t="s">
        <v>8345</v>
      </c>
    </row>
    <row r="2810" spans="1:15" x14ac:dyDescent="0.25">
      <c r="A2810" t="s">
        <v>18</v>
      </c>
      <c r="B2810" t="s">
        <v>8344</v>
      </c>
      <c r="C2810" t="s">
        <v>8346</v>
      </c>
      <c r="D2810" t="s">
        <v>20</v>
      </c>
      <c r="E2810" t="s">
        <v>11</v>
      </c>
      <c r="F2810">
        <v>587.4659999999999</v>
      </c>
      <c r="G2810">
        <v>18</v>
      </c>
      <c r="L2810" t="s">
        <v>8347</v>
      </c>
      <c r="O2810" t="s">
        <v>8348</v>
      </c>
    </row>
    <row r="2811" spans="1:15" x14ac:dyDescent="0.25">
      <c r="A2811" t="s">
        <v>18</v>
      </c>
      <c r="B2811" t="s">
        <v>8347</v>
      </c>
      <c r="C2811" t="s">
        <v>8349</v>
      </c>
      <c r="D2811" t="s">
        <v>20</v>
      </c>
      <c r="E2811" t="s">
        <v>11</v>
      </c>
      <c r="F2811">
        <v>195.82199999999997</v>
      </c>
      <c r="G2811">
        <v>18</v>
      </c>
      <c r="L2811" t="s">
        <v>8350</v>
      </c>
      <c r="O2811" t="s">
        <v>8351</v>
      </c>
    </row>
    <row r="2812" spans="1:15" x14ac:dyDescent="0.25">
      <c r="A2812" t="s">
        <v>18</v>
      </c>
      <c r="B2812" t="s">
        <v>8350</v>
      </c>
      <c r="C2812" t="s">
        <v>8352</v>
      </c>
      <c r="D2812" t="s">
        <v>20</v>
      </c>
      <c r="E2812" t="s">
        <v>11</v>
      </c>
      <c r="F2812">
        <v>1109.658</v>
      </c>
      <c r="G2812">
        <v>18</v>
      </c>
      <c r="L2812" t="s">
        <v>8353</v>
      </c>
      <c r="O2812" t="s">
        <v>8354</v>
      </c>
    </row>
    <row r="2813" spans="1:15" x14ac:dyDescent="0.25">
      <c r="A2813" t="s">
        <v>18</v>
      </c>
      <c r="B2813" t="s">
        <v>8353</v>
      </c>
      <c r="C2813" t="s">
        <v>8355</v>
      </c>
      <c r="D2813" t="s">
        <v>20</v>
      </c>
      <c r="E2813" t="s">
        <v>11</v>
      </c>
      <c r="F2813">
        <v>2806.7819999999997</v>
      </c>
      <c r="G2813">
        <v>18</v>
      </c>
      <c r="L2813" t="s">
        <v>8356</v>
      </c>
      <c r="O2813" t="s">
        <v>8357</v>
      </c>
    </row>
    <row r="2814" spans="1:15" x14ac:dyDescent="0.25">
      <c r="A2814" t="s">
        <v>18</v>
      </c>
      <c r="B2814" t="s">
        <v>8356</v>
      </c>
      <c r="C2814" t="s">
        <v>8358</v>
      </c>
      <c r="D2814" t="s">
        <v>20</v>
      </c>
      <c r="E2814" t="s">
        <v>11</v>
      </c>
      <c r="F2814">
        <v>2937.3300000000004</v>
      </c>
      <c r="G2814">
        <v>18</v>
      </c>
      <c r="L2814" t="s">
        <v>8359</v>
      </c>
      <c r="O2814" t="s">
        <v>8360</v>
      </c>
    </row>
    <row r="2815" spans="1:15" x14ac:dyDescent="0.25">
      <c r="A2815" t="s">
        <v>18</v>
      </c>
      <c r="B2815" t="s">
        <v>8359</v>
      </c>
      <c r="C2815" t="s">
        <v>8361</v>
      </c>
      <c r="D2815" t="s">
        <v>20</v>
      </c>
      <c r="E2815" t="s">
        <v>11</v>
      </c>
      <c r="F2815">
        <v>1566.5759999999998</v>
      </c>
      <c r="G2815">
        <v>18</v>
      </c>
      <c r="L2815" t="s">
        <v>8362</v>
      </c>
      <c r="O2815" t="s">
        <v>8363</v>
      </c>
    </row>
    <row r="2816" spans="1:15" x14ac:dyDescent="0.25">
      <c r="A2816" t="s">
        <v>18</v>
      </c>
      <c r="B2816" t="s">
        <v>8362</v>
      </c>
      <c r="C2816" t="s">
        <v>8364</v>
      </c>
      <c r="D2816" t="s">
        <v>20</v>
      </c>
      <c r="E2816" t="s">
        <v>11</v>
      </c>
      <c r="F2816">
        <v>13838.087999999998</v>
      </c>
      <c r="G2816">
        <v>18</v>
      </c>
      <c r="L2816" t="s">
        <v>8365</v>
      </c>
      <c r="O2816" t="s">
        <v>8366</v>
      </c>
    </row>
    <row r="2817" spans="1:15" x14ac:dyDescent="0.25">
      <c r="A2817" t="s">
        <v>18</v>
      </c>
      <c r="B2817" t="s">
        <v>8365</v>
      </c>
      <c r="C2817" t="s">
        <v>8367</v>
      </c>
      <c r="D2817" t="s">
        <v>20</v>
      </c>
      <c r="E2817" t="s">
        <v>11</v>
      </c>
      <c r="F2817">
        <v>1697.1239999999998</v>
      </c>
      <c r="G2817">
        <v>18</v>
      </c>
      <c r="L2817" t="s">
        <v>8368</v>
      </c>
      <c r="O2817" t="s">
        <v>8369</v>
      </c>
    </row>
    <row r="2818" spans="1:15" x14ac:dyDescent="0.25">
      <c r="A2818" t="s">
        <v>18</v>
      </c>
      <c r="B2818" t="s">
        <v>8368</v>
      </c>
      <c r="C2818" t="s">
        <v>8370</v>
      </c>
      <c r="D2818" t="s">
        <v>20</v>
      </c>
      <c r="E2818" t="s">
        <v>11</v>
      </c>
      <c r="F2818">
        <v>14947.746</v>
      </c>
      <c r="G2818">
        <v>18</v>
      </c>
      <c r="L2818" t="s">
        <v>8371</v>
      </c>
      <c r="O2818" t="s">
        <v>8372</v>
      </c>
    </row>
    <row r="2819" spans="1:15" x14ac:dyDescent="0.25">
      <c r="A2819" t="s">
        <v>18</v>
      </c>
      <c r="B2819" t="s">
        <v>8371</v>
      </c>
      <c r="C2819" t="s">
        <v>8373</v>
      </c>
      <c r="D2819" t="s">
        <v>20</v>
      </c>
      <c r="E2819" t="s">
        <v>11</v>
      </c>
      <c r="F2819">
        <v>3851.166</v>
      </c>
      <c r="G2819">
        <v>18</v>
      </c>
      <c r="L2819" t="s">
        <v>8374</v>
      </c>
      <c r="O2819" t="s">
        <v>8375</v>
      </c>
    </row>
    <row r="2820" spans="1:15" x14ac:dyDescent="0.25">
      <c r="A2820" t="s">
        <v>18</v>
      </c>
      <c r="B2820" t="s">
        <v>8374</v>
      </c>
      <c r="C2820" t="s">
        <v>8376</v>
      </c>
      <c r="D2820" t="s">
        <v>20</v>
      </c>
      <c r="E2820" t="s">
        <v>11</v>
      </c>
      <c r="F2820">
        <v>3720.6179999999995</v>
      </c>
      <c r="G2820">
        <v>18</v>
      </c>
      <c r="L2820" t="s">
        <v>8377</v>
      </c>
      <c r="O2820" t="s">
        <v>8378</v>
      </c>
    </row>
    <row r="2821" spans="1:15" x14ac:dyDescent="0.25">
      <c r="A2821" t="s">
        <v>18</v>
      </c>
      <c r="B2821" t="s">
        <v>8377</v>
      </c>
      <c r="C2821" t="s">
        <v>8379</v>
      </c>
      <c r="D2821" t="s">
        <v>20</v>
      </c>
      <c r="E2821" t="s">
        <v>11</v>
      </c>
      <c r="F2821">
        <v>27023.435999999998</v>
      </c>
      <c r="G2821">
        <v>18</v>
      </c>
      <c r="L2821" t="s">
        <v>8380</v>
      </c>
      <c r="O2821" t="s">
        <v>8381</v>
      </c>
    </row>
    <row r="2822" spans="1:15" x14ac:dyDescent="0.25">
      <c r="A2822" t="s">
        <v>18</v>
      </c>
      <c r="B2822" t="s">
        <v>8380</v>
      </c>
      <c r="C2822" t="s">
        <v>8382</v>
      </c>
      <c r="D2822" t="s">
        <v>20</v>
      </c>
      <c r="E2822" t="s">
        <v>11</v>
      </c>
      <c r="F2822">
        <v>6396.852</v>
      </c>
      <c r="G2822">
        <v>18</v>
      </c>
      <c r="L2822" t="s">
        <v>8383</v>
      </c>
      <c r="O2822" t="s">
        <v>8384</v>
      </c>
    </row>
    <row r="2823" spans="1:15" x14ac:dyDescent="0.25">
      <c r="A2823" t="s">
        <v>18</v>
      </c>
      <c r="B2823" t="s">
        <v>8383</v>
      </c>
      <c r="C2823" t="s">
        <v>8385</v>
      </c>
      <c r="D2823" t="s">
        <v>20</v>
      </c>
      <c r="E2823" t="s">
        <v>11</v>
      </c>
      <c r="F2823">
        <v>5287.193999999999</v>
      </c>
      <c r="G2823">
        <v>18</v>
      </c>
      <c r="L2823" t="s">
        <v>8386</v>
      </c>
      <c r="O2823" t="s">
        <v>8387</v>
      </c>
    </row>
    <row r="2824" spans="1:15" x14ac:dyDescent="0.25">
      <c r="A2824" t="s">
        <v>18</v>
      </c>
      <c r="B2824" t="s">
        <v>8386</v>
      </c>
      <c r="C2824" t="s">
        <v>8388</v>
      </c>
      <c r="D2824" t="s">
        <v>20</v>
      </c>
      <c r="E2824" t="s">
        <v>11</v>
      </c>
      <c r="F2824">
        <v>3263.7</v>
      </c>
      <c r="G2824">
        <v>18</v>
      </c>
      <c r="L2824" t="s">
        <v>8389</v>
      </c>
      <c r="O2824" t="s">
        <v>8390</v>
      </c>
    </row>
    <row r="2825" spans="1:15" x14ac:dyDescent="0.25">
      <c r="A2825" t="s">
        <v>18</v>
      </c>
      <c r="B2825" t="s">
        <v>8389</v>
      </c>
      <c r="C2825" t="s">
        <v>8391</v>
      </c>
      <c r="D2825" t="s">
        <v>20</v>
      </c>
      <c r="E2825" t="s">
        <v>11</v>
      </c>
      <c r="F2825">
        <v>7506.51</v>
      </c>
      <c r="G2825">
        <v>18</v>
      </c>
      <c r="L2825" t="s">
        <v>8392</v>
      </c>
      <c r="O2825" t="s">
        <v>8393</v>
      </c>
    </row>
    <row r="2826" spans="1:15" x14ac:dyDescent="0.25">
      <c r="A2826" t="s">
        <v>18</v>
      </c>
      <c r="B2826" t="s">
        <v>8392</v>
      </c>
      <c r="C2826" t="s">
        <v>8394</v>
      </c>
      <c r="D2826" t="s">
        <v>20</v>
      </c>
      <c r="E2826" t="s">
        <v>11</v>
      </c>
      <c r="F2826">
        <v>456.918</v>
      </c>
      <c r="G2826">
        <v>18</v>
      </c>
      <c r="L2826" t="s">
        <v>8395</v>
      </c>
      <c r="O2826" t="s">
        <v>8396</v>
      </c>
    </row>
    <row r="2827" spans="1:15" x14ac:dyDescent="0.25">
      <c r="A2827" t="s">
        <v>18</v>
      </c>
      <c r="B2827" t="s">
        <v>8395</v>
      </c>
      <c r="C2827" t="s">
        <v>8397</v>
      </c>
      <c r="D2827" t="s">
        <v>20</v>
      </c>
      <c r="E2827" t="s">
        <v>11</v>
      </c>
      <c r="F2827">
        <v>456.918</v>
      </c>
      <c r="G2827">
        <v>18</v>
      </c>
      <c r="L2827" t="s">
        <v>8398</v>
      </c>
      <c r="O2827" t="s">
        <v>8399</v>
      </c>
    </row>
    <row r="2828" spans="1:15" x14ac:dyDescent="0.25">
      <c r="A2828" t="s">
        <v>18</v>
      </c>
      <c r="B2828" t="s">
        <v>8398</v>
      </c>
      <c r="C2828" t="s">
        <v>8400</v>
      </c>
      <c r="D2828" t="s">
        <v>20</v>
      </c>
      <c r="E2828" t="s">
        <v>11</v>
      </c>
      <c r="F2828">
        <v>3916.44</v>
      </c>
      <c r="G2828">
        <v>18</v>
      </c>
      <c r="L2828" t="s">
        <v>8401</v>
      </c>
      <c r="O2828" t="s">
        <v>8402</v>
      </c>
    </row>
    <row r="2829" spans="1:15" x14ac:dyDescent="0.25">
      <c r="A2829" t="s">
        <v>18</v>
      </c>
      <c r="B2829" t="s">
        <v>8401</v>
      </c>
      <c r="C2829" t="s">
        <v>8403</v>
      </c>
      <c r="D2829" t="s">
        <v>20</v>
      </c>
      <c r="E2829" t="s">
        <v>11</v>
      </c>
      <c r="F2829">
        <v>261.096</v>
      </c>
      <c r="G2829">
        <v>18</v>
      </c>
      <c r="L2829" t="s">
        <v>8404</v>
      </c>
      <c r="O2829" t="s">
        <v>8405</v>
      </c>
    </row>
    <row r="2830" spans="1:15" x14ac:dyDescent="0.25">
      <c r="A2830" t="s">
        <v>18</v>
      </c>
      <c r="B2830" t="s">
        <v>8404</v>
      </c>
      <c r="C2830" t="s">
        <v>8406</v>
      </c>
      <c r="D2830" t="s">
        <v>20</v>
      </c>
      <c r="E2830" t="s">
        <v>11</v>
      </c>
      <c r="F2830">
        <v>4373.358</v>
      </c>
      <c r="G2830">
        <v>18</v>
      </c>
      <c r="L2830" t="s">
        <v>8407</v>
      </c>
      <c r="O2830" t="s">
        <v>8408</v>
      </c>
    </row>
    <row r="2831" spans="1:15" x14ac:dyDescent="0.25">
      <c r="A2831" t="s">
        <v>18</v>
      </c>
      <c r="B2831" t="s">
        <v>8407</v>
      </c>
      <c r="C2831" t="s">
        <v>8409</v>
      </c>
      <c r="D2831" t="s">
        <v>20</v>
      </c>
      <c r="E2831" t="s">
        <v>11</v>
      </c>
      <c r="F2831">
        <v>11749.320000000002</v>
      </c>
      <c r="G2831">
        <v>18</v>
      </c>
      <c r="L2831" t="s">
        <v>8410</v>
      </c>
      <c r="O2831" t="s">
        <v>8411</v>
      </c>
    </row>
    <row r="2832" spans="1:15" x14ac:dyDescent="0.25">
      <c r="A2832" t="s">
        <v>18</v>
      </c>
      <c r="B2832" t="s">
        <v>8410</v>
      </c>
      <c r="C2832" t="s">
        <v>8412</v>
      </c>
      <c r="D2832" t="s">
        <v>20</v>
      </c>
      <c r="E2832" t="s">
        <v>11</v>
      </c>
      <c r="F2832">
        <v>11749.320000000002</v>
      </c>
      <c r="G2832">
        <v>18</v>
      </c>
      <c r="L2832" t="s">
        <v>8413</v>
      </c>
      <c r="O2832" t="s">
        <v>8414</v>
      </c>
    </row>
    <row r="2833" spans="1:15" x14ac:dyDescent="0.25">
      <c r="A2833" t="s">
        <v>18</v>
      </c>
      <c r="B2833" t="s">
        <v>8413</v>
      </c>
      <c r="C2833" t="s">
        <v>8415</v>
      </c>
      <c r="D2833" t="s">
        <v>20</v>
      </c>
      <c r="E2833" t="s">
        <v>11</v>
      </c>
      <c r="F2833">
        <v>11749.320000000002</v>
      </c>
      <c r="G2833">
        <v>18</v>
      </c>
      <c r="L2833" t="s">
        <v>8416</v>
      </c>
      <c r="O2833" t="s">
        <v>8417</v>
      </c>
    </row>
    <row r="2834" spans="1:15" x14ac:dyDescent="0.25">
      <c r="A2834" t="s">
        <v>18</v>
      </c>
      <c r="B2834" t="s">
        <v>8416</v>
      </c>
      <c r="C2834" t="s">
        <v>8418</v>
      </c>
      <c r="D2834" t="s">
        <v>20</v>
      </c>
      <c r="E2834" t="s">
        <v>11</v>
      </c>
      <c r="F2834">
        <v>11749.320000000002</v>
      </c>
      <c r="G2834">
        <v>18</v>
      </c>
      <c r="L2834" t="s">
        <v>8419</v>
      </c>
      <c r="O2834" t="s">
        <v>8420</v>
      </c>
    </row>
    <row r="2835" spans="1:15" x14ac:dyDescent="0.25">
      <c r="A2835" t="s">
        <v>18</v>
      </c>
      <c r="B2835" t="s">
        <v>8419</v>
      </c>
      <c r="C2835" t="s">
        <v>8421</v>
      </c>
      <c r="D2835" t="s">
        <v>20</v>
      </c>
      <c r="E2835" t="s">
        <v>11</v>
      </c>
      <c r="F2835">
        <v>9856.374</v>
      </c>
      <c r="G2835">
        <v>18</v>
      </c>
      <c r="L2835" t="s">
        <v>8422</v>
      </c>
      <c r="O2835" t="s">
        <v>8423</v>
      </c>
    </row>
    <row r="2836" spans="1:15" x14ac:dyDescent="0.25">
      <c r="A2836" t="s">
        <v>18</v>
      </c>
      <c r="B2836" t="s">
        <v>8422</v>
      </c>
      <c r="C2836" t="s">
        <v>8424</v>
      </c>
      <c r="D2836" t="s">
        <v>20</v>
      </c>
      <c r="E2836" t="s">
        <v>11</v>
      </c>
      <c r="F2836">
        <v>9856.374</v>
      </c>
      <c r="G2836">
        <v>18</v>
      </c>
      <c r="L2836" t="s">
        <v>8425</v>
      </c>
      <c r="O2836" t="s">
        <v>8426</v>
      </c>
    </row>
    <row r="2837" spans="1:15" x14ac:dyDescent="0.25">
      <c r="A2837" t="s">
        <v>18</v>
      </c>
      <c r="B2837" t="s">
        <v>8425</v>
      </c>
      <c r="C2837" t="s">
        <v>8427</v>
      </c>
      <c r="D2837" t="s">
        <v>20</v>
      </c>
      <c r="E2837" t="s">
        <v>11</v>
      </c>
      <c r="F2837">
        <v>12924.252</v>
      </c>
      <c r="G2837">
        <v>18</v>
      </c>
      <c r="L2837" t="s">
        <v>8428</v>
      </c>
      <c r="O2837" t="s">
        <v>8429</v>
      </c>
    </row>
    <row r="2838" spans="1:15" x14ac:dyDescent="0.25">
      <c r="A2838" t="s">
        <v>18</v>
      </c>
      <c r="B2838" t="s">
        <v>8428</v>
      </c>
      <c r="C2838" t="s">
        <v>8430</v>
      </c>
      <c r="D2838" t="s">
        <v>20</v>
      </c>
      <c r="E2838" t="s">
        <v>11</v>
      </c>
      <c r="F2838">
        <v>11749.320000000002</v>
      </c>
      <c r="G2838">
        <v>18</v>
      </c>
      <c r="L2838" t="s">
        <v>8431</v>
      </c>
      <c r="O2838" t="s">
        <v>8432</v>
      </c>
    </row>
    <row r="2839" spans="1:15" x14ac:dyDescent="0.25">
      <c r="A2839" t="s">
        <v>18</v>
      </c>
      <c r="B2839" t="s">
        <v>8431</v>
      </c>
      <c r="C2839" t="s">
        <v>8433</v>
      </c>
      <c r="D2839" t="s">
        <v>20</v>
      </c>
      <c r="E2839" t="s">
        <v>11</v>
      </c>
      <c r="F2839">
        <v>11749.320000000002</v>
      </c>
      <c r="G2839">
        <v>18</v>
      </c>
      <c r="L2839" t="s">
        <v>8434</v>
      </c>
      <c r="O2839" t="s">
        <v>8435</v>
      </c>
    </row>
    <row r="2840" spans="1:15" x14ac:dyDescent="0.25">
      <c r="A2840" t="s">
        <v>18</v>
      </c>
      <c r="B2840" t="s">
        <v>8434</v>
      </c>
      <c r="C2840" t="s">
        <v>8436</v>
      </c>
      <c r="D2840" t="s">
        <v>20</v>
      </c>
      <c r="E2840" t="s">
        <v>11</v>
      </c>
      <c r="F2840">
        <v>23368.091999999997</v>
      </c>
      <c r="G2840">
        <v>18</v>
      </c>
      <c r="L2840" t="s">
        <v>8437</v>
      </c>
      <c r="O2840" t="s">
        <v>8438</v>
      </c>
    </row>
    <row r="2841" spans="1:15" x14ac:dyDescent="0.25">
      <c r="A2841" t="s">
        <v>18</v>
      </c>
      <c r="B2841" t="s">
        <v>8437</v>
      </c>
      <c r="C2841" t="s">
        <v>8439</v>
      </c>
      <c r="D2841" t="s">
        <v>20</v>
      </c>
      <c r="E2841" t="s">
        <v>11</v>
      </c>
      <c r="F2841">
        <v>11749.320000000002</v>
      </c>
      <c r="G2841">
        <v>18</v>
      </c>
      <c r="L2841" t="s">
        <v>8440</v>
      </c>
      <c r="O2841" t="s">
        <v>8441</v>
      </c>
    </row>
    <row r="2842" spans="1:15" x14ac:dyDescent="0.25">
      <c r="A2842" t="s">
        <v>18</v>
      </c>
      <c r="B2842" t="s">
        <v>8440</v>
      </c>
      <c r="C2842" t="s">
        <v>8442</v>
      </c>
      <c r="D2842" t="s">
        <v>20</v>
      </c>
      <c r="E2842" t="s">
        <v>11</v>
      </c>
      <c r="F2842">
        <v>11749.320000000002</v>
      </c>
      <c r="G2842">
        <v>18</v>
      </c>
      <c r="L2842" t="s">
        <v>8443</v>
      </c>
      <c r="O2842" t="s">
        <v>8444</v>
      </c>
    </row>
    <row r="2843" spans="1:15" x14ac:dyDescent="0.25">
      <c r="A2843" t="s">
        <v>18</v>
      </c>
      <c r="B2843" t="s">
        <v>8443</v>
      </c>
      <c r="C2843" t="s">
        <v>8445</v>
      </c>
      <c r="D2843" t="s">
        <v>20</v>
      </c>
      <c r="E2843" t="s">
        <v>11</v>
      </c>
      <c r="F2843">
        <v>4308.084</v>
      </c>
      <c r="G2843">
        <v>18</v>
      </c>
      <c r="L2843" t="s">
        <v>8446</v>
      </c>
      <c r="O2843" t="s">
        <v>8447</v>
      </c>
    </row>
    <row r="2844" spans="1:15" x14ac:dyDescent="0.25">
      <c r="A2844" t="s">
        <v>18</v>
      </c>
      <c r="B2844" t="s">
        <v>8446</v>
      </c>
      <c r="C2844" t="s">
        <v>8448</v>
      </c>
      <c r="D2844" t="s">
        <v>20</v>
      </c>
      <c r="E2844" t="s">
        <v>11</v>
      </c>
      <c r="F2844">
        <v>1370.754</v>
      </c>
      <c r="G2844">
        <v>18</v>
      </c>
      <c r="L2844" t="s">
        <v>8449</v>
      </c>
      <c r="O2844" t="s">
        <v>8450</v>
      </c>
    </row>
    <row r="2845" spans="1:15" x14ac:dyDescent="0.25">
      <c r="A2845" t="s">
        <v>18</v>
      </c>
      <c r="B2845" t="s">
        <v>8449</v>
      </c>
      <c r="C2845" t="s">
        <v>8451</v>
      </c>
      <c r="D2845" t="s">
        <v>20</v>
      </c>
      <c r="E2845" t="s">
        <v>11</v>
      </c>
      <c r="F2845">
        <v>4242.8099999999995</v>
      </c>
      <c r="G2845">
        <v>18</v>
      </c>
      <c r="L2845" t="s">
        <v>8452</v>
      </c>
      <c r="O2845" t="s">
        <v>8453</v>
      </c>
    </row>
    <row r="2846" spans="1:15" x14ac:dyDescent="0.25">
      <c r="A2846" t="s">
        <v>18</v>
      </c>
      <c r="B2846" t="s">
        <v>8452</v>
      </c>
      <c r="C2846" t="s">
        <v>8454</v>
      </c>
      <c r="D2846" t="s">
        <v>20</v>
      </c>
      <c r="E2846" t="s">
        <v>11</v>
      </c>
      <c r="F2846">
        <v>848.5619999999999</v>
      </c>
      <c r="G2846">
        <v>18</v>
      </c>
      <c r="L2846" t="s">
        <v>8455</v>
      </c>
      <c r="O2846" t="s">
        <v>8456</v>
      </c>
    </row>
    <row r="2847" spans="1:15" x14ac:dyDescent="0.25">
      <c r="A2847" t="s">
        <v>18</v>
      </c>
      <c r="B2847" t="s">
        <v>8455</v>
      </c>
      <c r="C2847" t="s">
        <v>8457</v>
      </c>
      <c r="D2847" t="s">
        <v>20</v>
      </c>
      <c r="E2847" t="s">
        <v>11</v>
      </c>
      <c r="F2847">
        <v>3851.166</v>
      </c>
      <c r="G2847">
        <v>18</v>
      </c>
      <c r="L2847" t="s">
        <v>8458</v>
      </c>
      <c r="O2847" t="s">
        <v>8459</v>
      </c>
    </row>
    <row r="2848" spans="1:15" x14ac:dyDescent="0.25">
      <c r="A2848" t="s">
        <v>18</v>
      </c>
      <c r="B2848" t="s">
        <v>8458</v>
      </c>
      <c r="C2848" t="s">
        <v>8460</v>
      </c>
      <c r="D2848" t="s">
        <v>20</v>
      </c>
      <c r="E2848" t="s">
        <v>11</v>
      </c>
      <c r="F2848">
        <v>522.192</v>
      </c>
      <c r="G2848">
        <v>18</v>
      </c>
      <c r="L2848" t="s">
        <v>8461</v>
      </c>
      <c r="O2848" t="s">
        <v>8462</v>
      </c>
    </row>
    <row r="2849" spans="1:15" x14ac:dyDescent="0.25">
      <c r="A2849" t="s">
        <v>18</v>
      </c>
      <c r="B2849" t="s">
        <v>8461</v>
      </c>
      <c r="C2849" t="s">
        <v>8463</v>
      </c>
      <c r="D2849" t="s">
        <v>20</v>
      </c>
      <c r="E2849" t="s">
        <v>11</v>
      </c>
      <c r="F2849">
        <v>1370.754</v>
      </c>
      <c r="G2849">
        <v>18</v>
      </c>
      <c r="L2849" t="s">
        <v>8464</v>
      </c>
      <c r="O2849" t="s">
        <v>8465</v>
      </c>
    </row>
    <row r="2850" spans="1:15" x14ac:dyDescent="0.25">
      <c r="A2850" t="s">
        <v>18</v>
      </c>
      <c r="B2850" t="s">
        <v>8464</v>
      </c>
      <c r="C2850" t="s">
        <v>8466</v>
      </c>
      <c r="D2850" t="s">
        <v>20</v>
      </c>
      <c r="E2850" t="s">
        <v>11</v>
      </c>
      <c r="F2850">
        <v>1109.658</v>
      </c>
      <c r="G2850">
        <v>18</v>
      </c>
      <c r="L2850" t="s">
        <v>8467</v>
      </c>
      <c r="O2850" t="s">
        <v>8468</v>
      </c>
    </row>
    <row r="2851" spans="1:15" x14ac:dyDescent="0.25">
      <c r="A2851" t="s">
        <v>18</v>
      </c>
      <c r="B2851" t="s">
        <v>8467</v>
      </c>
      <c r="C2851" t="s">
        <v>8469</v>
      </c>
      <c r="D2851" t="s">
        <v>20</v>
      </c>
      <c r="E2851" t="s">
        <v>11</v>
      </c>
      <c r="F2851">
        <v>7180.139999999999</v>
      </c>
      <c r="G2851">
        <v>18</v>
      </c>
      <c r="L2851" t="s">
        <v>8470</v>
      </c>
      <c r="O2851" t="s">
        <v>8471</v>
      </c>
    </row>
    <row r="2852" spans="1:15" x14ac:dyDescent="0.25">
      <c r="A2852" t="s">
        <v>18</v>
      </c>
      <c r="B2852" t="s">
        <v>8470</v>
      </c>
      <c r="C2852" t="s">
        <v>8472</v>
      </c>
      <c r="D2852" t="s">
        <v>20</v>
      </c>
      <c r="E2852" t="s">
        <v>11</v>
      </c>
      <c r="F2852">
        <v>9399.455999999998</v>
      </c>
      <c r="G2852">
        <v>18</v>
      </c>
      <c r="L2852" t="s">
        <v>8473</v>
      </c>
      <c r="O2852" t="s">
        <v>8474</v>
      </c>
    </row>
    <row r="2853" spans="1:15" x14ac:dyDescent="0.25">
      <c r="A2853" t="s">
        <v>18</v>
      </c>
      <c r="B2853" t="s">
        <v>8473</v>
      </c>
      <c r="C2853" t="s">
        <v>8475</v>
      </c>
      <c r="D2853" t="s">
        <v>20</v>
      </c>
      <c r="E2853" t="s">
        <v>11</v>
      </c>
      <c r="F2853">
        <v>12663.155999999999</v>
      </c>
      <c r="G2853">
        <v>18</v>
      </c>
      <c r="L2853" t="s">
        <v>8476</v>
      </c>
      <c r="O2853" t="s">
        <v>8477</v>
      </c>
    </row>
    <row r="2854" spans="1:15" x14ac:dyDescent="0.25">
      <c r="A2854" t="s">
        <v>18</v>
      </c>
      <c r="B2854" t="s">
        <v>8476</v>
      </c>
      <c r="C2854" t="s">
        <v>8478</v>
      </c>
      <c r="D2854" t="s">
        <v>20</v>
      </c>
      <c r="E2854" t="s">
        <v>11</v>
      </c>
      <c r="F2854">
        <v>587.4659999999999</v>
      </c>
      <c r="G2854">
        <v>18</v>
      </c>
      <c r="L2854" t="s">
        <v>8479</v>
      </c>
      <c r="O2854" t="s">
        <v>8480</v>
      </c>
    </row>
    <row r="2855" spans="1:15" x14ac:dyDescent="0.25">
      <c r="A2855" t="s">
        <v>18</v>
      </c>
      <c r="B2855" t="s">
        <v>8479</v>
      </c>
      <c r="C2855" t="s">
        <v>8481</v>
      </c>
      <c r="D2855" t="s">
        <v>20</v>
      </c>
      <c r="E2855" t="s">
        <v>11</v>
      </c>
      <c r="F2855">
        <v>6135.755999999999</v>
      </c>
      <c r="G2855">
        <v>18</v>
      </c>
      <c r="L2855" t="s">
        <v>8482</v>
      </c>
      <c r="O2855" t="s">
        <v>8483</v>
      </c>
    </row>
    <row r="2856" spans="1:15" x14ac:dyDescent="0.25">
      <c r="A2856" t="s">
        <v>18</v>
      </c>
      <c r="B2856" t="s">
        <v>8482</v>
      </c>
      <c r="C2856" t="s">
        <v>8484</v>
      </c>
      <c r="D2856" t="s">
        <v>20</v>
      </c>
      <c r="E2856" t="s">
        <v>11</v>
      </c>
      <c r="F2856">
        <v>5939.933999999999</v>
      </c>
      <c r="G2856">
        <v>18</v>
      </c>
      <c r="L2856" t="s">
        <v>8485</v>
      </c>
      <c r="O2856" t="s">
        <v>8486</v>
      </c>
    </row>
    <row r="2857" spans="1:15" x14ac:dyDescent="0.25">
      <c r="A2857" t="s">
        <v>18</v>
      </c>
      <c r="B2857" t="s">
        <v>8485</v>
      </c>
      <c r="C2857" t="s">
        <v>8487</v>
      </c>
      <c r="D2857" t="s">
        <v>20</v>
      </c>
      <c r="E2857" t="s">
        <v>11</v>
      </c>
      <c r="F2857">
        <v>4895.55</v>
      </c>
      <c r="G2857">
        <v>18</v>
      </c>
      <c r="L2857" t="s">
        <v>8488</v>
      </c>
      <c r="O2857" t="s">
        <v>8489</v>
      </c>
    </row>
    <row r="2858" spans="1:15" x14ac:dyDescent="0.25">
      <c r="A2858" t="s">
        <v>18</v>
      </c>
      <c r="B2858" t="s">
        <v>8488</v>
      </c>
      <c r="C2858" t="s">
        <v>8490</v>
      </c>
      <c r="D2858" t="s">
        <v>20</v>
      </c>
      <c r="E2858" t="s">
        <v>11</v>
      </c>
      <c r="F2858">
        <v>5483.016</v>
      </c>
      <c r="G2858">
        <v>18</v>
      </c>
      <c r="L2858" t="s">
        <v>8491</v>
      </c>
      <c r="O2858" t="s">
        <v>8492</v>
      </c>
    </row>
    <row r="2859" spans="1:15" x14ac:dyDescent="0.25">
      <c r="A2859" t="s">
        <v>18</v>
      </c>
      <c r="B2859" t="s">
        <v>8491</v>
      </c>
      <c r="C2859" t="s">
        <v>8493</v>
      </c>
      <c r="D2859" t="s">
        <v>20</v>
      </c>
      <c r="E2859" t="s">
        <v>11</v>
      </c>
      <c r="F2859">
        <v>3981.714</v>
      </c>
      <c r="G2859">
        <v>18</v>
      </c>
      <c r="L2859" t="s">
        <v>8494</v>
      </c>
      <c r="O2859" t="s">
        <v>8495</v>
      </c>
    </row>
    <row r="2860" spans="1:15" x14ac:dyDescent="0.25">
      <c r="A2860" t="s">
        <v>18</v>
      </c>
      <c r="B2860" t="s">
        <v>8494</v>
      </c>
      <c r="C2860" t="s">
        <v>8496</v>
      </c>
      <c r="D2860" t="s">
        <v>20</v>
      </c>
      <c r="E2860" t="s">
        <v>11</v>
      </c>
      <c r="F2860">
        <v>2806.7819999999997</v>
      </c>
      <c r="G2860">
        <v>18</v>
      </c>
      <c r="L2860" t="s">
        <v>8497</v>
      </c>
      <c r="O2860" t="s">
        <v>8498</v>
      </c>
    </row>
    <row r="2861" spans="1:15" x14ac:dyDescent="0.25">
      <c r="A2861" t="s">
        <v>18</v>
      </c>
      <c r="B2861" t="s">
        <v>8497</v>
      </c>
      <c r="C2861" t="s">
        <v>8499</v>
      </c>
      <c r="D2861" t="s">
        <v>20</v>
      </c>
      <c r="E2861" t="s">
        <v>11</v>
      </c>
      <c r="F2861">
        <v>1566.5759999999998</v>
      </c>
      <c r="G2861">
        <v>18</v>
      </c>
      <c r="L2861" t="s">
        <v>8500</v>
      </c>
      <c r="O2861" t="s">
        <v>8501</v>
      </c>
    </row>
    <row r="2862" spans="1:15" x14ac:dyDescent="0.25">
      <c r="A2862" t="s">
        <v>18</v>
      </c>
      <c r="B2862" t="s">
        <v>8500</v>
      </c>
      <c r="C2862" t="s">
        <v>8502</v>
      </c>
      <c r="D2862" t="s">
        <v>20</v>
      </c>
      <c r="E2862" t="s">
        <v>11</v>
      </c>
      <c r="F2862">
        <v>1109.658</v>
      </c>
      <c r="G2862">
        <v>18</v>
      </c>
      <c r="L2862" t="s">
        <v>8503</v>
      </c>
      <c r="O2862" t="s">
        <v>8504</v>
      </c>
    </row>
    <row r="2863" spans="1:15" x14ac:dyDescent="0.25">
      <c r="A2863" t="s">
        <v>18</v>
      </c>
      <c r="B2863" t="s">
        <v>8503</v>
      </c>
      <c r="C2863" t="s">
        <v>8505</v>
      </c>
      <c r="D2863" t="s">
        <v>20</v>
      </c>
      <c r="E2863" t="s">
        <v>11</v>
      </c>
      <c r="F2863">
        <v>522.192</v>
      </c>
      <c r="G2863">
        <v>18</v>
      </c>
      <c r="L2863" t="s">
        <v>8506</v>
      </c>
      <c r="O2863" t="s">
        <v>8507</v>
      </c>
    </row>
    <row r="2864" spans="1:15" x14ac:dyDescent="0.25">
      <c r="A2864" t="s">
        <v>18</v>
      </c>
      <c r="B2864" t="s">
        <v>8506</v>
      </c>
      <c r="C2864" t="s">
        <v>8508</v>
      </c>
      <c r="D2864" t="s">
        <v>20</v>
      </c>
      <c r="E2864" t="s">
        <v>11</v>
      </c>
      <c r="F2864">
        <v>12467.334</v>
      </c>
      <c r="G2864">
        <v>18</v>
      </c>
      <c r="L2864" t="s">
        <v>8509</v>
      </c>
      <c r="O2864" t="s">
        <v>8510</v>
      </c>
    </row>
    <row r="2865" spans="1:15" x14ac:dyDescent="0.25">
      <c r="A2865" t="s">
        <v>18</v>
      </c>
      <c r="B2865" t="s">
        <v>8509</v>
      </c>
      <c r="C2865" t="s">
        <v>8511</v>
      </c>
      <c r="D2865" t="s">
        <v>20</v>
      </c>
      <c r="E2865" t="s">
        <v>11</v>
      </c>
      <c r="F2865">
        <v>16449.048</v>
      </c>
      <c r="G2865">
        <v>18</v>
      </c>
      <c r="L2865" t="s">
        <v>8512</v>
      </c>
      <c r="O2865" t="s">
        <v>8513</v>
      </c>
    </row>
    <row r="2866" spans="1:15" x14ac:dyDescent="0.25">
      <c r="A2866" t="s">
        <v>18</v>
      </c>
      <c r="B2866" t="s">
        <v>8512</v>
      </c>
      <c r="C2866" t="s">
        <v>8514</v>
      </c>
      <c r="D2866" t="s">
        <v>20</v>
      </c>
      <c r="E2866" t="s">
        <v>11</v>
      </c>
      <c r="F2866">
        <v>51697.008</v>
      </c>
      <c r="G2866">
        <v>18</v>
      </c>
      <c r="L2866" t="s">
        <v>8515</v>
      </c>
      <c r="O2866" t="s">
        <v>8516</v>
      </c>
    </row>
    <row r="2867" spans="1:15" x14ac:dyDescent="0.25">
      <c r="A2867" t="s">
        <v>18</v>
      </c>
      <c r="B2867" t="s">
        <v>8515</v>
      </c>
      <c r="C2867" t="s">
        <v>8517</v>
      </c>
      <c r="D2867" t="s">
        <v>20</v>
      </c>
      <c r="E2867" t="s">
        <v>11</v>
      </c>
      <c r="F2867">
        <v>14295.006</v>
      </c>
      <c r="G2867">
        <v>18</v>
      </c>
      <c r="L2867" t="s">
        <v>8518</v>
      </c>
      <c r="O2867" t="s">
        <v>8519</v>
      </c>
    </row>
    <row r="2868" spans="1:15" x14ac:dyDescent="0.25">
      <c r="A2868" t="s">
        <v>18</v>
      </c>
      <c r="B2868" t="s">
        <v>8518</v>
      </c>
      <c r="C2868" t="s">
        <v>8520</v>
      </c>
      <c r="D2868" t="s">
        <v>20</v>
      </c>
      <c r="E2868" t="s">
        <v>11</v>
      </c>
      <c r="F2868">
        <v>2480.4120000000003</v>
      </c>
      <c r="G2868">
        <v>18</v>
      </c>
      <c r="L2868" t="s">
        <v>8521</v>
      </c>
      <c r="O2868" t="s">
        <v>8522</v>
      </c>
    </row>
    <row r="2869" spans="1:15" x14ac:dyDescent="0.25">
      <c r="A2869" t="s">
        <v>18</v>
      </c>
      <c r="B2869" t="s">
        <v>8521</v>
      </c>
      <c r="C2869" t="s">
        <v>8523</v>
      </c>
      <c r="D2869" t="s">
        <v>20</v>
      </c>
      <c r="E2869" t="s">
        <v>11</v>
      </c>
      <c r="F2869">
        <v>13315.895999999999</v>
      </c>
      <c r="G2869">
        <v>18</v>
      </c>
      <c r="L2869" t="s">
        <v>8524</v>
      </c>
      <c r="O2869" t="s">
        <v>8525</v>
      </c>
    </row>
    <row r="2870" spans="1:15" x14ac:dyDescent="0.25">
      <c r="A2870" t="s">
        <v>18</v>
      </c>
      <c r="B2870" t="s">
        <v>8524</v>
      </c>
      <c r="C2870" t="s">
        <v>8526</v>
      </c>
      <c r="D2870" t="s">
        <v>20</v>
      </c>
      <c r="E2870" t="s">
        <v>11</v>
      </c>
      <c r="F2870">
        <v>1566.5759999999998</v>
      </c>
      <c r="G2870">
        <v>18</v>
      </c>
      <c r="L2870" t="s">
        <v>8527</v>
      </c>
      <c r="O2870" t="s">
        <v>8528</v>
      </c>
    </row>
    <row r="2871" spans="1:15" x14ac:dyDescent="0.25">
      <c r="A2871" t="s">
        <v>18</v>
      </c>
      <c r="B2871" t="s">
        <v>8527</v>
      </c>
      <c r="C2871" t="s">
        <v>8529</v>
      </c>
      <c r="D2871" t="s">
        <v>20</v>
      </c>
      <c r="E2871" t="s">
        <v>11</v>
      </c>
      <c r="F2871">
        <v>1436.028</v>
      </c>
      <c r="G2871">
        <v>18</v>
      </c>
      <c r="L2871" t="s">
        <v>8530</v>
      </c>
      <c r="O2871" t="s">
        <v>8531</v>
      </c>
    </row>
    <row r="2872" spans="1:15" x14ac:dyDescent="0.25">
      <c r="A2872" t="s">
        <v>18</v>
      </c>
      <c r="B2872" t="s">
        <v>8530</v>
      </c>
      <c r="C2872" t="s">
        <v>8532</v>
      </c>
      <c r="D2872" t="s">
        <v>20</v>
      </c>
      <c r="E2872" t="s">
        <v>11</v>
      </c>
      <c r="F2872">
        <v>2415.138</v>
      </c>
      <c r="G2872">
        <v>18</v>
      </c>
      <c r="L2872" t="s">
        <v>8533</v>
      </c>
      <c r="O2872" t="s">
        <v>8534</v>
      </c>
    </row>
    <row r="2873" spans="1:15" x14ac:dyDescent="0.25">
      <c r="A2873" t="s">
        <v>18</v>
      </c>
      <c r="B2873" t="s">
        <v>8533</v>
      </c>
      <c r="C2873" t="s">
        <v>8535</v>
      </c>
      <c r="D2873" t="s">
        <v>20</v>
      </c>
      <c r="E2873" t="s">
        <v>11</v>
      </c>
      <c r="F2873">
        <v>2415.138</v>
      </c>
      <c r="G2873">
        <v>18</v>
      </c>
      <c r="L2873" t="s">
        <v>8536</v>
      </c>
      <c r="O2873" t="s">
        <v>8537</v>
      </c>
    </row>
    <row r="2874" spans="1:15" x14ac:dyDescent="0.25">
      <c r="A2874" t="s">
        <v>18</v>
      </c>
      <c r="B2874" t="s">
        <v>8536</v>
      </c>
      <c r="C2874" t="s">
        <v>8538</v>
      </c>
      <c r="D2874" t="s">
        <v>20</v>
      </c>
      <c r="E2874" t="s">
        <v>11</v>
      </c>
      <c r="F2874">
        <v>22650.078</v>
      </c>
      <c r="G2874">
        <v>18</v>
      </c>
      <c r="L2874" t="s">
        <v>8539</v>
      </c>
      <c r="O2874" t="s">
        <v>8540</v>
      </c>
    </row>
    <row r="2875" spans="1:15" x14ac:dyDescent="0.25">
      <c r="A2875" t="s">
        <v>18</v>
      </c>
      <c r="B2875" t="s">
        <v>8539</v>
      </c>
      <c r="C2875" t="s">
        <v>8541</v>
      </c>
      <c r="D2875" t="s">
        <v>20</v>
      </c>
      <c r="E2875" t="s">
        <v>11</v>
      </c>
      <c r="F2875">
        <v>27871.998</v>
      </c>
      <c r="G2875">
        <v>18</v>
      </c>
      <c r="L2875" t="s">
        <v>8542</v>
      </c>
      <c r="O2875" t="s">
        <v>8543</v>
      </c>
    </row>
    <row r="2876" spans="1:15" x14ac:dyDescent="0.25">
      <c r="A2876" t="s">
        <v>18</v>
      </c>
      <c r="B2876" t="s">
        <v>8542</v>
      </c>
      <c r="C2876" t="s">
        <v>8544</v>
      </c>
      <c r="D2876" t="s">
        <v>20</v>
      </c>
      <c r="E2876" t="s">
        <v>11</v>
      </c>
      <c r="F2876">
        <v>18929.46</v>
      </c>
      <c r="G2876">
        <v>18</v>
      </c>
      <c r="L2876" t="s">
        <v>8545</v>
      </c>
      <c r="O2876" t="s">
        <v>8546</v>
      </c>
    </row>
    <row r="2877" spans="1:15" x14ac:dyDescent="0.25">
      <c r="A2877" t="s">
        <v>18</v>
      </c>
      <c r="B2877" t="s">
        <v>8545</v>
      </c>
      <c r="C2877" t="s">
        <v>8547</v>
      </c>
      <c r="D2877" t="s">
        <v>20</v>
      </c>
      <c r="E2877" t="s">
        <v>11</v>
      </c>
      <c r="F2877">
        <v>2610.96</v>
      </c>
      <c r="G2877">
        <v>18</v>
      </c>
      <c r="L2877" t="s">
        <v>8548</v>
      </c>
      <c r="O2877" t="s">
        <v>8549</v>
      </c>
    </row>
    <row r="2878" spans="1:15" x14ac:dyDescent="0.25">
      <c r="A2878" t="s">
        <v>18</v>
      </c>
      <c r="B2878" t="s">
        <v>8548</v>
      </c>
      <c r="C2878" t="s">
        <v>8550</v>
      </c>
      <c r="D2878" t="s">
        <v>20</v>
      </c>
      <c r="E2878" t="s">
        <v>11</v>
      </c>
      <c r="F2878">
        <v>2610.96</v>
      </c>
      <c r="G2878">
        <v>18</v>
      </c>
      <c r="L2878" t="s">
        <v>8551</v>
      </c>
      <c r="O2878" t="s">
        <v>8552</v>
      </c>
    </row>
    <row r="2879" spans="1:15" x14ac:dyDescent="0.25">
      <c r="A2879" t="s">
        <v>18</v>
      </c>
      <c r="B2879" t="s">
        <v>8551</v>
      </c>
      <c r="C2879" t="s">
        <v>8553</v>
      </c>
      <c r="D2879" t="s">
        <v>20</v>
      </c>
      <c r="E2879" t="s">
        <v>11</v>
      </c>
      <c r="F2879">
        <v>33420.288</v>
      </c>
      <c r="G2879">
        <v>18</v>
      </c>
      <c r="L2879" t="s">
        <v>8554</v>
      </c>
      <c r="O2879" t="s">
        <v>8555</v>
      </c>
    </row>
    <row r="2880" spans="1:15" x14ac:dyDescent="0.25">
      <c r="A2880" t="s">
        <v>18</v>
      </c>
      <c r="B2880" t="s">
        <v>8554</v>
      </c>
      <c r="C2880" t="s">
        <v>8556</v>
      </c>
      <c r="D2880" t="s">
        <v>20</v>
      </c>
      <c r="E2880" t="s">
        <v>11</v>
      </c>
      <c r="F2880">
        <v>4112.262</v>
      </c>
      <c r="G2880">
        <v>18</v>
      </c>
      <c r="L2880" t="s">
        <v>8557</v>
      </c>
      <c r="O2880" t="s">
        <v>8558</v>
      </c>
    </row>
    <row r="2881" spans="1:15" x14ac:dyDescent="0.25">
      <c r="A2881" t="s">
        <v>18</v>
      </c>
      <c r="B2881" t="s">
        <v>8557</v>
      </c>
      <c r="C2881" t="s">
        <v>8559</v>
      </c>
      <c r="D2881" t="s">
        <v>20</v>
      </c>
      <c r="E2881" t="s">
        <v>11</v>
      </c>
      <c r="F2881">
        <v>3590.0699999999997</v>
      </c>
      <c r="G2881">
        <v>18</v>
      </c>
      <c r="L2881" t="s">
        <v>8560</v>
      </c>
      <c r="O2881" t="s">
        <v>8561</v>
      </c>
    </row>
    <row r="2882" spans="1:15" x14ac:dyDescent="0.25">
      <c r="A2882" t="s">
        <v>18</v>
      </c>
      <c r="B2882" t="s">
        <v>8560</v>
      </c>
      <c r="C2882" t="s">
        <v>8562</v>
      </c>
      <c r="D2882" t="s">
        <v>20</v>
      </c>
      <c r="E2882" t="s">
        <v>11</v>
      </c>
      <c r="F2882">
        <v>3133.1519999999996</v>
      </c>
      <c r="G2882">
        <v>18</v>
      </c>
      <c r="L2882" t="s">
        <v>8563</v>
      </c>
      <c r="O2882" t="s">
        <v>8564</v>
      </c>
    </row>
    <row r="2883" spans="1:15" x14ac:dyDescent="0.25">
      <c r="A2883" t="s">
        <v>18</v>
      </c>
      <c r="B2883" t="s">
        <v>8563</v>
      </c>
      <c r="C2883" t="s">
        <v>8565</v>
      </c>
      <c r="D2883" t="s">
        <v>20</v>
      </c>
      <c r="E2883" t="s">
        <v>11</v>
      </c>
      <c r="F2883">
        <v>13446.444000000001</v>
      </c>
      <c r="G2883">
        <v>18</v>
      </c>
      <c r="L2883" t="s">
        <v>8566</v>
      </c>
      <c r="O2883" t="s">
        <v>8567</v>
      </c>
    </row>
    <row r="2884" spans="1:15" x14ac:dyDescent="0.25">
      <c r="A2884" t="s">
        <v>18</v>
      </c>
      <c r="B2884" t="s">
        <v>8566</v>
      </c>
      <c r="C2884" t="s">
        <v>8568</v>
      </c>
      <c r="D2884" t="s">
        <v>20</v>
      </c>
      <c r="E2884" t="s">
        <v>11</v>
      </c>
      <c r="F2884">
        <v>12728.429999999998</v>
      </c>
      <c r="G2884">
        <v>18</v>
      </c>
      <c r="L2884" t="s">
        <v>8569</v>
      </c>
      <c r="O2884" t="s">
        <v>8570</v>
      </c>
    </row>
    <row r="2885" spans="1:15" x14ac:dyDescent="0.25">
      <c r="A2885" t="s">
        <v>18</v>
      </c>
      <c r="B2885" t="s">
        <v>8569</v>
      </c>
      <c r="C2885" t="s">
        <v>8571</v>
      </c>
      <c r="D2885" t="s">
        <v>20</v>
      </c>
      <c r="E2885" t="s">
        <v>11</v>
      </c>
      <c r="F2885">
        <v>31331.52</v>
      </c>
      <c r="G2885">
        <v>18</v>
      </c>
      <c r="L2885" t="s">
        <v>8572</v>
      </c>
      <c r="O2885" t="s">
        <v>8573</v>
      </c>
    </row>
    <row r="2886" spans="1:15" x14ac:dyDescent="0.25">
      <c r="A2886" t="s">
        <v>18</v>
      </c>
      <c r="B2886" t="s">
        <v>8572</v>
      </c>
      <c r="C2886" t="s">
        <v>8574</v>
      </c>
      <c r="D2886" t="s">
        <v>20</v>
      </c>
      <c r="E2886" t="s">
        <v>11</v>
      </c>
      <c r="F2886">
        <v>26566.518</v>
      </c>
      <c r="G2886">
        <v>18</v>
      </c>
      <c r="L2886" t="s">
        <v>8575</v>
      </c>
      <c r="O2886" t="s">
        <v>8576</v>
      </c>
    </row>
    <row r="2887" spans="1:15" x14ac:dyDescent="0.25">
      <c r="A2887" t="s">
        <v>18</v>
      </c>
      <c r="B2887" t="s">
        <v>8575</v>
      </c>
      <c r="C2887" t="s">
        <v>8577</v>
      </c>
      <c r="D2887" t="s">
        <v>20</v>
      </c>
      <c r="E2887" t="s">
        <v>11</v>
      </c>
      <c r="F2887">
        <v>18472.541999999998</v>
      </c>
      <c r="G2887">
        <v>18</v>
      </c>
      <c r="L2887" t="s">
        <v>8578</v>
      </c>
      <c r="O2887" t="s">
        <v>8579</v>
      </c>
    </row>
    <row r="2888" spans="1:15" x14ac:dyDescent="0.25">
      <c r="A2888" t="s">
        <v>18</v>
      </c>
      <c r="B2888" t="s">
        <v>8578</v>
      </c>
      <c r="C2888" t="s">
        <v>8580</v>
      </c>
      <c r="D2888" t="s">
        <v>20</v>
      </c>
      <c r="E2888" t="s">
        <v>11</v>
      </c>
      <c r="F2888">
        <v>3133.1519999999996</v>
      </c>
      <c r="G2888">
        <v>18</v>
      </c>
      <c r="L2888" t="s">
        <v>8581</v>
      </c>
      <c r="O2888" t="s">
        <v>8582</v>
      </c>
    </row>
    <row r="2889" spans="1:15" x14ac:dyDescent="0.25">
      <c r="A2889" t="s">
        <v>18</v>
      </c>
      <c r="B2889" t="s">
        <v>8581</v>
      </c>
      <c r="C2889" t="s">
        <v>8583</v>
      </c>
      <c r="D2889" t="s">
        <v>20</v>
      </c>
      <c r="E2889" t="s">
        <v>11</v>
      </c>
      <c r="F2889">
        <v>58681.326</v>
      </c>
      <c r="G2889">
        <v>18</v>
      </c>
      <c r="L2889" t="s">
        <v>8584</v>
      </c>
      <c r="O2889" t="s">
        <v>8585</v>
      </c>
    </row>
    <row r="2890" spans="1:15" x14ac:dyDescent="0.25">
      <c r="A2890" t="s">
        <v>18</v>
      </c>
      <c r="B2890" t="s">
        <v>8584</v>
      </c>
      <c r="C2890" t="s">
        <v>8586</v>
      </c>
      <c r="D2890" t="s">
        <v>20</v>
      </c>
      <c r="E2890" t="s">
        <v>11</v>
      </c>
      <c r="F2890">
        <v>21605.693999999996</v>
      </c>
      <c r="G2890">
        <v>18</v>
      </c>
      <c r="L2890" t="s">
        <v>8587</v>
      </c>
      <c r="O2890" t="s">
        <v>8588</v>
      </c>
    </row>
    <row r="2891" spans="1:15" x14ac:dyDescent="0.25">
      <c r="A2891" t="s">
        <v>18</v>
      </c>
      <c r="B2891" t="s">
        <v>8587</v>
      </c>
      <c r="C2891" t="s">
        <v>8589</v>
      </c>
      <c r="D2891" t="s">
        <v>20</v>
      </c>
      <c r="E2891" t="s">
        <v>11</v>
      </c>
      <c r="F2891">
        <v>8420.346</v>
      </c>
      <c r="G2891">
        <v>18</v>
      </c>
      <c r="L2891" t="s">
        <v>8590</v>
      </c>
      <c r="O2891" t="s">
        <v>8591</v>
      </c>
    </row>
    <row r="2892" spans="1:15" x14ac:dyDescent="0.25">
      <c r="A2892" t="s">
        <v>18</v>
      </c>
      <c r="B2892" t="s">
        <v>8590</v>
      </c>
      <c r="C2892" t="s">
        <v>8592</v>
      </c>
      <c r="D2892" t="s">
        <v>20</v>
      </c>
      <c r="E2892" t="s">
        <v>11</v>
      </c>
      <c r="F2892">
        <v>6984.318</v>
      </c>
      <c r="G2892">
        <v>18</v>
      </c>
      <c r="L2892" t="s">
        <v>8593</v>
      </c>
      <c r="O2892" t="s">
        <v>8594</v>
      </c>
    </row>
    <row r="2893" spans="1:15" x14ac:dyDescent="0.25">
      <c r="A2893" t="s">
        <v>18</v>
      </c>
      <c r="B2893" t="s">
        <v>8593</v>
      </c>
      <c r="C2893" t="s">
        <v>8595</v>
      </c>
      <c r="D2893" t="s">
        <v>20</v>
      </c>
      <c r="E2893" t="s">
        <v>11</v>
      </c>
      <c r="F2893">
        <v>7637.058</v>
      </c>
      <c r="G2893">
        <v>18</v>
      </c>
      <c r="L2893" t="s">
        <v>8596</v>
      </c>
      <c r="O2893" t="s">
        <v>8597</v>
      </c>
    </row>
    <row r="2894" spans="1:15" x14ac:dyDescent="0.25">
      <c r="A2894" t="s">
        <v>18</v>
      </c>
      <c r="B2894" t="s">
        <v>8596</v>
      </c>
      <c r="C2894" t="s">
        <v>8598</v>
      </c>
      <c r="D2894" t="s">
        <v>20</v>
      </c>
      <c r="E2894" t="s">
        <v>11</v>
      </c>
      <c r="F2894">
        <v>13576.991999999998</v>
      </c>
      <c r="G2894">
        <v>18</v>
      </c>
      <c r="L2894" t="s">
        <v>8599</v>
      </c>
      <c r="O2894" t="s">
        <v>8600</v>
      </c>
    </row>
    <row r="2895" spans="1:15" x14ac:dyDescent="0.25">
      <c r="A2895" t="s">
        <v>18</v>
      </c>
      <c r="B2895" t="s">
        <v>8599</v>
      </c>
      <c r="C2895" t="s">
        <v>8601</v>
      </c>
      <c r="D2895" t="s">
        <v>20</v>
      </c>
      <c r="E2895" t="s">
        <v>11</v>
      </c>
      <c r="F2895">
        <v>9073.086</v>
      </c>
      <c r="G2895">
        <v>18</v>
      </c>
      <c r="L2895" t="s">
        <v>8602</v>
      </c>
      <c r="O2895" t="s">
        <v>8603</v>
      </c>
    </row>
    <row r="2896" spans="1:15" x14ac:dyDescent="0.25">
      <c r="A2896" t="s">
        <v>18</v>
      </c>
      <c r="B2896" t="s">
        <v>8602</v>
      </c>
      <c r="C2896" t="s">
        <v>8604</v>
      </c>
      <c r="D2896" t="s">
        <v>20</v>
      </c>
      <c r="E2896" t="s">
        <v>11</v>
      </c>
      <c r="F2896">
        <v>7832.88</v>
      </c>
      <c r="G2896">
        <v>18</v>
      </c>
      <c r="L2896" t="s">
        <v>8605</v>
      </c>
      <c r="O2896" t="s">
        <v>8606</v>
      </c>
    </row>
    <row r="2897" spans="1:15" x14ac:dyDescent="0.25">
      <c r="A2897" t="s">
        <v>18</v>
      </c>
      <c r="B2897" t="s">
        <v>8605</v>
      </c>
      <c r="C2897" t="s">
        <v>8607</v>
      </c>
      <c r="D2897" t="s">
        <v>20</v>
      </c>
      <c r="E2897" t="s">
        <v>11</v>
      </c>
      <c r="F2897">
        <v>7441.235999999999</v>
      </c>
      <c r="G2897">
        <v>18</v>
      </c>
      <c r="L2897" t="s">
        <v>8608</v>
      </c>
      <c r="O2897" t="s">
        <v>8609</v>
      </c>
    </row>
    <row r="2898" spans="1:15" x14ac:dyDescent="0.25">
      <c r="A2898" t="s">
        <v>18</v>
      </c>
      <c r="B2898" t="s">
        <v>8608</v>
      </c>
      <c r="C2898" t="s">
        <v>8610</v>
      </c>
      <c r="D2898" t="s">
        <v>20</v>
      </c>
      <c r="E2898" t="s">
        <v>11</v>
      </c>
      <c r="F2898">
        <v>6527.4</v>
      </c>
      <c r="G2898">
        <v>18</v>
      </c>
      <c r="L2898" t="s">
        <v>8611</v>
      </c>
      <c r="O2898" t="s">
        <v>8612</v>
      </c>
    </row>
    <row r="2899" spans="1:15" x14ac:dyDescent="0.25">
      <c r="A2899" t="s">
        <v>18</v>
      </c>
      <c r="B2899" t="s">
        <v>8611</v>
      </c>
      <c r="C2899" t="s">
        <v>8613</v>
      </c>
      <c r="D2899" t="s">
        <v>20</v>
      </c>
      <c r="E2899" t="s">
        <v>11</v>
      </c>
      <c r="F2899">
        <v>18015.624</v>
      </c>
      <c r="G2899">
        <v>18</v>
      </c>
      <c r="L2899" t="s">
        <v>8614</v>
      </c>
      <c r="O2899" t="s">
        <v>8615</v>
      </c>
    </row>
    <row r="2900" spans="1:15" x14ac:dyDescent="0.25">
      <c r="A2900" t="s">
        <v>18</v>
      </c>
      <c r="B2900" t="s">
        <v>8614</v>
      </c>
      <c r="C2900" t="s">
        <v>8616</v>
      </c>
      <c r="D2900" t="s">
        <v>20</v>
      </c>
      <c r="E2900" t="s">
        <v>11</v>
      </c>
      <c r="F2900">
        <v>1174.9319999999998</v>
      </c>
      <c r="G2900">
        <v>18</v>
      </c>
      <c r="L2900" t="s">
        <v>8617</v>
      </c>
      <c r="O2900" t="s">
        <v>8618</v>
      </c>
    </row>
    <row r="2901" spans="1:15" x14ac:dyDescent="0.25">
      <c r="A2901" t="s">
        <v>18</v>
      </c>
      <c r="B2901" t="s">
        <v>8617</v>
      </c>
      <c r="C2901" t="s">
        <v>8619</v>
      </c>
      <c r="D2901" t="s">
        <v>20</v>
      </c>
      <c r="E2901" t="s">
        <v>11</v>
      </c>
      <c r="F2901">
        <v>17362.884000000002</v>
      </c>
      <c r="G2901">
        <v>18</v>
      </c>
      <c r="L2901" t="s">
        <v>8620</v>
      </c>
      <c r="O2901" t="s">
        <v>8621</v>
      </c>
    </row>
    <row r="2902" spans="1:15" x14ac:dyDescent="0.25">
      <c r="A2902" t="s">
        <v>18</v>
      </c>
      <c r="B2902" t="s">
        <v>8620</v>
      </c>
      <c r="C2902" t="s">
        <v>8622</v>
      </c>
      <c r="D2902" t="s">
        <v>20</v>
      </c>
      <c r="E2902" t="s">
        <v>11</v>
      </c>
      <c r="F2902">
        <v>27676.175999999996</v>
      </c>
      <c r="G2902">
        <v>18</v>
      </c>
      <c r="L2902" t="s">
        <v>8623</v>
      </c>
      <c r="O2902" t="s">
        <v>8624</v>
      </c>
    </row>
    <row r="2903" spans="1:15" x14ac:dyDescent="0.25">
      <c r="A2903" t="s">
        <v>18</v>
      </c>
      <c r="B2903" t="s">
        <v>8623</v>
      </c>
      <c r="C2903" t="s">
        <v>8625</v>
      </c>
      <c r="D2903" t="s">
        <v>20</v>
      </c>
      <c r="E2903" t="s">
        <v>11</v>
      </c>
      <c r="F2903">
        <v>3590.0699999999997</v>
      </c>
      <c r="G2903">
        <v>18</v>
      </c>
      <c r="L2903" t="s">
        <v>8626</v>
      </c>
      <c r="O2903" t="s">
        <v>8627</v>
      </c>
    </row>
    <row r="2904" spans="1:15" x14ac:dyDescent="0.25">
      <c r="A2904" t="s">
        <v>18</v>
      </c>
      <c r="B2904" t="s">
        <v>8626</v>
      </c>
      <c r="C2904" t="s">
        <v>8628</v>
      </c>
      <c r="D2904" t="s">
        <v>20</v>
      </c>
      <c r="E2904" t="s">
        <v>11</v>
      </c>
      <c r="F2904">
        <v>9268.908</v>
      </c>
      <c r="G2904">
        <v>18</v>
      </c>
      <c r="L2904" t="s">
        <v>8629</v>
      </c>
      <c r="O2904" t="s">
        <v>8630</v>
      </c>
    </row>
    <row r="2905" spans="1:15" x14ac:dyDescent="0.25">
      <c r="A2905" t="s">
        <v>18</v>
      </c>
      <c r="B2905" t="s">
        <v>8629</v>
      </c>
      <c r="C2905" t="s">
        <v>8631</v>
      </c>
      <c r="D2905" t="s">
        <v>20</v>
      </c>
      <c r="E2905" t="s">
        <v>11</v>
      </c>
      <c r="F2905">
        <v>19386.378</v>
      </c>
      <c r="G2905">
        <v>18</v>
      </c>
      <c r="L2905" t="s">
        <v>8632</v>
      </c>
      <c r="O2905" t="s">
        <v>8633</v>
      </c>
    </row>
    <row r="2906" spans="1:15" x14ac:dyDescent="0.25">
      <c r="A2906" t="s">
        <v>18</v>
      </c>
      <c r="B2906" t="s">
        <v>8632</v>
      </c>
      <c r="C2906" t="s">
        <v>8634</v>
      </c>
      <c r="D2906" t="s">
        <v>20</v>
      </c>
      <c r="E2906" t="s">
        <v>11</v>
      </c>
      <c r="F2906">
        <v>19386.378</v>
      </c>
      <c r="G2906">
        <v>18</v>
      </c>
      <c r="L2906" t="s">
        <v>8635</v>
      </c>
      <c r="O2906" t="s">
        <v>8636</v>
      </c>
    </row>
    <row r="2907" spans="1:15" x14ac:dyDescent="0.25">
      <c r="A2907" t="s">
        <v>18</v>
      </c>
      <c r="B2907" t="s">
        <v>8635</v>
      </c>
      <c r="C2907" t="s">
        <v>8637</v>
      </c>
      <c r="D2907" t="s">
        <v>20</v>
      </c>
      <c r="E2907" t="s">
        <v>11</v>
      </c>
      <c r="F2907">
        <v>8028.701999999999</v>
      </c>
      <c r="G2907">
        <v>18</v>
      </c>
      <c r="L2907" t="s">
        <v>8638</v>
      </c>
      <c r="O2907" t="s">
        <v>8639</v>
      </c>
    </row>
    <row r="2908" spans="1:15" x14ac:dyDescent="0.25">
      <c r="A2908" t="s">
        <v>18</v>
      </c>
      <c r="B2908" t="s">
        <v>8638</v>
      </c>
      <c r="C2908" t="s">
        <v>8640</v>
      </c>
      <c r="D2908" t="s">
        <v>20</v>
      </c>
      <c r="E2908" t="s">
        <v>11</v>
      </c>
      <c r="F2908">
        <v>9921.648000000001</v>
      </c>
      <c r="G2908">
        <v>18</v>
      </c>
      <c r="L2908" t="s">
        <v>8641</v>
      </c>
      <c r="O2908" t="s">
        <v>8642</v>
      </c>
    </row>
    <row r="2909" spans="1:15" x14ac:dyDescent="0.25">
      <c r="A2909" t="s">
        <v>18</v>
      </c>
      <c r="B2909" t="s">
        <v>8641</v>
      </c>
      <c r="C2909" t="s">
        <v>8643</v>
      </c>
      <c r="D2909" t="s">
        <v>20</v>
      </c>
      <c r="E2909" t="s">
        <v>11</v>
      </c>
      <c r="F2909">
        <v>2872.056</v>
      </c>
      <c r="G2909">
        <v>18</v>
      </c>
      <c r="L2909" t="s">
        <v>8644</v>
      </c>
      <c r="O2909" t="s">
        <v>8645</v>
      </c>
    </row>
    <row r="2910" spans="1:15" x14ac:dyDescent="0.25">
      <c r="A2910" t="s">
        <v>18</v>
      </c>
      <c r="B2910" t="s">
        <v>8644</v>
      </c>
      <c r="C2910" t="s">
        <v>8646</v>
      </c>
      <c r="D2910" t="s">
        <v>20</v>
      </c>
      <c r="E2910" t="s">
        <v>11</v>
      </c>
      <c r="F2910">
        <v>2284.59</v>
      </c>
      <c r="G2910">
        <v>18</v>
      </c>
      <c r="L2910" t="s">
        <v>8647</v>
      </c>
      <c r="O2910" t="s">
        <v>8648</v>
      </c>
    </row>
    <row r="2911" spans="1:15" x14ac:dyDescent="0.25">
      <c r="A2911" t="s">
        <v>18</v>
      </c>
      <c r="B2911" t="s">
        <v>8647</v>
      </c>
      <c r="C2911" t="s">
        <v>8649</v>
      </c>
      <c r="D2911" t="s">
        <v>20</v>
      </c>
      <c r="E2911" t="s">
        <v>11</v>
      </c>
      <c r="F2911">
        <v>6201.030000000001</v>
      </c>
      <c r="G2911">
        <v>18</v>
      </c>
      <c r="L2911" t="s">
        <v>8650</v>
      </c>
      <c r="O2911" t="s">
        <v>8651</v>
      </c>
    </row>
    <row r="2912" spans="1:15" x14ac:dyDescent="0.25">
      <c r="A2912" t="s">
        <v>18</v>
      </c>
      <c r="B2912" t="s">
        <v>8650</v>
      </c>
      <c r="C2912" t="s">
        <v>8652</v>
      </c>
      <c r="D2912" t="s">
        <v>20</v>
      </c>
      <c r="E2912" t="s">
        <v>11</v>
      </c>
      <c r="F2912">
        <v>5678.838</v>
      </c>
      <c r="G2912">
        <v>18</v>
      </c>
      <c r="L2912" t="s">
        <v>8653</v>
      </c>
      <c r="O2912" t="s">
        <v>8654</v>
      </c>
    </row>
    <row r="2913" spans="1:15" x14ac:dyDescent="0.25">
      <c r="A2913" t="s">
        <v>18</v>
      </c>
      <c r="B2913" t="s">
        <v>8653</v>
      </c>
      <c r="C2913" t="s">
        <v>8655</v>
      </c>
      <c r="D2913" t="s">
        <v>20</v>
      </c>
      <c r="E2913" t="s">
        <v>11</v>
      </c>
      <c r="F2913">
        <v>5091.371999999999</v>
      </c>
      <c r="G2913">
        <v>18</v>
      </c>
      <c r="L2913" t="s">
        <v>8656</v>
      </c>
      <c r="O2913" t="s">
        <v>8657</v>
      </c>
    </row>
    <row r="2914" spans="1:15" x14ac:dyDescent="0.25">
      <c r="A2914" t="s">
        <v>18</v>
      </c>
      <c r="B2914" t="s">
        <v>8656</v>
      </c>
      <c r="C2914" t="s">
        <v>8658</v>
      </c>
      <c r="D2914" t="s">
        <v>20</v>
      </c>
      <c r="E2914" t="s">
        <v>11</v>
      </c>
      <c r="F2914">
        <v>261.096</v>
      </c>
      <c r="G2914">
        <v>18</v>
      </c>
      <c r="L2914" t="s">
        <v>8659</v>
      </c>
      <c r="O2914" t="s">
        <v>8660</v>
      </c>
    </row>
    <row r="2915" spans="1:15" x14ac:dyDescent="0.25">
      <c r="A2915" t="s">
        <v>18</v>
      </c>
      <c r="B2915" t="s">
        <v>8659</v>
      </c>
      <c r="C2915" t="s">
        <v>8661</v>
      </c>
      <c r="D2915" t="s">
        <v>20</v>
      </c>
      <c r="E2915" t="s">
        <v>11</v>
      </c>
      <c r="F2915">
        <v>2088.768</v>
      </c>
      <c r="G2915">
        <v>18</v>
      </c>
      <c r="L2915" t="s">
        <v>8662</v>
      </c>
      <c r="O2915" t="s">
        <v>8663</v>
      </c>
    </row>
    <row r="2916" spans="1:15" x14ac:dyDescent="0.25">
      <c r="A2916" t="s">
        <v>18</v>
      </c>
      <c r="B2916" t="s">
        <v>8662</v>
      </c>
      <c r="C2916" t="s">
        <v>8664</v>
      </c>
      <c r="D2916" t="s">
        <v>20</v>
      </c>
      <c r="E2916" t="s">
        <v>11</v>
      </c>
      <c r="F2916">
        <v>41318.442</v>
      </c>
      <c r="G2916">
        <v>18</v>
      </c>
      <c r="L2916" t="s">
        <v>8665</v>
      </c>
      <c r="O2916" t="s">
        <v>8666</v>
      </c>
    </row>
    <row r="2917" spans="1:15" x14ac:dyDescent="0.25">
      <c r="A2917" t="s">
        <v>18</v>
      </c>
      <c r="B2917" t="s">
        <v>8665</v>
      </c>
      <c r="C2917" t="s">
        <v>8667</v>
      </c>
      <c r="D2917" t="s">
        <v>20</v>
      </c>
      <c r="E2917" t="s">
        <v>11</v>
      </c>
      <c r="F2917">
        <v>21279.323999999997</v>
      </c>
      <c r="G2917">
        <v>18</v>
      </c>
      <c r="L2917" t="s">
        <v>8668</v>
      </c>
      <c r="O2917" t="s">
        <v>8669</v>
      </c>
    </row>
    <row r="2918" spans="1:15" x14ac:dyDescent="0.25">
      <c r="A2918" t="s">
        <v>18</v>
      </c>
      <c r="B2918" t="s">
        <v>8668</v>
      </c>
      <c r="C2918" t="s">
        <v>8670</v>
      </c>
      <c r="D2918" t="s">
        <v>20</v>
      </c>
      <c r="E2918" t="s">
        <v>11</v>
      </c>
      <c r="F2918">
        <v>4046.988</v>
      </c>
      <c r="G2918">
        <v>18</v>
      </c>
      <c r="L2918" t="s">
        <v>8671</v>
      </c>
      <c r="O2918" t="s">
        <v>8672</v>
      </c>
    </row>
    <row r="2919" spans="1:15" x14ac:dyDescent="0.25">
      <c r="A2919" t="s">
        <v>18</v>
      </c>
      <c r="B2919" t="s">
        <v>8671</v>
      </c>
      <c r="C2919" t="s">
        <v>8673</v>
      </c>
      <c r="D2919" t="s">
        <v>20</v>
      </c>
      <c r="E2919" t="s">
        <v>11</v>
      </c>
      <c r="F2919">
        <v>4046.988</v>
      </c>
      <c r="G2919">
        <v>18</v>
      </c>
      <c r="L2919" t="s">
        <v>8674</v>
      </c>
      <c r="O2919" t="s">
        <v>8675</v>
      </c>
    </row>
    <row r="2920" spans="1:15" x14ac:dyDescent="0.25">
      <c r="A2920" t="s">
        <v>18</v>
      </c>
      <c r="B2920" t="s">
        <v>8674</v>
      </c>
      <c r="C2920" t="s">
        <v>8676</v>
      </c>
      <c r="D2920" t="s">
        <v>20</v>
      </c>
      <c r="E2920" t="s">
        <v>11</v>
      </c>
      <c r="F2920">
        <v>587.4659999999999</v>
      </c>
      <c r="G2920">
        <v>18</v>
      </c>
      <c r="L2920" t="s">
        <v>8677</v>
      </c>
      <c r="O2920" t="s">
        <v>8678</v>
      </c>
    </row>
    <row r="2921" spans="1:15" x14ac:dyDescent="0.25">
      <c r="A2921" t="s">
        <v>18</v>
      </c>
      <c r="B2921" t="s">
        <v>8677</v>
      </c>
      <c r="C2921" t="s">
        <v>8679</v>
      </c>
      <c r="D2921" t="s">
        <v>20</v>
      </c>
      <c r="E2921" t="s">
        <v>11</v>
      </c>
      <c r="F2921">
        <v>5091.371999999999</v>
      </c>
      <c r="G2921">
        <v>18</v>
      </c>
      <c r="L2921" t="s">
        <v>8680</v>
      </c>
      <c r="O2921" t="s">
        <v>8681</v>
      </c>
    </row>
    <row r="2922" spans="1:15" x14ac:dyDescent="0.25">
      <c r="A2922" t="s">
        <v>18</v>
      </c>
      <c r="B2922" t="s">
        <v>8680</v>
      </c>
      <c r="C2922" t="s">
        <v>8682</v>
      </c>
      <c r="D2922" t="s">
        <v>20</v>
      </c>
      <c r="E2922" t="s">
        <v>11</v>
      </c>
      <c r="F2922">
        <v>7114.866</v>
      </c>
      <c r="G2922">
        <v>18</v>
      </c>
      <c r="L2922" t="s">
        <v>8683</v>
      </c>
      <c r="O2922" t="s">
        <v>8684</v>
      </c>
    </row>
    <row r="2923" spans="1:15" x14ac:dyDescent="0.25">
      <c r="A2923" t="s">
        <v>18</v>
      </c>
      <c r="B2923" t="s">
        <v>8683</v>
      </c>
      <c r="C2923" t="s">
        <v>8685</v>
      </c>
      <c r="D2923" t="s">
        <v>20</v>
      </c>
      <c r="E2923" t="s">
        <v>11</v>
      </c>
      <c r="F2923">
        <v>6566.8679999999995</v>
      </c>
      <c r="G2923">
        <v>18</v>
      </c>
      <c r="L2923" t="s">
        <v>8686</v>
      </c>
      <c r="O2923" t="s">
        <v>8687</v>
      </c>
    </row>
    <row r="2924" spans="1:15" x14ac:dyDescent="0.25">
      <c r="A2924" t="s">
        <v>18</v>
      </c>
      <c r="B2924" t="s">
        <v>8686</v>
      </c>
      <c r="C2924" t="s">
        <v>8688</v>
      </c>
      <c r="D2924" t="s">
        <v>20</v>
      </c>
      <c r="E2924" t="s">
        <v>11</v>
      </c>
      <c r="F2924">
        <v>6566.8679999999995</v>
      </c>
      <c r="G2924">
        <v>18</v>
      </c>
      <c r="L2924" t="s">
        <v>8689</v>
      </c>
      <c r="O2924" t="s">
        <v>8690</v>
      </c>
    </row>
    <row r="2925" spans="1:15" x14ac:dyDescent="0.25">
      <c r="A2925" t="s">
        <v>18</v>
      </c>
      <c r="B2925" t="s">
        <v>8689</v>
      </c>
      <c r="C2925" t="s">
        <v>8691</v>
      </c>
      <c r="D2925" t="s">
        <v>20</v>
      </c>
      <c r="E2925" t="s">
        <v>11</v>
      </c>
      <c r="F2925">
        <v>1240.2060000000001</v>
      </c>
      <c r="G2925">
        <v>18</v>
      </c>
      <c r="L2925" t="s">
        <v>8692</v>
      </c>
      <c r="O2925" t="s">
        <v>8693</v>
      </c>
    </row>
    <row r="2926" spans="1:15" x14ac:dyDescent="0.25">
      <c r="A2926" t="s">
        <v>18</v>
      </c>
      <c r="B2926" t="s">
        <v>8692</v>
      </c>
      <c r="C2926" t="s">
        <v>8694</v>
      </c>
      <c r="D2926" t="s">
        <v>20</v>
      </c>
      <c r="E2926" t="s">
        <v>11</v>
      </c>
      <c r="F2926">
        <v>1240.2060000000001</v>
      </c>
      <c r="G2926">
        <v>18</v>
      </c>
      <c r="L2926" t="s">
        <v>8695</v>
      </c>
      <c r="O2926" t="s">
        <v>8696</v>
      </c>
    </row>
    <row r="2927" spans="1:15" x14ac:dyDescent="0.25">
      <c r="A2927" t="s">
        <v>18</v>
      </c>
      <c r="B2927" t="s">
        <v>8695</v>
      </c>
      <c r="C2927" t="s">
        <v>8697</v>
      </c>
      <c r="D2927" t="s">
        <v>20</v>
      </c>
      <c r="E2927" t="s">
        <v>11</v>
      </c>
      <c r="F2927">
        <v>35965.973999999995</v>
      </c>
      <c r="G2927">
        <v>18</v>
      </c>
      <c r="L2927" t="s">
        <v>8698</v>
      </c>
      <c r="O2927" t="s">
        <v>8699</v>
      </c>
    </row>
    <row r="2928" spans="1:15" x14ac:dyDescent="0.25">
      <c r="A2928" t="s">
        <v>18</v>
      </c>
      <c r="B2928" t="s">
        <v>8698</v>
      </c>
      <c r="C2928" t="s">
        <v>8700</v>
      </c>
      <c r="D2928" t="s">
        <v>20</v>
      </c>
      <c r="E2928" t="s">
        <v>11</v>
      </c>
      <c r="F2928">
        <v>1240.2060000000001</v>
      </c>
      <c r="G2928">
        <v>18</v>
      </c>
      <c r="L2928" t="s">
        <v>8701</v>
      </c>
      <c r="O2928" t="s">
        <v>8702</v>
      </c>
    </row>
    <row r="2929" spans="1:15" x14ac:dyDescent="0.25">
      <c r="A2929" t="s">
        <v>18</v>
      </c>
      <c r="B2929" t="s">
        <v>8701</v>
      </c>
      <c r="C2929" t="s">
        <v>8703</v>
      </c>
      <c r="D2929" t="s">
        <v>20</v>
      </c>
      <c r="E2929" t="s">
        <v>11</v>
      </c>
      <c r="F2929">
        <v>25261.038</v>
      </c>
      <c r="G2929">
        <v>18</v>
      </c>
      <c r="L2929" t="s">
        <v>8704</v>
      </c>
      <c r="O2929" t="s">
        <v>8705</v>
      </c>
    </row>
    <row r="2930" spans="1:15" x14ac:dyDescent="0.25">
      <c r="A2930" t="s">
        <v>18</v>
      </c>
      <c r="B2930" t="s">
        <v>8704</v>
      </c>
      <c r="C2930" t="s">
        <v>8706</v>
      </c>
      <c r="D2930" t="s">
        <v>20</v>
      </c>
      <c r="E2930" t="s">
        <v>11</v>
      </c>
      <c r="F2930">
        <v>4438.632</v>
      </c>
      <c r="G2930">
        <v>18</v>
      </c>
      <c r="L2930" t="s">
        <v>8707</v>
      </c>
      <c r="O2930" t="s">
        <v>8708</v>
      </c>
    </row>
    <row r="2931" spans="1:15" x14ac:dyDescent="0.25">
      <c r="A2931" t="s">
        <v>18</v>
      </c>
      <c r="B2931" t="s">
        <v>8707</v>
      </c>
      <c r="C2931" t="s">
        <v>8709</v>
      </c>
      <c r="D2931" t="s">
        <v>20</v>
      </c>
      <c r="E2931" t="s">
        <v>11</v>
      </c>
      <c r="F2931">
        <v>783.2879999999999</v>
      </c>
      <c r="G2931">
        <v>18</v>
      </c>
      <c r="L2931" t="s">
        <v>8710</v>
      </c>
      <c r="O2931" t="s">
        <v>8711</v>
      </c>
    </row>
    <row r="2932" spans="1:15" x14ac:dyDescent="0.25">
      <c r="A2932" t="s">
        <v>18</v>
      </c>
      <c r="B2932" t="s">
        <v>8710</v>
      </c>
      <c r="C2932" t="s">
        <v>8712</v>
      </c>
      <c r="D2932" t="s">
        <v>20</v>
      </c>
      <c r="E2932" t="s">
        <v>11</v>
      </c>
      <c r="F2932">
        <v>783.2879999999999</v>
      </c>
      <c r="G2932">
        <v>18</v>
      </c>
      <c r="L2932" t="s">
        <v>8713</v>
      </c>
      <c r="O2932" t="s">
        <v>8714</v>
      </c>
    </row>
    <row r="2933" spans="1:15" x14ac:dyDescent="0.25">
      <c r="A2933" t="s">
        <v>18</v>
      </c>
      <c r="B2933" t="s">
        <v>8713</v>
      </c>
      <c r="C2933" t="s">
        <v>8715</v>
      </c>
      <c r="D2933" t="s">
        <v>20</v>
      </c>
      <c r="E2933" t="s">
        <v>11</v>
      </c>
      <c r="F2933">
        <v>15208.841999999999</v>
      </c>
      <c r="G2933">
        <v>18</v>
      </c>
      <c r="L2933" t="s">
        <v>8716</v>
      </c>
      <c r="O2933" t="s">
        <v>8717</v>
      </c>
    </row>
    <row r="2934" spans="1:15" x14ac:dyDescent="0.25">
      <c r="A2934" t="s">
        <v>18</v>
      </c>
      <c r="B2934" t="s">
        <v>8716</v>
      </c>
      <c r="C2934" t="s">
        <v>8718</v>
      </c>
      <c r="D2934" t="s">
        <v>20</v>
      </c>
      <c r="E2934" t="s">
        <v>11</v>
      </c>
      <c r="F2934">
        <v>4112.262</v>
      </c>
      <c r="G2934">
        <v>18</v>
      </c>
      <c r="L2934" t="s">
        <v>8719</v>
      </c>
      <c r="O2934" t="s">
        <v>8720</v>
      </c>
    </row>
    <row r="2935" spans="1:15" x14ac:dyDescent="0.25">
      <c r="A2935" t="s">
        <v>18</v>
      </c>
      <c r="B2935" t="s">
        <v>8719</v>
      </c>
      <c r="C2935" t="s">
        <v>8721</v>
      </c>
      <c r="D2935" t="s">
        <v>20</v>
      </c>
      <c r="E2935" t="s">
        <v>11</v>
      </c>
      <c r="F2935">
        <v>3067.8779999999997</v>
      </c>
      <c r="G2935">
        <v>18</v>
      </c>
      <c r="L2935" t="s">
        <v>8722</v>
      </c>
      <c r="O2935" t="s">
        <v>8723</v>
      </c>
    </row>
    <row r="2936" spans="1:15" x14ac:dyDescent="0.25">
      <c r="A2936" t="s">
        <v>18</v>
      </c>
      <c r="B2936" t="s">
        <v>8722</v>
      </c>
      <c r="C2936" t="s">
        <v>8724</v>
      </c>
      <c r="D2936" t="s">
        <v>20</v>
      </c>
      <c r="E2936" t="s">
        <v>11</v>
      </c>
      <c r="F2936">
        <v>3263.7</v>
      </c>
      <c r="G2936">
        <v>18</v>
      </c>
      <c r="L2936" t="s">
        <v>8725</v>
      </c>
      <c r="O2936" t="s">
        <v>8726</v>
      </c>
    </row>
    <row r="2937" spans="1:15" x14ac:dyDescent="0.25">
      <c r="A2937" t="s">
        <v>18</v>
      </c>
      <c r="B2937" t="s">
        <v>8725</v>
      </c>
      <c r="C2937" t="s">
        <v>8727</v>
      </c>
      <c r="D2937" t="s">
        <v>20</v>
      </c>
      <c r="E2937" t="s">
        <v>11</v>
      </c>
      <c r="F2937">
        <v>4308.084</v>
      </c>
      <c r="G2937">
        <v>18</v>
      </c>
      <c r="L2937" t="s">
        <v>8728</v>
      </c>
      <c r="O2937" t="s">
        <v>8729</v>
      </c>
    </row>
    <row r="2938" spans="1:15" x14ac:dyDescent="0.25">
      <c r="A2938" t="s">
        <v>18</v>
      </c>
      <c r="B2938" t="s">
        <v>8728</v>
      </c>
      <c r="C2938" t="s">
        <v>8730</v>
      </c>
      <c r="D2938" t="s">
        <v>20</v>
      </c>
      <c r="E2938" t="s">
        <v>11</v>
      </c>
      <c r="F2938">
        <v>3981.714</v>
      </c>
      <c r="G2938">
        <v>18</v>
      </c>
      <c r="L2938" t="s">
        <v>8731</v>
      </c>
      <c r="O2938" t="s">
        <v>8732</v>
      </c>
    </row>
    <row r="2939" spans="1:15" x14ac:dyDescent="0.25">
      <c r="A2939" t="s">
        <v>18</v>
      </c>
      <c r="B2939" t="s">
        <v>8731</v>
      </c>
      <c r="C2939" t="s">
        <v>8733</v>
      </c>
      <c r="D2939" t="s">
        <v>20</v>
      </c>
      <c r="E2939" t="s">
        <v>11</v>
      </c>
      <c r="F2939">
        <v>456.918</v>
      </c>
      <c r="G2939">
        <v>18</v>
      </c>
      <c r="L2939" t="s">
        <v>8734</v>
      </c>
      <c r="O2939" t="s">
        <v>8735</v>
      </c>
    </row>
    <row r="2940" spans="1:15" x14ac:dyDescent="0.25">
      <c r="A2940" t="s">
        <v>18</v>
      </c>
      <c r="B2940" t="s">
        <v>8734</v>
      </c>
      <c r="C2940" t="s">
        <v>8736</v>
      </c>
      <c r="D2940" t="s">
        <v>20</v>
      </c>
      <c r="E2940" t="s">
        <v>11</v>
      </c>
      <c r="F2940">
        <v>14817.197999999999</v>
      </c>
      <c r="G2940">
        <v>18</v>
      </c>
      <c r="L2940" t="s">
        <v>8737</v>
      </c>
      <c r="O2940" t="s">
        <v>8738</v>
      </c>
    </row>
    <row r="2941" spans="1:15" x14ac:dyDescent="0.25">
      <c r="A2941" t="s">
        <v>18</v>
      </c>
      <c r="B2941" t="s">
        <v>8737</v>
      </c>
      <c r="C2941" t="s">
        <v>8739</v>
      </c>
      <c r="D2941" t="s">
        <v>20</v>
      </c>
      <c r="E2941" t="s">
        <v>11</v>
      </c>
      <c r="F2941">
        <v>12271.511999999999</v>
      </c>
      <c r="G2941">
        <v>18</v>
      </c>
      <c r="L2941" t="s">
        <v>8740</v>
      </c>
      <c r="O2941" t="s">
        <v>8741</v>
      </c>
    </row>
    <row r="2942" spans="1:15" x14ac:dyDescent="0.25">
      <c r="A2942" t="s">
        <v>18</v>
      </c>
      <c r="B2942" t="s">
        <v>8740</v>
      </c>
      <c r="C2942" t="s">
        <v>8742</v>
      </c>
      <c r="D2942" t="s">
        <v>20</v>
      </c>
      <c r="E2942" t="s">
        <v>11</v>
      </c>
      <c r="F2942">
        <v>49020.774</v>
      </c>
      <c r="G2942">
        <v>18</v>
      </c>
      <c r="L2942" t="s">
        <v>8743</v>
      </c>
      <c r="O2942" t="s">
        <v>8744</v>
      </c>
    </row>
    <row r="2943" spans="1:15" x14ac:dyDescent="0.25">
      <c r="A2943" t="s">
        <v>18</v>
      </c>
      <c r="B2943" t="s">
        <v>8743</v>
      </c>
      <c r="C2943" t="s">
        <v>8745</v>
      </c>
      <c r="D2943" t="s">
        <v>20</v>
      </c>
      <c r="E2943" t="s">
        <v>11</v>
      </c>
      <c r="F2943">
        <v>49020.774</v>
      </c>
      <c r="G2943">
        <v>18</v>
      </c>
      <c r="L2943" t="s">
        <v>8746</v>
      </c>
      <c r="O2943" t="s">
        <v>8747</v>
      </c>
    </row>
    <row r="2944" spans="1:15" x14ac:dyDescent="0.25">
      <c r="A2944" t="s">
        <v>18</v>
      </c>
      <c r="B2944" t="s">
        <v>8746</v>
      </c>
      <c r="C2944" t="s">
        <v>8748</v>
      </c>
      <c r="D2944" t="s">
        <v>20</v>
      </c>
      <c r="E2944" t="s">
        <v>11</v>
      </c>
      <c r="F2944">
        <v>49020.774</v>
      </c>
      <c r="G2944">
        <v>18</v>
      </c>
      <c r="L2944" t="s">
        <v>8749</v>
      </c>
      <c r="O2944" t="s">
        <v>8750</v>
      </c>
    </row>
    <row r="2945" spans="1:15" x14ac:dyDescent="0.25">
      <c r="A2945" t="s">
        <v>18</v>
      </c>
      <c r="B2945" t="s">
        <v>8749</v>
      </c>
      <c r="C2945" t="s">
        <v>8751</v>
      </c>
      <c r="D2945" t="s">
        <v>20</v>
      </c>
      <c r="E2945" t="s">
        <v>11</v>
      </c>
      <c r="F2945">
        <v>49020.774</v>
      </c>
      <c r="G2945">
        <v>18</v>
      </c>
      <c r="L2945" t="s">
        <v>8752</v>
      </c>
      <c r="O2945" t="s">
        <v>8753</v>
      </c>
    </row>
    <row r="2946" spans="1:15" x14ac:dyDescent="0.25">
      <c r="A2946" t="s">
        <v>18</v>
      </c>
      <c r="B2946" t="s">
        <v>8752</v>
      </c>
      <c r="C2946" t="s">
        <v>8754</v>
      </c>
      <c r="D2946" t="s">
        <v>20</v>
      </c>
      <c r="E2946" t="s">
        <v>11</v>
      </c>
      <c r="F2946">
        <v>35900.7</v>
      </c>
      <c r="G2946">
        <v>18</v>
      </c>
      <c r="L2946" t="s">
        <v>8755</v>
      </c>
      <c r="O2946" t="s">
        <v>8756</v>
      </c>
    </row>
    <row r="2947" spans="1:15" x14ac:dyDescent="0.25">
      <c r="A2947" t="s">
        <v>18</v>
      </c>
      <c r="B2947" t="s">
        <v>8755</v>
      </c>
      <c r="C2947" t="s">
        <v>8757</v>
      </c>
      <c r="D2947" t="s">
        <v>20</v>
      </c>
      <c r="E2947" t="s">
        <v>11</v>
      </c>
      <c r="F2947">
        <v>35900.7</v>
      </c>
      <c r="G2947">
        <v>18</v>
      </c>
      <c r="L2947" t="s">
        <v>8758</v>
      </c>
      <c r="O2947" t="s">
        <v>8759</v>
      </c>
    </row>
    <row r="2948" spans="1:15" x14ac:dyDescent="0.25">
      <c r="A2948" t="s">
        <v>18</v>
      </c>
      <c r="B2948" t="s">
        <v>8758</v>
      </c>
      <c r="C2948" t="s">
        <v>8760</v>
      </c>
      <c r="D2948" t="s">
        <v>20</v>
      </c>
      <c r="E2948" t="s">
        <v>11</v>
      </c>
      <c r="F2948">
        <v>35900.7</v>
      </c>
      <c r="G2948">
        <v>18</v>
      </c>
      <c r="L2948" t="s">
        <v>8761</v>
      </c>
      <c r="O2948" t="s">
        <v>8762</v>
      </c>
    </row>
    <row r="2949" spans="1:15" x14ac:dyDescent="0.25">
      <c r="A2949" t="s">
        <v>18</v>
      </c>
      <c r="B2949" t="s">
        <v>8761</v>
      </c>
      <c r="C2949" t="s">
        <v>8763</v>
      </c>
      <c r="D2949" t="s">
        <v>20</v>
      </c>
      <c r="E2949" t="s">
        <v>11</v>
      </c>
      <c r="F2949">
        <v>35900.7</v>
      </c>
      <c r="G2949">
        <v>18</v>
      </c>
      <c r="L2949" t="s">
        <v>8764</v>
      </c>
      <c r="O2949" t="s">
        <v>8765</v>
      </c>
    </row>
    <row r="2950" spans="1:15" x14ac:dyDescent="0.25">
      <c r="A2950" t="s">
        <v>18</v>
      </c>
      <c r="B2950" t="s">
        <v>8764</v>
      </c>
      <c r="C2950" t="s">
        <v>8766</v>
      </c>
      <c r="D2950" t="s">
        <v>20</v>
      </c>
      <c r="E2950" t="s">
        <v>11</v>
      </c>
      <c r="F2950">
        <v>68733.522</v>
      </c>
      <c r="G2950">
        <v>18</v>
      </c>
      <c r="L2950" t="s">
        <v>8767</v>
      </c>
      <c r="O2950" t="s">
        <v>8768</v>
      </c>
    </row>
    <row r="2951" spans="1:15" x14ac:dyDescent="0.25">
      <c r="A2951" t="s">
        <v>18</v>
      </c>
      <c r="B2951" t="s">
        <v>8767</v>
      </c>
      <c r="C2951" t="s">
        <v>8769</v>
      </c>
      <c r="D2951" t="s">
        <v>20</v>
      </c>
      <c r="E2951" t="s">
        <v>11</v>
      </c>
      <c r="F2951">
        <v>68733.522</v>
      </c>
      <c r="G2951">
        <v>18</v>
      </c>
      <c r="L2951" t="s">
        <v>8770</v>
      </c>
      <c r="O2951" t="s">
        <v>8771</v>
      </c>
    </row>
    <row r="2952" spans="1:15" x14ac:dyDescent="0.25">
      <c r="A2952" t="s">
        <v>18</v>
      </c>
      <c r="B2952" t="s">
        <v>8770</v>
      </c>
      <c r="C2952" t="s">
        <v>8772</v>
      </c>
      <c r="D2952" t="s">
        <v>20</v>
      </c>
      <c r="E2952" t="s">
        <v>11</v>
      </c>
      <c r="F2952">
        <v>68733.522</v>
      </c>
      <c r="G2952">
        <v>18</v>
      </c>
      <c r="L2952" t="s">
        <v>8773</v>
      </c>
      <c r="O2952" t="s">
        <v>8774</v>
      </c>
    </row>
    <row r="2953" spans="1:15" x14ac:dyDescent="0.25">
      <c r="A2953" t="s">
        <v>18</v>
      </c>
      <c r="B2953" t="s">
        <v>8773</v>
      </c>
      <c r="C2953" t="s">
        <v>8775</v>
      </c>
      <c r="D2953" t="s">
        <v>20</v>
      </c>
      <c r="E2953" t="s">
        <v>11</v>
      </c>
      <c r="F2953">
        <v>68733.522</v>
      </c>
      <c r="G2953">
        <v>18</v>
      </c>
      <c r="L2953" t="s">
        <v>8776</v>
      </c>
      <c r="O2953" t="s">
        <v>8777</v>
      </c>
    </row>
    <row r="2954" spans="1:15" x14ac:dyDescent="0.25">
      <c r="A2954" t="s">
        <v>18</v>
      </c>
      <c r="B2954" t="s">
        <v>8776</v>
      </c>
      <c r="C2954" t="s">
        <v>8778</v>
      </c>
      <c r="D2954" t="s">
        <v>20</v>
      </c>
      <c r="E2954" t="s">
        <v>11</v>
      </c>
      <c r="F2954">
        <v>1566.5759999999998</v>
      </c>
      <c r="G2954">
        <v>18</v>
      </c>
      <c r="L2954" t="s">
        <v>8779</v>
      </c>
      <c r="O2954" t="s">
        <v>8780</v>
      </c>
    </row>
    <row r="2955" spans="1:15" x14ac:dyDescent="0.25">
      <c r="A2955" t="s">
        <v>18</v>
      </c>
      <c r="B2955" t="s">
        <v>8779</v>
      </c>
      <c r="C2955" t="s">
        <v>8781</v>
      </c>
      <c r="D2955" t="s">
        <v>20</v>
      </c>
      <c r="E2955" t="s">
        <v>11</v>
      </c>
      <c r="F2955">
        <v>652.74</v>
      </c>
      <c r="G2955">
        <v>18</v>
      </c>
      <c r="L2955" t="s">
        <v>8782</v>
      </c>
      <c r="O2955" t="s">
        <v>8783</v>
      </c>
    </row>
    <row r="2956" spans="1:15" x14ac:dyDescent="0.25">
      <c r="A2956" t="s">
        <v>18</v>
      </c>
      <c r="B2956" t="s">
        <v>8782</v>
      </c>
      <c r="C2956" t="s">
        <v>8784</v>
      </c>
      <c r="D2956" t="s">
        <v>20</v>
      </c>
      <c r="E2956" t="s">
        <v>11</v>
      </c>
      <c r="F2956">
        <v>7832.88</v>
      </c>
      <c r="G2956">
        <v>18</v>
      </c>
      <c r="L2956" t="s">
        <v>8785</v>
      </c>
      <c r="O2956" t="s">
        <v>8786</v>
      </c>
    </row>
    <row r="2957" spans="1:15" x14ac:dyDescent="0.25">
      <c r="A2957" t="s">
        <v>18</v>
      </c>
      <c r="B2957" t="s">
        <v>8785</v>
      </c>
      <c r="C2957" t="s">
        <v>8787</v>
      </c>
      <c r="D2957" t="s">
        <v>20</v>
      </c>
      <c r="E2957" t="s">
        <v>11</v>
      </c>
      <c r="F2957">
        <v>2284.59</v>
      </c>
      <c r="G2957">
        <v>18</v>
      </c>
      <c r="L2957" t="s">
        <v>8788</v>
      </c>
      <c r="O2957" t="s">
        <v>8789</v>
      </c>
    </row>
    <row r="2958" spans="1:15" x14ac:dyDescent="0.25">
      <c r="A2958" t="s">
        <v>18</v>
      </c>
      <c r="B2958" t="s">
        <v>8788</v>
      </c>
      <c r="C2958" t="s">
        <v>8790</v>
      </c>
      <c r="D2958" t="s">
        <v>20</v>
      </c>
      <c r="E2958" t="s">
        <v>11</v>
      </c>
      <c r="F2958">
        <v>7180.139999999999</v>
      </c>
      <c r="G2958">
        <v>18</v>
      </c>
      <c r="L2958" t="s">
        <v>8791</v>
      </c>
      <c r="O2958" t="s">
        <v>8792</v>
      </c>
    </row>
    <row r="2959" spans="1:15" x14ac:dyDescent="0.25">
      <c r="A2959" t="s">
        <v>18</v>
      </c>
      <c r="B2959" t="s">
        <v>8791</v>
      </c>
      <c r="C2959" t="s">
        <v>8793</v>
      </c>
      <c r="D2959" t="s">
        <v>20</v>
      </c>
      <c r="E2959" t="s">
        <v>11</v>
      </c>
      <c r="F2959">
        <v>2284.59</v>
      </c>
      <c r="G2959">
        <v>18</v>
      </c>
      <c r="L2959" t="s">
        <v>8794</v>
      </c>
      <c r="O2959" t="s">
        <v>8795</v>
      </c>
    </row>
    <row r="2960" spans="1:15" x14ac:dyDescent="0.25">
      <c r="A2960" t="s">
        <v>18</v>
      </c>
      <c r="B2960" t="s">
        <v>8794</v>
      </c>
      <c r="C2960" t="s">
        <v>8796</v>
      </c>
      <c r="D2960" t="s">
        <v>20</v>
      </c>
      <c r="E2960" t="s">
        <v>11</v>
      </c>
      <c r="F2960">
        <v>7180.139999999999</v>
      </c>
      <c r="G2960">
        <v>18</v>
      </c>
      <c r="L2960" t="s">
        <v>8797</v>
      </c>
      <c r="O2960" t="s">
        <v>8798</v>
      </c>
    </row>
    <row r="2961" spans="1:15" x14ac:dyDescent="0.25">
      <c r="A2961" t="s">
        <v>18</v>
      </c>
      <c r="B2961" t="s">
        <v>8797</v>
      </c>
      <c r="C2961" t="s">
        <v>8799</v>
      </c>
      <c r="D2961" t="s">
        <v>20</v>
      </c>
      <c r="E2961" t="s">
        <v>11</v>
      </c>
      <c r="F2961">
        <v>12010.416</v>
      </c>
      <c r="G2961">
        <v>18</v>
      </c>
      <c r="L2961" t="s">
        <v>8800</v>
      </c>
      <c r="O2961" t="s">
        <v>8801</v>
      </c>
    </row>
    <row r="2962" spans="1:15" x14ac:dyDescent="0.25">
      <c r="A2962" t="s">
        <v>18</v>
      </c>
      <c r="B2962" t="s">
        <v>8800</v>
      </c>
      <c r="C2962" t="s">
        <v>8802</v>
      </c>
      <c r="D2962" t="s">
        <v>20</v>
      </c>
      <c r="E2962" t="s">
        <v>11</v>
      </c>
      <c r="F2962">
        <v>2872.056</v>
      </c>
      <c r="G2962">
        <v>18</v>
      </c>
      <c r="L2962" t="s">
        <v>8803</v>
      </c>
      <c r="O2962" t="s">
        <v>8804</v>
      </c>
    </row>
    <row r="2963" spans="1:15" x14ac:dyDescent="0.25">
      <c r="A2963" t="s">
        <v>18</v>
      </c>
      <c r="B2963" t="s">
        <v>8803</v>
      </c>
      <c r="C2963" t="s">
        <v>8805</v>
      </c>
      <c r="D2963" t="s">
        <v>20</v>
      </c>
      <c r="E2963" t="s">
        <v>11</v>
      </c>
      <c r="F2963">
        <v>2872.056</v>
      </c>
      <c r="G2963">
        <v>18</v>
      </c>
      <c r="L2963" t="s">
        <v>8806</v>
      </c>
      <c r="O2963" t="s">
        <v>8807</v>
      </c>
    </row>
    <row r="2964" spans="1:15" x14ac:dyDescent="0.25">
      <c r="A2964" t="s">
        <v>18</v>
      </c>
      <c r="B2964" t="s">
        <v>8806</v>
      </c>
      <c r="C2964" t="s">
        <v>8808</v>
      </c>
      <c r="D2964" t="s">
        <v>20</v>
      </c>
      <c r="E2964" t="s">
        <v>11</v>
      </c>
      <c r="F2964">
        <v>2872.056</v>
      </c>
      <c r="G2964">
        <v>18</v>
      </c>
      <c r="L2964" t="s">
        <v>8809</v>
      </c>
      <c r="O2964" t="s">
        <v>8810</v>
      </c>
    </row>
    <row r="2965" spans="1:15" x14ac:dyDescent="0.25">
      <c r="A2965" t="s">
        <v>18</v>
      </c>
      <c r="B2965" t="s">
        <v>8809</v>
      </c>
      <c r="C2965" t="s">
        <v>8811</v>
      </c>
      <c r="D2965" t="s">
        <v>20</v>
      </c>
      <c r="E2965" t="s">
        <v>11</v>
      </c>
      <c r="F2965">
        <v>2872.056</v>
      </c>
      <c r="G2965">
        <v>18</v>
      </c>
      <c r="L2965" t="s">
        <v>8812</v>
      </c>
      <c r="O2965" t="s">
        <v>8813</v>
      </c>
    </row>
    <row r="2966" spans="1:15" x14ac:dyDescent="0.25">
      <c r="A2966" t="s">
        <v>18</v>
      </c>
      <c r="B2966" t="s">
        <v>8812</v>
      </c>
      <c r="C2966" t="s">
        <v>8814</v>
      </c>
      <c r="D2966" t="s">
        <v>20</v>
      </c>
      <c r="E2966" t="s">
        <v>11</v>
      </c>
      <c r="F2966">
        <v>15078.294000000002</v>
      </c>
      <c r="G2966">
        <v>18</v>
      </c>
      <c r="L2966" t="s">
        <v>8815</v>
      </c>
      <c r="O2966" t="s">
        <v>8816</v>
      </c>
    </row>
    <row r="2967" spans="1:15" x14ac:dyDescent="0.25">
      <c r="A2967" t="s">
        <v>18</v>
      </c>
      <c r="B2967" t="s">
        <v>8815</v>
      </c>
      <c r="C2967" t="s">
        <v>8817</v>
      </c>
      <c r="D2967" t="s">
        <v>20</v>
      </c>
      <c r="E2967" t="s">
        <v>11</v>
      </c>
      <c r="F2967">
        <v>2806.7819999999997</v>
      </c>
      <c r="G2967">
        <v>18</v>
      </c>
      <c r="L2967" t="s">
        <v>8818</v>
      </c>
      <c r="O2967" t="s">
        <v>8819</v>
      </c>
    </row>
    <row r="2968" spans="1:15" x14ac:dyDescent="0.25">
      <c r="A2968" t="s">
        <v>18</v>
      </c>
      <c r="B2968" t="s">
        <v>8818</v>
      </c>
      <c r="C2968" t="s">
        <v>8820</v>
      </c>
      <c r="D2968" t="s">
        <v>20</v>
      </c>
      <c r="E2968" t="s">
        <v>11</v>
      </c>
      <c r="F2968">
        <v>7180.139999999999</v>
      </c>
      <c r="G2968">
        <v>18</v>
      </c>
      <c r="L2968" t="s">
        <v>8821</v>
      </c>
      <c r="O2968" t="s">
        <v>8822</v>
      </c>
    </row>
    <row r="2969" spans="1:15" x14ac:dyDescent="0.25">
      <c r="A2969" t="s">
        <v>18</v>
      </c>
      <c r="B2969" t="s">
        <v>8821</v>
      </c>
      <c r="C2969" t="s">
        <v>8823</v>
      </c>
      <c r="D2969" t="s">
        <v>20</v>
      </c>
      <c r="E2969" t="s">
        <v>11</v>
      </c>
      <c r="F2969">
        <v>12532.607999999998</v>
      </c>
      <c r="G2969">
        <v>18</v>
      </c>
      <c r="L2969" t="s">
        <v>8824</v>
      </c>
      <c r="O2969" t="s">
        <v>8825</v>
      </c>
    </row>
    <row r="2970" spans="1:15" x14ac:dyDescent="0.25">
      <c r="A2970" t="s">
        <v>18</v>
      </c>
      <c r="B2970" t="s">
        <v>8824</v>
      </c>
      <c r="C2970" t="s">
        <v>8826</v>
      </c>
      <c r="D2970" t="s">
        <v>20</v>
      </c>
      <c r="E2970" t="s">
        <v>11</v>
      </c>
      <c r="F2970">
        <v>8485.619999999999</v>
      </c>
      <c r="G2970">
        <v>18</v>
      </c>
      <c r="L2970" t="s">
        <v>8827</v>
      </c>
      <c r="O2970" t="s">
        <v>8828</v>
      </c>
    </row>
    <row r="2971" spans="1:15" x14ac:dyDescent="0.25">
      <c r="A2971" t="s">
        <v>18</v>
      </c>
      <c r="B2971" t="s">
        <v>8827</v>
      </c>
      <c r="C2971" t="s">
        <v>8829</v>
      </c>
      <c r="D2971" t="s">
        <v>20</v>
      </c>
      <c r="E2971" t="s">
        <v>11</v>
      </c>
      <c r="F2971">
        <v>11096.58</v>
      </c>
      <c r="G2971">
        <v>18</v>
      </c>
      <c r="L2971" t="s">
        <v>8830</v>
      </c>
      <c r="O2971" t="s">
        <v>8831</v>
      </c>
    </row>
    <row r="2972" spans="1:15" x14ac:dyDescent="0.25">
      <c r="A2972" t="s">
        <v>18</v>
      </c>
      <c r="B2972" t="s">
        <v>8830</v>
      </c>
      <c r="C2972" t="s">
        <v>8832</v>
      </c>
      <c r="D2972" t="s">
        <v>20</v>
      </c>
      <c r="E2972" t="s">
        <v>11</v>
      </c>
      <c r="F2972">
        <v>12597.882</v>
      </c>
      <c r="G2972">
        <v>18</v>
      </c>
      <c r="L2972" t="s">
        <v>8833</v>
      </c>
      <c r="O2972" t="s">
        <v>8834</v>
      </c>
    </row>
    <row r="2973" spans="1:15" x14ac:dyDescent="0.25">
      <c r="A2973" t="s">
        <v>18</v>
      </c>
      <c r="B2973" t="s">
        <v>8833</v>
      </c>
      <c r="C2973" t="s">
        <v>8835</v>
      </c>
      <c r="D2973" t="s">
        <v>20</v>
      </c>
      <c r="E2973" t="s">
        <v>11</v>
      </c>
      <c r="F2973">
        <v>8485.619999999999</v>
      </c>
      <c r="G2973">
        <v>18</v>
      </c>
      <c r="L2973" t="s">
        <v>8836</v>
      </c>
      <c r="O2973" t="s">
        <v>8837</v>
      </c>
    </row>
    <row r="2974" spans="1:15" x14ac:dyDescent="0.25">
      <c r="A2974" t="s">
        <v>18</v>
      </c>
      <c r="B2974" t="s">
        <v>8836</v>
      </c>
      <c r="C2974" t="s">
        <v>8838</v>
      </c>
      <c r="D2974" t="s">
        <v>20</v>
      </c>
      <c r="E2974" t="s">
        <v>11</v>
      </c>
      <c r="F2974">
        <v>2349.8639999999996</v>
      </c>
      <c r="G2974">
        <v>18</v>
      </c>
      <c r="L2974" t="s">
        <v>8839</v>
      </c>
      <c r="O2974" t="s">
        <v>8840</v>
      </c>
    </row>
    <row r="2975" spans="1:15" x14ac:dyDescent="0.25">
      <c r="A2975" t="s">
        <v>18</v>
      </c>
      <c r="B2975" t="s">
        <v>8839</v>
      </c>
      <c r="C2975" t="s">
        <v>8841</v>
      </c>
      <c r="D2975" t="s">
        <v>20</v>
      </c>
      <c r="E2975" t="s">
        <v>11</v>
      </c>
      <c r="F2975">
        <v>326.37</v>
      </c>
      <c r="G2975">
        <v>18</v>
      </c>
      <c r="L2975" t="s">
        <v>8842</v>
      </c>
      <c r="O2975" t="s">
        <v>8843</v>
      </c>
    </row>
    <row r="2976" spans="1:15" x14ac:dyDescent="0.25">
      <c r="A2976" t="s">
        <v>18</v>
      </c>
      <c r="B2976" t="s">
        <v>8842</v>
      </c>
      <c r="C2976" t="s">
        <v>8844</v>
      </c>
      <c r="D2976" t="s">
        <v>20</v>
      </c>
      <c r="E2976" t="s">
        <v>11</v>
      </c>
      <c r="F2976">
        <v>1697.1239999999998</v>
      </c>
      <c r="G2976">
        <v>18</v>
      </c>
      <c r="L2976" t="s">
        <v>8845</v>
      </c>
      <c r="O2976" t="s">
        <v>8846</v>
      </c>
    </row>
    <row r="2977" spans="1:15" x14ac:dyDescent="0.25">
      <c r="A2977" t="s">
        <v>18</v>
      </c>
      <c r="B2977" t="s">
        <v>8845</v>
      </c>
      <c r="C2977" t="s">
        <v>8847</v>
      </c>
      <c r="D2977" t="s">
        <v>20</v>
      </c>
      <c r="E2977" t="s">
        <v>11</v>
      </c>
      <c r="F2977">
        <v>10900.757999999998</v>
      </c>
      <c r="G2977">
        <v>18</v>
      </c>
      <c r="L2977" t="s">
        <v>8848</v>
      </c>
      <c r="O2977" t="s">
        <v>8849</v>
      </c>
    </row>
    <row r="2978" spans="1:15" x14ac:dyDescent="0.25">
      <c r="A2978" t="s">
        <v>18</v>
      </c>
      <c r="B2978" t="s">
        <v>8848</v>
      </c>
      <c r="C2978" t="s">
        <v>8850</v>
      </c>
      <c r="D2978" t="s">
        <v>20</v>
      </c>
      <c r="E2978" t="s">
        <v>11</v>
      </c>
      <c r="F2978">
        <v>3067.8779999999997</v>
      </c>
      <c r="G2978">
        <v>18</v>
      </c>
      <c r="L2978" t="s">
        <v>8851</v>
      </c>
      <c r="O2978" t="s">
        <v>8852</v>
      </c>
    </row>
    <row r="2979" spans="1:15" x14ac:dyDescent="0.25">
      <c r="A2979" t="s">
        <v>18</v>
      </c>
      <c r="B2979" t="s">
        <v>8851</v>
      </c>
      <c r="C2979" t="s">
        <v>8853</v>
      </c>
      <c r="D2979" t="s">
        <v>20</v>
      </c>
      <c r="E2979" t="s">
        <v>11</v>
      </c>
      <c r="F2979">
        <v>7571.784</v>
      </c>
      <c r="G2979">
        <v>18</v>
      </c>
      <c r="L2979" t="s">
        <v>8854</v>
      </c>
      <c r="O2979" t="s">
        <v>8855</v>
      </c>
    </row>
    <row r="2980" spans="1:15" x14ac:dyDescent="0.25">
      <c r="A2980" t="s">
        <v>18</v>
      </c>
      <c r="B2980" t="s">
        <v>8854</v>
      </c>
      <c r="C2980" t="s">
        <v>8856</v>
      </c>
      <c r="D2980" t="s">
        <v>20</v>
      </c>
      <c r="E2980" t="s">
        <v>11</v>
      </c>
      <c r="F2980">
        <v>1566.5759999999998</v>
      </c>
      <c r="G2980">
        <v>18</v>
      </c>
      <c r="L2980" t="s">
        <v>8857</v>
      </c>
      <c r="O2980" t="s">
        <v>8858</v>
      </c>
    </row>
    <row r="2981" spans="1:15" x14ac:dyDescent="0.25">
      <c r="A2981" t="s">
        <v>18</v>
      </c>
      <c r="B2981" t="s">
        <v>8857</v>
      </c>
      <c r="C2981" t="s">
        <v>8859</v>
      </c>
      <c r="D2981" t="s">
        <v>20</v>
      </c>
      <c r="E2981" t="s">
        <v>11</v>
      </c>
      <c r="F2981">
        <v>3394.2479999999996</v>
      </c>
      <c r="G2981">
        <v>18</v>
      </c>
      <c r="L2981" t="s">
        <v>8860</v>
      </c>
      <c r="O2981" t="s">
        <v>8861</v>
      </c>
    </row>
    <row r="2982" spans="1:15" x14ac:dyDescent="0.25">
      <c r="A2982" t="s">
        <v>18</v>
      </c>
      <c r="B2982" t="s">
        <v>8860</v>
      </c>
      <c r="C2982" t="s">
        <v>8862</v>
      </c>
      <c r="D2982" t="s">
        <v>20</v>
      </c>
      <c r="E2982" t="s">
        <v>11</v>
      </c>
      <c r="F2982">
        <v>3851.166</v>
      </c>
      <c r="G2982">
        <v>18</v>
      </c>
      <c r="L2982" t="s">
        <v>8863</v>
      </c>
      <c r="O2982" t="s">
        <v>8864</v>
      </c>
    </row>
    <row r="2983" spans="1:15" x14ac:dyDescent="0.25">
      <c r="A2983" t="s">
        <v>18</v>
      </c>
      <c r="B2983" t="s">
        <v>8863</v>
      </c>
      <c r="C2983" t="s">
        <v>8865</v>
      </c>
      <c r="D2983" t="s">
        <v>20</v>
      </c>
      <c r="E2983" t="s">
        <v>11</v>
      </c>
      <c r="F2983">
        <v>6723.222000000001</v>
      </c>
      <c r="G2983">
        <v>18</v>
      </c>
      <c r="L2983" t="s">
        <v>8866</v>
      </c>
      <c r="O2983" t="s">
        <v>8867</v>
      </c>
    </row>
    <row r="2984" spans="1:15" x14ac:dyDescent="0.25">
      <c r="A2984" t="s">
        <v>18</v>
      </c>
      <c r="B2984" t="s">
        <v>8866</v>
      </c>
      <c r="C2984" t="s">
        <v>8868</v>
      </c>
      <c r="D2984" t="s">
        <v>20</v>
      </c>
      <c r="E2984" t="s">
        <v>11</v>
      </c>
      <c r="F2984">
        <v>7180.139999999999</v>
      </c>
      <c r="G2984">
        <v>18</v>
      </c>
      <c r="L2984" t="s">
        <v>8869</v>
      </c>
      <c r="O2984" t="s">
        <v>8870</v>
      </c>
    </row>
    <row r="2985" spans="1:15" x14ac:dyDescent="0.25">
      <c r="A2985" t="s">
        <v>18</v>
      </c>
      <c r="B2985" t="s">
        <v>8869</v>
      </c>
      <c r="C2985" t="s">
        <v>8871</v>
      </c>
      <c r="D2985" t="s">
        <v>20</v>
      </c>
      <c r="E2985" t="s">
        <v>11</v>
      </c>
      <c r="F2985">
        <v>848.5619999999999</v>
      </c>
      <c r="G2985">
        <v>18</v>
      </c>
      <c r="L2985" t="s">
        <v>8872</v>
      </c>
      <c r="O2985" t="s">
        <v>8873</v>
      </c>
    </row>
    <row r="2986" spans="1:15" x14ac:dyDescent="0.25">
      <c r="A2986" t="s">
        <v>18</v>
      </c>
      <c r="B2986" t="s">
        <v>8872</v>
      </c>
      <c r="C2986" t="s">
        <v>8874</v>
      </c>
      <c r="D2986" t="s">
        <v>20</v>
      </c>
      <c r="E2986" t="s">
        <v>11</v>
      </c>
      <c r="F2986">
        <v>4960.8240000000005</v>
      </c>
      <c r="G2986">
        <v>18</v>
      </c>
      <c r="L2986" t="s">
        <v>8875</v>
      </c>
      <c r="O2986" t="s">
        <v>8876</v>
      </c>
    </row>
    <row r="2987" spans="1:15" x14ac:dyDescent="0.25">
      <c r="A2987" t="s">
        <v>18</v>
      </c>
      <c r="B2987" t="s">
        <v>8875</v>
      </c>
      <c r="C2987" t="s">
        <v>8877</v>
      </c>
      <c r="D2987" t="s">
        <v>20</v>
      </c>
      <c r="E2987" t="s">
        <v>11</v>
      </c>
      <c r="F2987">
        <v>3981.714</v>
      </c>
      <c r="G2987">
        <v>18</v>
      </c>
      <c r="L2987" t="s">
        <v>8878</v>
      </c>
      <c r="O2987" t="s">
        <v>8879</v>
      </c>
    </row>
    <row r="2988" spans="1:15" x14ac:dyDescent="0.25">
      <c r="A2988" t="s">
        <v>18</v>
      </c>
      <c r="B2988" t="s">
        <v>8878</v>
      </c>
      <c r="C2988" t="s">
        <v>8880</v>
      </c>
      <c r="D2988" t="s">
        <v>20</v>
      </c>
      <c r="E2988" t="s">
        <v>11</v>
      </c>
      <c r="F2988">
        <v>1109.658</v>
      </c>
      <c r="G2988">
        <v>18</v>
      </c>
      <c r="L2988" t="s">
        <v>8881</v>
      </c>
      <c r="O2988" t="s">
        <v>8882</v>
      </c>
    </row>
    <row r="2989" spans="1:15" x14ac:dyDescent="0.25">
      <c r="A2989" t="s">
        <v>18</v>
      </c>
      <c r="B2989" t="s">
        <v>8881</v>
      </c>
      <c r="C2989" t="s">
        <v>8883</v>
      </c>
      <c r="D2989" t="s">
        <v>20</v>
      </c>
      <c r="E2989" t="s">
        <v>11</v>
      </c>
      <c r="F2989">
        <v>4569.18</v>
      </c>
      <c r="G2989">
        <v>18</v>
      </c>
      <c r="L2989" t="s">
        <v>8884</v>
      </c>
      <c r="O2989" t="s">
        <v>8885</v>
      </c>
    </row>
    <row r="2990" spans="1:15" x14ac:dyDescent="0.25">
      <c r="A2990" t="s">
        <v>18</v>
      </c>
      <c r="B2990" t="s">
        <v>8884</v>
      </c>
      <c r="C2990" t="s">
        <v>8886</v>
      </c>
      <c r="D2990" t="s">
        <v>20</v>
      </c>
      <c r="E2990" t="s">
        <v>11</v>
      </c>
      <c r="F2990">
        <v>587.4659999999999</v>
      </c>
      <c r="G2990">
        <v>18</v>
      </c>
      <c r="L2990" t="s">
        <v>8887</v>
      </c>
      <c r="O2990" t="s">
        <v>8888</v>
      </c>
    </row>
    <row r="2991" spans="1:15" x14ac:dyDescent="0.25">
      <c r="A2991" t="s">
        <v>18</v>
      </c>
      <c r="B2991" t="s">
        <v>8887</v>
      </c>
      <c r="C2991" t="s">
        <v>8889</v>
      </c>
      <c r="D2991" t="s">
        <v>20</v>
      </c>
      <c r="E2991" t="s">
        <v>11</v>
      </c>
      <c r="F2991">
        <v>4634.454</v>
      </c>
      <c r="G2991">
        <v>18</v>
      </c>
      <c r="L2991" t="s">
        <v>8890</v>
      </c>
      <c r="O2991" t="s">
        <v>8891</v>
      </c>
    </row>
    <row r="2992" spans="1:15" x14ac:dyDescent="0.25">
      <c r="A2992" t="s">
        <v>18</v>
      </c>
      <c r="B2992" t="s">
        <v>8890</v>
      </c>
      <c r="C2992" t="s">
        <v>8892</v>
      </c>
      <c r="D2992" t="s">
        <v>20</v>
      </c>
      <c r="E2992" t="s">
        <v>11</v>
      </c>
      <c r="F2992">
        <v>7637.058</v>
      </c>
      <c r="G2992">
        <v>18</v>
      </c>
      <c r="L2992" t="s">
        <v>8893</v>
      </c>
      <c r="O2992" t="s">
        <v>8894</v>
      </c>
    </row>
    <row r="2993" spans="1:15" x14ac:dyDescent="0.25">
      <c r="A2993" t="s">
        <v>18</v>
      </c>
      <c r="B2993" t="s">
        <v>8893</v>
      </c>
      <c r="C2993" t="s">
        <v>8895</v>
      </c>
      <c r="D2993" t="s">
        <v>20</v>
      </c>
      <c r="E2993" t="s">
        <v>11</v>
      </c>
      <c r="F2993">
        <v>652.74</v>
      </c>
      <c r="G2993">
        <v>18</v>
      </c>
      <c r="L2993" t="s">
        <v>8896</v>
      </c>
      <c r="O2993" t="s">
        <v>8897</v>
      </c>
    </row>
    <row r="2994" spans="1:15" x14ac:dyDescent="0.25">
      <c r="A2994" t="s">
        <v>18</v>
      </c>
      <c r="B2994" t="s">
        <v>8896</v>
      </c>
      <c r="C2994" t="s">
        <v>8898</v>
      </c>
      <c r="D2994" t="s">
        <v>20</v>
      </c>
      <c r="E2994" t="s">
        <v>11</v>
      </c>
      <c r="F2994">
        <v>4895.55</v>
      </c>
      <c r="G2994">
        <v>18</v>
      </c>
      <c r="L2994" t="s">
        <v>8899</v>
      </c>
      <c r="O2994" t="s">
        <v>8900</v>
      </c>
    </row>
    <row r="2995" spans="1:15" x14ac:dyDescent="0.25">
      <c r="A2995" t="s">
        <v>18</v>
      </c>
      <c r="B2995" t="s">
        <v>8899</v>
      </c>
      <c r="C2995" t="s">
        <v>8901</v>
      </c>
      <c r="D2995" t="s">
        <v>20</v>
      </c>
      <c r="E2995" t="s">
        <v>11</v>
      </c>
      <c r="F2995">
        <v>4830.276</v>
      </c>
      <c r="G2995">
        <v>18</v>
      </c>
      <c r="L2995" t="s">
        <v>8902</v>
      </c>
      <c r="O2995" t="s">
        <v>8903</v>
      </c>
    </row>
    <row r="2996" spans="1:15" x14ac:dyDescent="0.25">
      <c r="A2996" t="s">
        <v>18</v>
      </c>
      <c r="B2996" t="s">
        <v>8902</v>
      </c>
      <c r="C2996" t="s">
        <v>8904</v>
      </c>
      <c r="D2996" t="s">
        <v>20</v>
      </c>
      <c r="E2996" t="s">
        <v>11</v>
      </c>
      <c r="F2996">
        <v>5091.371999999999</v>
      </c>
      <c r="G2996">
        <v>18</v>
      </c>
      <c r="L2996" t="s">
        <v>8905</v>
      </c>
      <c r="O2996" t="s">
        <v>8906</v>
      </c>
    </row>
    <row r="2997" spans="1:15" x14ac:dyDescent="0.25">
      <c r="A2997" t="s">
        <v>18</v>
      </c>
      <c r="B2997" t="s">
        <v>8905</v>
      </c>
      <c r="C2997" t="s">
        <v>8907</v>
      </c>
      <c r="D2997" t="s">
        <v>20</v>
      </c>
      <c r="E2997" t="s">
        <v>11</v>
      </c>
      <c r="F2997">
        <v>1240.2060000000001</v>
      </c>
      <c r="G2997">
        <v>18</v>
      </c>
      <c r="L2997" t="s">
        <v>8908</v>
      </c>
      <c r="O2997" t="s">
        <v>8909</v>
      </c>
    </row>
    <row r="2998" spans="1:15" x14ac:dyDescent="0.25">
      <c r="A2998" t="s">
        <v>18</v>
      </c>
      <c r="B2998" t="s">
        <v>8908</v>
      </c>
      <c r="C2998" t="s">
        <v>8910</v>
      </c>
      <c r="D2998" t="s">
        <v>20</v>
      </c>
      <c r="E2998" t="s">
        <v>11</v>
      </c>
      <c r="F2998">
        <v>2937.3300000000004</v>
      </c>
      <c r="G2998">
        <v>18</v>
      </c>
      <c r="L2998" t="s">
        <v>8911</v>
      </c>
      <c r="O2998" t="s">
        <v>8912</v>
      </c>
    </row>
    <row r="2999" spans="1:15" x14ac:dyDescent="0.25">
      <c r="A2999" t="s">
        <v>18</v>
      </c>
      <c r="B2999" t="s">
        <v>8911</v>
      </c>
      <c r="C2999" t="s">
        <v>8913</v>
      </c>
      <c r="D2999" t="s">
        <v>20</v>
      </c>
      <c r="E2999" t="s">
        <v>11</v>
      </c>
      <c r="F2999">
        <v>4438.632</v>
      </c>
      <c r="G2999">
        <v>18</v>
      </c>
      <c r="L2999" t="s">
        <v>8914</v>
      </c>
      <c r="O2999" t="s">
        <v>8915</v>
      </c>
    </row>
    <row r="3000" spans="1:15" x14ac:dyDescent="0.25">
      <c r="A3000" t="s">
        <v>18</v>
      </c>
      <c r="B3000" t="s">
        <v>8914</v>
      </c>
      <c r="C3000" t="s">
        <v>8916</v>
      </c>
      <c r="D3000" t="s">
        <v>20</v>
      </c>
      <c r="E3000" t="s">
        <v>11</v>
      </c>
      <c r="F3000">
        <v>1109.658</v>
      </c>
      <c r="G3000">
        <v>18</v>
      </c>
      <c r="L3000" t="s">
        <v>8917</v>
      </c>
      <c r="O3000" t="s">
        <v>8918</v>
      </c>
    </row>
    <row r="3001" spans="1:15" x14ac:dyDescent="0.25">
      <c r="A3001" t="s">
        <v>18</v>
      </c>
      <c r="B3001" t="s">
        <v>8917</v>
      </c>
      <c r="C3001" t="s">
        <v>8919</v>
      </c>
      <c r="D3001" t="s">
        <v>20</v>
      </c>
      <c r="E3001" t="s">
        <v>11</v>
      </c>
      <c r="F3001">
        <v>1566.5759999999998</v>
      </c>
      <c r="G3001">
        <v>18</v>
      </c>
      <c r="L3001" t="s">
        <v>8920</v>
      </c>
      <c r="O3001" t="s">
        <v>8921</v>
      </c>
    </row>
    <row r="3002" spans="1:15" x14ac:dyDescent="0.25">
      <c r="A3002" t="s">
        <v>18</v>
      </c>
      <c r="B3002" t="s">
        <v>8920</v>
      </c>
      <c r="C3002" t="s">
        <v>8922</v>
      </c>
      <c r="D3002" t="s">
        <v>20</v>
      </c>
      <c r="E3002" t="s">
        <v>11</v>
      </c>
      <c r="F3002">
        <v>1697.1239999999998</v>
      </c>
      <c r="G3002">
        <v>18</v>
      </c>
      <c r="L3002" t="s">
        <v>8923</v>
      </c>
      <c r="O3002" t="s">
        <v>8924</v>
      </c>
    </row>
    <row r="3003" spans="1:15" x14ac:dyDescent="0.25">
      <c r="A3003" t="s">
        <v>18</v>
      </c>
      <c r="B3003" t="s">
        <v>8923</v>
      </c>
      <c r="C3003" t="s">
        <v>8925</v>
      </c>
      <c r="D3003" t="s">
        <v>20</v>
      </c>
      <c r="E3003" t="s">
        <v>11</v>
      </c>
      <c r="F3003">
        <v>10900.757999999998</v>
      </c>
      <c r="G3003">
        <v>18</v>
      </c>
      <c r="L3003" t="s">
        <v>8926</v>
      </c>
      <c r="O3003" t="s">
        <v>8927</v>
      </c>
    </row>
    <row r="3004" spans="1:15" x14ac:dyDescent="0.25">
      <c r="A3004" t="s">
        <v>18</v>
      </c>
      <c r="B3004" t="s">
        <v>8926</v>
      </c>
      <c r="C3004" t="s">
        <v>8928</v>
      </c>
      <c r="D3004" t="s">
        <v>20</v>
      </c>
      <c r="E3004" t="s">
        <v>11</v>
      </c>
      <c r="F3004">
        <v>9530.003999999999</v>
      </c>
      <c r="G3004">
        <v>18</v>
      </c>
      <c r="L3004" t="s">
        <v>8929</v>
      </c>
      <c r="O3004" t="s">
        <v>8930</v>
      </c>
    </row>
    <row r="3005" spans="1:15" x14ac:dyDescent="0.25">
      <c r="A3005" t="s">
        <v>18</v>
      </c>
      <c r="B3005" t="s">
        <v>8929</v>
      </c>
      <c r="C3005" t="s">
        <v>8931</v>
      </c>
      <c r="D3005" t="s">
        <v>20</v>
      </c>
      <c r="E3005" t="s">
        <v>11</v>
      </c>
      <c r="F3005">
        <v>3981.714</v>
      </c>
      <c r="G3005">
        <v>18</v>
      </c>
      <c r="L3005" t="s">
        <v>8932</v>
      </c>
      <c r="O3005" t="s">
        <v>8933</v>
      </c>
    </row>
    <row r="3006" spans="1:15" x14ac:dyDescent="0.25">
      <c r="A3006" t="s">
        <v>18</v>
      </c>
      <c r="B3006" t="s">
        <v>8932</v>
      </c>
      <c r="C3006" t="s">
        <v>8934</v>
      </c>
      <c r="D3006" t="s">
        <v>20</v>
      </c>
      <c r="E3006" t="s">
        <v>11</v>
      </c>
      <c r="F3006">
        <v>5678.838</v>
      </c>
      <c r="G3006">
        <v>18</v>
      </c>
      <c r="L3006" t="s">
        <v>8935</v>
      </c>
      <c r="O3006" t="s">
        <v>8936</v>
      </c>
    </row>
    <row r="3007" spans="1:15" x14ac:dyDescent="0.25">
      <c r="A3007" t="s">
        <v>18</v>
      </c>
      <c r="B3007" t="s">
        <v>8935</v>
      </c>
      <c r="C3007" t="s">
        <v>8937</v>
      </c>
      <c r="D3007" t="s">
        <v>20</v>
      </c>
      <c r="E3007" t="s">
        <v>11</v>
      </c>
      <c r="F3007">
        <v>4046.988</v>
      </c>
      <c r="G3007">
        <v>18</v>
      </c>
      <c r="L3007" t="s">
        <v>8938</v>
      </c>
      <c r="O3007" t="s">
        <v>8939</v>
      </c>
    </row>
    <row r="3008" spans="1:15" x14ac:dyDescent="0.25">
      <c r="A3008" t="s">
        <v>18</v>
      </c>
      <c r="B3008" t="s">
        <v>8938</v>
      </c>
      <c r="C3008" t="s">
        <v>8940</v>
      </c>
      <c r="D3008" t="s">
        <v>20</v>
      </c>
      <c r="E3008" t="s">
        <v>11</v>
      </c>
      <c r="F3008">
        <v>4830.276</v>
      </c>
      <c r="G3008">
        <v>18</v>
      </c>
      <c r="L3008" t="s">
        <v>8941</v>
      </c>
      <c r="O3008" t="s">
        <v>8942</v>
      </c>
    </row>
    <row r="3009" spans="1:15" x14ac:dyDescent="0.25">
      <c r="A3009" t="s">
        <v>18</v>
      </c>
      <c r="B3009" t="s">
        <v>8941</v>
      </c>
      <c r="C3009" t="s">
        <v>8943</v>
      </c>
      <c r="D3009" t="s">
        <v>20</v>
      </c>
      <c r="E3009" t="s">
        <v>11</v>
      </c>
      <c r="F3009">
        <v>4308.084</v>
      </c>
      <c r="G3009">
        <v>18</v>
      </c>
      <c r="L3009" t="s">
        <v>8944</v>
      </c>
      <c r="O3009" t="s">
        <v>8945</v>
      </c>
    </row>
    <row r="3010" spans="1:15" x14ac:dyDescent="0.25">
      <c r="A3010" t="s">
        <v>18</v>
      </c>
      <c r="B3010" t="s">
        <v>8944</v>
      </c>
      <c r="C3010" t="s">
        <v>8946</v>
      </c>
      <c r="D3010" t="s">
        <v>20</v>
      </c>
      <c r="E3010" t="s">
        <v>11</v>
      </c>
      <c r="F3010">
        <v>3067.8779999999997</v>
      </c>
      <c r="G3010">
        <v>18</v>
      </c>
      <c r="L3010" t="s">
        <v>8947</v>
      </c>
      <c r="O3010" t="s">
        <v>8948</v>
      </c>
    </row>
    <row r="3011" spans="1:15" x14ac:dyDescent="0.25">
      <c r="A3011" t="s">
        <v>18</v>
      </c>
      <c r="B3011" t="s">
        <v>8947</v>
      </c>
      <c r="C3011" t="s">
        <v>8949</v>
      </c>
      <c r="D3011" t="s">
        <v>20</v>
      </c>
      <c r="E3011" t="s">
        <v>11</v>
      </c>
      <c r="F3011">
        <v>4373.358</v>
      </c>
      <c r="G3011">
        <v>18</v>
      </c>
      <c r="L3011" t="s">
        <v>8950</v>
      </c>
      <c r="O3011" t="s">
        <v>8951</v>
      </c>
    </row>
    <row r="3012" spans="1:15" x14ac:dyDescent="0.25">
      <c r="A3012" t="s">
        <v>18</v>
      </c>
      <c r="B3012" t="s">
        <v>8950</v>
      </c>
      <c r="C3012" t="s">
        <v>8952</v>
      </c>
      <c r="D3012" t="s">
        <v>20</v>
      </c>
      <c r="E3012" t="s">
        <v>11</v>
      </c>
      <c r="F3012">
        <v>4765.0019999999995</v>
      </c>
      <c r="G3012">
        <v>18</v>
      </c>
      <c r="L3012" t="s">
        <v>8953</v>
      </c>
      <c r="O3012" t="s">
        <v>8954</v>
      </c>
    </row>
    <row r="3013" spans="1:15" x14ac:dyDescent="0.25">
      <c r="A3013" t="s">
        <v>18</v>
      </c>
      <c r="B3013" t="s">
        <v>8953</v>
      </c>
      <c r="C3013" t="s">
        <v>8955</v>
      </c>
      <c r="D3013" t="s">
        <v>20</v>
      </c>
      <c r="E3013" t="s">
        <v>11</v>
      </c>
      <c r="F3013">
        <v>718.014</v>
      </c>
      <c r="G3013">
        <v>18</v>
      </c>
      <c r="L3013" t="s">
        <v>8956</v>
      </c>
      <c r="O3013" t="s">
        <v>8957</v>
      </c>
    </row>
    <row r="3014" spans="1:15" x14ac:dyDescent="0.25">
      <c r="A3014" t="s">
        <v>18</v>
      </c>
      <c r="B3014" t="s">
        <v>8956</v>
      </c>
      <c r="C3014" t="s">
        <v>8958</v>
      </c>
      <c r="D3014" t="s">
        <v>20</v>
      </c>
      <c r="E3014" t="s">
        <v>11</v>
      </c>
      <c r="F3014">
        <v>718.014</v>
      </c>
      <c r="G3014">
        <v>18</v>
      </c>
      <c r="L3014" t="s">
        <v>8959</v>
      </c>
      <c r="O3014" t="s">
        <v>8960</v>
      </c>
    </row>
    <row r="3015" spans="1:15" x14ac:dyDescent="0.25">
      <c r="A3015" t="s">
        <v>18</v>
      </c>
      <c r="B3015" t="s">
        <v>8959</v>
      </c>
      <c r="C3015" t="s">
        <v>8961</v>
      </c>
      <c r="D3015" t="s">
        <v>20</v>
      </c>
      <c r="E3015" t="s">
        <v>11</v>
      </c>
      <c r="F3015">
        <v>1370.754</v>
      </c>
      <c r="G3015">
        <v>18</v>
      </c>
      <c r="L3015" t="s">
        <v>8962</v>
      </c>
      <c r="O3015" t="s">
        <v>8963</v>
      </c>
    </row>
    <row r="3016" spans="1:15" x14ac:dyDescent="0.25">
      <c r="A3016" t="s">
        <v>18</v>
      </c>
      <c r="B3016" t="s">
        <v>8962</v>
      </c>
      <c r="C3016" t="s">
        <v>8964</v>
      </c>
      <c r="D3016" t="s">
        <v>20</v>
      </c>
      <c r="E3016" t="s">
        <v>11</v>
      </c>
      <c r="F3016">
        <v>2937.3300000000004</v>
      </c>
      <c r="G3016">
        <v>18</v>
      </c>
      <c r="L3016" t="s">
        <v>8965</v>
      </c>
      <c r="O3016" t="s">
        <v>8966</v>
      </c>
    </row>
    <row r="3017" spans="1:15" x14ac:dyDescent="0.25">
      <c r="A3017" t="s">
        <v>18</v>
      </c>
      <c r="B3017" t="s">
        <v>8965</v>
      </c>
      <c r="C3017" t="s">
        <v>8967</v>
      </c>
      <c r="D3017" t="s">
        <v>20</v>
      </c>
      <c r="E3017" t="s">
        <v>11</v>
      </c>
      <c r="F3017">
        <v>718.014</v>
      </c>
      <c r="G3017">
        <v>18</v>
      </c>
      <c r="L3017" t="s">
        <v>8968</v>
      </c>
      <c r="O3017" t="s">
        <v>8969</v>
      </c>
    </row>
    <row r="3018" spans="1:15" x14ac:dyDescent="0.25">
      <c r="A3018" t="s">
        <v>18</v>
      </c>
      <c r="B3018" t="s">
        <v>8968</v>
      </c>
      <c r="C3018" t="s">
        <v>8970</v>
      </c>
      <c r="D3018" t="s">
        <v>20</v>
      </c>
      <c r="E3018" t="s">
        <v>11</v>
      </c>
      <c r="F3018">
        <v>1697.1239999999998</v>
      </c>
      <c r="G3018">
        <v>18</v>
      </c>
      <c r="L3018" t="s">
        <v>8971</v>
      </c>
      <c r="O3018" t="s">
        <v>8972</v>
      </c>
    </row>
    <row r="3019" spans="1:15" x14ac:dyDescent="0.25">
      <c r="A3019" t="s">
        <v>18</v>
      </c>
      <c r="B3019" t="s">
        <v>8971</v>
      </c>
      <c r="C3019" t="s">
        <v>8973</v>
      </c>
      <c r="D3019" t="s">
        <v>20</v>
      </c>
      <c r="E3019" t="s">
        <v>11</v>
      </c>
      <c r="F3019">
        <v>326.37</v>
      </c>
      <c r="G3019">
        <v>18</v>
      </c>
      <c r="L3019" t="s">
        <v>8974</v>
      </c>
      <c r="O3019" t="s">
        <v>8975</v>
      </c>
    </row>
    <row r="3020" spans="1:15" x14ac:dyDescent="0.25">
      <c r="A3020" t="s">
        <v>18</v>
      </c>
      <c r="B3020" t="s">
        <v>8974</v>
      </c>
      <c r="C3020" t="s">
        <v>8976</v>
      </c>
      <c r="D3020" t="s">
        <v>20</v>
      </c>
      <c r="E3020" t="s">
        <v>11</v>
      </c>
      <c r="F3020">
        <v>5417.742</v>
      </c>
      <c r="G3020">
        <v>18</v>
      </c>
      <c r="L3020" t="s">
        <v>8977</v>
      </c>
      <c r="O3020" t="s">
        <v>8978</v>
      </c>
    </row>
    <row r="3021" spans="1:15" x14ac:dyDescent="0.25">
      <c r="A3021" t="s">
        <v>18</v>
      </c>
      <c r="B3021" t="s">
        <v>8977</v>
      </c>
      <c r="C3021" t="s">
        <v>8979</v>
      </c>
      <c r="D3021" t="s">
        <v>20</v>
      </c>
      <c r="E3021" t="s">
        <v>11</v>
      </c>
      <c r="F3021">
        <v>8485.619999999999</v>
      </c>
      <c r="G3021">
        <v>18</v>
      </c>
      <c r="L3021" t="s">
        <v>8980</v>
      </c>
      <c r="O3021" t="s">
        <v>8981</v>
      </c>
    </row>
    <row r="3022" spans="1:15" x14ac:dyDescent="0.25">
      <c r="A3022" t="s">
        <v>18</v>
      </c>
      <c r="B3022" t="s">
        <v>8980</v>
      </c>
      <c r="C3022" t="s">
        <v>8982</v>
      </c>
      <c r="D3022" t="s">
        <v>20</v>
      </c>
      <c r="E3022" t="s">
        <v>11</v>
      </c>
      <c r="F3022">
        <v>4699.727999999999</v>
      </c>
      <c r="G3022">
        <v>18</v>
      </c>
      <c r="L3022" t="s">
        <v>8983</v>
      </c>
      <c r="O3022" t="s">
        <v>8984</v>
      </c>
    </row>
    <row r="3023" spans="1:15" x14ac:dyDescent="0.25">
      <c r="A3023" t="s">
        <v>18</v>
      </c>
      <c r="B3023" t="s">
        <v>8983</v>
      </c>
      <c r="C3023" t="s">
        <v>8985</v>
      </c>
      <c r="D3023" t="s">
        <v>20</v>
      </c>
      <c r="E3023" t="s">
        <v>11</v>
      </c>
      <c r="F3023">
        <v>8420.346</v>
      </c>
      <c r="G3023">
        <v>18</v>
      </c>
      <c r="L3023" t="s">
        <v>8986</v>
      </c>
      <c r="O3023" t="s">
        <v>8987</v>
      </c>
    </row>
    <row r="3024" spans="1:15" x14ac:dyDescent="0.25">
      <c r="A3024" t="s">
        <v>18</v>
      </c>
      <c r="B3024" t="s">
        <v>8986</v>
      </c>
      <c r="C3024" t="s">
        <v>8988</v>
      </c>
      <c r="D3024" t="s">
        <v>20</v>
      </c>
      <c r="E3024" t="s">
        <v>11</v>
      </c>
      <c r="F3024">
        <v>5417.742</v>
      </c>
      <c r="G3024">
        <v>18</v>
      </c>
      <c r="L3024" t="s">
        <v>8989</v>
      </c>
      <c r="O3024" t="s">
        <v>8990</v>
      </c>
    </row>
    <row r="3025" spans="1:15" x14ac:dyDescent="0.25">
      <c r="A3025" t="s">
        <v>18</v>
      </c>
      <c r="B3025" t="s">
        <v>8989</v>
      </c>
      <c r="C3025" t="s">
        <v>8991</v>
      </c>
      <c r="D3025" t="s">
        <v>20</v>
      </c>
      <c r="E3025" t="s">
        <v>11</v>
      </c>
      <c r="F3025">
        <v>2937.3300000000004</v>
      </c>
      <c r="G3025">
        <v>18</v>
      </c>
      <c r="L3025" t="s">
        <v>8992</v>
      </c>
      <c r="O3025" t="s">
        <v>8993</v>
      </c>
    </row>
    <row r="3026" spans="1:15" x14ac:dyDescent="0.25">
      <c r="A3026" t="s">
        <v>18</v>
      </c>
      <c r="B3026" t="s">
        <v>8992</v>
      </c>
      <c r="C3026" t="s">
        <v>8994</v>
      </c>
      <c r="D3026" t="s">
        <v>20</v>
      </c>
      <c r="E3026" t="s">
        <v>11</v>
      </c>
      <c r="F3026">
        <v>5352.468</v>
      </c>
      <c r="G3026">
        <v>18</v>
      </c>
      <c r="L3026" t="s">
        <v>8995</v>
      </c>
      <c r="O3026" t="s">
        <v>8996</v>
      </c>
    </row>
    <row r="3027" spans="1:15" x14ac:dyDescent="0.25">
      <c r="A3027" t="s">
        <v>18</v>
      </c>
      <c r="B3027" t="s">
        <v>8995</v>
      </c>
      <c r="C3027" t="s">
        <v>8997</v>
      </c>
      <c r="D3027" t="s">
        <v>20</v>
      </c>
      <c r="E3027" t="s">
        <v>11</v>
      </c>
      <c r="F3027">
        <v>8289.797999999999</v>
      </c>
      <c r="G3027">
        <v>18</v>
      </c>
      <c r="L3027" t="s">
        <v>8998</v>
      </c>
      <c r="O3027" t="s">
        <v>8999</v>
      </c>
    </row>
    <row r="3028" spans="1:15" x14ac:dyDescent="0.25">
      <c r="A3028" t="s">
        <v>18</v>
      </c>
      <c r="B3028" t="s">
        <v>8998</v>
      </c>
      <c r="C3028" t="s">
        <v>9000</v>
      </c>
      <c r="D3028" t="s">
        <v>20</v>
      </c>
      <c r="E3028" t="s">
        <v>11</v>
      </c>
      <c r="F3028">
        <v>3067.8779999999997</v>
      </c>
      <c r="G3028">
        <v>18</v>
      </c>
      <c r="L3028" t="s">
        <v>9001</v>
      </c>
      <c r="O3028" t="s">
        <v>9002</v>
      </c>
    </row>
    <row r="3029" spans="1:15" x14ac:dyDescent="0.25">
      <c r="A3029" t="s">
        <v>18</v>
      </c>
      <c r="B3029" t="s">
        <v>9001</v>
      </c>
      <c r="C3029" t="s">
        <v>9003</v>
      </c>
      <c r="D3029" t="s">
        <v>20</v>
      </c>
      <c r="E3029" t="s">
        <v>11</v>
      </c>
      <c r="F3029">
        <v>8093.976</v>
      </c>
      <c r="G3029">
        <v>18</v>
      </c>
      <c r="L3029" t="s">
        <v>9004</v>
      </c>
      <c r="O3029" t="s">
        <v>9005</v>
      </c>
    </row>
    <row r="3030" spans="1:15" x14ac:dyDescent="0.25">
      <c r="A3030" t="s">
        <v>18</v>
      </c>
      <c r="B3030" t="s">
        <v>9004</v>
      </c>
      <c r="C3030" t="s">
        <v>9006</v>
      </c>
      <c r="D3030" t="s">
        <v>20</v>
      </c>
      <c r="E3030" t="s">
        <v>11</v>
      </c>
      <c r="F3030">
        <v>1892.946</v>
      </c>
      <c r="G3030">
        <v>18</v>
      </c>
      <c r="L3030" t="s">
        <v>9007</v>
      </c>
      <c r="O3030" t="s">
        <v>9008</v>
      </c>
    </row>
    <row r="3031" spans="1:15" x14ac:dyDescent="0.25">
      <c r="A3031" t="s">
        <v>18</v>
      </c>
      <c r="B3031" t="s">
        <v>9007</v>
      </c>
      <c r="C3031" t="s">
        <v>9009</v>
      </c>
      <c r="D3031" t="s">
        <v>20</v>
      </c>
      <c r="E3031" t="s">
        <v>11</v>
      </c>
      <c r="F3031">
        <v>5352.468</v>
      </c>
      <c r="G3031">
        <v>18</v>
      </c>
      <c r="L3031" t="s">
        <v>9010</v>
      </c>
      <c r="O3031" t="s">
        <v>9011</v>
      </c>
    </row>
    <row r="3032" spans="1:15" x14ac:dyDescent="0.25">
      <c r="A3032" t="s">
        <v>18</v>
      </c>
      <c r="B3032" t="s">
        <v>9010</v>
      </c>
      <c r="C3032" t="s">
        <v>9012</v>
      </c>
      <c r="D3032" t="s">
        <v>20</v>
      </c>
      <c r="E3032" t="s">
        <v>11</v>
      </c>
      <c r="F3032">
        <v>4569.18</v>
      </c>
      <c r="G3032">
        <v>18</v>
      </c>
      <c r="L3032" t="s">
        <v>9013</v>
      </c>
      <c r="O3032" t="s">
        <v>9014</v>
      </c>
    </row>
    <row r="3033" spans="1:15" x14ac:dyDescent="0.25">
      <c r="A3033" t="s">
        <v>18</v>
      </c>
      <c r="B3033" t="s">
        <v>9013</v>
      </c>
      <c r="C3033" t="s">
        <v>9015</v>
      </c>
      <c r="D3033" t="s">
        <v>20</v>
      </c>
      <c r="E3033" t="s">
        <v>11</v>
      </c>
      <c r="F3033">
        <v>3916.44</v>
      </c>
      <c r="G3033">
        <v>18</v>
      </c>
      <c r="L3033" t="s">
        <v>9016</v>
      </c>
      <c r="O3033" t="s">
        <v>9017</v>
      </c>
    </row>
    <row r="3034" spans="1:15" x14ac:dyDescent="0.25">
      <c r="A3034" t="s">
        <v>18</v>
      </c>
      <c r="B3034" t="s">
        <v>9016</v>
      </c>
      <c r="C3034" t="s">
        <v>9018</v>
      </c>
      <c r="D3034" t="s">
        <v>20</v>
      </c>
      <c r="E3034" t="s">
        <v>11</v>
      </c>
      <c r="F3034">
        <v>8811.99</v>
      </c>
      <c r="G3034">
        <v>18</v>
      </c>
      <c r="L3034" t="s">
        <v>9019</v>
      </c>
      <c r="O3034" t="s">
        <v>9020</v>
      </c>
    </row>
    <row r="3035" spans="1:15" x14ac:dyDescent="0.25">
      <c r="A3035" t="s">
        <v>18</v>
      </c>
      <c r="B3035" t="s">
        <v>9019</v>
      </c>
      <c r="C3035" t="s">
        <v>9021</v>
      </c>
      <c r="D3035" t="s">
        <v>20</v>
      </c>
      <c r="E3035" t="s">
        <v>11</v>
      </c>
      <c r="F3035">
        <v>261.096</v>
      </c>
      <c r="G3035">
        <v>18</v>
      </c>
      <c r="L3035" t="s">
        <v>9022</v>
      </c>
      <c r="O3035" t="s">
        <v>9023</v>
      </c>
    </row>
    <row r="3036" spans="1:15" x14ac:dyDescent="0.25">
      <c r="A3036" t="s">
        <v>18</v>
      </c>
      <c r="B3036" t="s">
        <v>9022</v>
      </c>
      <c r="C3036" t="s">
        <v>5326</v>
      </c>
      <c r="D3036" t="s">
        <v>20</v>
      </c>
      <c r="E3036" t="s">
        <v>11</v>
      </c>
      <c r="F3036">
        <v>261.096</v>
      </c>
      <c r="G3036">
        <v>18</v>
      </c>
      <c r="L3036" t="s">
        <v>9024</v>
      </c>
      <c r="O3036" t="s">
        <v>9025</v>
      </c>
    </row>
    <row r="3037" spans="1:15" x14ac:dyDescent="0.25">
      <c r="A3037" t="s">
        <v>18</v>
      </c>
      <c r="B3037" t="s">
        <v>9024</v>
      </c>
      <c r="C3037" t="s">
        <v>9026</v>
      </c>
      <c r="D3037" t="s">
        <v>20</v>
      </c>
      <c r="E3037" t="s">
        <v>11</v>
      </c>
      <c r="F3037">
        <v>1892.946</v>
      </c>
      <c r="G3037">
        <v>18</v>
      </c>
      <c r="L3037" t="s">
        <v>9027</v>
      </c>
      <c r="O3037" t="s">
        <v>9028</v>
      </c>
    </row>
    <row r="3038" spans="1:15" x14ac:dyDescent="0.25">
      <c r="A3038" t="s">
        <v>18</v>
      </c>
      <c r="B3038" t="s">
        <v>9027</v>
      </c>
      <c r="C3038" t="s">
        <v>9029</v>
      </c>
      <c r="D3038" t="s">
        <v>20</v>
      </c>
      <c r="E3038" t="s">
        <v>11</v>
      </c>
      <c r="F3038">
        <v>1501.302</v>
      </c>
      <c r="G3038">
        <v>18</v>
      </c>
      <c r="L3038" t="s">
        <v>9030</v>
      </c>
      <c r="O3038" t="s">
        <v>9031</v>
      </c>
    </row>
    <row r="3039" spans="1:15" x14ac:dyDescent="0.25">
      <c r="A3039" t="s">
        <v>18</v>
      </c>
      <c r="B3039" t="s">
        <v>9030</v>
      </c>
      <c r="C3039" t="s">
        <v>9032</v>
      </c>
      <c r="D3039" t="s">
        <v>20</v>
      </c>
      <c r="E3039" t="s">
        <v>11</v>
      </c>
      <c r="F3039">
        <v>3328.9739999999997</v>
      </c>
      <c r="G3039">
        <v>18</v>
      </c>
      <c r="L3039" t="s">
        <v>9033</v>
      </c>
      <c r="O3039" t="s">
        <v>9034</v>
      </c>
    </row>
    <row r="3040" spans="1:15" x14ac:dyDescent="0.25">
      <c r="A3040" t="s">
        <v>18</v>
      </c>
      <c r="B3040" t="s">
        <v>9033</v>
      </c>
      <c r="C3040" t="s">
        <v>9035</v>
      </c>
      <c r="D3040" t="s">
        <v>20</v>
      </c>
      <c r="E3040" t="s">
        <v>11</v>
      </c>
      <c r="F3040">
        <v>1305.48</v>
      </c>
      <c r="G3040">
        <v>18</v>
      </c>
      <c r="L3040" t="s">
        <v>9036</v>
      </c>
      <c r="O3040" t="s">
        <v>9037</v>
      </c>
    </row>
    <row r="3041" spans="1:15" x14ac:dyDescent="0.25">
      <c r="A3041" t="s">
        <v>18</v>
      </c>
      <c r="B3041" t="s">
        <v>9036</v>
      </c>
      <c r="C3041" t="s">
        <v>9038</v>
      </c>
      <c r="D3041" t="s">
        <v>20</v>
      </c>
      <c r="E3041" t="s">
        <v>11</v>
      </c>
      <c r="F3041">
        <v>913.836</v>
      </c>
      <c r="G3041">
        <v>18</v>
      </c>
      <c r="L3041" t="s">
        <v>9039</v>
      </c>
      <c r="O3041" t="s">
        <v>9040</v>
      </c>
    </row>
    <row r="3042" spans="1:15" x14ac:dyDescent="0.25">
      <c r="A3042" t="s">
        <v>18</v>
      </c>
      <c r="B3042" t="s">
        <v>9039</v>
      </c>
      <c r="C3042" t="s">
        <v>9041</v>
      </c>
      <c r="D3042" t="s">
        <v>20</v>
      </c>
      <c r="E3042" t="s">
        <v>11</v>
      </c>
      <c r="F3042">
        <v>3590.0699999999997</v>
      </c>
      <c r="G3042">
        <v>18</v>
      </c>
      <c r="L3042" t="s">
        <v>9042</v>
      </c>
      <c r="O3042" t="s">
        <v>9043</v>
      </c>
    </row>
    <row r="3043" spans="1:15" x14ac:dyDescent="0.25">
      <c r="A3043" t="s">
        <v>18</v>
      </c>
      <c r="B3043" t="s">
        <v>9042</v>
      </c>
      <c r="C3043" t="s">
        <v>9044</v>
      </c>
      <c r="D3043" t="s">
        <v>20</v>
      </c>
      <c r="E3043" t="s">
        <v>11</v>
      </c>
      <c r="F3043">
        <v>1174.9319999999998</v>
      </c>
      <c r="G3043">
        <v>18</v>
      </c>
      <c r="L3043" t="s">
        <v>9045</v>
      </c>
      <c r="O3043" t="s">
        <v>9046</v>
      </c>
    </row>
    <row r="3044" spans="1:15" x14ac:dyDescent="0.25">
      <c r="A3044" t="s">
        <v>18</v>
      </c>
      <c r="B3044" t="s">
        <v>9045</v>
      </c>
      <c r="C3044" t="s">
        <v>9047</v>
      </c>
      <c r="D3044" t="s">
        <v>20</v>
      </c>
      <c r="E3044" t="s">
        <v>11</v>
      </c>
      <c r="F3044">
        <v>3198.426</v>
      </c>
      <c r="G3044">
        <v>18</v>
      </c>
      <c r="L3044" t="s">
        <v>9048</v>
      </c>
      <c r="O3044" t="s">
        <v>9049</v>
      </c>
    </row>
    <row r="3045" spans="1:15" x14ac:dyDescent="0.25">
      <c r="A3045" t="s">
        <v>18</v>
      </c>
      <c r="B3045" t="s">
        <v>9048</v>
      </c>
      <c r="C3045" t="s">
        <v>9050</v>
      </c>
      <c r="D3045" t="s">
        <v>20</v>
      </c>
      <c r="E3045" t="s">
        <v>11</v>
      </c>
      <c r="F3045">
        <v>3198.426</v>
      </c>
      <c r="G3045">
        <v>18</v>
      </c>
      <c r="L3045" t="s">
        <v>9051</v>
      </c>
      <c r="O3045" t="s">
        <v>9052</v>
      </c>
    </row>
    <row r="3046" spans="1:15" x14ac:dyDescent="0.25">
      <c r="A3046" t="s">
        <v>18</v>
      </c>
      <c r="B3046" t="s">
        <v>9051</v>
      </c>
      <c r="C3046" t="s">
        <v>9053</v>
      </c>
      <c r="D3046" t="s">
        <v>20</v>
      </c>
      <c r="E3046" t="s">
        <v>11</v>
      </c>
      <c r="F3046">
        <v>3198.426</v>
      </c>
      <c r="G3046">
        <v>18</v>
      </c>
      <c r="L3046" t="s">
        <v>9054</v>
      </c>
      <c r="O3046" t="s">
        <v>9055</v>
      </c>
    </row>
    <row r="3047" spans="1:15" x14ac:dyDescent="0.25">
      <c r="A3047" t="s">
        <v>18</v>
      </c>
      <c r="B3047" t="s">
        <v>9054</v>
      </c>
      <c r="C3047" t="s">
        <v>9056</v>
      </c>
      <c r="D3047" t="s">
        <v>20</v>
      </c>
      <c r="E3047" t="s">
        <v>11</v>
      </c>
      <c r="F3047">
        <v>16253.226</v>
      </c>
      <c r="G3047">
        <v>18</v>
      </c>
      <c r="L3047" t="s">
        <v>9057</v>
      </c>
      <c r="O3047" t="s">
        <v>9058</v>
      </c>
    </row>
    <row r="3048" spans="1:15" x14ac:dyDescent="0.25">
      <c r="A3048" t="s">
        <v>18</v>
      </c>
      <c r="B3048" t="s">
        <v>9057</v>
      </c>
      <c r="C3048" t="s">
        <v>9059</v>
      </c>
      <c r="D3048" t="s">
        <v>20</v>
      </c>
      <c r="E3048" t="s">
        <v>11</v>
      </c>
      <c r="F3048">
        <v>4373.358</v>
      </c>
      <c r="G3048">
        <v>18</v>
      </c>
      <c r="L3048" t="s">
        <v>9060</v>
      </c>
      <c r="O3048" t="s">
        <v>9061</v>
      </c>
    </row>
    <row r="3049" spans="1:15" x14ac:dyDescent="0.25">
      <c r="A3049" t="s">
        <v>18</v>
      </c>
      <c r="B3049" t="s">
        <v>9060</v>
      </c>
      <c r="C3049" t="s">
        <v>9062</v>
      </c>
      <c r="D3049" t="s">
        <v>20</v>
      </c>
      <c r="E3049" t="s">
        <v>11</v>
      </c>
      <c r="F3049">
        <v>3002.604</v>
      </c>
      <c r="G3049">
        <v>18</v>
      </c>
      <c r="L3049" t="s">
        <v>9063</v>
      </c>
      <c r="O3049" t="s">
        <v>9064</v>
      </c>
    </row>
    <row r="3050" spans="1:15" x14ac:dyDescent="0.25">
      <c r="A3050" t="s">
        <v>18</v>
      </c>
      <c r="B3050" t="s">
        <v>9063</v>
      </c>
      <c r="C3050" t="s">
        <v>9065</v>
      </c>
      <c r="D3050" t="s">
        <v>20</v>
      </c>
      <c r="E3050" t="s">
        <v>11</v>
      </c>
      <c r="F3050">
        <v>1436.028</v>
      </c>
      <c r="G3050">
        <v>18</v>
      </c>
      <c r="L3050" t="s">
        <v>9066</v>
      </c>
      <c r="O3050" t="s">
        <v>9067</v>
      </c>
    </row>
    <row r="3051" spans="1:15" x14ac:dyDescent="0.25">
      <c r="A3051" t="s">
        <v>18</v>
      </c>
      <c r="B3051" t="s">
        <v>9066</v>
      </c>
      <c r="C3051" t="s">
        <v>9068</v>
      </c>
      <c r="D3051" t="s">
        <v>20</v>
      </c>
      <c r="E3051" t="s">
        <v>11</v>
      </c>
      <c r="F3051">
        <v>3720.6179999999995</v>
      </c>
      <c r="G3051">
        <v>18</v>
      </c>
      <c r="L3051" t="s">
        <v>9069</v>
      </c>
      <c r="O3051" t="s">
        <v>9070</v>
      </c>
    </row>
    <row r="3052" spans="1:15" x14ac:dyDescent="0.25">
      <c r="A3052" t="s">
        <v>18</v>
      </c>
      <c r="B3052" t="s">
        <v>9069</v>
      </c>
      <c r="C3052" t="s">
        <v>9071</v>
      </c>
      <c r="D3052" t="s">
        <v>20</v>
      </c>
      <c r="E3052" t="s">
        <v>11</v>
      </c>
      <c r="F3052">
        <v>6005.208</v>
      </c>
      <c r="G3052">
        <v>18</v>
      </c>
      <c r="L3052" t="s">
        <v>9072</v>
      </c>
      <c r="O3052" t="s">
        <v>9073</v>
      </c>
    </row>
    <row r="3053" spans="1:15" x14ac:dyDescent="0.25">
      <c r="A3053" t="s">
        <v>18</v>
      </c>
      <c r="B3053" t="s">
        <v>9072</v>
      </c>
      <c r="C3053" t="s">
        <v>9074</v>
      </c>
      <c r="D3053" t="s">
        <v>20</v>
      </c>
      <c r="E3053" t="s">
        <v>11</v>
      </c>
      <c r="F3053">
        <v>4765.0019999999995</v>
      </c>
      <c r="G3053">
        <v>18</v>
      </c>
      <c r="L3053" t="s">
        <v>9075</v>
      </c>
      <c r="O3053" t="s">
        <v>9076</v>
      </c>
    </row>
    <row r="3054" spans="1:15" x14ac:dyDescent="0.25">
      <c r="A3054" t="s">
        <v>18</v>
      </c>
      <c r="B3054" t="s">
        <v>9075</v>
      </c>
      <c r="C3054" t="s">
        <v>9077</v>
      </c>
      <c r="D3054" t="s">
        <v>20</v>
      </c>
      <c r="E3054" t="s">
        <v>11</v>
      </c>
      <c r="F3054">
        <v>4765.0019999999995</v>
      </c>
      <c r="G3054">
        <v>18</v>
      </c>
      <c r="L3054" t="s">
        <v>9078</v>
      </c>
      <c r="O3054" t="s">
        <v>9079</v>
      </c>
    </row>
    <row r="3055" spans="1:15" x14ac:dyDescent="0.25">
      <c r="A3055" t="s">
        <v>18</v>
      </c>
      <c r="B3055" t="s">
        <v>9078</v>
      </c>
      <c r="C3055" t="s">
        <v>9080</v>
      </c>
      <c r="D3055" t="s">
        <v>20</v>
      </c>
      <c r="E3055" t="s">
        <v>11</v>
      </c>
      <c r="F3055">
        <v>17167.061999999998</v>
      </c>
      <c r="G3055">
        <v>18</v>
      </c>
      <c r="L3055" t="s">
        <v>9081</v>
      </c>
      <c r="O3055" t="s">
        <v>9082</v>
      </c>
    </row>
    <row r="3056" spans="1:15" x14ac:dyDescent="0.25">
      <c r="A3056" t="s">
        <v>18</v>
      </c>
      <c r="B3056" t="s">
        <v>9081</v>
      </c>
      <c r="C3056" t="s">
        <v>9083</v>
      </c>
      <c r="D3056" t="s">
        <v>20</v>
      </c>
      <c r="E3056" t="s">
        <v>11</v>
      </c>
      <c r="F3056">
        <v>13511.717999999999</v>
      </c>
      <c r="G3056">
        <v>18</v>
      </c>
      <c r="L3056" t="s">
        <v>9084</v>
      </c>
      <c r="O3056" t="s">
        <v>9085</v>
      </c>
    </row>
    <row r="3057" spans="1:15" x14ac:dyDescent="0.25">
      <c r="A3057" t="s">
        <v>18</v>
      </c>
      <c r="B3057" t="s">
        <v>9084</v>
      </c>
      <c r="C3057" t="s">
        <v>9086</v>
      </c>
      <c r="D3057" t="s">
        <v>20</v>
      </c>
      <c r="E3057" t="s">
        <v>11</v>
      </c>
      <c r="F3057">
        <v>11749.320000000002</v>
      </c>
      <c r="G3057">
        <v>18</v>
      </c>
      <c r="L3057" t="s">
        <v>9087</v>
      </c>
      <c r="O3057" t="s">
        <v>9088</v>
      </c>
    </row>
    <row r="3058" spans="1:15" x14ac:dyDescent="0.25">
      <c r="A3058" t="s">
        <v>18</v>
      </c>
      <c r="B3058" t="s">
        <v>9087</v>
      </c>
      <c r="C3058" t="s">
        <v>9089</v>
      </c>
      <c r="D3058" t="s">
        <v>20</v>
      </c>
      <c r="E3058" t="s">
        <v>11</v>
      </c>
      <c r="F3058">
        <v>3394.2479999999996</v>
      </c>
      <c r="G3058">
        <v>18</v>
      </c>
      <c r="L3058" t="s">
        <v>9090</v>
      </c>
      <c r="O3058" t="s">
        <v>9091</v>
      </c>
    </row>
    <row r="3059" spans="1:15" x14ac:dyDescent="0.25">
      <c r="A3059" t="s">
        <v>18</v>
      </c>
      <c r="B3059" t="s">
        <v>9090</v>
      </c>
      <c r="C3059" t="s">
        <v>9092</v>
      </c>
      <c r="D3059" t="s">
        <v>20</v>
      </c>
      <c r="E3059" t="s">
        <v>11</v>
      </c>
      <c r="F3059">
        <v>12532.607999999998</v>
      </c>
      <c r="G3059">
        <v>18</v>
      </c>
      <c r="L3059" t="s">
        <v>9093</v>
      </c>
      <c r="O3059" t="s">
        <v>9094</v>
      </c>
    </row>
    <row r="3060" spans="1:15" x14ac:dyDescent="0.25">
      <c r="A3060" t="s">
        <v>18</v>
      </c>
      <c r="B3060" t="s">
        <v>9093</v>
      </c>
      <c r="C3060" t="s">
        <v>9095</v>
      </c>
      <c r="D3060" t="s">
        <v>20</v>
      </c>
      <c r="E3060" t="s">
        <v>11</v>
      </c>
      <c r="F3060">
        <v>9791.1</v>
      </c>
      <c r="G3060">
        <v>18</v>
      </c>
      <c r="L3060" t="s">
        <v>9096</v>
      </c>
      <c r="O3060" t="s">
        <v>9097</v>
      </c>
    </row>
    <row r="3061" spans="1:15" x14ac:dyDescent="0.25">
      <c r="A3061" t="s">
        <v>18</v>
      </c>
      <c r="B3061" t="s">
        <v>9096</v>
      </c>
      <c r="C3061" t="s">
        <v>9098</v>
      </c>
      <c r="D3061" t="s">
        <v>20</v>
      </c>
      <c r="E3061" t="s">
        <v>11</v>
      </c>
      <c r="F3061">
        <v>391.64399999999995</v>
      </c>
      <c r="G3061">
        <v>18</v>
      </c>
      <c r="L3061" t="s">
        <v>9099</v>
      </c>
      <c r="O3061" t="s">
        <v>9100</v>
      </c>
    </row>
    <row r="3062" spans="1:15" x14ac:dyDescent="0.25">
      <c r="A3062" t="s">
        <v>18</v>
      </c>
      <c r="B3062" t="s">
        <v>9099</v>
      </c>
      <c r="C3062" t="s">
        <v>9101</v>
      </c>
      <c r="D3062" t="s">
        <v>20</v>
      </c>
      <c r="E3062" t="s">
        <v>11</v>
      </c>
      <c r="F3062">
        <v>391.64399999999995</v>
      </c>
      <c r="G3062">
        <v>18</v>
      </c>
      <c r="L3062" t="s">
        <v>9102</v>
      </c>
      <c r="O3062" t="s">
        <v>9103</v>
      </c>
    </row>
    <row r="3063" spans="1:15" x14ac:dyDescent="0.25">
      <c r="A3063" t="s">
        <v>18</v>
      </c>
      <c r="B3063" t="s">
        <v>9102</v>
      </c>
      <c r="C3063" t="s">
        <v>9104</v>
      </c>
      <c r="D3063" t="s">
        <v>20</v>
      </c>
      <c r="E3063" t="s">
        <v>11</v>
      </c>
      <c r="F3063">
        <v>1892.946</v>
      </c>
      <c r="G3063">
        <v>18</v>
      </c>
      <c r="L3063" t="s">
        <v>9105</v>
      </c>
      <c r="O3063" t="s">
        <v>9106</v>
      </c>
    </row>
    <row r="3064" spans="1:15" x14ac:dyDescent="0.25">
      <c r="A3064" t="s">
        <v>18</v>
      </c>
      <c r="B3064" t="s">
        <v>9105</v>
      </c>
      <c r="C3064" t="s">
        <v>9107</v>
      </c>
      <c r="D3064" t="s">
        <v>20</v>
      </c>
      <c r="E3064" t="s">
        <v>11</v>
      </c>
      <c r="F3064">
        <v>7441.235999999999</v>
      </c>
      <c r="G3064">
        <v>18</v>
      </c>
      <c r="L3064" t="s">
        <v>9108</v>
      </c>
      <c r="O3064" t="s">
        <v>9109</v>
      </c>
    </row>
    <row r="3065" spans="1:15" x14ac:dyDescent="0.25">
      <c r="A3065" t="s">
        <v>18</v>
      </c>
      <c r="B3065" t="s">
        <v>9108</v>
      </c>
      <c r="C3065" t="s">
        <v>9110</v>
      </c>
      <c r="D3065" t="s">
        <v>20</v>
      </c>
      <c r="E3065" t="s">
        <v>11</v>
      </c>
      <c r="F3065">
        <v>5417.742</v>
      </c>
      <c r="G3065">
        <v>18</v>
      </c>
      <c r="L3065" t="s">
        <v>9111</v>
      </c>
      <c r="O3065" t="s">
        <v>9112</v>
      </c>
    </row>
    <row r="3066" spans="1:15" x14ac:dyDescent="0.25">
      <c r="A3066" t="s">
        <v>18</v>
      </c>
      <c r="B3066" t="s">
        <v>9111</v>
      </c>
      <c r="C3066" t="s">
        <v>9113</v>
      </c>
      <c r="D3066" t="s">
        <v>20</v>
      </c>
      <c r="E3066" t="s">
        <v>11</v>
      </c>
      <c r="F3066">
        <v>979.11</v>
      </c>
      <c r="G3066">
        <v>18</v>
      </c>
      <c r="L3066" t="s">
        <v>9114</v>
      </c>
      <c r="O3066" t="s">
        <v>9115</v>
      </c>
    </row>
    <row r="3067" spans="1:15" x14ac:dyDescent="0.25">
      <c r="A3067" t="s">
        <v>18</v>
      </c>
      <c r="B3067" t="s">
        <v>9114</v>
      </c>
      <c r="C3067" t="s">
        <v>9116</v>
      </c>
      <c r="D3067" t="s">
        <v>20</v>
      </c>
      <c r="E3067" t="s">
        <v>11</v>
      </c>
      <c r="F3067">
        <v>3263.7</v>
      </c>
      <c r="G3067">
        <v>18</v>
      </c>
      <c r="L3067" t="s">
        <v>9117</v>
      </c>
      <c r="O3067" t="s">
        <v>9118</v>
      </c>
    </row>
    <row r="3068" spans="1:15" x14ac:dyDescent="0.25">
      <c r="A3068" t="s">
        <v>18</v>
      </c>
      <c r="B3068" t="s">
        <v>9117</v>
      </c>
      <c r="C3068" t="s">
        <v>9119</v>
      </c>
      <c r="D3068" t="s">
        <v>20</v>
      </c>
      <c r="E3068" t="s">
        <v>11</v>
      </c>
      <c r="F3068">
        <v>3002.604</v>
      </c>
      <c r="G3068">
        <v>18</v>
      </c>
      <c r="L3068" t="s">
        <v>9120</v>
      </c>
      <c r="O3068" t="s">
        <v>9121</v>
      </c>
    </row>
    <row r="3069" spans="1:15" x14ac:dyDescent="0.25">
      <c r="A3069" t="s">
        <v>18</v>
      </c>
      <c r="B3069" t="s">
        <v>9120</v>
      </c>
      <c r="C3069" t="s">
        <v>9122</v>
      </c>
      <c r="D3069" t="s">
        <v>20</v>
      </c>
      <c r="E3069" t="s">
        <v>11</v>
      </c>
      <c r="F3069">
        <v>23041.722</v>
      </c>
      <c r="G3069">
        <v>18</v>
      </c>
      <c r="L3069" t="s">
        <v>9123</v>
      </c>
      <c r="O3069" t="s">
        <v>9124</v>
      </c>
    </row>
    <row r="3070" spans="1:15" x14ac:dyDescent="0.25">
      <c r="A3070" t="s">
        <v>18</v>
      </c>
      <c r="B3070" t="s">
        <v>9123</v>
      </c>
      <c r="C3070" t="s">
        <v>9125</v>
      </c>
      <c r="D3070" t="s">
        <v>20</v>
      </c>
      <c r="E3070" t="s">
        <v>11</v>
      </c>
      <c r="F3070">
        <v>15208.841999999999</v>
      </c>
      <c r="G3070">
        <v>18</v>
      </c>
      <c r="L3070" t="s">
        <v>9126</v>
      </c>
      <c r="O3070" t="s">
        <v>9127</v>
      </c>
    </row>
    <row r="3071" spans="1:15" x14ac:dyDescent="0.25">
      <c r="A3071" t="s">
        <v>18</v>
      </c>
      <c r="B3071" t="s">
        <v>9126</v>
      </c>
      <c r="C3071" t="s">
        <v>9128</v>
      </c>
      <c r="D3071" t="s">
        <v>20</v>
      </c>
      <c r="E3071" t="s">
        <v>11</v>
      </c>
      <c r="F3071">
        <v>4699.727999999999</v>
      </c>
      <c r="G3071">
        <v>18</v>
      </c>
      <c r="L3071" t="s">
        <v>9129</v>
      </c>
      <c r="O3071" t="s">
        <v>9130</v>
      </c>
    </row>
    <row r="3072" spans="1:15" x14ac:dyDescent="0.25">
      <c r="A3072" t="s">
        <v>18</v>
      </c>
      <c r="B3072" t="s">
        <v>9129</v>
      </c>
      <c r="C3072" t="s">
        <v>9131</v>
      </c>
      <c r="D3072" t="s">
        <v>20</v>
      </c>
      <c r="E3072" t="s">
        <v>11</v>
      </c>
      <c r="F3072">
        <v>4046.988</v>
      </c>
      <c r="G3072">
        <v>18</v>
      </c>
      <c r="L3072" t="s">
        <v>9132</v>
      </c>
      <c r="O3072" t="s">
        <v>9133</v>
      </c>
    </row>
    <row r="3073" spans="1:15" x14ac:dyDescent="0.25">
      <c r="A3073" t="s">
        <v>18</v>
      </c>
      <c r="B3073" t="s">
        <v>9132</v>
      </c>
      <c r="C3073" t="s">
        <v>9134</v>
      </c>
      <c r="D3073" t="s">
        <v>20</v>
      </c>
      <c r="E3073" t="s">
        <v>11</v>
      </c>
      <c r="F3073">
        <v>3590.0699999999997</v>
      </c>
      <c r="G3073">
        <v>18</v>
      </c>
      <c r="L3073" t="s">
        <v>9135</v>
      </c>
      <c r="O3073" t="s">
        <v>9136</v>
      </c>
    </row>
    <row r="3074" spans="1:15" x14ac:dyDescent="0.25">
      <c r="A3074" t="s">
        <v>18</v>
      </c>
      <c r="B3074" t="s">
        <v>9135</v>
      </c>
      <c r="C3074" t="s">
        <v>9137</v>
      </c>
      <c r="D3074" t="s">
        <v>20</v>
      </c>
      <c r="E3074" t="s">
        <v>11</v>
      </c>
      <c r="F3074">
        <v>8746.716</v>
      </c>
      <c r="G3074">
        <v>18</v>
      </c>
      <c r="L3074" t="s">
        <v>9138</v>
      </c>
      <c r="O3074" t="s">
        <v>9139</v>
      </c>
    </row>
    <row r="3075" spans="1:15" x14ac:dyDescent="0.25">
      <c r="A3075" t="s">
        <v>18</v>
      </c>
      <c r="B3075" t="s">
        <v>9138</v>
      </c>
      <c r="C3075" t="s">
        <v>9140</v>
      </c>
      <c r="D3075" t="s">
        <v>20</v>
      </c>
      <c r="E3075" t="s">
        <v>11</v>
      </c>
      <c r="F3075">
        <v>3785.892</v>
      </c>
      <c r="G3075">
        <v>18</v>
      </c>
      <c r="L3075" t="s">
        <v>9141</v>
      </c>
      <c r="O3075" t="s">
        <v>9142</v>
      </c>
    </row>
    <row r="3076" spans="1:15" x14ac:dyDescent="0.25">
      <c r="A3076" t="s">
        <v>18</v>
      </c>
      <c r="B3076" t="s">
        <v>9141</v>
      </c>
      <c r="C3076" t="s">
        <v>9143</v>
      </c>
      <c r="D3076" t="s">
        <v>20</v>
      </c>
      <c r="E3076" t="s">
        <v>11</v>
      </c>
      <c r="F3076">
        <v>5939.933999999999</v>
      </c>
      <c r="G3076">
        <v>18</v>
      </c>
      <c r="L3076" t="s">
        <v>9144</v>
      </c>
      <c r="O3076" t="s">
        <v>9145</v>
      </c>
    </row>
    <row r="3077" spans="1:15" x14ac:dyDescent="0.25">
      <c r="A3077" t="s">
        <v>18</v>
      </c>
      <c r="B3077" t="s">
        <v>9144</v>
      </c>
      <c r="C3077" t="s">
        <v>9146</v>
      </c>
      <c r="D3077" t="s">
        <v>20</v>
      </c>
      <c r="E3077" t="s">
        <v>11</v>
      </c>
      <c r="F3077">
        <v>7441.235999999999</v>
      </c>
      <c r="G3077">
        <v>18</v>
      </c>
      <c r="L3077" t="s">
        <v>9147</v>
      </c>
      <c r="O3077" t="s">
        <v>9148</v>
      </c>
    </row>
    <row r="3078" spans="1:15" x14ac:dyDescent="0.25">
      <c r="A3078" t="s">
        <v>18</v>
      </c>
      <c r="B3078" t="s">
        <v>9147</v>
      </c>
      <c r="C3078" t="s">
        <v>9149</v>
      </c>
      <c r="D3078" t="s">
        <v>20</v>
      </c>
      <c r="E3078" t="s">
        <v>11</v>
      </c>
      <c r="F3078">
        <v>1892.946</v>
      </c>
      <c r="G3078">
        <v>18</v>
      </c>
      <c r="L3078" t="s">
        <v>9150</v>
      </c>
      <c r="O3078" t="s">
        <v>9151</v>
      </c>
    </row>
    <row r="3079" spans="1:15" x14ac:dyDescent="0.25">
      <c r="A3079" t="s">
        <v>18</v>
      </c>
      <c r="B3079" t="s">
        <v>9150</v>
      </c>
      <c r="C3079" t="s">
        <v>9152</v>
      </c>
      <c r="D3079" t="s">
        <v>20</v>
      </c>
      <c r="E3079" t="s">
        <v>11</v>
      </c>
      <c r="F3079">
        <v>1566.5759999999998</v>
      </c>
      <c r="G3079">
        <v>18</v>
      </c>
      <c r="L3079" t="s">
        <v>9153</v>
      </c>
      <c r="O3079" t="s">
        <v>9154</v>
      </c>
    </row>
    <row r="3080" spans="1:15" x14ac:dyDescent="0.25">
      <c r="A3080" t="s">
        <v>18</v>
      </c>
      <c r="B3080" t="s">
        <v>9153</v>
      </c>
      <c r="C3080" t="s">
        <v>9155</v>
      </c>
      <c r="D3080" t="s">
        <v>20</v>
      </c>
      <c r="E3080" t="s">
        <v>11</v>
      </c>
      <c r="F3080">
        <v>24543.023999999998</v>
      </c>
      <c r="G3080">
        <v>18</v>
      </c>
      <c r="L3080" t="s">
        <v>9156</v>
      </c>
      <c r="O3080" t="s">
        <v>9157</v>
      </c>
    </row>
    <row r="3081" spans="1:15" x14ac:dyDescent="0.25">
      <c r="A3081" t="s">
        <v>18</v>
      </c>
      <c r="B3081" t="s">
        <v>9156</v>
      </c>
      <c r="C3081" t="s">
        <v>9158</v>
      </c>
      <c r="D3081" t="s">
        <v>20</v>
      </c>
      <c r="E3081" t="s">
        <v>11</v>
      </c>
      <c r="F3081">
        <v>26435.97</v>
      </c>
      <c r="G3081">
        <v>18</v>
      </c>
      <c r="L3081" t="s">
        <v>9159</v>
      </c>
      <c r="O3081" t="s">
        <v>9160</v>
      </c>
    </row>
    <row r="3082" spans="1:15" x14ac:dyDescent="0.25">
      <c r="A3082" t="s">
        <v>18</v>
      </c>
      <c r="B3082" t="s">
        <v>9159</v>
      </c>
      <c r="C3082" t="s">
        <v>9161</v>
      </c>
      <c r="D3082" t="s">
        <v>20</v>
      </c>
      <c r="E3082" t="s">
        <v>11</v>
      </c>
      <c r="F3082">
        <v>7245.414</v>
      </c>
      <c r="G3082">
        <v>18</v>
      </c>
      <c r="L3082" t="s">
        <v>9162</v>
      </c>
      <c r="O3082" t="s">
        <v>9163</v>
      </c>
    </row>
    <row r="3083" spans="1:15" x14ac:dyDescent="0.25">
      <c r="A3083" t="s">
        <v>18</v>
      </c>
      <c r="B3083" t="s">
        <v>9162</v>
      </c>
      <c r="C3083" t="s">
        <v>9164</v>
      </c>
      <c r="D3083" t="s">
        <v>20</v>
      </c>
      <c r="E3083" t="s">
        <v>11</v>
      </c>
      <c r="F3083">
        <v>27023.435999999998</v>
      </c>
      <c r="G3083">
        <v>18</v>
      </c>
      <c r="L3083" t="s">
        <v>9165</v>
      </c>
      <c r="O3083" t="s">
        <v>9166</v>
      </c>
    </row>
    <row r="3084" spans="1:15" x14ac:dyDescent="0.25">
      <c r="A3084" t="s">
        <v>18</v>
      </c>
      <c r="B3084" t="s">
        <v>9165</v>
      </c>
      <c r="C3084" t="s">
        <v>9167</v>
      </c>
      <c r="D3084" t="s">
        <v>20</v>
      </c>
      <c r="E3084" t="s">
        <v>11</v>
      </c>
      <c r="F3084">
        <v>4765.0019999999995</v>
      </c>
      <c r="G3084">
        <v>18</v>
      </c>
      <c r="L3084" t="s">
        <v>9168</v>
      </c>
      <c r="O3084" t="s">
        <v>9169</v>
      </c>
    </row>
    <row r="3085" spans="1:15" x14ac:dyDescent="0.25">
      <c r="A3085" t="s">
        <v>18</v>
      </c>
      <c r="B3085" t="s">
        <v>9168</v>
      </c>
      <c r="C3085" t="s">
        <v>9170</v>
      </c>
      <c r="D3085" t="s">
        <v>20</v>
      </c>
      <c r="E3085" t="s">
        <v>11</v>
      </c>
      <c r="F3085">
        <v>22062.611999999997</v>
      </c>
      <c r="G3085">
        <v>18</v>
      </c>
      <c r="L3085" t="s">
        <v>9171</v>
      </c>
      <c r="O3085" t="s">
        <v>9172</v>
      </c>
    </row>
    <row r="3086" spans="1:15" x14ac:dyDescent="0.25">
      <c r="A3086" t="s">
        <v>18</v>
      </c>
      <c r="B3086" t="s">
        <v>9171</v>
      </c>
      <c r="C3086" t="s">
        <v>9173</v>
      </c>
      <c r="D3086" t="s">
        <v>20</v>
      </c>
      <c r="E3086" t="s">
        <v>11</v>
      </c>
      <c r="F3086">
        <v>18341.994000000002</v>
      </c>
      <c r="G3086">
        <v>18</v>
      </c>
      <c r="L3086" t="s">
        <v>9174</v>
      </c>
      <c r="O3086" t="s">
        <v>9175</v>
      </c>
    </row>
    <row r="3087" spans="1:15" x14ac:dyDescent="0.25">
      <c r="A3087" t="s">
        <v>18</v>
      </c>
      <c r="B3087" t="s">
        <v>9174</v>
      </c>
      <c r="C3087" t="s">
        <v>9176</v>
      </c>
      <c r="D3087" t="s">
        <v>20</v>
      </c>
      <c r="E3087" t="s">
        <v>11</v>
      </c>
      <c r="F3087">
        <v>28785.834</v>
      </c>
      <c r="G3087">
        <v>18</v>
      </c>
      <c r="L3087" t="s">
        <v>9177</v>
      </c>
      <c r="O3087" t="s">
        <v>9178</v>
      </c>
    </row>
    <row r="3088" spans="1:15" x14ac:dyDescent="0.25">
      <c r="A3088" t="s">
        <v>18</v>
      </c>
      <c r="B3088" t="s">
        <v>9177</v>
      </c>
      <c r="C3088" t="s">
        <v>9179</v>
      </c>
      <c r="D3088" t="s">
        <v>20</v>
      </c>
      <c r="E3088" t="s">
        <v>11</v>
      </c>
      <c r="F3088">
        <v>25065.215999999997</v>
      </c>
      <c r="G3088">
        <v>18</v>
      </c>
      <c r="L3088" t="s">
        <v>9180</v>
      </c>
      <c r="O3088" t="s">
        <v>9181</v>
      </c>
    </row>
    <row r="3089" spans="1:15" x14ac:dyDescent="0.25">
      <c r="A3089" t="s">
        <v>18</v>
      </c>
      <c r="B3089" t="s">
        <v>9180</v>
      </c>
      <c r="C3089" t="s">
        <v>9182</v>
      </c>
      <c r="D3089" t="s">
        <v>20</v>
      </c>
      <c r="E3089" t="s">
        <v>11</v>
      </c>
      <c r="F3089">
        <v>30809.328</v>
      </c>
      <c r="G3089">
        <v>18</v>
      </c>
      <c r="L3089" t="s">
        <v>9183</v>
      </c>
      <c r="O3089" t="s">
        <v>9184</v>
      </c>
    </row>
    <row r="3090" spans="1:15" x14ac:dyDescent="0.25">
      <c r="A3090" t="s">
        <v>18</v>
      </c>
      <c r="B3090" t="s">
        <v>9183</v>
      </c>
      <c r="C3090" t="s">
        <v>9185</v>
      </c>
      <c r="D3090" t="s">
        <v>20</v>
      </c>
      <c r="E3090" t="s">
        <v>11</v>
      </c>
      <c r="F3090">
        <v>522.192</v>
      </c>
      <c r="G3090">
        <v>18</v>
      </c>
      <c r="L3090" t="s">
        <v>9186</v>
      </c>
      <c r="O3090" t="s">
        <v>9187</v>
      </c>
    </row>
    <row r="3091" spans="1:15" x14ac:dyDescent="0.25">
      <c r="A3091" t="s">
        <v>18</v>
      </c>
      <c r="B3091" t="s">
        <v>9186</v>
      </c>
      <c r="C3091" t="s">
        <v>9188</v>
      </c>
      <c r="D3091" t="s">
        <v>20</v>
      </c>
      <c r="E3091" t="s">
        <v>11</v>
      </c>
      <c r="F3091">
        <v>1892.946</v>
      </c>
      <c r="G3091">
        <v>18</v>
      </c>
      <c r="L3091" t="s">
        <v>9189</v>
      </c>
      <c r="O3091" t="s">
        <v>9190</v>
      </c>
    </row>
    <row r="3092" spans="1:15" x14ac:dyDescent="0.25">
      <c r="A3092" t="s">
        <v>18</v>
      </c>
      <c r="B3092" t="s">
        <v>9189</v>
      </c>
      <c r="C3092" t="s">
        <v>9191</v>
      </c>
      <c r="D3092" t="s">
        <v>20</v>
      </c>
      <c r="E3092" t="s">
        <v>11</v>
      </c>
      <c r="F3092">
        <v>2349.8639999999996</v>
      </c>
      <c r="G3092">
        <v>18</v>
      </c>
      <c r="L3092" t="s">
        <v>9192</v>
      </c>
      <c r="O3092" t="s">
        <v>9193</v>
      </c>
    </row>
    <row r="3093" spans="1:15" x14ac:dyDescent="0.25">
      <c r="A3093" t="s">
        <v>18</v>
      </c>
      <c r="B3093" t="s">
        <v>9192</v>
      </c>
      <c r="C3093" t="s">
        <v>9194</v>
      </c>
      <c r="D3093" t="s">
        <v>20</v>
      </c>
      <c r="E3093" t="s">
        <v>11</v>
      </c>
      <c r="F3093">
        <v>12241.151999999998</v>
      </c>
      <c r="G3093">
        <v>18</v>
      </c>
      <c r="L3093" t="s">
        <v>9195</v>
      </c>
      <c r="O3093" t="s">
        <v>9196</v>
      </c>
    </row>
    <row r="3094" spans="1:15" x14ac:dyDescent="0.25">
      <c r="A3094" t="s">
        <v>18</v>
      </c>
      <c r="B3094" t="s">
        <v>9195</v>
      </c>
      <c r="C3094" t="s">
        <v>9197</v>
      </c>
      <c r="D3094" t="s">
        <v>20</v>
      </c>
      <c r="E3094" t="s">
        <v>11</v>
      </c>
      <c r="F3094">
        <v>17167.061999999998</v>
      </c>
      <c r="G3094">
        <v>18</v>
      </c>
      <c r="L3094" t="s">
        <v>9198</v>
      </c>
      <c r="O3094" t="s">
        <v>9199</v>
      </c>
    </row>
    <row r="3095" spans="1:15" x14ac:dyDescent="0.25">
      <c r="A3095" t="s">
        <v>18</v>
      </c>
      <c r="B3095" t="s">
        <v>9198</v>
      </c>
      <c r="C3095" t="s">
        <v>9200</v>
      </c>
      <c r="D3095" t="s">
        <v>20</v>
      </c>
      <c r="E3095" t="s">
        <v>11</v>
      </c>
      <c r="F3095">
        <v>4699.727999999999</v>
      </c>
      <c r="G3095">
        <v>18</v>
      </c>
      <c r="L3095" t="s">
        <v>9201</v>
      </c>
      <c r="O3095" t="s">
        <v>9202</v>
      </c>
    </row>
    <row r="3096" spans="1:15" x14ac:dyDescent="0.25">
      <c r="A3096" t="s">
        <v>18</v>
      </c>
      <c r="B3096" t="s">
        <v>9201</v>
      </c>
      <c r="C3096" t="s">
        <v>9203</v>
      </c>
      <c r="D3096" t="s">
        <v>20</v>
      </c>
      <c r="E3096" t="s">
        <v>11</v>
      </c>
      <c r="F3096">
        <v>5221.92</v>
      </c>
      <c r="G3096">
        <v>18</v>
      </c>
      <c r="L3096" t="s">
        <v>9204</v>
      </c>
      <c r="O3096" t="s">
        <v>9205</v>
      </c>
    </row>
    <row r="3097" spans="1:15" x14ac:dyDescent="0.25">
      <c r="A3097" t="s">
        <v>18</v>
      </c>
      <c r="B3097" t="s">
        <v>9204</v>
      </c>
      <c r="C3097" t="s">
        <v>9206</v>
      </c>
      <c r="D3097" t="s">
        <v>20</v>
      </c>
      <c r="E3097" t="s">
        <v>11</v>
      </c>
      <c r="F3097">
        <v>6396.852</v>
      </c>
      <c r="G3097">
        <v>18</v>
      </c>
      <c r="L3097" t="s">
        <v>9207</v>
      </c>
      <c r="O3097" t="s">
        <v>9208</v>
      </c>
    </row>
    <row r="3098" spans="1:15" x14ac:dyDescent="0.25">
      <c r="A3098" t="s">
        <v>18</v>
      </c>
      <c r="B3098" t="s">
        <v>9207</v>
      </c>
      <c r="C3098" t="s">
        <v>9209</v>
      </c>
      <c r="D3098" t="s">
        <v>20</v>
      </c>
      <c r="E3098" t="s">
        <v>11</v>
      </c>
      <c r="F3098">
        <v>5744.112</v>
      </c>
      <c r="G3098">
        <v>18</v>
      </c>
      <c r="L3098" t="s">
        <v>9210</v>
      </c>
      <c r="O3098" t="s">
        <v>9211</v>
      </c>
    </row>
    <row r="3099" spans="1:15" x14ac:dyDescent="0.25">
      <c r="A3099" t="s">
        <v>18</v>
      </c>
      <c r="B3099" t="s">
        <v>9210</v>
      </c>
      <c r="C3099" t="s">
        <v>9212</v>
      </c>
      <c r="D3099" t="s">
        <v>20</v>
      </c>
      <c r="E3099" t="s">
        <v>11</v>
      </c>
      <c r="F3099">
        <v>13250.622</v>
      </c>
      <c r="G3099">
        <v>18</v>
      </c>
      <c r="L3099" t="s">
        <v>9213</v>
      </c>
      <c r="O3099" t="s">
        <v>9214</v>
      </c>
    </row>
    <row r="3100" spans="1:15" x14ac:dyDescent="0.25">
      <c r="A3100" t="s">
        <v>18</v>
      </c>
      <c r="B3100" t="s">
        <v>9213</v>
      </c>
      <c r="C3100" t="s">
        <v>9215</v>
      </c>
      <c r="D3100" t="s">
        <v>20</v>
      </c>
      <c r="E3100" t="s">
        <v>11</v>
      </c>
      <c r="F3100">
        <v>1501.302</v>
      </c>
      <c r="G3100">
        <v>18</v>
      </c>
      <c r="L3100" t="s">
        <v>9216</v>
      </c>
      <c r="O3100" t="s">
        <v>9217</v>
      </c>
    </row>
    <row r="3101" spans="1:15" x14ac:dyDescent="0.25">
      <c r="A3101" t="s">
        <v>18</v>
      </c>
      <c r="B3101" t="s">
        <v>9216</v>
      </c>
      <c r="C3101" t="s">
        <v>9218</v>
      </c>
      <c r="D3101" t="s">
        <v>20</v>
      </c>
      <c r="E3101" t="s">
        <v>11</v>
      </c>
      <c r="F3101">
        <v>1174.9319999999998</v>
      </c>
      <c r="G3101">
        <v>18</v>
      </c>
      <c r="L3101" t="s">
        <v>9219</v>
      </c>
      <c r="O3101" t="s">
        <v>9220</v>
      </c>
    </row>
    <row r="3102" spans="1:15" x14ac:dyDescent="0.25">
      <c r="A3102" t="s">
        <v>18</v>
      </c>
      <c r="B3102" t="s">
        <v>9219</v>
      </c>
      <c r="C3102" t="s">
        <v>9221</v>
      </c>
      <c r="D3102" t="s">
        <v>20</v>
      </c>
      <c r="E3102" t="s">
        <v>11</v>
      </c>
      <c r="F3102">
        <v>59072.97</v>
      </c>
      <c r="G3102">
        <v>18</v>
      </c>
      <c r="L3102" t="s">
        <v>9222</v>
      </c>
      <c r="O3102" t="s">
        <v>9223</v>
      </c>
    </row>
    <row r="3103" spans="1:15" x14ac:dyDescent="0.25">
      <c r="A3103" t="s">
        <v>18</v>
      </c>
      <c r="B3103" t="s">
        <v>9222</v>
      </c>
      <c r="C3103" t="s">
        <v>9224</v>
      </c>
      <c r="D3103" t="s">
        <v>20</v>
      </c>
      <c r="E3103" t="s">
        <v>11</v>
      </c>
      <c r="F3103">
        <v>71866.674</v>
      </c>
      <c r="G3103">
        <v>18</v>
      </c>
      <c r="L3103" t="s">
        <v>9225</v>
      </c>
      <c r="O3103" t="s">
        <v>9226</v>
      </c>
    </row>
    <row r="3104" spans="1:15" x14ac:dyDescent="0.25">
      <c r="A3104" t="s">
        <v>18</v>
      </c>
      <c r="B3104" t="s">
        <v>9225</v>
      </c>
      <c r="C3104" t="s">
        <v>9227</v>
      </c>
      <c r="D3104" t="s">
        <v>20</v>
      </c>
      <c r="E3104" t="s">
        <v>11</v>
      </c>
      <c r="F3104">
        <v>9203.633999999998</v>
      </c>
      <c r="G3104">
        <v>18</v>
      </c>
      <c r="L3104" t="s">
        <v>9228</v>
      </c>
      <c r="O3104" t="s">
        <v>9229</v>
      </c>
    </row>
    <row r="3105" spans="1:15" x14ac:dyDescent="0.25">
      <c r="A3105" t="s">
        <v>18</v>
      </c>
      <c r="B3105" t="s">
        <v>9228</v>
      </c>
      <c r="C3105" t="s">
        <v>9230</v>
      </c>
      <c r="D3105" t="s">
        <v>20</v>
      </c>
      <c r="E3105" t="s">
        <v>11</v>
      </c>
      <c r="F3105">
        <v>4960.8240000000005</v>
      </c>
      <c r="G3105">
        <v>18</v>
      </c>
      <c r="L3105" t="s">
        <v>9231</v>
      </c>
      <c r="O3105" t="s">
        <v>9232</v>
      </c>
    </row>
    <row r="3106" spans="1:15" x14ac:dyDescent="0.25">
      <c r="A3106" t="s">
        <v>18</v>
      </c>
      <c r="B3106" t="s">
        <v>9231</v>
      </c>
      <c r="C3106" t="s">
        <v>9233</v>
      </c>
      <c r="D3106" t="s">
        <v>20</v>
      </c>
      <c r="E3106" t="s">
        <v>11</v>
      </c>
      <c r="F3106">
        <v>5548.29</v>
      </c>
      <c r="G3106">
        <v>18</v>
      </c>
      <c r="L3106" t="s">
        <v>9234</v>
      </c>
      <c r="O3106" t="s">
        <v>9235</v>
      </c>
    </row>
    <row r="3107" spans="1:15" x14ac:dyDescent="0.25">
      <c r="A3107" t="s">
        <v>18</v>
      </c>
      <c r="B3107" t="s">
        <v>9234</v>
      </c>
      <c r="C3107" t="s">
        <v>9236</v>
      </c>
      <c r="D3107" t="s">
        <v>20</v>
      </c>
      <c r="E3107" t="s">
        <v>11</v>
      </c>
      <c r="F3107">
        <v>8681.442000000001</v>
      </c>
      <c r="G3107">
        <v>18</v>
      </c>
      <c r="L3107" t="s">
        <v>9237</v>
      </c>
      <c r="O3107" t="s">
        <v>9238</v>
      </c>
    </row>
    <row r="3108" spans="1:15" x14ac:dyDescent="0.25">
      <c r="A3108" t="s">
        <v>18</v>
      </c>
      <c r="B3108" t="s">
        <v>9237</v>
      </c>
      <c r="C3108" t="s">
        <v>9239</v>
      </c>
      <c r="D3108" t="s">
        <v>20</v>
      </c>
      <c r="E3108" t="s">
        <v>11</v>
      </c>
      <c r="F3108">
        <v>33028.644</v>
      </c>
      <c r="G3108">
        <v>18</v>
      </c>
      <c r="L3108" t="s">
        <v>9240</v>
      </c>
      <c r="O3108" t="s">
        <v>9241</v>
      </c>
    </row>
    <row r="3109" spans="1:15" x14ac:dyDescent="0.25">
      <c r="A3109" t="s">
        <v>18</v>
      </c>
      <c r="B3109" t="s">
        <v>9240</v>
      </c>
      <c r="C3109" t="s">
        <v>9242</v>
      </c>
      <c r="D3109" t="s">
        <v>20</v>
      </c>
      <c r="E3109" t="s">
        <v>11</v>
      </c>
      <c r="F3109">
        <v>11161.854</v>
      </c>
      <c r="G3109">
        <v>18</v>
      </c>
      <c r="L3109" t="s">
        <v>9243</v>
      </c>
      <c r="O3109" t="s">
        <v>9244</v>
      </c>
    </row>
    <row r="3110" spans="1:15" x14ac:dyDescent="0.25">
      <c r="A3110" t="s">
        <v>18</v>
      </c>
      <c r="B3110" t="s">
        <v>9243</v>
      </c>
      <c r="C3110" t="s">
        <v>9245</v>
      </c>
      <c r="D3110" t="s">
        <v>20</v>
      </c>
      <c r="E3110" t="s">
        <v>11</v>
      </c>
      <c r="F3110">
        <v>7310.688</v>
      </c>
      <c r="G3110">
        <v>18</v>
      </c>
      <c r="L3110" t="s">
        <v>9246</v>
      </c>
      <c r="O3110" t="s">
        <v>9247</v>
      </c>
    </row>
    <row r="3111" spans="1:15" x14ac:dyDescent="0.25">
      <c r="A3111" t="s">
        <v>18</v>
      </c>
      <c r="B3111" t="s">
        <v>9246</v>
      </c>
      <c r="C3111" t="s">
        <v>9248</v>
      </c>
      <c r="D3111" t="s">
        <v>20</v>
      </c>
      <c r="E3111" t="s">
        <v>11</v>
      </c>
      <c r="F3111">
        <v>8811.99</v>
      </c>
      <c r="G3111">
        <v>18</v>
      </c>
      <c r="L3111" t="s">
        <v>9249</v>
      </c>
      <c r="O3111" t="s">
        <v>9250</v>
      </c>
    </row>
    <row r="3112" spans="1:15" x14ac:dyDescent="0.25">
      <c r="A3112" t="s">
        <v>18</v>
      </c>
      <c r="B3112" t="s">
        <v>9249</v>
      </c>
      <c r="C3112" t="s">
        <v>9251</v>
      </c>
      <c r="D3112" t="s">
        <v>20</v>
      </c>
      <c r="E3112" t="s">
        <v>11</v>
      </c>
      <c r="F3112">
        <v>9791.1</v>
      </c>
      <c r="G3112">
        <v>18</v>
      </c>
      <c r="L3112" t="s">
        <v>9252</v>
      </c>
      <c r="O3112" t="s">
        <v>9253</v>
      </c>
    </row>
    <row r="3113" spans="1:15" x14ac:dyDescent="0.25">
      <c r="A3113" t="s">
        <v>18</v>
      </c>
      <c r="B3113" t="s">
        <v>9252</v>
      </c>
      <c r="C3113" t="s">
        <v>9254</v>
      </c>
      <c r="D3113" t="s">
        <v>20</v>
      </c>
      <c r="E3113" t="s">
        <v>11</v>
      </c>
      <c r="F3113">
        <v>7180.139999999999</v>
      </c>
      <c r="G3113">
        <v>18</v>
      </c>
      <c r="L3113" t="s">
        <v>9255</v>
      </c>
      <c r="O3113" t="s">
        <v>9256</v>
      </c>
    </row>
    <row r="3114" spans="1:15" x14ac:dyDescent="0.25">
      <c r="A3114" t="s">
        <v>18</v>
      </c>
      <c r="B3114" t="s">
        <v>9255</v>
      </c>
      <c r="C3114" t="s">
        <v>9257</v>
      </c>
      <c r="D3114" t="s">
        <v>20</v>
      </c>
      <c r="E3114" t="s">
        <v>11</v>
      </c>
      <c r="F3114">
        <v>1305.48</v>
      </c>
      <c r="G3114">
        <v>18</v>
      </c>
      <c r="L3114" t="s">
        <v>9258</v>
      </c>
      <c r="O3114" t="s">
        <v>9259</v>
      </c>
    </row>
    <row r="3115" spans="1:15" x14ac:dyDescent="0.25">
      <c r="A3115" t="s">
        <v>18</v>
      </c>
      <c r="B3115" t="s">
        <v>9258</v>
      </c>
      <c r="C3115" t="s">
        <v>9260</v>
      </c>
      <c r="D3115" t="s">
        <v>20</v>
      </c>
      <c r="E3115" t="s">
        <v>11</v>
      </c>
      <c r="F3115">
        <v>1697.1239999999998</v>
      </c>
      <c r="G3115">
        <v>18</v>
      </c>
      <c r="L3115" t="s">
        <v>9261</v>
      </c>
      <c r="O3115" t="s">
        <v>9262</v>
      </c>
    </row>
    <row r="3116" spans="1:15" x14ac:dyDescent="0.25">
      <c r="A3116" t="s">
        <v>18</v>
      </c>
      <c r="B3116" t="s">
        <v>9261</v>
      </c>
      <c r="C3116" t="s">
        <v>9263</v>
      </c>
      <c r="D3116" t="s">
        <v>20</v>
      </c>
      <c r="E3116" t="s">
        <v>11</v>
      </c>
      <c r="F3116">
        <v>4503.906</v>
      </c>
      <c r="G3116">
        <v>18</v>
      </c>
      <c r="L3116" t="s">
        <v>9264</v>
      </c>
      <c r="O3116" t="s">
        <v>9265</v>
      </c>
    </row>
    <row r="3117" spans="1:15" x14ac:dyDescent="0.25">
      <c r="A3117" t="s">
        <v>18</v>
      </c>
      <c r="B3117" t="s">
        <v>9264</v>
      </c>
      <c r="C3117" t="s">
        <v>9266</v>
      </c>
      <c r="D3117" t="s">
        <v>20</v>
      </c>
      <c r="E3117" t="s">
        <v>11</v>
      </c>
      <c r="F3117">
        <v>8746.716</v>
      </c>
      <c r="G3117">
        <v>18</v>
      </c>
      <c r="L3117" t="s">
        <v>9267</v>
      </c>
      <c r="O3117" t="s">
        <v>9268</v>
      </c>
    </row>
    <row r="3118" spans="1:15" x14ac:dyDescent="0.25">
      <c r="A3118" t="s">
        <v>18</v>
      </c>
      <c r="B3118" t="s">
        <v>9267</v>
      </c>
      <c r="C3118" t="s">
        <v>9269</v>
      </c>
      <c r="D3118" t="s">
        <v>20</v>
      </c>
      <c r="E3118" t="s">
        <v>11</v>
      </c>
      <c r="F3118">
        <v>15013.02</v>
      </c>
      <c r="G3118">
        <v>18</v>
      </c>
      <c r="L3118" t="s">
        <v>9270</v>
      </c>
      <c r="O3118" t="s">
        <v>9271</v>
      </c>
    </row>
    <row r="3119" spans="1:15" x14ac:dyDescent="0.25">
      <c r="A3119" t="s">
        <v>18</v>
      </c>
      <c r="B3119" t="s">
        <v>9270</v>
      </c>
      <c r="C3119" t="s">
        <v>9272</v>
      </c>
      <c r="D3119" t="s">
        <v>20</v>
      </c>
      <c r="E3119" t="s">
        <v>11</v>
      </c>
      <c r="F3119">
        <v>7571.784</v>
      </c>
      <c r="G3119">
        <v>18</v>
      </c>
      <c r="L3119" t="s">
        <v>9273</v>
      </c>
      <c r="O3119" t="s">
        <v>9274</v>
      </c>
    </row>
    <row r="3120" spans="1:15" x14ac:dyDescent="0.25">
      <c r="A3120" t="s">
        <v>18</v>
      </c>
      <c r="B3120" t="s">
        <v>9273</v>
      </c>
      <c r="C3120" t="s">
        <v>9275</v>
      </c>
      <c r="D3120" t="s">
        <v>20</v>
      </c>
      <c r="E3120" t="s">
        <v>11</v>
      </c>
      <c r="F3120">
        <v>12924.252</v>
      </c>
      <c r="G3120">
        <v>18</v>
      </c>
      <c r="L3120" t="s">
        <v>9276</v>
      </c>
      <c r="O3120" t="s">
        <v>9277</v>
      </c>
    </row>
    <row r="3121" spans="1:15" x14ac:dyDescent="0.25">
      <c r="A3121" t="s">
        <v>18</v>
      </c>
      <c r="B3121" t="s">
        <v>9276</v>
      </c>
      <c r="C3121" t="s">
        <v>9278</v>
      </c>
      <c r="D3121" t="s">
        <v>20</v>
      </c>
      <c r="E3121" t="s">
        <v>11</v>
      </c>
      <c r="F3121">
        <v>7310.688</v>
      </c>
      <c r="G3121">
        <v>18</v>
      </c>
      <c r="L3121" t="s">
        <v>9279</v>
      </c>
      <c r="O3121" t="s">
        <v>9280</v>
      </c>
    </row>
    <row r="3122" spans="1:15" x14ac:dyDescent="0.25">
      <c r="A3122" t="s">
        <v>18</v>
      </c>
      <c r="B3122" t="s">
        <v>9279</v>
      </c>
      <c r="C3122" t="s">
        <v>9281</v>
      </c>
      <c r="D3122" t="s">
        <v>20</v>
      </c>
      <c r="E3122" t="s">
        <v>11</v>
      </c>
      <c r="F3122">
        <v>4765.0019999999995</v>
      </c>
      <c r="G3122">
        <v>18</v>
      </c>
      <c r="L3122" t="s">
        <v>9282</v>
      </c>
      <c r="O3122" t="s">
        <v>9283</v>
      </c>
    </row>
    <row r="3123" spans="1:15" x14ac:dyDescent="0.25">
      <c r="A3123" t="s">
        <v>18</v>
      </c>
      <c r="B3123" t="s">
        <v>9282</v>
      </c>
      <c r="C3123" t="s">
        <v>9284</v>
      </c>
      <c r="D3123" t="s">
        <v>20</v>
      </c>
      <c r="E3123" t="s">
        <v>11</v>
      </c>
      <c r="F3123">
        <v>7832.88</v>
      </c>
      <c r="G3123">
        <v>18</v>
      </c>
      <c r="L3123" t="s">
        <v>9285</v>
      </c>
      <c r="O3123" t="s">
        <v>9286</v>
      </c>
    </row>
    <row r="3124" spans="1:15" x14ac:dyDescent="0.25">
      <c r="A3124" t="s">
        <v>18</v>
      </c>
      <c r="B3124" t="s">
        <v>9285</v>
      </c>
      <c r="C3124" t="s">
        <v>9287</v>
      </c>
      <c r="D3124" t="s">
        <v>20</v>
      </c>
      <c r="E3124" t="s">
        <v>11</v>
      </c>
      <c r="F3124">
        <v>2349.8639999999996</v>
      </c>
      <c r="G3124">
        <v>18</v>
      </c>
      <c r="L3124" t="s">
        <v>9288</v>
      </c>
      <c r="O3124" t="s">
        <v>9289</v>
      </c>
    </row>
    <row r="3125" spans="1:15" x14ac:dyDescent="0.25">
      <c r="A3125" t="s">
        <v>18</v>
      </c>
      <c r="B3125" t="s">
        <v>9288</v>
      </c>
      <c r="C3125" t="s">
        <v>9290</v>
      </c>
      <c r="D3125" t="s">
        <v>20</v>
      </c>
      <c r="E3125" t="s">
        <v>11</v>
      </c>
      <c r="F3125">
        <v>6135.755999999999</v>
      </c>
      <c r="G3125">
        <v>18</v>
      </c>
      <c r="L3125" t="s">
        <v>9291</v>
      </c>
      <c r="O3125" t="s">
        <v>9292</v>
      </c>
    </row>
    <row r="3126" spans="1:15" x14ac:dyDescent="0.25">
      <c r="A3126" t="s">
        <v>18</v>
      </c>
      <c r="B3126" t="s">
        <v>9291</v>
      </c>
      <c r="C3126" t="s">
        <v>9293</v>
      </c>
      <c r="D3126" t="s">
        <v>20</v>
      </c>
      <c r="E3126" t="s">
        <v>11</v>
      </c>
      <c r="F3126">
        <v>326.37</v>
      </c>
      <c r="G3126">
        <v>18</v>
      </c>
      <c r="L3126" t="s">
        <v>9294</v>
      </c>
      <c r="O3126" t="s">
        <v>9295</v>
      </c>
    </row>
    <row r="3127" spans="1:15" x14ac:dyDescent="0.25">
      <c r="A3127" t="s">
        <v>18</v>
      </c>
      <c r="B3127" t="s">
        <v>9294</v>
      </c>
      <c r="C3127" t="s">
        <v>9296</v>
      </c>
      <c r="D3127" t="s">
        <v>20</v>
      </c>
      <c r="E3127" t="s">
        <v>11</v>
      </c>
      <c r="F3127">
        <v>25587.408</v>
      </c>
      <c r="G3127">
        <v>18</v>
      </c>
      <c r="L3127" t="s">
        <v>9297</v>
      </c>
      <c r="O3127" t="s">
        <v>9298</v>
      </c>
    </row>
    <row r="3128" spans="1:15" x14ac:dyDescent="0.25">
      <c r="A3128" t="s">
        <v>18</v>
      </c>
      <c r="B3128" t="s">
        <v>9297</v>
      </c>
      <c r="C3128" t="s">
        <v>9299</v>
      </c>
      <c r="D3128" t="s">
        <v>20</v>
      </c>
      <c r="E3128" t="s">
        <v>11</v>
      </c>
      <c r="F3128">
        <v>456.918</v>
      </c>
      <c r="G3128">
        <v>18</v>
      </c>
      <c r="L3128" t="s">
        <v>9300</v>
      </c>
      <c r="O3128" t="s">
        <v>9301</v>
      </c>
    </row>
    <row r="3129" spans="1:15" x14ac:dyDescent="0.25">
      <c r="A3129" t="s">
        <v>18</v>
      </c>
      <c r="B3129" t="s">
        <v>9300</v>
      </c>
      <c r="C3129" t="s">
        <v>9302</v>
      </c>
      <c r="D3129" t="s">
        <v>20</v>
      </c>
      <c r="E3129" t="s">
        <v>11</v>
      </c>
      <c r="F3129">
        <v>7180.139999999999</v>
      </c>
      <c r="G3129">
        <v>18</v>
      </c>
      <c r="L3129" t="s">
        <v>9303</v>
      </c>
      <c r="O3129" t="s">
        <v>9304</v>
      </c>
    </row>
    <row r="3130" spans="1:15" x14ac:dyDescent="0.25">
      <c r="A3130" t="s">
        <v>18</v>
      </c>
      <c r="B3130" t="s">
        <v>9303</v>
      </c>
      <c r="C3130" t="s">
        <v>9305</v>
      </c>
      <c r="D3130" t="s">
        <v>20</v>
      </c>
      <c r="E3130" t="s">
        <v>11</v>
      </c>
      <c r="F3130">
        <v>1044.384</v>
      </c>
      <c r="G3130">
        <v>18</v>
      </c>
      <c r="L3130" t="s">
        <v>9306</v>
      </c>
      <c r="O3130" t="s">
        <v>9307</v>
      </c>
    </row>
    <row r="3131" spans="1:15" x14ac:dyDescent="0.25">
      <c r="A3131" t="s">
        <v>18</v>
      </c>
      <c r="B3131" t="s">
        <v>9306</v>
      </c>
      <c r="C3131" t="s">
        <v>9308</v>
      </c>
      <c r="D3131" t="s">
        <v>20</v>
      </c>
      <c r="E3131" t="s">
        <v>11</v>
      </c>
      <c r="F3131">
        <v>9464.73</v>
      </c>
      <c r="G3131">
        <v>18</v>
      </c>
      <c r="L3131" t="s">
        <v>9309</v>
      </c>
      <c r="O3131" t="s">
        <v>9310</v>
      </c>
    </row>
    <row r="3132" spans="1:15" x14ac:dyDescent="0.25">
      <c r="A3132" t="s">
        <v>18</v>
      </c>
      <c r="B3132" t="s">
        <v>9309</v>
      </c>
      <c r="C3132" t="s">
        <v>9311</v>
      </c>
      <c r="D3132" t="s">
        <v>20</v>
      </c>
      <c r="E3132" t="s">
        <v>11</v>
      </c>
      <c r="F3132">
        <v>587.4659999999999</v>
      </c>
      <c r="G3132">
        <v>18</v>
      </c>
      <c r="L3132" t="s">
        <v>9312</v>
      </c>
      <c r="O3132" t="s">
        <v>9313</v>
      </c>
    </row>
    <row r="3133" spans="1:15" x14ac:dyDescent="0.25">
      <c r="A3133" t="s">
        <v>18</v>
      </c>
      <c r="B3133" t="s">
        <v>9312</v>
      </c>
      <c r="C3133" t="s">
        <v>9314</v>
      </c>
      <c r="D3133" t="s">
        <v>20</v>
      </c>
      <c r="E3133" t="s">
        <v>11</v>
      </c>
      <c r="F3133">
        <v>522.192</v>
      </c>
      <c r="G3133">
        <v>18</v>
      </c>
      <c r="L3133" t="s">
        <v>9315</v>
      </c>
      <c r="O3133" t="s">
        <v>9316</v>
      </c>
    </row>
    <row r="3134" spans="1:15" x14ac:dyDescent="0.25">
      <c r="A3134" t="s">
        <v>18</v>
      </c>
      <c r="B3134" t="s">
        <v>9315</v>
      </c>
      <c r="C3134" t="s">
        <v>9317</v>
      </c>
      <c r="D3134" t="s">
        <v>20</v>
      </c>
      <c r="E3134" t="s">
        <v>11</v>
      </c>
      <c r="F3134">
        <v>6135.755999999999</v>
      </c>
      <c r="G3134">
        <v>18</v>
      </c>
      <c r="L3134" t="s">
        <v>9318</v>
      </c>
      <c r="O3134" t="s">
        <v>9319</v>
      </c>
    </row>
    <row r="3135" spans="1:15" x14ac:dyDescent="0.25">
      <c r="A3135" t="s">
        <v>18</v>
      </c>
      <c r="B3135" t="s">
        <v>9318</v>
      </c>
      <c r="C3135" t="s">
        <v>9320</v>
      </c>
      <c r="D3135" t="s">
        <v>20</v>
      </c>
      <c r="E3135" t="s">
        <v>11</v>
      </c>
      <c r="F3135">
        <v>5287.193999999999</v>
      </c>
      <c r="G3135">
        <v>18</v>
      </c>
      <c r="L3135" t="s">
        <v>9321</v>
      </c>
      <c r="O3135" t="s">
        <v>9322</v>
      </c>
    </row>
    <row r="3136" spans="1:15" x14ac:dyDescent="0.25">
      <c r="A3136" t="s">
        <v>18</v>
      </c>
      <c r="B3136" t="s">
        <v>9321</v>
      </c>
      <c r="C3136" t="s">
        <v>9323</v>
      </c>
      <c r="D3136" t="s">
        <v>20</v>
      </c>
      <c r="E3136" t="s">
        <v>11</v>
      </c>
      <c r="F3136">
        <v>2154.042</v>
      </c>
      <c r="G3136">
        <v>18</v>
      </c>
      <c r="L3136" t="s">
        <v>9324</v>
      </c>
      <c r="O3136" t="s">
        <v>9325</v>
      </c>
    </row>
    <row r="3137" spans="1:15" x14ac:dyDescent="0.25">
      <c r="A3137" t="s">
        <v>18</v>
      </c>
      <c r="B3137" t="s">
        <v>9324</v>
      </c>
      <c r="C3137" t="s">
        <v>9326</v>
      </c>
      <c r="D3137" t="s">
        <v>20</v>
      </c>
      <c r="E3137" t="s">
        <v>11</v>
      </c>
      <c r="F3137">
        <v>848.5619999999999</v>
      </c>
      <c r="G3137">
        <v>18</v>
      </c>
      <c r="L3137" t="s">
        <v>9327</v>
      </c>
      <c r="O3137" t="s">
        <v>9328</v>
      </c>
    </row>
    <row r="3138" spans="1:15" x14ac:dyDescent="0.25">
      <c r="A3138" t="s">
        <v>18</v>
      </c>
      <c r="B3138" t="s">
        <v>9327</v>
      </c>
      <c r="C3138" t="s">
        <v>9329</v>
      </c>
      <c r="D3138" t="s">
        <v>20</v>
      </c>
      <c r="E3138" t="s">
        <v>11</v>
      </c>
      <c r="F3138">
        <v>652.74</v>
      </c>
      <c r="G3138">
        <v>18</v>
      </c>
      <c r="L3138" t="s">
        <v>9330</v>
      </c>
      <c r="O3138" t="s">
        <v>9331</v>
      </c>
    </row>
    <row r="3139" spans="1:15" x14ac:dyDescent="0.25">
      <c r="A3139" t="s">
        <v>18</v>
      </c>
      <c r="B3139" t="s">
        <v>9330</v>
      </c>
      <c r="C3139" t="s">
        <v>9332</v>
      </c>
      <c r="D3139" t="s">
        <v>20</v>
      </c>
      <c r="E3139" t="s">
        <v>11</v>
      </c>
      <c r="F3139">
        <v>522.192</v>
      </c>
      <c r="G3139">
        <v>18</v>
      </c>
      <c r="L3139" t="s">
        <v>9333</v>
      </c>
      <c r="O3139" t="s">
        <v>9334</v>
      </c>
    </row>
    <row r="3140" spans="1:15" x14ac:dyDescent="0.25">
      <c r="A3140" t="s">
        <v>18</v>
      </c>
      <c r="B3140" t="s">
        <v>9333</v>
      </c>
      <c r="C3140" t="s">
        <v>9335</v>
      </c>
      <c r="D3140" t="s">
        <v>20</v>
      </c>
      <c r="E3140" t="s">
        <v>11</v>
      </c>
      <c r="F3140">
        <v>195.82199999999997</v>
      </c>
      <c r="G3140">
        <v>18</v>
      </c>
      <c r="L3140" t="s">
        <v>9336</v>
      </c>
      <c r="O3140" t="s">
        <v>9337</v>
      </c>
    </row>
    <row r="3141" spans="1:15" x14ac:dyDescent="0.25">
      <c r="A3141" t="s">
        <v>18</v>
      </c>
      <c r="B3141" t="s">
        <v>9336</v>
      </c>
      <c r="C3141" t="s">
        <v>9338</v>
      </c>
      <c r="D3141" t="s">
        <v>20</v>
      </c>
      <c r="E3141" t="s">
        <v>11</v>
      </c>
      <c r="F3141">
        <v>522.192</v>
      </c>
      <c r="G3141">
        <v>18</v>
      </c>
      <c r="L3141" t="s">
        <v>9339</v>
      </c>
      <c r="O3141" t="s">
        <v>9340</v>
      </c>
    </row>
    <row r="3142" spans="1:15" x14ac:dyDescent="0.25">
      <c r="A3142" t="s">
        <v>18</v>
      </c>
      <c r="B3142" t="s">
        <v>9339</v>
      </c>
      <c r="C3142" t="s">
        <v>9341</v>
      </c>
      <c r="D3142" t="s">
        <v>20</v>
      </c>
      <c r="E3142" t="s">
        <v>11</v>
      </c>
      <c r="F3142">
        <v>261.096</v>
      </c>
      <c r="G3142">
        <v>18</v>
      </c>
      <c r="L3142" t="s">
        <v>9342</v>
      </c>
      <c r="O3142" t="s">
        <v>9343</v>
      </c>
    </row>
    <row r="3143" spans="1:15" x14ac:dyDescent="0.25">
      <c r="A3143" t="s">
        <v>18</v>
      </c>
      <c r="B3143" t="s">
        <v>9342</v>
      </c>
      <c r="C3143" t="s">
        <v>9344</v>
      </c>
      <c r="D3143" t="s">
        <v>20</v>
      </c>
      <c r="E3143" t="s">
        <v>11</v>
      </c>
      <c r="F3143">
        <v>652.74</v>
      </c>
      <c r="G3143">
        <v>18</v>
      </c>
      <c r="L3143" t="s">
        <v>9345</v>
      </c>
      <c r="O3143" t="s">
        <v>9346</v>
      </c>
    </row>
    <row r="3144" spans="1:15" x14ac:dyDescent="0.25">
      <c r="A3144" t="s">
        <v>18</v>
      </c>
      <c r="B3144" t="s">
        <v>9345</v>
      </c>
      <c r="C3144" t="s">
        <v>9347</v>
      </c>
      <c r="D3144" t="s">
        <v>20</v>
      </c>
      <c r="E3144" t="s">
        <v>11</v>
      </c>
      <c r="F3144">
        <v>391.64399999999995</v>
      </c>
      <c r="G3144">
        <v>18</v>
      </c>
      <c r="L3144" t="s">
        <v>9348</v>
      </c>
      <c r="O3144" t="s">
        <v>9349</v>
      </c>
    </row>
    <row r="3145" spans="1:15" x14ac:dyDescent="0.25">
      <c r="A3145" t="s">
        <v>18</v>
      </c>
      <c r="B3145" t="s">
        <v>9348</v>
      </c>
      <c r="C3145" t="s">
        <v>9350</v>
      </c>
      <c r="D3145" t="s">
        <v>20</v>
      </c>
      <c r="E3145" t="s">
        <v>11</v>
      </c>
      <c r="F3145">
        <v>6984.318</v>
      </c>
      <c r="G3145">
        <v>18</v>
      </c>
      <c r="L3145" t="s">
        <v>9351</v>
      </c>
      <c r="O3145" t="s">
        <v>9352</v>
      </c>
    </row>
    <row r="3146" spans="1:15" x14ac:dyDescent="0.25">
      <c r="A3146" t="s">
        <v>18</v>
      </c>
      <c r="B3146" t="s">
        <v>9351</v>
      </c>
      <c r="C3146" t="s">
        <v>9353</v>
      </c>
      <c r="D3146" t="s">
        <v>9354</v>
      </c>
      <c r="E3146" t="s">
        <v>11</v>
      </c>
      <c r="F3146">
        <v>8485.619999999999</v>
      </c>
      <c r="G3146">
        <v>18</v>
      </c>
      <c r="L3146" t="s">
        <v>9355</v>
      </c>
      <c r="O3146" t="s">
        <v>9356</v>
      </c>
    </row>
    <row r="3147" spans="1:15" x14ac:dyDescent="0.25">
      <c r="A3147" t="s">
        <v>18</v>
      </c>
      <c r="B3147" t="s">
        <v>9355</v>
      </c>
      <c r="C3147" t="s">
        <v>9357</v>
      </c>
      <c r="D3147" t="s">
        <v>20</v>
      </c>
      <c r="E3147" t="s">
        <v>11</v>
      </c>
      <c r="F3147">
        <v>7245.414</v>
      </c>
      <c r="G3147">
        <v>18</v>
      </c>
      <c r="L3147" t="s">
        <v>9358</v>
      </c>
      <c r="O3147" t="s">
        <v>9359</v>
      </c>
    </row>
    <row r="3148" spans="1:15" x14ac:dyDescent="0.25">
      <c r="A3148" t="s">
        <v>18</v>
      </c>
      <c r="B3148" t="s">
        <v>9358</v>
      </c>
      <c r="C3148" t="s">
        <v>9360</v>
      </c>
      <c r="D3148" t="s">
        <v>20</v>
      </c>
      <c r="E3148" t="s">
        <v>11</v>
      </c>
      <c r="F3148">
        <v>522.192</v>
      </c>
      <c r="G3148">
        <v>18</v>
      </c>
      <c r="L3148" t="s">
        <v>9361</v>
      </c>
      <c r="O3148" t="s">
        <v>9362</v>
      </c>
    </row>
    <row r="3149" spans="1:15" x14ac:dyDescent="0.25">
      <c r="A3149" t="s">
        <v>18</v>
      </c>
      <c r="B3149" t="s">
        <v>9361</v>
      </c>
      <c r="C3149" t="s">
        <v>9363</v>
      </c>
      <c r="D3149" t="s">
        <v>20</v>
      </c>
      <c r="E3149" t="s">
        <v>11</v>
      </c>
      <c r="F3149">
        <v>587.4659999999999</v>
      </c>
      <c r="G3149">
        <v>18</v>
      </c>
      <c r="L3149" t="s">
        <v>9364</v>
      </c>
      <c r="O3149" t="s">
        <v>9365</v>
      </c>
    </row>
    <row r="3150" spans="1:15" x14ac:dyDescent="0.25">
      <c r="A3150" t="s">
        <v>18</v>
      </c>
      <c r="B3150" t="s">
        <v>9364</v>
      </c>
      <c r="C3150" t="s">
        <v>9366</v>
      </c>
      <c r="D3150" t="s">
        <v>20</v>
      </c>
      <c r="E3150" t="s">
        <v>11</v>
      </c>
      <c r="F3150">
        <v>3981.714</v>
      </c>
      <c r="G3150">
        <v>18</v>
      </c>
      <c r="L3150" t="s">
        <v>9367</v>
      </c>
      <c r="O3150" t="s">
        <v>9368</v>
      </c>
    </row>
    <row r="3151" spans="1:15" x14ac:dyDescent="0.25">
      <c r="A3151" t="s">
        <v>18</v>
      </c>
      <c r="B3151" t="s">
        <v>9367</v>
      </c>
      <c r="C3151" t="s">
        <v>9369</v>
      </c>
      <c r="D3151" t="s">
        <v>20</v>
      </c>
      <c r="E3151" t="s">
        <v>11</v>
      </c>
      <c r="F3151">
        <v>17101.787999999997</v>
      </c>
      <c r="G3151">
        <v>18</v>
      </c>
      <c r="L3151" t="s">
        <v>9370</v>
      </c>
      <c r="O3151" t="s">
        <v>9371</v>
      </c>
    </row>
    <row r="3152" spans="1:15" x14ac:dyDescent="0.25">
      <c r="A3152" t="s">
        <v>18</v>
      </c>
      <c r="B3152" t="s">
        <v>9370</v>
      </c>
      <c r="C3152" t="s">
        <v>9372</v>
      </c>
      <c r="D3152" t="s">
        <v>20</v>
      </c>
      <c r="E3152" t="s">
        <v>11</v>
      </c>
      <c r="F3152">
        <v>326.37</v>
      </c>
      <c r="G3152">
        <v>18</v>
      </c>
      <c r="L3152" t="s">
        <v>9373</v>
      </c>
      <c r="O3152" t="s">
        <v>9374</v>
      </c>
    </row>
    <row r="3153" spans="1:15" x14ac:dyDescent="0.25">
      <c r="A3153" t="s">
        <v>18</v>
      </c>
      <c r="B3153" t="s">
        <v>9373</v>
      </c>
      <c r="C3153" t="s">
        <v>9375</v>
      </c>
      <c r="D3153" t="s">
        <v>20</v>
      </c>
      <c r="E3153" t="s">
        <v>11</v>
      </c>
      <c r="F3153">
        <v>195.82199999999997</v>
      </c>
      <c r="G3153">
        <v>18</v>
      </c>
      <c r="L3153" t="s">
        <v>9376</v>
      </c>
      <c r="O3153" t="s">
        <v>9377</v>
      </c>
    </row>
    <row r="3154" spans="1:15" x14ac:dyDescent="0.25">
      <c r="A3154" t="s">
        <v>18</v>
      </c>
      <c r="B3154" t="s">
        <v>9376</v>
      </c>
      <c r="C3154" t="s">
        <v>9378</v>
      </c>
      <c r="D3154" t="s">
        <v>20</v>
      </c>
      <c r="E3154" t="s">
        <v>11</v>
      </c>
      <c r="F3154">
        <v>130.548</v>
      </c>
      <c r="G3154">
        <v>18</v>
      </c>
      <c r="L3154" t="s">
        <v>9379</v>
      </c>
      <c r="O3154" t="s">
        <v>9380</v>
      </c>
    </row>
    <row r="3155" spans="1:15" x14ac:dyDescent="0.25">
      <c r="A3155" t="s">
        <v>18</v>
      </c>
      <c r="B3155" t="s">
        <v>9379</v>
      </c>
      <c r="C3155" t="s">
        <v>9381</v>
      </c>
      <c r="D3155" t="s">
        <v>20</v>
      </c>
      <c r="E3155" t="s">
        <v>11</v>
      </c>
      <c r="F3155">
        <v>12597.882</v>
      </c>
      <c r="G3155">
        <v>18</v>
      </c>
      <c r="L3155" t="s">
        <v>9382</v>
      </c>
      <c r="O3155" t="s">
        <v>9383</v>
      </c>
    </row>
    <row r="3156" spans="1:15" x14ac:dyDescent="0.25">
      <c r="A3156" t="s">
        <v>18</v>
      </c>
      <c r="B3156" t="s">
        <v>9382</v>
      </c>
      <c r="C3156" t="s">
        <v>9384</v>
      </c>
      <c r="D3156" t="s">
        <v>20</v>
      </c>
      <c r="E3156" t="s">
        <v>11</v>
      </c>
      <c r="F3156">
        <v>12597.882</v>
      </c>
      <c r="G3156">
        <v>18</v>
      </c>
      <c r="L3156" t="s">
        <v>9385</v>
      </c>
      <c r="O3156" t="s">
        <v>9386</v>
      </c>
    </row>
    <row r="3157" spans="1:15" x14ac:dyDescent="0.25">
      <c r="A3157" t="s">
        <v>18</v>
      </c>
      <c r="B3157" t="s">
        <v>9385</v>
      </c>
      <c r="C3157" t="s">
        <v>9387</v>
      </c>
      <c r="D3157" t="s">
        <v>20</v>
      </c>
      <c r="E3157" t="s">
        <v>11</v>
      </c>
      <c r="F3157">
        <v>1892.946</v>
      </c>
      <c r="G3157">
        <v>18</v>
      </c>
      <c r="L3157" t="s">
        <v>9388</v>
      </c>
      <c r="O3157" t="s">
        <v>9389</v>
      </c>
    </row>
    <row r="3158" spans="1:15" x14ac:dyDescent="0.25">
      <c r="A3158" t="s">
        <v>18</v>
      </c>
      <c r="B3158" t="s">
        <v>9388</v>
      </c>
      <c r="C3158" t="s">
        <v>9390</v>
      </c>
      <c r="D3158" t="s">
        <v>20</v>
      </c>
      <c r="E3158" t="s">
        <v>11</v>
      </c>
      <c r="F3158">
        <v>7832.88</v>
      </c>
      <c r="G3158">
        <v>18</v>
      </c>
      <c r="L3158" t="s">
        <v>9391</v>
      </c>
      <c r="O3158" t="s">
        <v>9392</v>
      </c>
    </row>
    <row r="3159" spans="1:15" x14ac:dyDescent="0.25">
      <c r="A3159" t="s">
        <v>18</v>
      </c>
      <c r="B3159" t="s">
        <v>9391</v>
      </c>
      <c r="C3159" t="s">
        <v>9393</v>
      </c>
      <c r="D3159" t="s">
        <v>20</v>
      </c>
      <c r="E3159" t="s">
        <v>11</v>
      </c>
      <c r="F3159">
        <v>522.192</v>
      </c>
      <c r="G3159">
        <v>18</v>
      </c>
      <c r="L3159" t="s">
        <v>9394</v>
      </c>
      <c r="O3159" t="s">
        <v>9395</v>
      </c>
    </row>
    <row r="3160" spans="1:15" x14ac:dyDescent="0.25">
      <c r="A3160" t="s">
        <v>18</v>
      </c>
      <c r="B3160" t="s">
        <v>9394</v>
      </c>
      <c r="C3160" t="s">
        <v>9396</v>
      </c>
      <c r="D3160" t="s">
        <v>20</v>
      </c>
      <c r="E3160" t="s">
        <v>11</v>
      </c>
      <c r="F3160">
        <v>522.192</v>
      </c>
      <c r="G3160">
        <v>18</v>
      </c>
      <c r="L3160" t="s">
        <v>9397</v>
      </c>
      <c r="O3160" t="s">
        <v>9398</v>
      </c>
    </row>
    <row r="3161" spans="1:15" x14ac:dyDescent="0.25">
      <c r="A3161" t="s">
        <v>18</v>
      </c>
      <c r="B3161" t="s">
        <v>9397</v>
      </c>
      <c r="C3161" t="s">
        <v>9399</v>
      </c>
      <c r="D3161" t="s">
        <v>20</v>
      </c>
      <c r="E3161" t="s">
        <v>11</v>
      </c>
      <c r="F3161">
        <v>979.11</v>
      </c>
      <c r="G3161">
        <v>18</v>
      </c>
      <c r="L3161" t="s">
        <v>9400</v>
      </c>
      <c r="O3161" t="s">
        <v>9401</v>
      </c>
    </row>
    <row r="3162" spans="1:15" x14ac:dyDescent="0.25">
      <c r="A3162" t="s">
        <v>18</v>
      </c>
      <c r="B3162" t="s">
        <v>9400</v>
      </c>
      <c r="C3162" t="s">
        <v>9402</v>
      </c>
      <c r="D3162" t="s">
        <v>20</v>
      </c>
      <c r="E3162" t="s">
        <v>11</v>
      </c>
      <c r="F3162">
        <v>2023.494</v>
      </c>
      <c r="G3162">
        <v>18</v>
      </c>
      <c r="L3162" t="s">
        <v>9403</v>
      </c>
      <c r="O3162" t="s">
        <v>9404</v>
      </c>
    </row>
    <row r="3163" spans="1:15" x14ac:dyDescent="0.25">
      <c r="A3163" t="s">
        <v>18</v>
      </c>
      <c r="B3163" t="s">
        <v>9403</v>
      </c>
      <c r="C3163" t="s">
        <v>9405</v>
      </c>
      <c r="D3163" t="s">
        <v>20</v>
      </c>
      <c r="E3163" t="s">
        <v>11</v>
      </c>
      <c r="F3163">
        <v>10378.565999999999</v>
      </c>
      <c r="G3163">
        <v>18</v>
      </c>
      <c r="L3163" t="s">
        <v>9406</v>
      </c>
      <c r="O3163" t="s">
        <v>9407</v>
      </c>
    </row>
    <row r="3164" spans="1:15" x14ac:dyDescent="0.25">
      <c r="A3164" t="s">
        <v>18</v>
      </c>
      <c r="B3164" t="s">
        <v>9406</v>
      </c>
      <c r="C3164" t="s">
        <v>9408</v>
      </c>
      <c r="D3164" t="s">
        <v>20</v>
      </c>
      <c r="E3164" t="s">
        <v>11</v>
      </c>
      <c r="F3164">
        <v>783.2879999999999</v>
      </c>
      <c r="G3164">
        <v>18</v>
      </c>
      <c r="L3164" t="s">
        <v>9409</v>
      </c>
      <c r="O3164" t="s">
        <v>9410</v>
      </c>
    </row>
    <row r="3165" spans="1:15" x14ac:dyDescent="0.25">
      <c r="A3165" t="s">
        <v>18</v>
      </c>
      <c r="B3165" t="s">
        <v>9409</v>
      </c>
      <c r="C3165" t="s">
        <v>9411</v>
      </c>
      <c r="D3165" t="s">
        <v>20</v>
      </c>
      <c r="E3165" t="s">
        <v>11</v>
      </c>
      <c r="F3165">
        <v>10443.84</v>
      </c>
      <c r="G3165">
        <v>18</v>
      </c>
      <c r="L3165" t="s">
        <v>9412</v>
      </c>
      <c r="O3165" t="s">
        <v>9413</v>
      </c>
    </row>
    <row r="3166" spans="1:15" x14ac:dyDescent="0.25">
      <c r="A3166" t="s">
        <v>18</v>
      </c>
      <c r="B3166" t="s">
        <v>9412</v>
      </c>
      <c r="C3166" t="s">
        <v>9414</v>
      </c>
      <c r="D3166" t="s">
        <v>20</v>
      </c>
      <c r="E3166" t="s">
        <v>11</v>
      </c>
      <c r="F3166">
        <v>10770.210000000001</v>
      </c>
      <c r="G3166">
        <v>18</v>
      </c>
      <c r="L3166" t="s">
        <v>9415</v>
      </c>
      <c r="O3166" t="s">
        <v>9416</v>
      </c>
    </row>
    <row r="3167" spans="1:15" x14ac:dyDescent="0.25">
      <c r="A3167" t="s">
        <v>18</v>
      </c>
      <c r="B3167" t="s">
        <v>9415</v>
      </c>
      <c r="C3167" t="s">
        <v>9417</v>
      </c>
      <c r="D3167" t="s">
        <v>20</v>
      </c>
      <c r="E3167" t="s">
        <v>11</v>
      </c>
      <c r="F3167">
        <v>718.014</v>
      </c>
      <c r="G3167">
        <v>18</v>
      </c>
      <c r="L3167" t="s">
        <v>9418</v>
      </c>
      <c r="O3167" t="s">
        <v>9419</v>
      </c>
    </row>
    <row r="3168" spans="1:15" x14ac:dyDescent="0.25">
      <c r="A3168" t="s">
        <v>18</v>
      </c>
      <c r="B3168" t="s">
        <v>9418</v>
      </c>
      <c r="C3168" t="s">
        <v>9420</v>
      </c>
      <c r="D3168" t="s">
        <v>20</v>
      </c>
      <c r="E3168" t="s">
        <v>11</v>
      </c>
      <c r="F3168">
        <v>522.192</v>
      </c>
      <c r="G3168">
        <v>18</v>
      </c>
      <c r="L3168" t="s">
        <v>9421</v>
      </c>
      <c r="O3168" t="s">
        <v>9422</v>
      </c>
    </row>
    <row r="3169" spans="1:15" x14ac:dyDescent="0.25">
      <c r="A3169" t="s">
        <v>18</v>
      </c>
      <c r="B3169" t="s">
        <v>9421</v>
      </c>
      <c r="C3169" t="s">
        <v>9423</v>
      </c>
      <c r="D3169" t="s">
        <v>20</v>
      </c>
      <c r="E3169" t="s">
        <v>11</v>
      </c>
      <c r="F3169">
        <v>326.37</v>
      </c>
      <c r="G3169">
        <v>18</v>
      </c>
      <c r="L3169" t="s">
        <v>9424</v>
      </c>
      <c r="O3169" t="s">
        <v>9425</v>
      </c>
    </row>
    <row r="3170" spans="1:15" x14ac:dyDescent="0.25">
      <c r="A3170" t="s">
        <v>18</v>
      </c>
      <c r="B3170" t="s">
        <v>9424</v>
      </c>
      <c r="C3170" t="s">
        <v>9426</v>
      </c>
      <c r="D3170" t="s">
        <v>20</v>
      </c>
      <c r="E3170" t="s">
        <v>11</v>
      </c>
      <c r="F3170">
        <v>4960.8240000000005</v>
      </c>
      <c r="G3170">
        <v>18</v>
      </c>
      <c r="L3170" t="s">
        <v>9427</v>
      </c>
      <c r="O3170" t="s">
        <v>9428</v>
      </c>
    </row>
    <row r="3171" spans="1:15" x14ac:dyDescent="0.25">
      <c r="A3171" t="s">
        <v>18</v>
      </c>
      <c r="B3171" t="s">
        <v>9427</v>
      </c>
      <c r="C3171" t="s">
        <v>9429</v>
      </c>
      <c r="D3171" t="s">
        <v>20</v>
      </c>
      <c r="E3171" t="s">
        <v>11</v>
      </c>
      <c r="F3171">
        <v>391.64399999999995</v>
      </c>
      <c r="G3171">
        <v>18</v>
      </c>
      <c r="L3171" t="s">
        <v>9430</v>
      </c>
      <c r="O3171" t="s">
        <v>9431</v>
      </c>
    </row>
    <row r="3172" spans="1:15" x14ac:dyDescent="0.25">
      <c r="A3172" t="s">
        <v>18</v>
      </c>
      <c r="B3172" t="s">
        <v>9430</v>
      </c>
      <c r="C3172" t="s">
        <v>9432</v>
      </c>
      <c r="D3172" t="s">
        <v>20</v>
      </c>
      <c r="E3172" t="s">
        <v>11</v>
      </c>
      <c r="F3172">
        <v>13315.895999999999</v>
      </c>
      <c r="G3172">
        <v>18</v>
      </c>
      <c r="L3172" t="s">
        <v>9433</v>
      </c>
      <c r="O3172" t="s">
        <v>9434</v>
      </c>
    </row>
    <row r="3173" spans="1:15" x14ac:dyDescent="0.25">
      <c r="A3173" t="s">
        <v>18</v>
      </c>
      <c r="B3173" t="s">
        <v>9433</v>
      </c>
      <c r="C3173" t="s">
        <v>9435</v>
      </c>
      <c r="D3173" t="s">
        <v>20</v>
      </c>
      <c r="E3173" t="s">
        <v>11</v>
      </c>
      <c r="F3173">
        <v>195.82199999999997</v>
      </c>
      <c r="G3173">
        <v>18</v>
      </c>
      <c r="L3173" t="s">
        <v>9436</v>
      </c>
      <c r="O3173" t="s">
        <v>9437</v>
      </c>
    </row>
    <row r="3174" spans="1:15" x14ac:dyDescent="0.25">
      <c r="A3174" t="s">
        <v>18</v>
      </c>
      <c r="B3174" t="s">
        <v>9436</v>
      </c>
      <c r="C3174" t="s">
        <v>9438</v>
      </c>
      <c r="D3174" t="s">
        <v>20</v>
      </c>
      <c r="E3174" t="s">
        <v>11</v>
      </c>
      <c r="F3174">
        <v>65.274</v>
      </c>
      <c r="G3174">
        <v>18</v>
      </c>
      <c r="L3174" t="s">
        <v>9439</v>
      </c>
      <c r="O3174" t="s">
        <v>9440</v>
      </c>
    </row>
    <row r="3175" spans="1:15" x14ac:dyDescent="0.25">
      <c r="A3175" t="s">
        <v>18</v>
      </c>
      <c r="B3175" t="s">
        <v>9439</v>
      </c>
      <c r="C3175" t="s">
        <v>9441</v>
      </c>
      <c r="D3175" t="s">
        <v>20</v>
      </c>
      <c r="E3175" t="s">
        <v>11</v>
      </c>
      <c r="F3175">
        <v>65.274</v>
      </c>
      <c r="G3175">
        <v>18</v>
      </c>
      <c r="L3175" t="s">
        <v>9442</v>
      </c>
      <c r="O3175" t="s">
        <v>9443</v>
      </c>
    </row>
    <row r="3176" spans="1:15" x14ac:dyDescent="0.25">
      <c r="A3176" t="s">
        <v>18</v>
      </c>
      <c r="B3176" t="s">
        <v>9442</v>
      </c>
      <c r="C3176" t="s">
        <v>9444</v>
      </c>
      <c r="D3176" t="s">
        <v>20</v>
      </c>
      <c r="E3176" t="s">
        <v>11</v>
      </c>
      <c r="F3176">
        <v>65.274</v>
      </c>
      <c r="G3176">
        <v>18</v>
      </c>
      <c r="L3176" t="s">
        <v>9445</v>
      </c>
      <c r="O3176" t="s">
        <v>9446</v>
      </c>
    </row>
    <row r="3177" spans="1:15" x14ac:dyDescent="0.25">
      <c r="A3177" t="s">
        <v>18</v>
      </c>
      <c r="B3177" t="s">
        <v>9445</v>
      </c>
      <c r="C3177" t="s">
        <v>9447</v>
      </c>
      <c r="D3177" t="s">
        <v>20</v>
      </c>
      <c r="E3177" t="s">
        <v>11</v>
      </c>
      <c r="F3177">
        <v>65.274</v>
      </c>
      <c r="G3177">
        <v>18</v>
      </c>
      <c r="L3177" t="s">
        <v>9448</v>
      </c>
      <c r="O3177" t="s">
        <v>9449</v>
      </c>
    </row>
    <row r="3178" spans="1:15" x14ac:dyDescent="0.25">
      <c r="A3178" t="s">
        <v>18</v>
      </c>
      <c r="B3178" t="s">
        <v>9448</v>
      </c>
      <c r="C3178" t="s">
        <v>9450</v>
      </c>
      <c r="D3178" t="s">
        <v>20</v>
      </c>
      <c r="E3178" t="s">
        <v>11</v>
      </c>
      <c r="F3178">
        <v>65.274</v>
      </c>
      <c r="G3178">
        <v>18</v>
      </c>
      <c r="L3178" t="s">
        <v>9451</v>
      </c>
      <c r="O3178" t="s">
        <v>9452</v>
      </c>
    </row>
    <row r="3179" spans="1:15" x14ac:dyDescent="0.25">
      <c r="A3179" t="s">
        <v>18</v>
      </c>
      <c r="B3179" t="s">
        <v>9451</v>
      </c>
      <c r="C3179" t="s">
        <v>9453</v>
      </c>
      <c r="D3179" t="s">
        <v>20</v>
      </c>
      <c r="E3179" t="s">
        <v>11</v>
      </c>
      <c r="F3179">
        <v>65.274</v>
      </c>
      <c r="G3179">
        <v>18</v>
      </c>
      <c r="L3179" t="s">
        <v>9454</v>
      </c>
      <c r="O3179" t="s">
        <v>9455</v>
      </c>
    </row>
    <row r="3180" spans="1:15" x14ac:dyDescent="0.25">
      <c r="A3180" t="s">
        <v>18</v>
      </c>
      <c r="B3180" t="s">
        <v>9454</v>
      </c>
      <c r="C3180" t="s">
        <v>9456</v>
      </c>
      <c r="D3180" t="s">
        <v>20</v>
      </c>
      <c r="E3180" t="s">
        <v>11</v>
      </c>
      <c r="F3180">
        <v>65.274</v>
      </c>
      <c r="G3180">
        <v>18</v>
      </c>
      <c r="L3180" t="s">
        <v>9457</v>
      </c>
      <c r="O3180" t="s">
        <v>9458</v>
      </c>
    </row>
    <row r="3181" spans="1:15" x14ac:dyDescent="0.25">
      <c r="A3181" t="s">
        <v>18</v>
      </c>
      <c r="B3181" t="s">
        <v>9457</v>
      </c>
      <c r="C3181" t="s">
        <v>9459</v>
      </c>
      <c r="D3181" t="s">
        <v>20</v>
      </c>
      <c r="E3181" t="s">
        <v>11</v>
      </c>
      <c r="F3181">
        <v>65.274</v>
      </c>
      <c r="G3181">
        <v>18</v>
      </c>
      <c r="L3181" t="s">
        <v>9460</v>
      </c>
      <c r="O3181" t="s">
        <v>9461</v>
      </c>
    </row>
    <row r="3182" spans="1:15" x14ac:dyDescent="0.25">
      <c r="A3182" t="s">
        <v>18</v>
      </c>
      <c r="B3182" t="s">
        <v>9460</v>
      </c>
      <c r="C3182" t="s">
        <v>9462</v>
      </c>
      <c r="D3182" t="s">
        <v>20</v>
      </c>
      <c r="E3182" t="s">
        <v>11</v>
      </c>
      <c r="F3182">
        <v>65.274</v>
      </c>
      <c r="G3182">
        <v>18</v>
      </c>
      <c r="L3182" t="s">
        <v>9463</v>
      </c>
      <c r="O3182" t="s">
        <v>9464</v>
      </c>
    </row>
    <row r="3183" spans="1:15" x14ac:dyDescent="0.25">
      <c r="A3183" t="s">
        <v>18</v>
      </c>
      <c r="B3183" t="s">
        <v>9463</v>
      </c>
      <c r="C3183" t="s">
        <v>9465</v>
      </c>
      <c r="D3183" t="s">
        <v>20</v>
      </c>
      <c r="E3183" t="s">
        <v>11</v>
      </c>
      <c r="F3183">
        <v>65.274</v>
      </c>
      <c r="G3183">
        <v>18</v>
      </c>
      <c r="L3183" t="s">
        <v>9466</v>
      </c>
      <c r="O3183" t="s">
        <v>9467</v>
      </c>
    </row>
    <row r="3184" spans="1:15" x14ac:dyDescent="0.25">
      <c r="A3184" t="s">
        <v>18</v>
      </c>
      <c r="B3184" t="s">
        <v>9466</v>
      </c>
      <c r="C3184" t="s">
        <v>9468</v>
      </c>
      <c r="D3184" t="s">
        <v>20</v>
      </c>
      <c r="E3184" t="s">
        <v>11</v>
      </c>
      <c r="F3184">
        <v>65.274</v>
      </c>
      <c r="G3184">
        <v>18</v>
      </c>
      <c r="L3184" t="s">
        <v>9469</v>
      </c>
      <c r="O3184" t="s">
        <v>9470</v>
      </c>
    </row>
    <row r="3185" spans="1:15" x14ac:dyDescent="0.25">
      <c r="A3185" t="s">
        <v>18</v>
      </c>
      <c r="B3185" t="s">
        <v>9469</v>
      </c>
      <c r="C3185" t="s">
        <v>9471</v>
      </c>
      <c r="D3185" t="s">
        <v>20</v>
      </c>
      <c r="E3185" t="s">
        <v>11</v>
      </c>
      <c r="F3185">
        <v>65.274</v>
      </c>
      <c r="G3185">
        <v>18</v>
      </c>
      <c r="L3185" t="s">
        <v>9472</v>
      </c>
      <c r="O3185" t="s">
        <v>9473</v>
      </c>
    </row>
    <row r="3186" spans="1:15" x14ac:dyDescent="0.25">
      <c r="A3186" t="s">
        <v>18</v>
      </c>
      <c r="B3186" t="s">
        <v>9472</v>
      </c>
      <c r="C3186" t="s">
        <v>9474</v>
      </c>
      <c r="D3186" t="s">
        <v>20</v>
      </c>
      <c r="E3186" t="s">
        <v>11</v>
      </c>
      <c r="F3186">
        <v>65.274</v>
      </c>
      <c r="G3186">
        <v>18</v>
      </c>
      <c r="L3186" t="s">
        <v>9475</v>
      </c>
      <c r="O3186" t="s">
        <v>9476</v>
      </c>
    </row>
    <row r="3187" spans="1:15" x14ac:dyDescent="0.25">
      <c r="A3187" t="s">
        <v>18</v>
      </c>
      <c r="B3187" t="s">
        <v>9475</v>
      </c>
      <c r="C3187" t="s">
        <v>9477</v>
      </c>
      <c r="D3187" t="s">
        <v>20</v>
      </c>
      <c r="E3187" t="s">
        <v>11</v>
      </c>
      <c r="F3187">
        <v>65.274</v>
      </c>
      <c r="G3187">
        <v>18</v>
      </c>
      <c r="L3187" t="s">
        <v>9478</v>
      </c>
      <c r="O3187" t="s">
        <v>9479</v>
      </c>
    </row>
    <row r="3188" spans="1:15" x14ac:dyDescent="0.25">
      <c r="A3188" t="s">
        <v>18</v>
      </c>
      <c r="B3188" t="s">
        <v>9478</v>
      </c>
      <c r="C3188" t="s">
        <v>9480</v>
      </c>
      <c r="D3188" t="s">
        <v>20</v>
      </c>
      <c r="E3188" t="s">
        <v>11</v>
      </c>
      <c r="F3188">
        <v>65.274</v>
      </c>
      <c r="G3188">
        <v>18</v>
      </c>
      <c r="L3188" t="s">
        <v>9481</v>
      </c>
      <c r="O3188" t="s">
        <v>9482</v>
      </c>
    </row>
    <row r="3189" spans="1:15" x14ac:dyDescent="0.25">
      <c r="A3189" t="s">
        <v>18</v>
      </c>
      <c r="B3189" t="s">
        <v>9481</v>
      </c>
      <c r="C3189" t="s">
        <v>9483</v>
      </c>
      <c r="D3189" t="s">
        <v>20</v>
      </c>
      <c r="E3189" t="s">
        <v>11</v>
      </c>
      <c r="F3189">
        <v>65.274</v>
      </c>
      <c r="G3189">
        <v>18</v>
      </c>
      <c r="L3189" t="s">
        <v>9484</v>
      </c>
      <c r="O3189" t="s">
        <v>9485</v>
      </c>
    </row>
    <row r="3190" spans="1:15" x14ac:dyDescent="0.25">
      <c r="A3190" t="s">
        <v>18</v>
      </c>
      <c r="B3190" t="s">
        <v>9484</v>
      </c>
      <c r="C3190" t="s">
        <v>9486</v>
      </c>
      <c r="D3190" t="s">
        <v>20</v>
      </c>
      <c r="E3190" t="s">
        <v>11</v>
      </c>
      <c r="F3190">
        <v>65.274</v>
      </c>
      <c r="G3190">
        <v>18</v>
      </c>
      <c r="L3190" t="s">
        <v>9487</v>
      </c>
      <c r="O3190" t="s">
        <v>9488</v>
      </c>
    </row>
    <row r="3191" spans="1:15" x14ac:dyDescent="0.25">
      <c r="A3191" t="s">
        <v>18</v>
      </c>
      <c r="B3191" t="s">
        <v>9487</v>
      </c>
      <c r="C3191" t="s">
        <v>9489</v>
      </c>
      <c r="D3191" t="s">
        <v>20</v>
      </c>
      <c r="E3191" t="s">
        <v>11</v>
      </c>
      <c r="F3191">
        <v>65.274</v>
      </c>
      <c r="G3191">
        <v>18</v>
      </c>
      <c r="L3191" t="s">
        <v>9490</v>
      </c>
      <c r="O3191" t="s">
        <v>9491</v>
      </c>
    </row>
    <row r="3192" spans="1:15" x14ac:dyDescent="0.25">
      <c r="A3192" t="s">
        <v>18</v>
      </c>
      <c r="B3192" t="s">
        <v>9490</v>
      </c>
      <c r="C3192" t="s">
        <v>9492</v>
      </c>
      <c r="D3192" t="s">
        <v>20</v>
      </c>
      <c r="E3192" t="s">
        <v>11</v>
      </c>
      <c r="F3192">
        <v>65.274</v>
      </c>
      <c r="G3192">
        <v>18</v>
      </c>
      <c r="L3192" t="s">
        <v>9493</v>
      </c>
      <c r="O3192" t="s">
        <v>9494</v>
      </c>
    </row>
    <row r="3193" spans="1:15" x14ac:dyDescent="0.25">
      <c r="A3193" t="s">
        <v>18</v>
      </c>
      <c r="B3193" t="s">
        <v>9493</v>
      </c>
      <c r="C3193" t="s">
        <v>9495</v>
      </c>
      <c r="D3193" t="s">
        <v>20</v>
      </c>
      <c r="E3193" t="s">
        <v>11</v>
      </c>
      <c r="F3193">
        <v>65.274</v>
      </c>
      <c r="G3193">
        <v>18</v>
      </c>
      <c r="L3193" t="s">
        <v>9496</v>
      </c>
      <c r="O3193" t="s">
        <v>9497</v>
      </c>
    </row>
    <row r="3194" spans="1:15" x14ac:dyDescent="0.25">
      <c r="A3194" t="s">
        <v>18</v>
      </c>
      <c r="B3194" t="s">
        <v>9496</v>
      </c>
      <c r="C3194" t="s">
        <v>9498</v>
      </c>
      <c r="D3194" t="s">
        <v>20</v>
      </c>
      <c r="E3194" t="s">
        <v>11</v>
      </c>
      <c r="F3194">
        <v>195.82199999999997</v>
      </c>
      <c r="G3194">
        <v>18</v>
      </c>
      <c r="L3194" t="s">
        <v>9499</v>
      </c>
      <c r="O3194" t="s">
        <v>9500</v>
      </c>
    </row>
    <row r="3195" spans="1:15" x14ac:dyDescent="0.25">
      <c r="A3195" t="s">
        <v>18</v>
      </c>
      <c r="B3195" t="s">
        <v>9499</v>
      </c>
      <c r="C3195" t="s">
        <v>9501</v>
      </c>
      <c r="D3195" t="s">
        <v>20</v>
      </c>
      <c r="E3195" t="s">
        <v>11</v>
      </c>
      <c r="F3195">
        <v>65.274</v>
      </c>
      <c r="G3195">
        <v>18</v>
      </c>
      <c r="L3195" t="s">
        <v>9502</v>
      </c>
      <c r="O3195" t="s">
        <v>9503</v>
      </c>
    </row>
    <row r="3196" spans="1:15" x14ac:dyDescent="0.25">
      <c r="A3196" t="s">
        <v>18</v>
      </c>
      <c r="B3196" t="s">
        <v>9502</v>
      </c>
      <c r="C3196" t="s">
        <v>9504</v>
      </c>
      <c r="D3196" t="s">
        <v>20</v>
      </c>
      <c r="E3196" t="s">
        <v>11</v>
      </c>
      <c r="F3196">
        <v>130.548</v>
      </c>
      <c r="G3196">
        <v>18</v>
      </c>
      <c r="L3196" t="s">
        <v>9505</v>
      </c>
      <c r="O3196" t="s">
        <v>9506</v>
      </c>
    </row>
    <row r="3197" spans="1:15" x14ac:dyDescent="0.25">
      <c r="A3197" t="s">
        <v>18</v>
      </c>
      <c r="B3197" t="s">
        <v>9505</v>
      </c>
      <c r="C3197" t="s">
        <v>9507</v>
      </c>
      <c r="D3197" t="s">
        <v>20</v>
      </c>
      <c r="E3197" t="s">
        <v>11</v>
      </c>
      <c r="F3197">
        <v>65.274</v>
      </c>
      <c r="G3197">
        <v>18</v>
      </c>
      <c r="L3197" t="s">
        <v>9508</v>
      </c>
      <c r="O3197" t="s">
        <v>9509</v>
      </c>
    </row>
    <row r="3198" spans="1:15" x14ac:dyDescent="0.25">
      <c r="A3198" t="s">
        <v>18</v>
      </c>
      <c r="B3198" t="s">
        <v>9508</v>
      </c>
      <c r="C3198" t="s">
        <v>9510</v>
      </c>
      <c r="D3198" t="s">
        <v>20</v>
      </c>
      <c r="E3198" t="s">
        <v>11</v>
      </c>
      <c r="F3198">
        <v>65.274</v>
      </c>
      <c r="G3198">
        <v>18</v>
      </c>
      <c r="L3198" t="s">
        <v>9511</v>
      </c>
      <c r="O3198" t="s">
        <v>9512</v>
      </c>
    </row>
    <row r="3199" spans="1:15" x14ac:dyDescent="0.25">
      <c r="A3199" t="s">
        <v>18</v>
      </c>
      <c r="B3199" t="s">
        <v>9511</v>
      </c>
      <c r="C3199" t="s">
        <v>9513</v>
      </c>
      <c r="D3199" t="s">
        <v>20</v>
      </c>
      <c r="E3199" t="s">
        <v>11</v>
      </c>
      <c r="F3199">
        <v>65.274</v>
      </c>
      <c r="G3199">
        <v>18</v>
      </c>
      <c r="L3199" t="s">
        <v>9514</v>
      </c>
      <c r="O3199" t="s">
        <v>9515</v>
      </c>
    </row>
    <row r="3200" spans="1:15" x14ac:dyDescent="0.25">
      <c r="A3200" t="s">
        <v>18</v>
      </c>
      <c r="B3200" t="s">
        <v>9514</v>
      </c>
      <c r="C3200" t="s">
        <v>9516</v>
      </c>
      <c r="D3200" t="s">
        <v>20</v>
      </c>
      <c r="E3200" t="s">
        <v>11</v>
      </c>
      <c r="F3200">
        <v>65.274</v>
      </c>
      <c r="G3200">
        <v>18</v>
      </c>
      <c r="L3200" t="s">
        <v>9517</v>
      </c>
      <c r="O3200" t="s">
        <v>9518</v>
      </c>
    </row>
    <row r="3201" spans="1:15" x14ac:dyDescent="0.25">
      <c r="A3201" t="s">
        <v>18</v>
      </c>
      <c r="B3201" t="s">
        <v>9517</v>
      </c>
      <c r="C3201" t="s">
        <v>9519</v>
      </c>
      <c r="D3201" t="s">
        <v>20</v>
      </c>
      <c r="E3201" t="s">
        <v>11</v>
      </c>
      <c r="F3201">
        <v>65.274</v>
      </c>
      <c r="G3201">
        <v>18</v>
      </c>
      <c r="L3201" t="s">
        <v>9520</v>
      </c>
      <c r="O3201" t="s">
        <v>9521</v>
      </c>
    </row>
    <row r="3202" spans="1:15" x14ac:dyDescent="0.25">
      <c r="A3202" t="s">
        <v>18</v>
      </c>
      <c r="B3202" t="s">
        <v>9520</v>
      </c>
      <c r="C3202" t="s">
        <v>9522</v>
      </c>
      <c r="D3202" t="s">
        <v>20</v>
      </c>
      <c r="E3202" t="s">
        <v>11</v>
      </c>
      <c r="F3202">
        <v>130.548</v>
      </c>
      <c r="G3202">
        <v>18</v>
      </c>
      <c r="L3202" t="s">
        <v>9523</v>
      </c>
      <c r="O3202" t="s">
        <v>9524</v>
      </c>
    </row>
    <row r="3203" spans="1:15" x14ac:dyDescent="0.25">
      <c r="A3203" t="s">
        <v>18</v>
      </c>
      <c r="B3203" t="s">
        <v>9523</v>
      </c>
      <c r="C3203" t="s">
        <v>9525</v>
      </c>
      <c r="D3203" t="s">
        <v>20</v>
      </c>
      <c r="E3203" t="s">
        <v>11</v>
      </c>
      <c r="F3203">
        <v>195.82199999999997</v>
      </c>
      <c r="G3203">
        <v>18</v>
      </c>
      <c r="L3203" t="s">
        <v>9526</v>
      </c>
      <c r="O3203" t="s">
        <v>9527</v>
      </c>
    </row>
    <row r="3204" spans="1:15" x14ac:dyDescent="0.25">
      <c r="A3204" t="s">
        <v>18</v>
      </c>
      <c r="B3204" t="s">
        <v>9526</v>
      </c>
      <c r="C3204" t="s">
        <v>9528</v>
      </c>
      <c r="D3204" t="s">
        <v>20</v>
      </c>
      <c r="E3204" t="s">
        <v>11</v>
      </c>
      <c r="F3204">
        <v>65.274</v>
      </c>
      <c r="G3204">
        <v>18</v>
      </c>
      <c r="L3204" t="s">
        <v>9529</v>
      </c>
      <c r="O3204" t="s">
        <v>9530</v>
      </c>
    </row>
    <row r="3205" spans="1:15" x14ac:dyDescent="0.25">
      <c r="A3205" t="s">
        <v>18</v>
      </c>
      <c r="B3205" t="s">
        <v>9529</v>
      </c>
      <c r="C3205" t="s">
        <v>9531</v>
      </c>
      <c r="D3205" t="s">
        <v>20</v>
      </c>
      <c r="E3205" t="s">
        <v>11</v>
      </c>
      <c r="F3205">
        <v>65.274</v>
      </c>
      <c r="G3205">
        <v>18</v>
      </c>
      <c r="L3205" t="s">
        <v>9532</v>
      </c>
      <c r="O3205" t="s">
        <v>9533</v>
      </c>
    </row>
    <row r="3206" spans="1:15" x14ac:dyDescent="0.25">
      <c r="A3206" t="s">
        <v>18</v>
      </c>
      <c r="B3206" t="s">
        <v>9532</v>
      </c>
      <c r="C3206" t="s">
        <v>9534</v>
      </c>
      <c r="D3206" t="s">
        <v>20</v>
      </c>
      <c r="E3206" t="s">
        <v>11</v>
      </c>
      <c r="F3206">
        <v>65.274</v>
      </c>
      <c r="G3206">
        <v>18</v>
      </c>
      <c r="L3206" t="s">
        <v>9535</v>
      </c>
      <c r="O3206" t="s">
        <v>9536</v>
      </c>
    </row>
    <row r="3207" spans="1:15" x14ac:dyDescent="0.25">
      <c r="A3207" t="s">
        <v>18</v>
      </c>
      <c r="B3207" t="s">
        <v>9535</v>
      </c>
      <c r="C3207" t="s">
        <v>9537</v>
      </c>
      <c r="D3207" t="s">
        <v>20</v>
      </c>
      <c r="E3207" t="s">
        <v>11</v>
      </c>
      <c r="F3207">
        <v>195.82199999999997</v>
      </c>
      <c r="G3207">
        <v>18</v>
      </c>
      <c r="L3207" t="s">
        <v>9538</v>
      </c>
      <c r="O3207" t="s">
        <v>9539</v>
      </c>
    </row>
    <row r="3208" spans="1:15" x14ac:dyDescent="0.25">
      <c r="A3208" t="s">
        <v>18</v>
      </c>
      <c r="B3208" t="s">
        <v>9538</v>
      </c>
      <c r="C3208" t="s">
        <v>9540</v>
      </c>
      <c r="D3208" t="s">
        <v>20</v>
      </c>
      <c r="E3208" t="s">
        <v>11</v>
      </c>
      <c r="F3208">
        <v>65.274</v>
      </c>
      <c r="G3208">
        <v>18</v>
      </c>
      <c r="L3208" t="s">
        <v>9541</v>
      </c>
      <c r="O3208" t="s">
        <v>9542</v>
      </c>
    </row>
    <row r="3209" spans="1:15" x14ac:dyDescent="0.25">
      <c r="A3209" t="s">
        <v>18</v>
      </c>
      <c r="B3209" t="s">
        <v>9541</v>
      </c>
      <c r="C3209" t="s">
        <v>9543</v>
      </c>
      <c r="D3209" t="s">
        <v>20</v>
      </c>
      <c r="E3209" t="s">
        <v>11</v>
      </c>
      <c r="F3209">
        <v>65.274</v>
      </c>
      <c r="G3209">
        <v>18</v>
      </c>
      <c r="L3209" t="s">
        <v>9544</v>
      </c>
      <c r="O3209" t="s">
        <v>9545</v>
      </c>
    </row>
    <row r="3210" spans="1:15" x14ac:dyDescent="0.25">
      <c r="A3210" t="s">
        <v>18</v>
      </c>
      <c r="B3210" t="s">
        <v>9544</v>
      </c>
      <c r="C3210" t="s">
        <v>9546</v>
      </c>
      <c r="D3210" t="s">
        <v>20</v>
      </c>
      <c r="E3210" t="s">
        <v>11</v>
      </c>
      <c r="F3210">
        <v>65.274</v>
      </c>
      <c r="G3210">
        <v>18</v>
      </c>
      <c r="L3210" t="s">
        <v>9547</v>
      </c>
      <c r="O3210" t="s">
        <v>9548</v>
      </c>
    </row>
    <row r="3211" spans="1:15" x14ac:dyDescent="0.25">
      <c r="A3211" t="s">
        <v>18</v>
      </c>
      <c r="B3211" t="s">
        <v>9547</v>
      </c>
      <c r="C3211" t="s">
        <v>9549</v>
      </c>
      <c r="D3211" t="s">
        <v>20</v>
      </c>
      <c r="E3211" t="s">
        <v>11</v>
      </c>
      <c r="F3211">
        <v>65.274</v>
      </c>
      <c r="G3211">
        <v>18</v>
      </c>
      <c r="L3211" t="s">
        <v>9550</v>
      </c>
      <c r="O3211" t="s">
        <v>9551</v>
      </c>
    </row>
    <row r="3212" spans="1:15" x14ac:dyDescent="0.25">
      <c r="A3212" t="s">
        <v>18</v>
      </c>
      <c r="B3212" t="s">
        <v>9550</v>
      </c>
      <c r="C3212" t="s">
        <v>9552</v>
      </c>
      <c r="D3212" t="s">
        <v>20</v>
      </c>
      <c r="E3212" t="s">
        <v>11</v>
      </c>
      <c r="F3212">
        <v>130.548</v>
      </c>
      <c r="G3212">
        <v>18</v>
      </c>
      <c r="L3212" t="s">
        <v>9553</v>
      </c>
      <c r="O3212" t="s">
        <v>9554</v>
      </c>
    </row>
    <row r="3213" spans="1:15" x14ac:dyDescent="0.25">
      <c r="A3213" t="s">
        <v>18</v>
      </c>
      <c r="B3213" t="s">
        <v>9553</v>
      </c>
      <c r="C3213" t="s">
        <v>9555</v>
      </c>
      <c r="D3213" t="s">
        <v>20</v>
      </c>
      <c r="E3213" t="s">
        <v>11</v>
      </c>
      <c r="F3213">
        <v>65.274</v>
      </c>
      <c r="G3213">
        <v>18</v>
      </c>
      <c r="L3213" t="s">
        <v>9556</v>
      </c>
      <c r="O3213" t="s">
        <v>9557</v>
      </c>
    </row>
    <row r="3214" spans="1:15" x14ac:dyDescent="0.25">
      <c r="A3214" t="s">
        <v>18</v>
      </c>
      <c r="B3214" t="s">
        <v>9556</v>
      </c>
      <c r="C3214" t="s">
        <v>9558</v>
      </c>
      <c r="D3214" t="s">
        <v>20</v>
      </c>
      <c r="E3214" t="s">
        <v>11</v>
      </c>
      <c r="F3214">
        <v>130.548</v>
      </c>
      <c r="G3214">
        <v>18</v>
      </c>
      <c r="L3214" t="s">
        <v>9559</v>
      </c>
      <c r="O3214" t="s">
        <v>9560</v>
      </c>
    </row>
    <row r="3215" spans="1:15" x14ac:dyDescent="0.25">
      <c r="A3215" t="s">
        <v>18</v>
      </c>
      <c r="B3215" t="s">
        <v>9559</v>
      </c>
      <c r="C3215" t="s">
        <v>9561</v>
      </c>
      <c r="D3215" t="s">
        <v>20</v>
      </c>
      <c r="E3215" t="s">
        <v>11</v>
      </c>
      <c r="F3215">
        <v>65.274</v>
      </c>
      <c r="G3215">
        <v>18</v>
      </c>
      <c r="L3215" t="s">
        <v>9562</v>
      </c>
      <c r="O3215" t="s">
        <v>9563</v>
      </c>
    </row>
    <row r="3216" spans="1:15" x14ac:dyDescent="0.25">
      <c r="A3216" t="s">
        <v>18</v>
      </c>
      <c r="B3216" t="s">
        <v>9562</v>
      </c>
      <c r="C3216" t="s">
        <v>9564</v>
      </c>
      <c r="D3216" t="s">
        <v>20</v>
      </c>
      <c r="E3216" t="s">
        <v>11</v>
      </c>
      <c r="F3216">
        <v>65.274</v>
      </c>
      <c r="G3216">
        <v>18</v>
      </c>
      <c r="L3216" t="s">
        <v>9565</v>
      </c>
      <c r="O3216" t="s">
        <v>9566</v>
      </c>
    </row>
    <row r="3217" spans="1:15" x14ac:dyDescent="0.25">
      <c r="A3217" t="s">
        <v>18</v>
      </c>
      <c r="B3217" t="s">
        <v>9565</v>
      </c>
      <c r="C3217" t="s">
        <v>9567</v>
      </c>
      <c r="D3217" t="s">
        <v>20</v>
      </c>
      <c r="E3217" t="s">
        <v>11</v>
      </c>
      <c r="F3217">
        <v>65.274</v>
      </c>
      <c r="G3217">
        <v>18</v>
      </c>
      <c r="L3217" t="s">
        <v>9568</v>
      </c>
      <c r="O3217" t="s">
        <v>9569</v>
      </c>
    </row>
    <row r="3218" spans="1:15" x14ac:dyDescent="0.25">
      <c r="A3218" t="s">
        <v>18</v>
      </c>
      <c r="B3218" t="s">
        <v>9568</v>
      </c>
      <c r="C3218" t="s">
        <v>9570</v>
      </c>
      <c r="D3218" t="s">
        <v>20</v>
      </c>
      <c r="E3218" t="s">
        <v>11</v>
      </c>
      <c r="F3218">
        <v>65.274</v>
      </c>
      <c r="G3218">
        <v>18</v>
      </c>
      <c r="L3218" t="s">
        <v>9571</v>
      </c>
      <c r="O3218" t="s">
        <v>9572</v>
      </c>
    </row>
    <row r="3219" spans="1:15" x14ac:dyDescent="0.25">
      <c r="A3219" t="s">
        <v>18</v>
      </c>
      <c r="B3219" t="s">
        <v>9571</v>
      </c>
      <c r="C3219" t="s">
        <v>9573</v>
      </c>
      <c r="D3219" t="s">
        <v>20</v>
      </c>
      <c r="E3219" t="s">
        <v>11</v>
      </c>
      <c r="F3219">
        <v>65.274</v>
      </c>
      <c r="G3219">
        <v>18</v>
      </c>
      <c r="L3219" t="s">
        <v>9574</v>
      </c>
      <c r="O3219" t="s">
        <v>9575</v>
      </c>
    </row>
    <row r="3220" spans="1:15" x14ac:dyDescent="0.25">
      <c r="A3220" t="s">
        <v>18</v>
      </c>
      <c r="B3220" t="s">
        <v>9574</v>
      </c>
      <c r="C3220" t="s">
        <v>9576</v>
      </c>
      <c r="D3220" t="s">
        <v>20</v>
      </c>
      <c r="E3220" t="s">
        <v>11</v>
      </c>
      <c r="F3220">
        <v>65.274</v>
      </c>
      <c r="G3220">
        <v>18</v>
      </c>
      <c r="L3220" t="s">
        <v>9577</v>
      </c>
      <c r="O3220" t="s">
        <v>9578</v>
      </c>
    </row>
    <row r="3221" spans="1:15" x14ac:dyDescent="0.25">
      <c r="A3221" t="s">
        <v>18</v>
      </c>
      <c r="B3221" t="s">
        <v>9577</v>
      </c>
      <c r="C3221" t="s">
        <v>9579</v>
      </c>
      <c r="D3221" t="s">
        <v>20</v>
      </c>
      <c r="E3221" t="s">
        <v>11</v>
      </c>
      <c r="F3221">
        <v>65.274</v>
      </c>
      <c r="G3221">
        <v>18</v>
      </c>
      <c r="L3221" t="s">
        <v>9580</v>
      </c>
      <c r="O3221" t="s">
        <v>9581</v>
      </c>
    </row>
    <row r="3222" spans="1:15" x14ac:dyDescent="0.25">
      <c r="A3222" t="s">
        <v>18</v>
      </c>
      <c r="B3222" t="s">
        <v>9580</v>
      </c>
      <c r="C3222" t="s">
        <v>9582</v>
      </c>
      <c r="D3222" t="s">
        <v>20</v>
      </c>
      <c r="E3222" t="s">
        <v>11</v>
      </c>
      <c r="F3222">
        <v>65.274</v>
      </c>
      <c r="G3222">
        <v>18</v>
      </c>
      <c r="L3222" t="s">
        <v>9583</v>
      </c>
      <c r="O3222" t="s">
        <v>9584</v>
      </c>
    </row>
    <row r="3223" spans="1:15" x14ac:dyDescent="0.25">
      <c r="A3223" t="s">
        <v>18</v>
      </c>
      <c r="B3223" t="s">
        <v>9583</v>
      </c>
      <c r="C3223" t="s">
        <v>9585</v>
      </c>
      <c r="D3223" t="s">
        <v>20</v>
      </c>
      <c r="E3223" t="s">
        <v>11</v>
      </c>
      <c r="F3223">
        <v>65.274</v>
      </c>
      <c r="G3223">
        <v>18</v>
      </c>
      <c r="L3223" t="s">
        <v>9586</v>
      </c>
      <c r="O3223" t="s">
        <v>9587</v>
      </c>
    </row>
    <row r="3224" spans="1:15" x14ac:dyDescent="0.25">
      <c r="A3224" t="s">
        <v>18</v>
      </c>
      <c r="B3224" t="s">
        <v>9586</v>
      </c>
      <c r="C3224" t="s">
        <v>9588</v>
      </c>
      <c r="D3224" t="s">
        <v>20</v>
      </c>
      <c r="E3224" t="s">
        <v>11</v>
      </c>
      <c r="F3224">
        <v>195.82199999999997</v>
      </c>
      <c r="G3224">
        <v>18</v>
      </c>
      <c r="L3224" t="s">
        <v>9589</v>
      </c>
      <c r="O3224" t="s">
        <v>9590</v>
      </c>
    </row>
    <row r="3225" spans="1:15" x14ac:dyDescent="0.25">
      <c r="A3225" t="s">
        <v>18</v>
      </c>
      <c r="B3225" t="s">
        <v>9589</v>
      </c>
      <c r="C3225" t="s">
        <v>9591</v>
      </c>
      <c r="D3225" t="s">
        <v>20</v>
      </c>
      <c r="E3225" t="s">
        <v>11</v>
      </c>
      <c r="F3225">
        <v>261.096</v>
      </c>
      <c r="G3225">
        <v>18</v>
      </c>
      <c r="L3225" t="s">
        <v>9592</v>
      </c>
      <c r="O3225" t="s">
        <v>9593</v>
      </c>
    </row>
    <row r="3226" spans="1:15" x14ac:dyDescent="0.25">
      <c r="A3226" t="s">
        <v>18</v>
      </c>
      <c r="B3226" t="s">
        <v>9592</v>
      </c>
      <c r="C3226" t="s">
        <v>9594</v>
      </c>
      <c r="D3226" t="s">
        <v>20</v>
      </c>
      <c r="E3226" t="s">
        <v>11</v>
      </c>
      <c r="F3226">
        <v>195.82199999999997</v>
      </c>
      <c r="G3226">
        <v>18</v>
      </c>
      <c r="L3226" t="s">
        <v>9595</v>
      </c>
      <c r="O3226" t="s">
        <v>9596</v>
      </c>
    </row>
    <row r="3227" spans="1:15" x14ac:dyDescent="0.25">
      <c r="A3227" t="s">
        <v>18</v>
      </c>
      <c r="B3227" t="s">
        <v>9595</v>
      </c>
      <c r="C3227" t="s">
        <v>9597</v>
      </c>
      <c r="D3227" t="s">
        <v>20</v>
      </c>
      <c r="E3227" t="s">
        <v>11</v>
      </c>
      <c r="F3227">
        <v>195.82199999999997</v>
      </c>
      <c r="G3227">
        <v>18</v>
      </c>
      <c r="L3227" t="s">
        <v>9598</v>
      </c>
      <c r="O3227" t="s">
        <v>9599</v>
      </c>
    </row>
    <row r="3228" spans="1:15" x14ac:dyDescent="0.25">
      <c r="A3228" t="s">
        <v>18</v>
      </c>
      <c r="B3228" t="s">
        <v>9598</v>
      </c>
      <c r="C3228" t="s">
        <v>9600</v>
      </c>
      <c r="D3228" t="s">
        <v>20</v>
      </c>
      <c r="E3228" t="s">
        <v>11</v>
      </c>
      <c r="F3228">
        <v>195.82199999999997</v>
      </c>
      <c r="G3228">
        <v>18</v>
      </c>
      <c r="L3228" t="s">
        <v>9601</v>
      </c>
      <c r="O3228" t="s">
        <v>9602</v>
      </c>
    </row>
    <row r="3229" spans="1:15" x14ac:dyDescent="0.25">
      <c r="A3229" t="s">
        <v>18</v>
      </c>
      <c r="B3229" t="s">
        <v>9601</v>
      </c>
      <c r="C3229" t="s">
        <v>9603</v>
      </c>
      <c r="D3229" t="s">
        <v>20</v>
      </c>
      <c r="E3229" t="s">
        <v>11</v>
      </c>
      <c r="F3229">
        <v>195.82199999999997</v>
      </c>
      <c r="G3229">
        <v>18</v>
      </c>
      <c r="L3229" t="s">
        <v>9604</v>
      </c>
      <c r="O3229" t="s">
        <v>9605</v>
      </c>
    </row>
    <row r="3230" spans="1:15" x14ac:dyDescent="0.25">
      <c r="A3230" t="s">
        <v>18</v>
      </c>
      <c r="B3230" t="s">
        <v>9604</v>
      </c>
      <c r="C3230" t="s">
        <v>9606</v>
      </c>
      <c r="D3230" t="s">
        <v>20</v>
      </c>
      <c r="E3230" t="s">
        <v>11</v>
      </c>
      <c r="F3230">
        <v>522.192</v>
      </c>
      <c r="G3230">
        <v>18</v>
      </c>
      <c r="L3230" t="s">
        <v>9607</v>
      </c>
      <c r="O3230" t="s">
        <v>9608</v>
      </c>
    </row>
    <row r="3231" spans="1:15" x14ac:dyDescent="0.25">
      <c r="A3231" t="s">
        <v>18</v>
      </c>
      <c r="B3231" t="s">
        <v>9607</v>
      </c>
      <c r="C3231" t="s">
        <v>9609</v>
      </c>
      <c r="D3231" t="s">
        <v>20</v>
      </c>
      <c r="E3231" t="s">
        <v>11</v>
      </c>
      <c r="F3231">
        <v>195.82199999999997</v>
      </c>
      <c r="G3231">
        <v>18</v>
      </c>
      <c r="L3231" t="s">
        <v>9610</v>
      </c>
      <c r="O3231" t="s">
        <v>9611</v>
      </c>
    </row>
    <row r="3232" spans="1:15" x14ac:dyDescent="0.25">
      <c r="A3232" t="s">
        <v>18</v>
      </c>
      <c r="B3232" t="s">
        <v>9610</v>
      </c>
      <c r="C3232" t="s">
        <v>9612</v>
      </c>
      <c r="D3232" t="s">
        <v>20</v>
      </c>
      <c r="E3232" t="s">
        <v>11</v>
      </c>
      <c r="F3232">
        <v>130.548</v>
      </c>
      <c r="G3232">
        <v>18</v>
      </c>
      <c r="L3232" t="s">
        <v>9613</v>
      </c>
      <c r="O3232" t="s">
        <v>9614</v>
      </c>
    </row>
    <row r="3233" spans="1:15" x14ac:dyDescent="0.25">
      <c r="A3233" t="s">
        <v>18</v>
      </c>
      <c r="B3233" t="s">
        <v>9613</v>
      </c>
      <c r="C3233" t="s">
        <v>9615</v>
      </c>
      <c r="D3233" t="s">
        <v>20</v>
      </c>
      <c r="E3233" t="s">
        <v>11</v>
      </c>
      <c r="F3233">
        <v>65.274</v>
      </c>
      <c r="G3233">
        <v>18</v>
      </c>
      <c r="L3233" t="s">
        <v>9616</v>
      </c>
      <c r="O3233" t="s">
        <v>9617</v>
      </c>
    </row>
    <row r="3234" spans="1:15" x14ac:dyDescent="0.25">
      <c r="A3234" t="s">
        <v>18</v>
      </c>
      <c r="B3234" t="s">
        <v>9616</v>
      </c>
      <c r="C3234" t="s">
        <v>9618</v>
      </c>
      <c r="D3234" t="s">
        <v>20</v>
      </c>
      <c r="E3234" t="s">
        <v>11</v>
      </c>
      <c r="F3234">
        <v>65.274</v>
      </c>
      <c r="G3234">
        <v>18</v>
      </c>
      <c r="L3234" t="s">
        <v>9619</v>
      </c>
      <c r="O3234" t="s">
        <v>9620</v>
      </c>
    </row>
    <row r="3235" spans="1:15" x14ac:dyDescent="0.25">
      <c r="A3235" t="s">
        <v>18</v>
      </c>
      <c r="B3235" t="s">
        <v>9619</v>
      </c>
      <c r="C3235" t="s">
        <v>9621</v>
      </c>
      <c r="D3235" t="s">
        <v>20</v>
      </c>
      <c r="E3235" t="s">
        <v>11</v>
      </c>
      <c r="F3235">
        <v>65.274</v>
      </c>
      <c r="G3235">
        <v>18</v>
      </c>
      <c r="L3235" t="s">
        <v>9622</v>
      </c>
      <c r="O3235" t="s">
        <v>9623</v>
      </c>
    </row>
    <row r="3236" spans="1:15" x14ac:dyDescent="0.25">
      <c r="A3236" t="s">
        <v>18</v>
      </c>
      <c r="B3236" t="s">
        <v>9622</v>
      </c>
      <c r="C3236" t="s">
        <v>9624</v>
      </c>
      <c r="D3236" t="s">
        <v>20</v>
      </c>
      <c r="E3236" t="s">
        <v>11</v>
      </c>
      <c r="F3236">
        <v>65.274</v>
      </c>
      <c r="G3236">
        <v>18</v>
      </c>
      <c r="L3236" t="s">
        <v>9625</v>
      </c>
      <c r="O3236" t="s">
        <v>9626</v>
      </c>
    </row>
    <row r="3237" spans="1:15" x14ac:dyDescent="0.25">
      <c r="A3237" t="s">
        <v>18</v>
      </c>
      <c r="B3237" t="s">
        <v>9625</v>
      </c>
      <c r="C3237" t="s">
        <v>9627</v>
      </c>
      <c r="D3237" t="s">
        <v>20</v>
      </c>
      <c r="E3237" t="s">
        <v>11</v>
      </c>
      <c r="F3237">
        <v>261.096</v>
      </c>
      <c r="G3237">
        <v>18</v>
      </c>
      <c r="L3237" t="s">
        <v>9628</v>
      </c>
      <c r="O3237" t="s">
        <v>9629</v>
      </c>
    </row>
    <row r="3238" spans="1:15" x14ac:dyDescent="0.25">
      <c r="A3238" t="s">
        <v>18</v>
      </c>
      <c r="B3238" t="s">
        <v>9628</v>
      </c>
      <c r="C3238" t="s">
        <v>9630</v>
      </c>
      <c r="D3238" t="s">
        <v>20</v>
      </c>
      <c r="E3238" t="s">
        <v>11</v>
      </c>
      <c r="F3238">
        <v>65.274</v>
      </c>
      <c r="G3238">
        <v>18</v>
      </c>
      <c r="L3238" t="s">
        <v>9631</v>
      </c>
      <c r="O3238" t="s">
        <v>9632</v>
      </c>
    </row>
    <row r="3239" spans="1:15" x14ac:dyDescent="0.25">
      <c r="A3239" t="s">
        <v>18</v>
      </c>
      <c r="B3239" t="s">
        <v>9631</v>
      </c>
      <c r="C3239" t="s">
        <v>9633</v>
      </c>
      <c r="D3239" t="s">
        <v>20</v>
      </c>
      <c r="E3239" t="s">
        <v>11</v>
      </c>
      <c r="F3239">
        <v>65.274</v>
      </c>
      <c r="G3239">
        <v>18</v>
      </c>
      <c r="L3239" t="s">
        <v>9634</v>
      </c>
      <c r="O3239" t="s">
        <v>9635</v>
      </c>
    </row>
    <row r="3240" spans="1:15" x14ac:dyDescent="0.25">
      <c r="A3240" t="s">
        <v>18</v>
      </c>
      <c r="B3240" t="s">
        <v>9634</v>
      </c>
      <c r="C3240" t="s">
        <v>9636</v>
      </c>
      <c r="D3240" t="s">
        <v>20</v>
      </c>
      <c r="E3240" t="s">
        <v>11</v>
      </c>
      <c r="F3240">
        <v>65.274</v>
      </c>
      <c r="G3240">
        <v>18</v>
      </c>
      <c r="L3240" t="s">
        <v>9637</v>
      </c>
      <c r="O3240" t="s">
        <v>9638</v>
      </c>
    </row>
    <row r="3241" spans="1:15" x14ac:dyDescent="0.25">
      <c r="A3241" t="s">
        <v>18</v>
      </c>
      <c r="B3241" t="s">
        <v>9637</v>
      </c>
      <c r="C3241" t="s">
        <v>9639</v>
      </c>
      <c r="D3241" t="s">
        <v>20</v>
      </c>
      <c r="E3241" t="s">
        <v>11</v>
      </c>
      <c r="F3241">
        <v>391.64399999999995</v>
      </c>
      <c r="G3241">
        <v>18</v>
      </c>
      <c r="L3241" t="s">
        <v>9640</v>
      </c>
      <c r="O3241" t="s">
        <v>9641</v>
      </c>
    </row>
    <row r="3242" spans="1:15" x14ac:dyDescent="0.25">
      <c r="A3242" t="s">
        <v>18</v>
      </c>
      <c r="B3242" t="s">
        <v>9640</v>
      </c>
      <c r="C3242" t="s">
        <v>9642</v>
      </c>
      <c r="D3242" t="s">
        <v>20</v>
      </c>
      <c r="E3242" t="s">
        <v>11</v>
      </c>
      <c r="F3242">
        <v>65.274</v>
      </c>
      <c r="G3242">
        <v>18</v>
      </c>
      <c r="L3242" t="s">
        <v>9643</v>
      </c>
      <c r="O3242" t="s">
        <v>9644</v>
      </c>
    </row>
    <row r="3243" spans="1:15" x14ac:dyDescent="0.25">
      <c r="A3243" t="s">
        <v>18</v>
      </c>
      <c r="B3243" t="s">
        <v>9643</v>
      </c>
      <c r="C3243" t="s">
        <v>9645</v>
      </c>
      <c r="D3243" t="s">
        <v>20</v>
      </c>
      <c r="E3243" t="s">
        <v>11</v>
      </c>
      <c r="F3243">
        <v>65.274</v>
      </c>
      <c r="G3243">
        <v>18</v>
      </c>
      <c r="L3243" t="s">
        <v>9646</v>
      </c>
      <c r="O3243" t="s">
        <v>9647</v>
      </c>
    </row>
    <row r="3244" spans="1:15" x14ac:dyDescent="0.25">
      <c r="A3244" t="s">
        <v>18</v>
      </c>
      <c r="B3244" t="s">
        <v>9646</v>
      </c>
      <c r="C3244" t="s">
        <v>9648</v>
      </c>
      <c r="D3244" t="s">
        <v>20</v>
      </c>
      <c r="E3244" t="s">
        <v>11</v>
      </c>
      <c r="F3244">
        <v>65.274</v>
      </c>
      <c r="G3244">
        <v>18</v>
      </c>
      <c r="L3244" t="s">
        <v>9649</v>
      </c>
      <c r="O3244" t="s">
        <v>9650</v>
      </c>
    </row>
    <row r="3245" spans="1:15" x14ac:dyDescent="0.25">
      <c r="A3245" t="s">
        <v>18</v>
      </c>
      <c r="B3245" t="s">
        <v>9649</v>
      </c>
      <c r="C3245" t="s">
        <v>9651</v>
      </c>
      <c r="D3245" t="s">
        <v>20</v>
      </c>
      <c r="E3245" t="s">
        <v>11</v>
      </c>
      <c r="F3245">
        <v>65.274</v>
      </c>
      <c r="G3245">
        <v>18</v>
      </c>
      <c r="L3245" t="s">
        <v>9652</v>
      </c>
      <c r="O3245" t="s">
        <v>9653</v>
      </c>
    </row>
    <row r="3246" spans="1:15" x14ac:dyDescent="0.25">
      <c r="A3246" t="s">
        <v>18</v>
      </c>
      <c r="B3246" t="s">
        <v>9652</v>
      </c>
      <c r="C3246" t="s">
        <v>9654</v>
      </c>
      <c r="D3246" t="s">
        <v>20</v>
      </c>
      <c r="E3246" t="s">
        <v>11</v>
      </c>
      <c r="F3246">
        <v>391.64399999999995</v>
      </c>
      <c r="G3246">
        <v>18</v>
      </c>
      <c r="L3246" t="s">
        <v>9655</v>
      </c>
      <c r="O3246" t="s">
        <v>9656</v>
      </c>
    </row>
    <row r="3247" spans="1:15" x14ac:dyDescent="0.25">
      <c r="A3247" t="s">
        <v>18</v>
      </c>
      <c r="B3247" t="s">
        <v>9655</v>
      </c>
      <c r="C3247" t="s">
        <v>9657</v>
      </c>
      <c r="D3247" t="s">
        <v>20</v>
      </c>
      <c r="E3247" t="s">
        <v>11</v>
      </c>
      <c r="F3247">
        <v>130.548</v>
      </c>
      <c r="G3247">
        <v>18</v>
      </c>
      <c r="L3247" t="s">
        <v>9658</v>
      </c>
      <c r="O3247" t="s">
        <v>9659</v>
      </c>
    </row>
    <row r="3248" spans="1:15" x14ac:dyDescent="0.25">
      <c r="A3248" t="s">
        <v>18</v>
      </c>
      <c r="B3248" t="s">
        <v>9658</v>
      </c>
      <c r="C3248" t="s">
        <v>9660</v>
      </c>
      <c r="D3248" t="s">
        <v>20</v>
      </c>
      <c r="E3248" t="s">
        <v>11</v>
      </c>
      <c r="F3248">
        <v>130.548</v>
      </c>
      <c r="G3248">
        <v>18</v>
      </c>
      <c r="L3248" t="s">
        <v>9661</v>
      </c>
      <c r="O3248" t="s">
        <v>9662</v>
      </c>
    </row>
    <row r="3249" spans="1:15" x14ac:dyDescent="0.25">
      <c r="A3249" t="s">
        <v>18</v>
      </c>
      <c r="B3249" t="s">
        <v>9661</v>
      </c>
      <c r="C3249" t="s">
        <v>9663</v>
      </c>
      <c r="D3249" t="s">
        <v>20</v>
      </c>
      <c r="E3249" t="s">
        <v>11</v>
      </c>
      <c r="F3249">
        <v>65.274</v>
      </c>
      <c r="G3249">
        <v>18</v>
      </c>
      <c r="L3249" t="s">
        <v>9664</v>
      </c>
      <c r="O3249" t="s">
        <v>9665</v>
      </c>
    </row>
    <row r="3250" spans="1:15" x14ac:dyDescent="0.25">
      <c r="A3250" t="s">
        <v>18</v>
      </c>
      <c r="B3250" t="s">
        <v>9664</v>
      </c>
      <c r="C3250" t="s">
        <v>9666</v>
      </c>
      <c r="D3250" t="s">
        <v>20</v>
      </c>
      <c r="E3250" t="s">
        <v>11</v>
      </c>
      <c r="F3250">
        <v>65.274</v>
      </c>
      <c r="G3250">
        <v>18</v>
      </c>
      <c r="L3250" t="s">
        <v>9667</v>
      </c>
      <c r="O3250" t="s">
        <v>9668</v>
      </c>
    </row>
    <row r="3251" spans="1:15" x14ac:dyDescent="0.25">
      <c r="A3251" t="s">
        <v>18</v>
      </c>
      <c r="B3251" t="s">
        <v>9667</v>
      </c>
      <c r="C3251" t="s">
        <v>9669</v>
      </c>
      <c r="D3251" t="s">
        <v>20</v>
      </c>
      <c r="E3251" t="s">
        <v>11</v>
      </c>
      <c r="F3251">
        <v>65.274</v>
      </c>
      <c r="G3251">
        <v>18</v>
      </c>
      <c r="L3251" t="s">
        <v>9670</v>
      </c>
      <c r="O3251" t="s">
        <v>9671</v>
      </c>
    </row>
    <row r="3252" spans="1:15" x14ac:dyDescent="0.25">
      <c r="A3252" t="s">
        <v>18</v>
      </c>
      <c r="B3252" t="s">
        <v>9670</v>
      </c>
      <c r="C3252" t="s">
        <v>9672</v>
      </c>
      <c r="D3252" t="s">
        <v>20</v>
      </c>
      <c r="E3252" t="s">
        <v>11</v>
      </c>
      <c r="F3252">
        <v>65.274</v>
      </c>
      <c r="G3252">
        <v>18</v>
      </c>
      <c r="L3252" t="s">
        <v>9673</v>
      </c>
      <c r="O3252" t="s">
        <v>9674</v>
      </c>
    </row>
    <row r="3253" spans="1:15" x14ac:dyDescent="0.25">
      <c r="A3253" t="s">
        <v>18</v>
      </c>
      <c r="B3253" t="s">
        <v>9673</v>
      </c>
      <c r="C3253" t="s">
        <v>9675</v>
      </c>
      <c r="D3253" t="s">
        <v>20</v>
      </c>
      <c r="E3253" t="s">
        <v>11</v>
      </c>
      <c r="F3253">
        <v>65.274</v>
      </c>
      <c r="G3253">
        <v>18</v>
      </c>
      <c r="L3253" t="s">
        <v>9676</v>
      </c>
      <c r="O3253" t="s">
        <v>9677</v>
      </c>
    </row>
    <row r="3254" spans="1:15" x14ac:dyDescent="0.25">
      <c r="A3254" t="s">
        <v>18</v>
      </c>
      <c r="B3254" t="s">
        <v>9676</v>
      </c>
      <c r="C3254" t="s">
        <v>9678</v>
      </c>
      <c r="D3254" t="s">
        <v>20</v>
      </c>
      <c r="E3254" t="s">
        <v>11</v>
      </c>
      <c r="F3254">
        <v>65.274</v>
      </c>
      <c r="G3254">
        <v>18</v>
      </c>
      <c r="L3254" t="s">
        <v>9679</v>
      </c>
      <c r="O3254" t="s">
        <v>9680</v>
      </c>
    </row>
    <row r="3255" spans="1:15" x14ac:dyDescent="0.25">
      <c r="A3255" t="s">
        <v>18</v>
      </c>
      <c r="B3255" t="s">
        <v>9679</v>
      </c>
      <c r="C3255" t="s">
        <v>9681</v>
      </c>
      <c r="D3255" t="s">
        <v>20</v>
      </c>
      <c r="E3255" t="s">
        <v>11</v>
      </c>
      <c r="F3255">
        <v>326.37</v>
      </c>
      <c r="G3255">
        <v>18</v>
      </c>
      <c r="L3255" t="s">
        <v>9682</v>
      </c>
      <c r="O3255" t="s">
        <v>9683</v>
      </c>
    </row>
    <row r="3256" spans="1:15" x14ac:dyDescent="0.25">
      <c r="A3256" t="s">
        <v>18</v>
      </c>
      <c r="B3256" t="s">
        <v>9682</v>
      </c>
      <c r="C3256" t="s">
        <v>9684</v>
      </c>
      <c r="D3256" t="s">
        <v>20</v>
      </c>
      <c r="E3256" t="s">
        <v>11</v>
      </c>
      <c r="F3256">
        <v>65.274</v>
      </c>
      <c r="G3256">
        <v>18</v>
      </c>
      <c r="L3256" t="s">
        <v>9685</v>
      </c>
      <c r="O3256" t="s">
        <v>9686</v>
      </c>
    </row>
    <row r="3257" spans="1:15" x14ac:dyDescent="0.25">
      <c r="A3257" t="s">
        <v>18</v>
      </c>
      <c r="B3257" t="s">
        <v>9685</v>
      </c>
      <c r="C3257" t="s">
        <v>9687</v>
      </c>
      <c r="D3257" t="s">
        <v>20</v>
      </c>
      <c r="E3257" t="s">
        <v>11</v>
      </c>
      <c r="F3257">
        <v>130.548</v>
      </c>
      <c r="G3257">
        <v>18</v>
      </c>
      <c r="L3257" t="s">
        <v>9688</v>
      </c>
      <c r="O3257" t="s">
        <v>9689</v>
      </c>
    </row>
    <row r="3258" spans="1:15" x14ac:dyDescent="0.25">
      <c r="A3258" t="s">
        <v>18</v>
      </c>
      <c r="B3258" t="s">
        <v>9688</v>
      </c>
      <c r="C3258" t="s">
        <v>9690</v>
      </c>
      <c r="D3258" t="s">
        <v>20</v>
      </c>
      <c r="E3258" t="s">
        <v>11</v>
      </c>
      <c r="F3258">
        <v>65.274</v>
      </c>
      <c r="G3258">
        <v>18</v>
      </c>
      <c r="L3258" t="s">
        <v>9691</v>
      </c>
      <c r="O3258" t="s">
        <v>9692</v>
      </c>
    </row>
    <row r="3259" spans="1:15" x14ac:dyDescent="0.25">
      <c r="A3259" t="s">
        <v>18</v>
      </c>
      <c r="B3259" t="s">
        <v>9691</v>
      </c>
      <c r="C3259" t="s">
        <v>9693</v>
      </c>
      <c r="D3259" t="s">
        <v>20</v>
      </c>
      <c r="E3259" t="s">
        <v>11</v>
      </c>
      <c r="F3259">
        <v>65.274</v>
      </c>
      <c r="G3259">
        <v>18</v>
      </c>
      <c r="L3259" t="s">
        <v>9694</v>
      </c>
      <c r="O3259" t="s">
        <v>9695</v>
      </c>
    </row>
    <row r="3260" spans="1:15" x14ac:dyDescent="0.25">
      <c r="A3260" t="s">
        <v>18</v>
      </c>
      <c r="B3260" t="s">
        <v>9694</v>
      </c>
      <c r="C3260" t="s">
        <v>9696</v>
      </c>
      <c r="D3260" t="s">
        <v>20</v>
      </c>
      <c r="E3260" t="s">
        <v>11</v>
      </c>
      <c r="F3260">
        <v>65.274</v>
      </c>
      <c r="G3260">
        <v>18</v>
      </c>
      <c r="L3260" t="s">
        <v>9697</v>
      </c>
      <c r="O3260" t="s">
        <v>9698</v>
      </c>
    </row>
    <row r="3261" spans="1:15" x14ac:dyDescent="0.25">
      <c r="A3261" t="s">
        <v>18</v>
      </c>
      <c r="B3261" t="s">
        <v>9697</v>
      </c>
      <c r="C3261" t="s">
        <v>9699</v>
      </c>
      <c r="D3261" t="s">
        <v>20</v>
      </c>
      <c r="E3261" t="s">
        <v>11</v>
      </c>
      <c r="F3261">
        <v>261.096</v>
      </c>
      <c r="G3261">
        <v>18</v>
      </c>
      <c r="L3261" t="s">
        <v>9700</v>
      </c>
      <c r="O3261" t="s">
        <v>9701</v>
      </c>
    </row>
    <row r="3262" spans="1:15" x14ac:dyDescent="0.25">
      <c r="A3262" t="s">
        <v>18</v>
      </c>
      <c r="B3262" t="s">
        <v>9700</v>
      </c>
      <c r="C3262" t="s">
        <v>9702</v>
      </c>
      <c r="D3262" t="s">
        <v>20</v>
      </c>
      <c r="E3262" t="s">
        <v>11</v>
      </c>
      <c r="F3262">
        <v>65.274</v>
      </c>
      <c r="G3262">
        <v>18</v>
      </c>
      <c r="L3262" t="s">
        <v>9703</v>
      </c>
      <c r="O3262" t="s">
        <v>9704</v>
      </c>
    </row>
    <row r="3263" spans="1:15" x14ac:dyDescent="0.25">
      <c r="A3263" t="s">
        <v>18</v>
      </c>
      <c r="B3263" t="s">
        <v>9703</v>
      </c>
      <c r="C3263" t="s">
        <v>9705</v>
      </c>
      <c r="D3263" t="s">
        <v>20</v>
      </c>
      <c r="E3263" t="s">
        <v>11</v>
      </c>
      <c r="F3263">
        <v>391.64399999999995</v>
      </c>
      <c r="G3263">
        <v>18</v>
      </c>
      <c r="L3263" t="s">
        <v>9706</v>
      </c>
      <c r="O3263" t="s">
        <v>9707</v>
      </c>
    </row>
    <row r="3264" spans="1:15" x14ac:dyDescent="0.25">
      <c r="A3264" t="s">
        <v>18</v>
      </c>
      <c r="B3264" t="s">
        <v>9706</v>
      </c>
      <c r="C3264" t="s">
        <v>9708</v>
      </c>
      <c r="D3264" t="s">
        <v>20</v>
      </c>
      <c r="E3264" t="s">
        <v>11</v>
      </c>
      <c r="F3264">
        <v>1044.384</v>
      </c>
      <c r="G3264">
        <v>18</v>
      </c>
      <c r="L3264" t="s">
        <v>9709</v>
      </c>
      <c r="O3264" t="s">
        <v>9710</v>
      </c>
    </row>
    <row r="3265" spans="1:15" x14ac:dyDescent="0.25">
      <c r="A3265" t="s">
        <v>18</v>
      </c>
      <c r="B3265" t="s">
        <v>9709</v>
      </c>
      <c r="C3265" t="s">
        <v>9711</v>
      </c>
      <c r="D3265" t="s">
        <v>20</v>
      </c>
      <c r="E3265" t="s">
        <v>11</v>
      </c>
      <c r="F3265">
        <v>65.274</v>
      </c>
      <c r="G3265">
        <v>18</v>
      </c>
      <c r="L3265" t="s">
        <v>9712</v>
      </c>
      <c r="O3265" t="s">
        <v>9713</v>
      </c>
    </row>
    <row r="3266" spans="1:15" x14ac:dyDescent="0.25">
      <c r="A3266" t="s">
        <v>18</v>
      </c>
      <c r="B3266" t="s">
        <v>9712</v>
      </c>
      <c r="C3266" t="s">
        <v>9714</v>
      </c>
      <c r="D3266" t="s">
        <v>20</v>
      </c>
      <c r="E3266" t="s">
        <v>11</v>
      </c>
      <c r="F3266">
        <v>65.274</v>
      </c>
      <c r="G3266">
        <v>18</v>
      </c>
      <c r="L3266" t="s">
        <v>9715</v>
      </c>
      <c r="O3266" t="s">
        <v>9716</v>
      </c>
    </row>
    <row r="3267" spans="1:15" x14ac:dyDescent="0.25">
      <c r="A3267" t="s">
        <v>18</v>
      </c>
      <c r="B3267" t="s">
        <v>9715</v>
      </c>
      <c r="C3267" t="s">
        <v>9717</v>
      </c>
      <c r="D3267" t="s">
        <v>20</v>
      </c>
      <c r="E3267" t="s">
        <v>11</v>
      </c>
      <c r="F3267">
        <v>456.918</v>
      </c>
      <c r="G3267">
        <v>18</v>
      </c>
      <c r="L3267" t="s">
        <v>9718</v>
      </c>
      <c r="O3267" t="s">
        <v>9719</v>
      </c>
    </row>
    <row r="3268" spans="1:15" x14ac:dyDescent="0.25">
      <c r="A3268" t="s">
        <v>18</v>
      </c>
      <c r="B3268" t="s">
        <v>9718</v>
      </c>
      <c r="C3268" t="s">
        <v>9720</v>
      </c>
      <c r="D3268" t="s">
        <v>20</v>
      </c>
      <c r="E3268" t="s">
        <v>11</v>
      </c>
      <c r="F3268">
        <v>326.37</v>
      </c>
      <c r="G3268">
        <v>18</v>
      </c>
      <c r="L3268" t="s">
        <v>9721</v>
      </c>
      <c r="O3268" t="s">
        <v>9722</v>
      </c>
    </row>
    <row r="3269" spans="1:15" x14ac:dyDescent="0.25">
      <c r="A3269" t="s">
        <v>18</v>
      </c>
      <c r="B3269" t="s">
        <v>9721</v>
      </c>
      <c r="C3269" t="s">
        <v>9723</v>
      </c>
      <c r="D3269" t="s">
        <v>20</v>
      </c>
      <c r="E3269" t="s">
        <v>11</v>
      </c>
      <c r="F3269">
        <v>65.274</v>
      </c>
      <c r="G3269">
        <v>18</v>
      </c>
      <c r="L3269" t="s">
        <v>9724</v>
      </c>
      <c r="O3269" t="s">
        <v>9725</v>
      </c>
    </row>
    <row r="3270" spans="1:15" x14ac:dyDescent="0.25">
      <c r="A3270" t="s">
        <v>18</v>
      </c>
      <c r="B3270" t="s">
        <v>9724</v>
      </c>
      <c r="C3270" t="s">
        <v>9726</v>
      </c>
      <c r="D3270" t="s">
        <v>20</v>
      </c>
      <c r="E3270" t="s">
        <v>11</v>
      </c>
      <c r="F3270">
        <v>65.274</v>
      </c>
      <c r="G3270">
        <v>18</v>
      </c>
      <c r="L3270" t="s">
        <v>9727</v>
      </c>
      <c r="O3270" t="s">
        <v>9728</v>
      </c>
    </row>
    <row r="3271" spans="1:15" x14ac:dyDescent="0.25">
      <c r="A3271" t="s">
        <v>18</v>
      </c>
      <c r="B3271" t="s">
        <v>9727</v>
      </c>
      <c r="C3271" t="s">
        <v>9729</v>
      </c>
      <c r="D3271" t="s">
        <v>20</v>
      </c>
      <c r="E3271" t="s">
        <v>11</v>
      </c>
      <c r="F3271">
        <v>195.82199999999997</v>
      </c>
      <c r="G3271">
        <v>18</v>
      </c>
      <c r="L3271" t="s">
        <v>9730</v>
      </c>
      <c r="O3271" t="s">
        <v>9731</v>
      </c>
    </row>
    <row r="3272" spans="1:15" x14ac:dyDescent="0.25">
      <c r="A3272" t="s">
        <v>18</v>
      </c>
      <c r="B3272" t="s">
        <v>9730</v>
      </c>
      <c r="C3272" t="s">
        <v>9732</v>
      </c>
      <c r="D3272" t="s">
        <v>20</v>
      </c>
      <c r="E3272" t="s">
        <v>11</v>
      </c>
      <c r="F3272">
        <v>456.918</v>
      </c>
      <c r="G3272">
        <v>18</v>
      </c>
      <c r="L3272" t="s">
        <v>9733</v>
      </c>
      <c r="O3272" t="s">
        <v>9734</v>
      </c>
    </row>
    <row r="3273" spans="1:15" x14ac:dyDescent="0.25">
      <c r="A3273" t="s">
        <v>18</v>
      </c>
      <c r="B3273" t="s">
        <v>9733</v>
      </c>
      <c r="C3273" t="s">
        <v>9735</v>
      </c>
      <c r="D3273" t="s">
        <v>20</v>
      </c>
      <c r="E3273" t="s">
        <v>11</v>
      </c>
      <c r="F3273">
        <v>65.274</v>
      </c>
      <c r="G3273">
        <v>18</v>
      </c>
      <c r="L3273" t="s">
        <v>9736</v>
      </c>
      <c r="O3273" t="s">
        <v>9737</v>
      </c>
    </row>
    <row r="3274" spans="1:15" x14ac:dyDescent="0.25">
      <c r="A3274" t="s">
        <v>18</v>
      </c>
      <c r="B3274" t="s">
        <v>9736</v>
      </c>
      <c r="C3274" t="s">
        <v>9738</v>
      </c>
      <c r="D3274" t="s">
        <v>20</v>
      </c>
      <c r="E3274" t="s">
        <v>11</v>
      </c>
      <c r="F3274">
        <v>65.274</v>
      </c>
      <c r="G3274">
        <v>18</v>
      </c>
      <c r="L3274" t="s">
        <v>9739</v>
      </c>
      <c r="O3274" t="s">
        <v>9740</v>
      </c>
    </row>
    <row r="3275" spans="1:15" x14ac:dyDescent="0.25">
      <c r="A3275" t="s">
        <v>18</v>
      </c>
      <c r="B3275" t="s">
        <v>9739</v>
      </c>
      <c r="C3275" t="s">
        <v>9741</v>
      </c>
      <c r="D3275" t="s">
        <v>20</v>
      </c>
      <c r="E3275" t="s">
        <v>11</v>
      </c>
      <c r="F3275">
        <v>65.274</v>
      </c>
      <c r="G3275">
        <v>18</v>
      </c>
      <c r="L3275" t="s">
        <v>9742</v>
      </c>
      <c r="O3275" t="s">
        <v>9743</v>
      </c>
    </row>
    <row r="3276" spans="1:15" x14ac:dyDescent="0.25">
      <c r="A3276" t="s">
        <v>18</v>
      </c>
      <c r="B3276" t="s">
        <v>9742</v>
      </c>
      <c r="C3276" t="s">
        <v>9744</v>
      </c>
      <c r="D3276" t="s">
        <v>20</v>
      </c>
      <c r="E3276" t="s">
        <v>11</v>
      </c>
      <c r="F3276">
        <v>65.274</v>
      </c>
      <c r="G3276">
        <v>18</v>
      </c>
      <c r="L3276" t="s">
        <v>9745</v>
      </c>
      <c r="O3276" t="s">
        <v>9746</v>
      </c>
    </row>
    <row r="3277" spans="1:15" x14ac:dyDescent="0.25">
      <c r="A3277" t="s">
        <v>18</v>
      </c>
      <c r="B3277" t="s">
        <v>9745</v>
      </c>
      <c r="C3277" t="s">
        <v>9747</v>
      </c>
      <c r="D3277" t="s">
        <v>20</v>
      </c>
      <c r="E3277" t="s">
        <v>11</v>
      </c>
      <c r="F3277">
        <v>65.274</v>
      </c>
      <c r="G3277">
        <v>18</v>
      </c>
      <c r="L3277" t="s">
        <v>9748</v>
      </c>
      <c r="O3277" t="s">
        <v>9749</v>
      </c>
    </row>
    <row r="3278" spans="1:15" x14ac:dyDescent="0.25">
      <c r="A3278" t="s">
        <v>18</v>
      </c>
      <c r="B3278" t="s">
        <v>9748</v>
      </c>
      <c r="C3278" t="s">
        <v>9750</v>
      </c>
      <c r="D3278" t="s">
        <v>20</v>
      </c>
      <c r="E3278" t="s">
        <v>11</v>
      </c>
      <c r="F3278">
        <v>456.918</v>
      </c>
      <c r="G3278">
        <v>18</v>
      </c>
      <c r="L3278" t="s">
        <v>9751</v>
      </c>
      <c r="O3278" t="s">
        <v>9752</v>
      </c>
    </row>
    <row r="3279" spans="1:15" x14ac:dyDescent="0.25">
      <c r="A3279" t="s">
        <v>18</v>
      </c>
      <c r="B3279" t="s">
        <v>9751</v>
      </c>
      <c r="C3279" t="s">
        <v>9753</v>
      </c>
      <c r="D3279" t="s">
        <v>20</v>
      </c>
      <c r="E3279" t="s">
        <v>11</v>
      </c>
      <c r="F3279">
        <v>65.274</v>
      </c>
      <c r="G3279">
        <v>18</v>
      </c>
      <c r="L3279" t="s">
        <v>9754</v>
      </c>
      <c r="O3279" t="s">
        <v>9755</v>
      </c>
    </row>
    <row r="3280" spans="1:15" x14ac:dyDescent="0.25">
      <c r="A3280" t="s">
        <v>18</v>
      </c>
      <c r="B3280" t="s">
        <v>9754</v>
      </c>
      <c r="C3280" t="s">
        <v>9756</v>
      </c>
      <c r="D3280" t="s">
        <v>20</v>
      </c>
      <c r="E3280" t="s">
        <v>11</v>
      </c>
      <c r="F3280">
        <v>391.64399999999995</v>
      </c>
      <c r="G3280">
        <v>18</v>
      </c>
      <c r="L3280" t="s">
        <v>9757</v>
      </c>
      <c r="O3280" t="s">
        <v>9758</v>
      </c>
    </row>
    <row r="3281" spans="1:15" x14ac:dyDescent="0.25">
      <c r="A3281" t="s">
        <v>18</v>
      </c>
      <c r="B3281" t="s">
        <v>9757</v>
      </c>
      <c r="C3281" t="s">
        <v>9759</v>
      </c>
      <c r="D3281" t="s">
        <v>20</v>
      </c>
      <c r="E3281" t="s">
        <v>11</v>
      </c>
      <c r="F3281">
        <v>65.274</v>
      </c>
      <c r="G3281">
        <v>18</v>
      </c>
      <c r="L3281" t="s">
        <v>9760</v>
      </c>
      <c r="O3281" t="s">
        <v>9761</v>
      </c>
    </row>
    <row r="3282" spans="1:15" x14ac:dyDescent="0.25">
      <c r="A3282" t="s">
        <v>18</v>
      </c>
      <c r="B3282" t="s">
        <v>9760</v>
      </c>
      <c r="C3282" t="s">
        <v>9762</v>
      </c>
      <c r="D3282" t="s">
        <v>20</v>
      </c>
      <c r="E3282" t="s">
        <v>11</v>
      </c>
      <c r="F3282">
        <v>261.096</v>
      </c>
      <c r="G3282">
        <v>18</v>
      </c>
      <c r="L3282" t="s">
        <v>9763</v>
      </c>
      <c r="O3282" t="s">
        <v>9764</v>
      </c>
    </row>
    <row r="3283" spans="1:15" x14ac:dyDescent="0.25">
      <c r="A3283" t="s">
        <v>18</v>
      </c>
      <c r="B3283" t="s">
        <v>9763</v>
      </c>
      <c r="C3283" t="s">
        <v>9765</v>
      </c>
      <c r="D3283" t="s">
        <v>20</v>
      </c>
      <c r="E3283" t="s">
        <v>11</v>
      </c>
      <c r="F3283">
        <v>130.548</v>
      </c>
      <c r="G3283">
        <v>18</v>
      </c>
      <c r="L3283" t="s">
        <v>9766</v>
      </c>
      <c r="O3283" t="s">
        <v>9767</v>
      </c>
    </row>
    <row r="3284" spans="1:15" x14ac:dyDescent="0.25">
      <c r="A3284" t="s">
        <v>18</v>
      </c>
      <c r="B3284" t="s">
        <v>9766</v>
      </c>
      <c r="C3284" t="s">
        <v>9768</v>
      </c>
      <c r="D3284" t="s">
        <v>20</v>
      </c>
      <c r="E3284" t="s">
        <v>11</v>
      </c>
      <c r="F3284">
        <v>4634.454</v>
      </c>
      <c r="G3284">
        <v>18</v>
      </c>
      <c r="L3284" t="s">
        <v>9769</v>
      </c>
      <c r="O3284" t="s">
        <v>9770</v>
      </c>
    </row>
    <row r="3285" spans="1:15" x14ac:dyDescent="0.25">
      <c r="A3285" t="s">
        <v>18</v>
      </c>
      <c r="B3285" t="s">
        <v>9769</v>
      </c>
      <c r="C3285" t="s">
        <v>9771</v>
      </c>
      <c r="D3285" t="s">
        <v>20</v>
      </c>
      <c r="E3285" t="s">
        <v>11</v>
      </c>
      <c r="F3285">
        <v>4242.8099999999995</v>
      </c>
      <c r="G3285">
        <v>18</v>
      </c>
      <c r="L3285" t="s">
        <v>9772</v>
      </c>
      <c r="O3285" t="s">
        <v>9773</v>
      </c>
    </row>
    <row r="3286" spans="1:15" x14ac:dyDescent="0.25">
      <c r="A3286" t="s">
        <v>18</v>
      </c>
      <c r="B3286" t="s">
        <v>9772</v>
      </c>
      <c r="C3286" t="s">
        <v>9774</v>
      </c>
      <c r="D3286" t="s">
        <v>20</v>
      </c>
      <c r="E3286" t="s">
        <v>11</v>
      </c>
      <c r="F3286">
        <v>456.918</v>
      </c>
      <c r="G3286">
        <v>18</v>
      </c>
      <c r="L3286" t="s">
        <v>9775</v>
      </c>
      <c r="O3286" t="s">
        <v>9776</v>
      </c>
    </row>
    <row r="3287" spans="1:15" x14ac:dyDescent="0.25">
      <c r="A3287" t="s">
        <v>18</v>
      </c>
      <c r="B3287" t="s">
        <v>9775</v>
      </c>
      <c r="C3287" t="s">
        <v>9777</v>
      </c>
      <c r="D3287" t="s">
        <v>20</v>
      </c>
      <c r="E3287" t="s">
        <v>11</v>
      </c>
      <c r="F3287">
        <v>65.274</v>
      </c>
      <c r="G3287">
        <v>18</v>
      </c>
      <c r="L3287" t="s">
        <v>9778</v>
      </c>
      <c r="O3287" t="s">
        <v>9779</v>
      </c>
    </row>
    <row r="3288" spans="1:15" x14ac:dyDescent="0.25">
      <c r="A3288" t="s">
        <v>18</v>
      </c>
      <c r="B3288" t="s">
        <v>9778</v>
      </c>
      <c r="C3288" t="s">
        <v>9780</v>
      </c>
      <c r="D3288" t="s">
        <v>20</v>
      </c>
      <c r="E3288" t="s">
        <v>11</v>
      </c>
      <c r="F3288">
        <v>65.274</v>
      </c>
      <c r="G3288">
        <v>18</v>
      </c>
      <c r="L3288" t="s">
        <v>9781</v>
      </c>
      <c r="O3288" t="s">
        <v>9782</v>
      </c>
    </row>
    <row r="3289" spans="1:15" x14ac:dyDescent="0.25">
      <c r="A3289" t="s">
        <v>18</v>
      </c>
      <c r="B3289" t="s">
        <v>9781</v>
      </c>
      <c r="C3289" t="s">
        <v>9783</v>
      </c>
      <c r="D3289" t="s">
        <v>20</v>
      </c>
      <c r="E3289" t="s">
        <v>11</v>
      </c>
      <c r="F3289">
        <v>65.274</v>
      </c>
      <c r="G3289">
        <v>18</v>
      </c>
      <c r="L3289" t="s">
        <v>9784</v>
      </c>
      <c r="O3289" t="s">
        <v>9785</v>
      </c>
    </row>
    <row r="3290" spans="1:15" x14ac:dyDescent="0.25">
      <c r="A3290" t="s">
        <v>18</v>
      </c>
      <c r="B3290" t="s">
        <v>9784</v>
      </c>
      <c r="C3290" t="s">
        <v>9786</v>
      </c>
      <c r="D3290" t="s">
        <v>20</v>
      </c>
      <c r="E3290" t="s">
        <v>11</v>
      </c>
      <c r="F3290">
        <v>65.274</v>
      </c>
      <c r="G3290">
        <v>18</v>
      </c>
      <c r="L3290" t="s">
        <v>9787</v>
      </c>
      <c r="O3290" t="s">
        <v>9788</v>
      </c>
    </row>
    <row r="3291" spans="1:15" x14ac:dyDescent="0.25">
      <c r="A3291" t="s">
        <v>18</v>
      </c>
      <c r="B3291" t="s">
        <v>9787</v>
      </c>
      <c r="C3291" t="s">
        <v>9789</v>
      </c>
      <c r="D3291" t="s">
        <v>20</v>
      </c>
      <c r="E3291" t="s">
        <v>11</v>
      </c>
      <c r="F3291">
        <v>65.274</v>
      </c>
      <c r="G3291">
        <v>18</v>
      </c>
      <c r="L3291" t="s">
        <v>9790</v>
      </c>
      <c r="O3291" t="s">
        <v>9791</v>
      </c>
    </row>
    <row r="3292" spans="1:15" x14ac:dyDescent="0.25">
      <c r="A3292" t="s">
        <v>18</v>
      </c>
      <c r="B3292" t="s">
        <v>9790</v>
      </c>
      <c r="C3292" t="s">
        <v>9792</v>
      </c>
      <c r="D3292" t="s">
        <v>20</v>
      </c>
      <c r="E3292" t="s">
        <v>11</v>
      </c>
      <c r="F3292">
        <v>65.274</v>
      </c>
      <c r="G3292">
        <v>18</v>
      </c>
      <c r="L3292" t="s">
        <v>9793</v>
      </c>
      <c r="O3292" t="s">
        <v>9794</v>
      </c>
    </row>
    <row r="3293" spans="1:15" x14ac:dyDescent="0.25">
      <c r="A3293" t="s">
        <v>18</v>
      </c>
      <c r="B3293" t="s">
        <v>9793</v>
      </c>
      <c r="C3293" t="s">
        <v>9795</v>
      </c>
      <c r="D3293" t="s">
        <v>20</v>
      </c>
      <c r="E3293" t="s">
        <v>11</v>
      </c>
      <c r="F3293">
        <v>261.096</v>
      </c>
      <c r="G3293">
        <v>18</v>
      </c>
      <c r="L3293" t="s">
        <v>9796</v>
      </c>
      <c r="O3293" t="s">
        <v>9797</v>
      </c>
    </row>
    <row r="3294" spans="1:15" x14ac:dyDescent="0.25">
      <c r="A3294" t="s">
        <v>18</v>
      </c>
      <c r="B3294" t="s">
        <v>9796</v>
      </c>
      <c r="C3294" t="s">
        <v>9798</v>
      </c>
      <c r="D3294" t="s">
        <v>20</v>
      </c>
      <c r="E3294" t="s">
        <v>11</v>
      </c>
      <c r="F3294">
        <v>130.548</v>
      </c>
      <c r="G3294">
        <v>18</v>
      </c>
      <c r="L3294" t="s">
        <v>9799</v>
      </c>
      <c r="O3294" t="s">
        <v>9800</v>
      </c>
    </row>
    <row r="3295" spans="1:15" x14ac:dyDescent="0.25">
      <c r="A3295" t="s">
        <v>18</v>
      </c>
      <c r="B3295" t="s">
        <v>9799</v>
      </c>
      <c r="C3295" t="s">
        <v>9801</v>
      </c>
      <c r="D3295" t="s">
        <v>20</v>
      </c>
      <c r="E3295" t="s">
        <v>11</v>
      </c>
      <c r="F3295">
        <v>130.548</v>
      </c>
      <c r="G3295">
        <v>18</v>
      </c>
      <c r="L3295" t="s">
        <v>9802</v>
      </c>
      <c r="O3295" t="s">
        <v>9803</v>
      </c>
    </row>
    <row r="3296" spans="1:15" x14ac:dyDescent="0.25">
      <c r="A3296" t="s">
        <v>18</v>
      </c>
      <c r="B3296" t="s">
        <v>9802</v>
      </c>
      <c r="C3296" t="s">
        <v>9804</v>
      </c>
      <c r="D3296" t="s">
        <v>20</v>
      </c>
      <c r="E3296" t="s">
        <v>11</v>
      </c>
      <c r="F3296">
        <v>261.096</v>
      </c>
      <c r="G3296">
        <v>18</v>
      </c>
      <c r="L3296" t="s">
        <v>9805</v>
      </c>
      <c r="O3296" t="s">
        <v>9806</v>
      </c>
    </row>
    <row r="3297" spans="1:15" x14ac:dyDescent="0.25">
      <c r="A3297" t="s">
        <v>18</v>
      </c>
      <c r="B3297" t="s">
        <v>9805</v>
      </c>
      <c r="C3297" t="s">
        <v>9807</v>
      </c>
      <c r="D3297" t="s">
        <v>20</v>
      </c>
      <c r="E3297" t="s">
        <v>11</v>
      </c>
      <c r="F3297">
        <v>261.096</v>
      </c>
      <c r="G3297">
        <v>18</v>
      </c>
      <c r="L3297" t="s">
        <v>9808</v>
      </c>
      <c r="O3297" t="s">
        <v>9809</v>
      </c>
    </row>
    <row r="3298" spans="1:15" x14ac:dyDescent="0.25">
      <c r="A3298" t="s">
        <v>18</v>
      </c>
      <c r="B3298" t="s">
        <v>9808</v>
      </c>
      <c r="C3298" t="s">
        <v>9810</v>
      </c>
      <c r="D3298" t="s">
        <v>20</v>
      </c>
      <c r="E3298" t="s">
        <v>11</v>
      </c>
      <c r="F3298">
        <v>261.096</v>
      </c>
      <c r="G3298">
        <v>18</v>
      </c>
      <c r="L3298" t="s">
        <v>9811</v>
      </c>
      <c r="O3298" t="s">
        <v>9812</v>
      </c>
    </row>
    <row r="3299" spans="1:15" x14ac:dyDescent="0.25">
      <c r="A3299" t="s">
        <v>18</v>
      </c>
      <c r="B3299" t="s">
        <v>9811</v>
      </c>
      <c r="C3299" t="s">
        <v>9813</v>
      </c>
      <c r="D3299" t="s">
        <v>20</v>
      </c>
      <c r="E3299" t="s">
        <v>11</v>
      </c>
      <c r="F3299">
        <v>261.096</v>
      </c>
      <c r="G3299">
        <v>18</v>
      </c>
      <c r="L3299" t="s">
        <v>9814</v>
      </c>
      <c r="O3299" t="s">
        <v>9815</v>
      </c>
    </row>
    <row r="3300" spans="1:15" x14ac:dyDescent="0.25">
      <c r="A3300" t="s">
        <v>18</v>
      </c>
      <c r="B3300" t="s">
        <v>9814</v>
      </c>
      <c r="C3300" t="s">
        <v>9816</v>
      </c>
      <c r="D3300" t="s">
        <v>20</v>
      </c>
      <c r="E3300" t="s">
        <v>11</v>
      </c>
      <c r="F3300">
        <v>261.096</v>
      </c>
      <c r="G3300">
        <v>18</v>
      </c>
      <c r="L3300" t="s">
        <v>9817</v>
      </c>
      <c r="O3300" t="s">
        <v>9818</v>
      </c>
    </row>
    <row r="3301" spans="1:15" x14ac:dyDescent="0.25">
      <c r="A3301" t="s">
        <v>18</v>
      </c>
      <c r="B3301" t="s">
        <v>9817</v>
      </c>
      <c r="C3301" t="s">
        <v>9819</v>
      </c>
      <c r="D3301" t="s">
        <v>20</v>
      </c>
      <c r="E3301" t="s">
        <v>11</v>
      </c>
      <c r="F3301">
        <v>261.096</v>
      </c>
      <c r="G3301">
        <v>18</v>
      </c>
      <c r="L3301" t="s">
        <v>9820</v>
      </c>
      <c r="O3301" t="s">
        <v>9821</v>
      </c>
    </row>
    <row r="3302" spans="1:15" x14ac:dyDescent="0.25">
      <c r="A3302" t="s">
        <v>18</v>
      </c>
      <c r="B3302" t="s">
        <v>9820</v>
      </c>
      <c r="C3302" t="s">
        <v>9822</v>
      </c>
      <c r="D3302" t="s">
        <v>20</v>
      </c>
      <c r="E3302" t="s">
        <v>11</v>
      </c>
      <c r="F3302">
        <v>261.096</v>
      </c>
      <c r="G3302">
        <v>18</v>
      </c>
      <c r="L3302" t="s">
        <v>9823</v>
      </c>
      <c r="O3302" t="s">
        <v>9824</v>
      </c>
    </row>
    <row r="3303" spans="1:15" x14ac:dyDescent="0.25">
      <c r="A3303" t="s">
        <v>18</v>
      </c>
      <c r="B3303" t="s">
        <v>9823</v>
      </c>
      <c r="C3303" t="s">
        <v>9825</v>
      </c>
      <c r="D3303" t="s">
        <v>20</v>
      </c>
      <c r="E3303" t="s">
        <v>11</v>
      </c>
      <c r="F3303">
        <v>261.096</v>
      </c>
      <c r="G3303">
        <v>18</v>
      </c>
      <c r="L3303" t="s">
        <v>9826</v>
      </c>
      <c r="O3303" t="s">
        <v>9827</v>
      </c>
    </row>
    <row r="3304" spans="1:15" x14ac:dyDescent="0.25">
      <c r="A3304" t="s">
        <v>18</v>
      </c>
      <c r="B3304" t="s">
        <v>9826</v>
      </c>
      <c r="C3304" t="s">
        <v>9828</v>
      </c>
      <c r="D3304" t="s">
        <v>20</v>
      </c>
      <c r="E3304" t="s">
        <v>11</v>
      </c>
      <c r="F3304">
        <v>261.096</v>
      </c>
      <c r="G3304">
        <v>18</v>
      </c>
      <c r="L3304" t="s">
        <v>9829</v>
      </c>
      <c r="O3304" t="s">
        <v>9830</v>
      </c>
    </row>
    <row r="3305" spans="1:15" x14ac:dyDescent="0.25">
      <c r="A3305" t="s">
        <v>18</v>
      </c>
      <c r="B3305" t="s">
        <v>9829</v>
      </c>
      <c r="C3305" t="s">
        <v>9831</v>
      </c>
      <c r="D3305" t="s">
        <v>20</v>
      </c>
      <c r="E3305" t="s">
        <v>11</v>
      </c>
      <c r="F3305">
        <v>261.096</v>
      </c>
      <c r="G3305">
        <v>18</v>
      </c>
      <c r="L3305" t="s">
        <v>9832</v>
      </c>
      <c r="O3305" t="s">
        <v>9833</v>
      </c>
    </row>
    <row r="3306" spans="1:15" x14ac:dyDescent="0.25">
      <c r="A3306" t="s">
        <v>18</v>
      </c>
      <c r="B3306" t="s">
        <v>9832</v>
      </c>
      <c r="C3306" t="s">
        <v>9834</v>
      </c>
      <c r="D3306" t="s">
        <v>20</v>
      </c>
      <c r="E3306" t="s">
        <v>11</v>
      </c>
      <c r="F3306">
        <v>261.096</v>
      </c>
      <c r="G3306">
        <v>18</v>
      </c>
      <c r="L3306" t="s">
        <v>9835</v>
      </c>
      <c r="O3306" t="s">
        <v>9836</v>
      </c>
    </row>
    <row r="3307" spans="1:15" x14ac:dyDescent="0.25">
      <c r="A3307" t="s">
        <v>18</v>
      </c>
      <c r="B3307" t="s">
        <v>9835</v>
      </c>
      <c r="C3307" t="s">
        <v>9837</v>
      </c>
      <c r="D3307" t="s">
        <v>20</v>
      </c>
      <c r="E3307" t="s">
        <v>11</v>
      </c>
      <c r="F3307">
        <v>261.096</v>
      </c>
      <c r="G3307">
        <v>18</v>
      </c>
      <c r="L3307" t="s">
        <v>9838</v>
      </c>
      <c r="O3307" t="s">
        <v>9839</v>
      </c>
    </row>
    <row r="3308" spans="1:15" x14ac:dyDescent="0.25">
      <c r="A3308" t="s">
        <v>18</v>
      </c>
      <c r="B3308" t="s">
        <v>9838</v>
      </c>
      <c r="C3308" t="s">
        <v>9840</v>
      </c>
      <c r="D3308" t="s">
        <v>20</v>
      </c>
      <c r="E3308" t="s">
        <v>11</v>
      </c>
      <c r="F3308">
        <v>261.096</v>
      </c>
      <c r="G3308">
        <v>18</v>
      </c>
      <c r="L3308" t="s">
        <v>9841</v>
      </c>
      <c r="O3308" t="s">
        <v>9842</v>
      </c>
    </row>
    <row r="3309" spans="1:15" x14ac:dyDescent="0.25">
      <c r="A3309" t="s">
        <v>18</v>
      </c>
      <c r="B3309" t="s">
        <v>9841</v>
      </c>
      <c r="C3309" t="s">
        <v>9843</v>
      </c>
      <c r="D3309" t="s">
        <v>20</v>
      </c>
      <c r="E3309" t="s">
        <v>11</v>
      </c>
      <c r="F3309">
        <v>261.096</v>
      </c>
      <c r="G3309">
        <v>18</v>
      </c>
      <c r="L3309" t="s">
        <v>9844</v>
      </c>
      <c r="O3309" t="s">
        <v>9845</v>
      </c>
    </row>
    <row r="3310" spans="1:15" x14ac:dyDescent="0.25">
      <c r="A3310" t="s">
        <v>18</v>
      </c>
      <c r="B3310" t="s">
        <v>9844</v>
      </c>
      <c r="C3310" t="s">
        <v>9846</v>
      </c>
      <c r="D3310" t="s">
        <v>20</v>
      </c>
      <c r="E3310" t="s">
        <v>11</v>
      </c>
      <c r="F3310">
        <v>522.192</v>
      </c>
      <c r="G3310">
        <v>18</v>
      </c>
      <c r="L3310" t="s">
        <v>9847</v>
      </c>
      <c r="O3310" t="s">
        <v>9848</v>
      </c>
    </row>
    <row r="3311" spans="1:15" x14ac:dyDescent="0.25">
      <c r="A3311" t="s">
        <v>18</v>
      </c>
      <c r="B3311" t="s">
        <v>9847</v>
      </c>
      <c r="C3311" t="s">
        <v>9849</v>
      </c>
      <c r="D3311" t="s">
        <v>20</v>
      </c>
      <c r="E3311" t="s">
        <v>11</v>
      </c>
      <c r="F3311">
        <v>522.192</v>
      </c>
      <c r="G3311">
        <v>18</v>
      </c>
      <c r="L3311" t="s">
        <v>9850</v>
      </c>
      <c r="O3311" t="s">
        <v>9851</v>
      </c>
    </row>
    <row r="3312" spans="1:15" x14ac:dyDescent="0.25">
      <c r="A3312" t="s">
        <v>18</v>
      </c>
      <c r="B3312" t="s">
        <v>9850</v>
      </c>
      <c r="C3312" t="s">
        <v>9852</v>
      </c>
      <c r="D3312" t="s">
        <v>20</v>
      </c>
      <c r="E3312" t="s">
        <v>11</v>
      </c>
      <c r="F3312">
        <v>522.192</v>
      </c>
      <c r="G3312">
        <v>18</v>
      </c>
      <c r="L3312" t="s">
        <v>9853</v>
      </c>
      <c r="O3312" t="s">
        <v>9854</v>
      </c>
    </row>
    <row r="3313" spans="1:15" x14ac:dyDescent="0.25">
      <c r="A3313" t="s">
        <v>18</v>
      </c>
      <c r="B3313" t="s">
        <v>9853</v>
      </c>
      <c r="C3313" t="s">
        <v>9855</v>
      </c>
      <c r="D3313" t="s">
        <v>20</v>
      </c>
      <c r="E3313" t="s">
        <v>11</v>
      </c>
      <c r="F3313">
        <v>522.192</v>
      </c>
      <c r="G3313">
        <v>18</v>
      </c>
      <c r="L3313" t="s">
        <v>9856</v>
      </c>
      <c r="O3313" t="s">
        <v>9857</v>
      </c>
    </row>
    <row r="3314" spans="1:15" x14ac:dyDescent="0.25">
      <c r="A3314" t="s">
        <v>18</v>
      </c>
      <c r="B3314" t="s">
        <v>9856</v>
      </c>
      <c r="C3314" t="s">
        <v>9858</v>
      </c>
      <c r="D3314" t="s">
        <v>20</v>
      </c>
      <c r="E3314" t="s">
        <v>11</v>
      </c>
      <c r="F3314">
        <v>522.192</v>
      </c>
      <c r="G3314">
        <v>18</v>
      </c>
      <c r="L3314" t="s">
        <v>9859</v>
      </c>
      <c r="O3314" t="s">
        <v>9860</v>
      </c>
    </row>
    <row r="3315" spans="1:15" x14ac:dyDescent="0.25">
      <c r="A3315" t="s">
        <v>18</v>
      </c>
      <c r="B3315" t="s">
        <v>9859</v>
      </c>
      <c r="C3315" t="s">
        <v>9861</v>
      </c>
      <c r="D3315" t="s">
        <v>20</v>
      </c>
      <c r="E3315" t="s">
        <v>11</v>
      </c>
      <c r="F3315">
        <v>522.192</v>
      </c>
      <c r="G3315">
        <v>18</v>
      </c>
      <c r="L3315" t="s">
        <v>9862</v>
      </c>
      <c r="O3315" t="s">
        <v>9863</v>
      </c>
    </row>
    <row r="3316" spans="1:15" x14ac:dyDescent="0.25">
      <c r="A3316" t="s">
        <v>18</v>
      </c>
      <c r="B3316" t="s">
        <v>9862</v>
      </c>
      <c r="C3316" t="s">
        <v>9864</v>
      </c>
      <c r="D3316" t="s">
        <v>20</v>
      </c>
      <c r="E3316" t="s">
        <v>11</v>
      </c>
      <c r="F3316">
        <v>65.274</v>
      </c>
      <c r="G3316">
        <v>18</v>
      </c>
      <c r="L3316" t="s">
        <v>9865</v>
      </c>
      <c r="O3316" t="s">
        <v>9866</v>
      </c>
    </row>
    <row r="3317" spans="1:15" x14ac:dyDescent="0.25">
      <c r="A3317" t="s">
        <v>18</v>
      </c>
      <c r="B3317" t="s">
        <v>9865</v>
      </c>
      <c r="C3317" t="s">
        <v>9867</v>
      </c>
      <c r="D3317" t="s">
        <v>20</v>
      </c>
      <c r="E3317" t="s">
        <v>11</v>
      </c>
      <c r="F3317">
        <v>65.274</v>
      </c>
      <c r="G3317">
        <v>18</v>
      </c>
      <c r="L3317" t="s">
        <v>9868</v>
      </c>
      <c r="O3317" t="s">
        <v>9869</v>
      </c>
    </row>
    <row r="3318" spans="1:15" x14ac:dyDescent="0.25">
      <c r="A3318" t="s">
        <v>18</v>
      </c>
      <c r="B3318" t="s">
        <v>9868</v>
      </c>
      <c r="C3318" t="s">
        <v>9870</v>
      </c>
      <c r="D3318" t="s">
        <v>20</v>
      </c>
      <c r="E3318" t="s">
        <v>11</v>
      </c>
      <c r="F3318">
        <v>913.836</v>
      </c>
      <c r="G3318">
        <v>18</v>
      </c>
      <c r="L3318" t="s">
        <v>9871</v>
      </c>
      <c r="O3318" t="s">
        <v>9872</v>
      </c>
    </row>
    <row r="3319" spans="1:15" x14ac:dyDescent="0.25">
      <c r="A3319" t="s">
        <v>18</v>
      </c>
      <c r="B3319" t="s">
        <v>9871</v>
      </c>
      <c r="C3319" t="s">
        <v>9873</v>
      </c>
      <c r="D3319" t="s">
        <v>20</v>
      </c>
      <c r="E3319" t="s">
        <v>11</v>
      </c>
      <c r="F3319">
        <v>130.548</v>
      </c>
      <c r="G3319">
        <v>18</v>
      </c>
      <c r="L3319" t="s">
        <v>9874</v>
      </c>
      <c r="O3319" t="s">
        <v>9875</v>
      </c>
    </row>
    <row r="3320" spans="1:15" x14ac:dyDescent="0.25">
      <c r="A3320" t="s">
        <v>18</v>
      </c>
      <c r="B3320" t="s">
        <v>9874</v>
      </c>
      <c r="C3320" t="s">
        <v>9876</v>
      </c>
      <c r="D3320" t="s">
        <v>20</v>
      </c>
      <c r="E3320" t="s">
        <v>11</v>
      </c>
      <c r="F3320">
        <v>65.274</v>
      </c>
      <c r="G3320">
        <v>18</v>
      </c>
      <c r="L3320" t="s">
        <v>9877</v>
      </c>
      <c r="O3320" t="s">
        <v>9878</v>
      </c>
    </row>
    <row r="3321" spans="1:15" x14ac:dyDescent="0.25">
      <c r="A3321" t="s">
        <v>18</v>
      </c>
      <c r="B3321" t="s">
        <v>9877</v>
      </c>
      <c r="C3321" t="s">
        <v>9879</v>
      </c>
      <c r="D3321" t="s">
        <v>20</v>
      </c>
      <c r="E3321" t="s">
        <v>11</v>
      </c>
      <c r="F3321">
        <v>1501.302</v>
      </c>
      <c r="G3321">
        <v>18</v>
      </c>
      <c r="L3321" t="s">
        <v>9880</v>
      </c>
      <c r="O3321" t="s">
        <v>9881</v>
      </c>
    </row>
    <row r="3322" spans="1:15" x14ac:dyDescent="0.25">
      <c r="A3322" t="s">
        <v>18</v>
      </c>
      <c r="B3322" t="s">
        <v>9880</v>
      </c>
      <c r="C3322" t="s">
        <v>9882</v>
      </c>
      <c r="D3322" t="s">
        <v>20</v>
      </c>
      <c r="E3322" t="s">
        <v>11</v>
      </c>
      <c r="F3322">
        <v>65.274</v>
      </c>
      <c r="G3322">
        <v>18</v>
      </c>
      <c r="L3322" t="s">
        <v>9883</v>
      </c>
      <c r="O3322" t="s">
        <v>9884</v>
      </c>
    </row>
    <row r="3323" spans="1:15" x14ac:dyDescent="0.25">
      <c r="A3323" t="s">
        <v>18</v>
      </c>
      <c r="B3323" t="s">
        <v>9883</v>
      </c>
      <c r="C3323" t="s">
        <v>9885</v>
      </c>
      <c r="D3323" t="s">
        <v>20</v>
      </c>
      <c r="E3323" t="s">
        <v>11</v>
      </c>
      <c r="F3323">
        <v>65.274</v>
      </c>
      <c r="G3323">
        <v>18</v>
      </c>
      <c r="L3323" t="s">
        <v>9886</v>
      </c>
      <c r="O3323" t="s">
        <v>9887</v>
      </c>
    </row>
    <row r="3324" spans="1:15" x14ac:dyDescent="0.25">
      <c r="A3324" t="s">
        <v>18</v>
      </c>
      <c r="B3324" t="s">
        <v>9886</v>
      </c>
      <c r="C3324" t="s">
        <v>9888</v>
      </c>
      <c r="D3324" t="s">
        <v>20</v>
      </c>
      <c r="E3324" t="s">
        <v>11</v>
      </c>
      <c r="F3324">
        <v>65.274</v>
      </c>
      <c r="G3324">
        <v>18</v>
      </c>
      <c r="L3324" t="s">
        <v>9889</v>
      </c>
      <c r="O3324" t="s">
        <v>9890</v>
      </c>
    </row>
    <row r="3325" spans="1:15" x14ac:dyDescent="0.25">
      <c r="A3325" t="s">
        <v>18</v>
      </c>
      <c r="B3325" t="s">
        <v>9889</v>
      </c>
      <c r="C3325" t="s">
        <v>9891</v>
      </c>
      <c r="D3325" t="s">
        <v>20</v>
      </c>
      <c r="E3325" t="s">
        <v>11</v>
      </c>
      <c r="F3325">
        <v>65.274</v>
      </c>
      <c r="G3325">
        <v>18</v>
      </c>
      <c r="L3325" t="s">
        <v>9892</v>
      </c>
      <c r="O3325" t="s">
        <v>9893</v>
      </c>
    </row>
    <row r="3326" spans="1:15" x14ac:dyDescent="0.25">
      <c r="A3326" t="s">
        <v>18</v>
      </c>
      <c r="B3326" t="s">
        <v>9892</v>
      </c>
      <c r="C3326" t="s">
        <v>9894</v>
      </c>
      <c r="D3326" t="s">
        <v>20</v>
      </c>
      <c r="E3326" t="s">
        <v>11</v>
      </c>
      <c r="F3326">
        <v>65.274</v>
      </c>
      <c r="G3326">
        <v>18</v>
      </c>
      <c r="L3326" t="s">
        <v>9895</v>
      </c>
      <c r="O3326" t="s">
        <v>9896</v>
      </c>
    </row>
    <row r="3327" spans="1:15" x14ac:dyDescent="0.25">
      <c r="A3327" t="s">
        <v>18</v>
      </c>
      <c r="B3327" t="s">
        <v>9895</v>
      </c>
      <c r="C3327" t="s">
        <v>9897</v>
      </c>
      <c r="D3327" t="s">
        <v>20</v>
      </c>
      <c r="E3327" t="s">
        <v>11</v>
      </c>
      <c r="F3327">
        <v>65.274</v>
      </c>
      <c r="G3327">
        <v>18</v>
      </c>
      <c r="L3327" t="s">
        <v>9898</v>
      </c>
      <c r="O3327" t="s">
        <v>9899</v>
      </c>
    </row>
    <row r="3328" spans="1:15" x14ac:dyDescent="0.25">
      <c r="A3328" t="s">
        <v>18</v>
      </c>
      <c r="B3328" t="s">
        <v>9898</v>
      </c>
      <c r="C3328" t="s">
        <v>9900</v>
      </c>
      <c r="D3328" t="s">
        <v>20</v>
      </c>
      <c r="E3328" t="s">
        <v>11</v>
      </c>
      <c r="F3328">
        <v>65.274</v>
      </c>
      <c r="G3328">
        <v>18</v>
      </c>
      <c r="L3328" t="s">
        <v>9901</v>
      </c>
      <c r="O3328" t="s">
        <v>9902</v>
      </c>
    </row>
    <row r="3329" spans="1:15" x14ac:dyDescent="0.25">
      <c r="A3329" t="s">
        <v>18</v>
      </c>
      <c r="B3329" t="s">
        <v>9901</v>
      </c>
      <c r="C3329" t="s">
        <v>9903</v>
      </c>
      <c r="D3329" t="s">
        <v>20</v>
      </c>
      <c r="E3329" t="s">
        <v>11</v>
      </c>
      <c r="F3329">
        <v>130.548</v>
      </c>
      <c r="G3329">
        <v>18</v>
      </c>
      <c r="L3329" t="s">
        <v>9904</v>
      </c>
      <c r="O3329" t="s">
        <v>9905</v>
      </c>
    </row>
    <row r="3330" spans="1:15" x14ac:dyDescent="0.25">
      <c r="A3330" t="s">
        <v>18</v>
      </c>
      <c r="B3330" t="s">
        <v>9904</v>
      </c>
      <c r="C3330" t="s">
        <v>9906</v>
      </c>
      <c r="D3330" t="s">
        <v>20</v>
      </c>
      <c r="E3330" t="s">
        <v>11</v>
      </c>
      <c r="F3330">
        <v>130.548</v>
      </c>
      <c r="G3330">
        <v>18</v>
      </c>
      <c r="L3330" t="s">
        <v>9907</v>
      </c>
      <c r="O3330" t="s">
        <v>9908</v>
      </c>
    </row>
    <row r="3331" spans="1:15" x14ac:dyDescent="0.25">
      <c r="A3331" t="s">
        <v>18</v>
      </c>
      <c r="B3331" t="s">
        <v>9907</v>
      </c>
      <c r="C3331" t="s">
        <v>9909</v>
      </c>
      <c r="D3331" t="s">
        <v>20</v>
      </c>
      <c r="E3331" t="s">
        <v>11</v>
      </c>
      <c r="F3331">
        <v>65.274</v>
      </c>
      <c r="G3331">
        <v>18</v>
      </c>
      <c r="L3331" t="s">
        <v>9910</v>
      </c>
      <c r="O3331" t="s">
        <v>9911</v>
      </c>
    </row>
    <row r="3332" spans="1:15" x14ac:dyDescent="0.25">
      <c r="A3332" t="s">
        <v>18</v>
      </c>
      <c r="B3332" t="s">
        <v>9910</v>
      </c>
      <c r="C3332" t="s">
        <v>9912</v>
      </c>
      <c r="D3332" t="s">
        <v>20</v>
      </c>
      <c r="E3332" t="s">
        <v>11</v>
      </c>
      <c r="F3332">
        <v>456.918</v>
      </c>
      <c r="G3332">
        <v>18</v>
      </c>
      <c r="L3332" t="s">
        <v>9913</v>
      </c>
      <c r="O3332" t="s">
        <v>9914</v>
      </c>
    </row>
    <row r="3333" spans="1:15" x14ac:dyDescent="0.25">
      <c r="A3333" t="s">
        <v>18</v>
      </c>
      <c r="B3333" t="s">
        <v>9913</v>
      </c>
      <c r="C3333" t="s">
        <v>9915</v>
      </c>
      <c r="D3333" t="s">
        <v>20</v>
      </c>
      <c r="E3333" t="s">
        <v>11</v>
      </c>
      <c r="F3333">
        <v>130.548</v>
      </c>
      <c r="G3333">
        <v>18</v>
      </c>
      <c r="L3333" t="s">
        <v>9916</v>
      </c>
      <c r="O3333" t="s">
        <v>9917</v>
      </c>
    </row>
    <row r="3334" spans="1:15" x14ac:dyDescent="0.25">
      <c r="A3334" t="s">
        <v>18</v>
      </c>
      <c r="B3334" t="s">
        <v>9916</v>
      </c>
      <c r="C3334" t="s">
        <v>9705</v>
      </c>
      <c r="D3334" t="s">
        <v>20</v>
      </c>
      <c r="E3334" t="s">
        <v>11</v>
      </c>
      <c r="F3334">
        <v>130.548</v>
      </c>
      <c r="G3334">
        <v>18</v>
      </c>
      <c r="L3334" t="s">
        <v>9918</v>
      </c>
      <c r="O3334" t="s">
        <v>9919</v>
      </c>
    </row>
    <row r="3335" spans="1:15" x14ac:dyDescent="0.25">
      <c r="A3335" t="s">
        <v>18</v>
      </c>
      <c r="B3335" t="s">
        <v>9918</v>
      </c>
      <c r="C3335" t="s">
        <v>9920</v>
      </c>
      <c r="D3335" t="s">
        <v>20</v>
      </c>
      <c r="E3335" t="s">
        <v>11</v>
      </c>
      <c r="F3335">
        <v>65.274</v>
      </c>
      <c r="G3335">
        <v>18</v>
      </c>
      <c r="L3335" t="s">
        <v>9921</v>
      </c>
      <c r="O3335" t="s">
        <v>9922</v>
      </c>
    </row>
    <row r="3336" spans="1:15" x14ac:dyDescent="0.25">
      <c r="A3336" t="s">
        <v>18</v>
      </c>
      <c r="B3336" t="s">
        <v>9921</v>
      </c>
      <c r="C3336" t="s">
        <v>9923</v>
      </c>
      <c r="D3336" t="s">
        <v>20</v>
      </c>
      <c r="E3336" t="s">
        <v>11</v>
      </c>
      <c r="F3336">
        <v>65.274</v>
      </c>
      <c r="G3336">
        <v>18</v>
      </c>
      <c r="L3336" t="s">
        <v>9924</v>
      </c>
      <c r="O3336" t="s">
        <v>9925</v>
      </c>
    </row>
    <row r="3337" spans="1:15" x14ac:dyDescent="0.25">
      <c r="A3337" t="s">
        <v>18</v>
      </c>
      <c r="B3337" t="s">
        <v>9924</v>
      </c>
      <c r="C3337" t="s">
        <v>9926</v>
      </c>
      <c r="D3337" t="s">
        <v>20</v>
      </c>
      <c r="E3337" t="s">
        <v>11</v>
      </c>
      <c r="F3337">
        <v>261.096</v>
      </c>
      <c r="G3337">
        <v>18</v>
      </c>
      <c r="L3337" t="s">
        <v>9927</v>
      </c>
      <c r="O3337" t="s">
        <v>9928</v>
      </c>
    </row>
    <row r="3338" spans="1:15" x14ac:dyDescent="0.25">
      <c r="A3338" t="s">
        <v>18</v>
      </c>
      <c r="B3338" t="s">
        <v>9927</v>
      </c>
      <c r="C3338" t="s">
        <v>9929</v>
      </c>
      <c r="D3338" t="s">
        <v>20</v>
      </c>
      <c r="E3338" t="s">
        <v>11</v>
      </c>
      <c r="F3338">
        <v>130.548</v>
      </c>
      <c r="G3338">
        <v>18</v>
      </c>
      <c r="L3338" t="s">
        <v>9930</v>
      </c>
      <c r="O3338" t="s">
        <v>9931</v>
      </c>
    </row>
    <row r="3339" spans="1:15" x14ac:dyDescent="0.25">
      <c r="A3339" t="s">
        <v>18</v>
      </c>
      <c r="B3339" t="s">
        <v>9930</v>
      </c>
      <c r="C3339" t="s">
        <v>9932</v>
      </c>
      <c r="D3339" t="s">
        <v>20</v>
      </c>
      <c r="E3339" t="s">
        <v>11</v>
      </c>
      <c r="F3339">
        <v>65.274</v>
      </c>
      <c r="G3339">
        <v>18</v>
      </c>
      <c r="L3339" t="s">
        <v>9933</v>
      </c>
      <c r="O3339" t="s">
        <v>9934</v>
      </c>
    </row>
    <row r="3340" spans="1:15" x14ac:dyDescent="0.25">
      <c r="A3340" t="s">
        <v>18</v>
      </c>
      <c r="B3340" t="s">
        <v>9933</v>
      </c>
      <c r="C3340" t="s">
        <v>9935</v>
      </c>
      <c r="D3340" t="s">
        <v>20</v>
      </c>
      <c r="E3340" t="s">
        <v>11</v>
      </c>
      <c r="F3340">
        <v>130.548</v>
      </c>
      <c r="G3340">
        <v>18</v>
      </c>
      <c r="L3340" t="s">
        <v>9936</v>
      </c>
      <c r="O3340" t="s">
        <v>9937</v>
      </c>
    </row>
    <row r="3341" spans="1:15" x14ac:dyDescent="0.25">
      <c r="A3341" t="s">
        <v>18</v>
      </c>
      <c r="B3341" t="s">
        <v>9936</v>
      </c>
      <c r="C3341" t="s">
        <v>9938</v>
      </c>
      <c r="D3341" t="s">
        <v>20</v>
      </c>
      <c r="E3341" t="s">
        <v>11</v>
      </c>
      <c r="F3341">
        <v>65.274</v>
      </c>
      <c r="G3341">
        <v>18</v>
      </c>
      <c r="L3341" t="s">
        <v>9939</v>
      </c>
      <c r="O3341" t="s">
        <v>9940</v>
      </c>
    </row>
    <row r="3342" spans="1:15" x14ac:dyDescent="0.25">
      <c r="A3342" t="s">
        <v>18</v>
      </c>
      <c r="B3342" t="s">
        <v>9939</v>
      </c>
      <c r="C3342" t="s">
        <v>9941</v>
      </c>
      <c r="D3342" t="s">
        <v>20</v>
      </c>
      <c r="E3342" t="s">
        <v>11</v>
      </c>
      <c r="F3342">
        <v>1566.5759999999998</v>
      </c>
      <c r="G3342">
        <v>18</v>
      </c>
      <c r="L3342" t="s">
        <v>9942</v>
      </c>
      <c r="O3342" t="s">
        <v>9943</v>
      </c>
    </row>
    <row r="3343" spans="1:15" x14ac:dyDescent="0.25">
      <c r="A3343" t="s">
        <v>18</v>
      </c>
      <c r="B3343" t="s">
        <v>9942</v>
      </c>
      <c r="C3343" t="s">
        <v>9944</v>
      </c>
      <c r="D3343" t="s">
        <v>20</v>
      </c>
      <c r="E3343" t="s">
        <v>11</v>
      </c>
      <c r="F3343">
        <v>456.918</v>
      </c>
      <c r="G3343">
        <v>18</v>
      </c>
      <c r="L3343" t="s">
        <v>9945</v>
      </c>
      <c r="O3343" t="s">
        <v>9946</v>
      </c>
    </row>
    <row r="3344" spans="1:15" x14ac:dyDescent="0.25">
      <c r="A3344" t="s">
        <v>18</v>
      </c>
      <c r="B3344" t="s">
        <v>9945</v>
      </c>
      <c r="C3344" t="s">
        <v>9947</v>
      </c>
      <c r="D3344" t="s">
        <v>20</v>
      </c>
      <c r="E3344" t="s">
        <v>11</v>
      </c>
      <c r="F3344">
        <v>587.4659999999999</v>
      </c>
      <c r="G3344">
        <v>18</v>
      </c>
      <c r="L3344" t="s">
        <v>9948</v>
      </c>
      <c r="O3344" t="s">
        <v>9949</v>
      </c>
    </row>
    <row r="3345" spans="1:15" x14ac:dyDescent="0.25">
      <c r="A3345" t="s">
        <v>18</v>
      </c>
      <c r="B3345" t="s">
        <v>9948</v>
      </c>
      <c r="C3345" t="s">
        <v>9950</v>
      </c>
      <c r="D3345" t="s">
        <v>20</v>
      </c>
      <c r="E3345" t="s">
        <v>11</v>
      </c>
      <c r="F3345">
        <v>195.82199999999997</v>
      </c>
      <c r="G3345">
        <v>18</v>
      </c>
      <c r="L3345" t="s">
        <v>9951</v>
      </c>
      <c r="O3345" t="s">
        <v>9952</v>
      </c>
    </row>
    <row r="3346" spans="1:15" x14ac:dyDescent="0.25">
      <c r="A3346" t="s">
        <v>18</v>
      </c>
      <c r="B3346" t="s">
        <v>9951</v>
      </c>
      <c r="C3346" t="s">
        <v>9953</v>
      </c>
      <c r="D3346" t="s">
        <v>20</v>
      </c>
      <c r="E3346" t="s">
        <v>11</v>
      </c>
      <c r="F3346">
        <v>65.274</v>
      </c>
      <c r="G3346">
        <v>18</v>
      </c>
      <c r="L3346" t="s">
        <v>9954</v>
      </c>
      <c r="O3346" t="s">
        <v>9955</v>
      </c>
    </row>
    <row r="3347" spans="1:15" x14ac:dyDescent="0.25">
      <c r="A3347" t="s">
        <v>18</v>
      </c>
      <c r="B3347" t="s">
        <v>9954</v>
      </c>
      <c r="C3347" t="s">
        <v>9956</v>
      </c>
      <c r="D3347" t="s">
        <v>20</v>
      </c>
      <c r="E3347" t="s">
        <v>11</v>
      </c>
      <c r="F3347">
        <v>848.5619999999999</v>
      </c>
      <c r="G3347">
        <v>18</v>
      </c>
      <c r="L3347" t="s">
        <v>9957</v>
      </c>
      <c r="O3347" t="s">
        <v>9958</v>
      </c>
    </row>
    <row r="3348" spans="1:15" x14ac:dyDescent="0.25">
      <c r="A3348" t="s">
        <v>18</v>
      </c>
      <c r="B3348" t="s">
        <v>9957</v>
      </c>
      <c r="C3348" t="s">
        <v>9959</v>
      </c>
      <c r="D3348" t="s">
        <v>20</v>
      </c>
      <c r="E3348" t="s">
        <v>11</v>
      </c>
      <c r="F3348">
        <v>65.274</v>
      </c>
      <c r="G3348">
        <v>18</v>
      </c>
      <c r="L3348" t="s">
        <v>9960</v>
      </c>
      <c r="O3348" t="s">
        <v>9961</v>
      </c>
    </row>
    <row r="3349" spans="1:15" x14ac:dyDescent="0.25">
      <c r="A3349" t="s">
        <v>18</v>
      </c>
      <c r="B3349" t="s">
        <v>9960</v>
      </c>
      <c r="C3349" t="s">
        <v>9962</v>
      </c>
      <c r="D3349" t="s">
        <v>20</v>
      </c>
      <c r="E3349" t="s">
        <v>11</v>
      </c>
      <c r="F3349">
        <v>65.274</v>
      </c>
      <c r="G3349">
        <v>18</v>
      </c>
      <c r="L3349" t="s">
        <v>9963</v>
      </c>
      <c r="O3349" t="s">
        <v>9964</v>
      </c>
    </row>
    <row r="3350" spans="1:15" x14ac:dyDescent="0.25">
      <c r="A3350" t="s">
        <v>18</v>
      </c>
      <c r="B3350" t="s">
        <v>9963</v>
      </c>
      <c r="C3350" t="s">
        <v>9965</v>
      </c>
      <c r="D3350" t="s">
        <v>20</v>
      </c>
      <c r="E3350" t="s">
        <v>11</v>
      </c>
      <c r="F3350">
        <v>65.274</v>
      </c>
      <c r="G3350">
        <v>18</v>
      </c>
      <c r="L3350" t="s">
        <v>9966</v>
      </c>
      <c r="O3350" t="s">
        <v>9967</v>
      </c>
    </row>
    <row r="3351" spans="1:15" x14ac:dyDescent="0.25">
      <c r="A3351" t="s">
        <v>18</v>
      </c>
      <c r="B3351" t="s">
        <v>9966</v>
      </c>
      <c r="C3351" t="s">
        <v>9968</v>
      </c>
      <c r="D3351" t="s">
        <v>20</v>
      </c>
      <c r="E3351" t="s">
        <v>11</v>
      </c>
      <c r="F3351">
        <v>1240.2060000000001</v>
      </c>
      <c r="G3351">
        <v>18</v>
      </c>
      <c r="L3351" t="s">
        <v>9969</v>
      </c>
      <c r="O3351" t="s">
        <v>9970</v>
      </c>
    </row>
    <row r="3352" spans="1:15" x14ac:dyDescent="0.25">
      <c r="A3352" t="s">
        <v>18</v>
      </c>
      <c r="B3352" t="s">
        <v>9969</v>
      </c>
      <c r="C3352" t="s">
        <v>9971</v>
      </c>
      <c r="D3352" t="s">
        <v>20</v>
      </c>
      <c r="E3352" t="s">
        <v>11</v>
      </c>
      <c r="F3352">
        <v>391.64399999999995</v>
      </c>
      <c r="G3352">
        <v>18</v>
      </c>
      <c r="L3352" t="s">
        <v>9972</v>
      </c>
      <c r="O3352" t="s">
        <v>9973</v>
      </c>
    </row>
    <row r="3353" spans="1:15" x14ac:dyDescent="0.25">
      <c r="A3353" t="s">
        <v>18</v>
      </c>
      <c r="B3353" t="s">
        <v>9972</v>
      </c>
      <c r="C3353" t="s">
        <v>9974</v>
      </c>
      <c r="D3353" t="s">
        <v>20</v>
      </c>
      <c r="E3353" t="s">
        <v>11</v>
      </c>
      <c r="F3353">
        <v>718.014</v>
      </c>
      <c r="G3353">
        <v>18</v>
      </c>
      <c r="L3353" t="s">
        <v>9975</v>
      </c>
      <c r="O3353" t="s">
        <v>9976</v>
      </c>
    </row>
    <row r="3354" spans="1:15" x14ac:dyDescent="0.25">
      <c r="A3354" t="s">
        <v>18</v>
      </c>
      <c r="B3354" t="s">
        <v>9975</v>
      </c>
      <c r="C3354" t="s">
        <v>9977</v>
      </c>
      <c r="D3354" t="s">
        <v>20</v>
      </c>
      <c r="E3354" t="s">
        <v>11</v>
      </c>
      <c r="F3354">
        <v>1631.85</v>
      </c>
      <c r="G3354">
        <v>18</v>
      </c>
      <c r="L3354" t="s">
        <v>9978</v>
      </c>
      <c r="O3354" t="s">
        <v>9979</v>
      </c>
    </row>
    <row r="3355" spans="1:15" x14ac:dyDescent="0.25">
      <c r="A3355" t="s">
        <v>18</v>
      </c>
      <c r="B3355" t="s">
        <v>9978</v>
      </c>
      <c r="C3355" t="s">
        <v>9980</v>
      </c>
      <c r="D3355" t="s">
        <v>20</v>
      </c>
      <c r="E3355" t="s">
        <v>11</v>
      </c>
      <c r="F3355">
        <v>195.82199999999997</v>
      </c>
      <c r="G3355">
        <v>18</v>
      </c>
      <c r="L3355" t="s">
        <v>9981</v>
      </c>
      <c r="O3355" t="s">
        <v>9982</v>
      </c>
    </row>
    <row r="3356" spans="1:15" x14ac:dyDescent="0.25">
      <c r="A3356" t="s">
        <v>18</v>
      </c>
      <c r="B3356" t="s">
        <v>9981</v>
      </c>
      <c r="C3356" t="s">
        <v>9983</v>
      </c>
      <c r="D3356" t="s">
        <v>20</v>
      </c>
      <c r="E3356" t="s">
        <v>11</v>
      </c>
      <c r="F3356">
        <v>195.82199999999997</v>
      </c>
      <c r="G3356">
        <v>18</v>
      </c>
      <c r="L3356" t="s">
        <v>9984</v>
      </c>
      <c r="O3356" t="s">
        <v>9985</v>
      </c>
    </row>
    <row r="3357" spans="1:15" x14ac:dyDescent="0.25">
      <c r="A3357" t="s">
        <v>18</v>
      </c>
      <c r="B3357" t="s">
        <v>9984</v>
      </c>
      <c r="C3357" t="s">
        <v>9986</v>
      </c>
      <c r="D3357" t="s">
        <v>20</v>
      </c>
      <c r="E3357" t="s">
        <v>11</v>
      </c>
      <c r="F3357">
        <v>979.11</v>
      </c>
      <c r="G3357">
        <v>18</v>
      </c>
      <c r="L3357" t="s">
        <v>9987</v>
      </c>
      <c r="O3357" t="s">
        <v>9988</v>
      </c>
    </row>
    <row r="3358" spans="1:15" x14ac:dyDescent="0.25">
      <c r="A3358" t="s">
        <v>18</v>
      </c>
      <c r="B3358" t="s">
        <v>9987</v>
      </c>
      <c r="C3358" t="s">
        <v>9989</v>
      </c>
      <c r="D3358" t="s">
        <v>20</v>
      </c>
      <c r="E3358" t="s">
        <v>11</v>
      </c>
      <c r="F3358">
        <v>848.5619999999999</v>
      </c>
      <c r="G3358">
        <v>18</v>
      </c>
      <c r="L3358" t="s">
        <v>9990</v>
      </c>
      <c r="O3358" t="s">
        <v>9991</v>
      </c>
    </row>
    <row r="3359" spans="1:15" x14ac:dyDescent="0.25">
      <c r="A3359" t="s">
        <v>18</v>
      </c>
      <c r="B3359" t="s">
        <v>9990</v>
      </c>
      <c r="C3359" t="s">
        <v>9992</v>
      </c>
      <c r="D3359" t="s">
        <v>20</v>
      </c>
      <c r="E3359" t="s">
        <v>11</v>
      </c>
      <c r="F3359">
        <v>783.2879999999999</v>
      </c>
      <c r="G3359">
        <v>18</v>
      </c>
      <c r="L3359" t="s">
        <v>9993</v>
      </c>
      <c r="O3359" t="s">
        <v>9994</v>
      </c>
    </row>
    <row r="3360" spans="1:15" x14ac:dyDescent="0.25">
      <c r="A3360" t="s">
        <v>18</v>
      </c>
      <c r="B3360" t="s">
        <v>9993</v>
      </c>
      <c r="C3360" t="s">
        <v>9995</v>
      </c>
      <c r="D3360" t="s">
        <v>20</v>
      </c>
      <c r="E3360" t="s">
        <v>11</v>
      </c>
      <c r="F3360">
        <v>391.64399999999995</v>
      </c>
      <c r="G3360">
        <v>18</v>
      </c>
      <c r="L3360" t="s">
        <v>9996</v>
      </c>
      <c r="O3360" t="s">
        <v>9997</v>
      </c>
    </row>
    <row r="3361" spans="1:15" x14ac:dyDescent="0.25">
      <c r="A3361" t="s">
        <v>18</v>
      </c>
      <c r="B3361" t="s">
        <v>9996</v>
      </c>
      <c r="C3361" t="s">
        <v>9998</v>
      </c>
      <c r="D3361" t="s">
        <v>20</v>
      </c>
      <c r="E3361" t="s">
        <v>11</v>
      </c>
      <c r="F3361">
        <v>1044.384</v>
      </c>
      <c r="G3361">
        <v>18</v>
      </c>
      <c r="L3361" t="s">
        <v>9999</v>
      </c>
      <c r="O3361" t="s">
        <v>10000</v>
      </c>
    </row>
    <row r="3362" spans="1:15" x14ac:dyDescent="0.25">
      <c r="A3362" t="s">
        <v>18</v>
      </c>
      <c r="B3362" t="s">
        <v>9999</v>
      </c>
      <c r="C3362" t="s">
        <v>10001</v>
      </c>
      <c r="D3362" t="s">
        <v>20</v>
      </c>
      <c r="E3362" t="s">
        <v>11</v>
      </c>
      <c r="F3362">
        <v>391.64399999999995</v>
      </c>
      <c r="G3362">
        <v>18</v>
      </c>
      <c r="L3362" t="s">
        <v>10002</v>
      </c>
      <c r="O3362" t="s">
        <v>10003</v>
      </c>
    </row>
    <row r="3363" spans="1:15" x14ac:dyDescent="0.25">
      <c r="A3363" t="s">
        <v>18</v>
      </c>
      <c r="B3363" t="s">
        <v>10002</v>
      </c>
      <c r="C3363" t="s">
        <v>10004</v>
      </c>
      <c r="D3363" t="s">
        <v>20</v>
      </c>
      <c r="E3363" t="s">
        <v>11</v>
      </c>
      <c r="F3363">
        <v>979.11</v>
      </c>
      <c r="G3363">
        <v>18</v>
      </c>
      <c r="L3363" t="s">
        <v>10005</v>
      </c>
      <c r="O3363" t="s">
        <v>10006</v>
      </c>
    </row>
    <row r="3364" spans="1:15" x14ac:dyDescent="0.25">
      <c r="A3364" t="s">
        <v>18</v>
      </c>
      <c r="B3364" t="s">
        <v>10005</v>
      </c>
      <c r="C3364" t="s">
        <v>10007</v>
      </c>
      <c r="D3364" t="s">
        <v>20</v>
      </c>
      <c r="E3364" t="s">
        <v>11</v>
      </c>
      <c r="F3364">
        <v>848.5619999999999</v>
      </c>
      <c r="G3364">
        <v>18</v>
      </c>
      <c r="L3364" t="s">
        <v>10008</v>
      </c>
      <c r="O3364" t="s">
        <v>10009</v>
      </c>
    </row>
    <row r="3365" spans="1:15" x14ac:dyDescent="0.25">
      <c r="A3365" t="s">
        <v>18</v>
      </c>
      <c r="B3365" t="s">
        <v>10008</v>
      </c>
      <c r="C3365" t="s">
        <v>10010</v>
      </c>
      <c r="D3365" t="s">
        <v>20</v>
      </c>
      <c r="E3365" t="s">
        <v>11</v>
      </c>
      <c r="F3365">
        <v>130.548</v>
      </c>
      <c r="G3365">
        <v>18</v>
      </c>
      <c r="L3365" t="s">
        <v>10011</v>
      </c>
      <c r="O3365" t="s">
        <v>10012</v>
      </c>
    </row>
    <row r="3366" spans="1:15" x14ac:dyDescent="0.25">
      <c r="A3366" t="s">
        <v>18</v>
      </c>
      <c r="B3366" t="s">
        <v>10011</v>
      </c>
      <c r="C3366" t="s">
        <v>10013</v>
      </c>
      <c r="D3366" t="s">
        <v>20</v>
      </c>
      <c r="E3366" t="s">
        <v>11</v>
      </c>
      <c r="F3366">
        <v>326.37</v>
      </c>
      <c r="G3366">
        <v>18</v>
      </c>
      <c r="L3366" t="s">
        <v>10014</v>
      </c>
      <c r="O3366" t="s">
        <v>10015</v>
      </c>
    </row>
    <row r="3367" spans="1:15" x14ac:dyDescent="0.25">
      <c r="A3367" t="s">
        <v>18</v>
      </c>
      <c r="B3367" t="s">
        <v>10014</v>
      </c>
      <c r="C3367" t="s">
        <v>10016</v>
      </c>
      <c r="D3367" t="s">
        <v>20</v>
      </c>
      <c r="E3367" t="s">
        <v>11</v>
      </c>
      <c r="F3367">
        <v>522.192</v>
      </c>
      <c r="G3367">
        <v>18</v>
      </c>
      <c r="L3367" t="s">
        <v>10017</v>
      </c>
      <c r="O3367" t="s">
        <v>10018</v>
      </c>
    </row>
    <row r="3368" spans="1:15" x14ac:dyDescent="0.25">
      <c r="A3368" t="s">
        <v>18</v>
      </c>
      <c r="B3368" t="s">
        <v>10017</v>
      </c>
      <c r="C3368" t="s">
        <v>10019</v>
      </c>
      <c r="D3368" t="s">
        <v>20</v>
      </c>
      <c r="E3368" t="s">
        <v>11</v>
      </c>
      <c r="F3368">
        <v>326.37</v>
      </c>
      <c r="G3368">
        <v>18</v>
      </c>
      <c r="L3368" t="s">
        <v>10020</v>
      </c>
      <c r="O3368" t="s">
        <v>10021</v>
      </c>
    </row>
    <row r="3369" spans="1:15" x14ac:dyDescent="0.25">
      <c r="A3369" t="s">
        <v>18</v>
      </c>
      <c r="B3369" t="s">
        <v>10020</v>
      </c>
      <c r="C3369" t="s">
        <v>10022</v>
      </c>
      <c r="D3369" t="s">
        <v>20</v>
      </c>
      <c r="E3369" t="s">
        <v>11</v>
      </c>
      <c r="F3369">
        <v>1240.2060000000001</v>
      </c>
      <c r="G3369">
        <v>18</v>
      </c>
      <c r="L3369" t="s">
        <v>10023</v>
      </c>
      <c r="O3369" t="s">
        <v>10024</v>
      </c>
    </row>
    <row r="3370" spans="1:15" x14ac:dyDescent="0.25">
      <c r="A3370" t="s">
        <v>18</v>
      </c>
      <c r="B3370" t="s">
        <v>10023</v>
      </c>
      <c r="C3370" t="s">
        <v>10025</v>
      </c>
      <c r="D3370" t="s">
        <v>20</v>
      </c>
      <c r="E3370" t="s">
        <v>11</v>
      </c>
      <c r="F3370">
        <v>587.4659999999999</v>
      </c>
      <c r="G3370">
        <v>18</v>
      </c>
      <c r="L3370" t="s">
        <v>10026</v>
      </c>
      <c r="O3370" t="s">
        <v>10027</v>
      </c>
    </row>
    <row r="3371" spans="1:15" x14ac:dyDescent="0.25">
      <c r="A3371" t="s">
        <v>18</v>
      </c>
      <c r="B3371" t="s">
        <v>10026</v>
      </c>
      <c r="C3371" t="s">
        <v>10028</v>
      </c>
      <c r="D3371" t="s">
        <v>20</v>
      </c>
      <c r="E3371" t="s">
        <v>11</v>
      </c>
      <c r="F3371">
        <v>3720.6179999999995</v>
      </c>
      <c r="G3371">
        <v>18</v>
      </c>
      <c r="L3371" t="s">
        <v>10029</v>
      </c>
      <c r="O3371" t="s">
        <v>10030</v>
      </c>
    </row>
    <row r="3372" spans="1:15" x14ac:dyDescent="0.25">
      <c r="A3372" t="s">
        <v>18</v>
      </c>
      <c r="B3372" t="s">
        <v>10029</v>
      </c>
      <c r="C3372" t="s">
        <v>10031</v>
      </c>
      <c r="D3372" t="s">
        <v>20</v>
      </c>
      <c r="E3372" t="s">
        <v>11</v>
      </c>
      <c r="F3372">
        <v>2154.042</v>
      </c>
      <c r="G3372">
        <v>18</v>
      </c>
      <c r="L3372" t="s">
        <v>10032</v>
      </c>
      <c r="O3372" t="s">
        <v>10033</v>
      </c>
    </row>
    <row r="3373" spans="1:15" x14ac:dyDescent="0.25">
      <c r="A3373" t="s">
        <v>18</v>
      </c>
      <c r="B3373" t="s">
        <v>10032</v>
      </c>
      <c r="C3373" t="s">
        <v>10034</v>
      </c>
      <c r="D3373" t="s">
        <v>20</v>
      </c>
      <c r="E3373" t="s">
        <v>11</v>
      </c>
      <c r="F3373">
        <v>1958.22</v>
      </c>
      <c r="G3373">
        <v>18</v>
      </c>
      <c r="L3373" t="s">
        <v>10035</v>
      </c>
      <c r="O3373" t="s">
        <v>10036</v>
      </c>
    </row>
    <row r="3374" spans="1:15" x14ac:dyDescent="0.25">
      <c r="A3374" t="s">
        <v>18</v>
      </c>
      <c r="B3374" t="s">
        <v>10035</v>
      </c>
      <c r="C3374" t="s">
        <v>10037</v>
      </c>
      <c r="D3374" t="s">
        <v>20</v>
      </c>
      <c r="E3374" t="s">
        <v>11</v>
      </c>
      <c r="F3374">
        <v>3590.0699999999997</v>
      </c>
      <c r="G3374">
        <v>18</v>
      </c>
      <c r="L3374" t="s">
        <v>10038</v>
      </c>
      <c r="O3374" t="s">
        <v>10039</v>
      </c>
    </row>
    <row r="3375" spans="1:15" x14ac:dyDescent="0.25">
      <c r="A3375" t="s">
        <v>18</v>
      </c>
      <c r="B3375" t="s">
        <v>10038</v>
      </c>
      <c r="C3375" t="s">
        <v>10040</v>
      </c>
      <c r="D3375" t="s">
        <v>20</v>
      </c>
      <c r="E3375" t="s">
        <v>11</v>
      </c>
      <c r="F3375">
        <v>4177.536</v>
      </c>
      <c r="G3375">
        <v>18</v>
      </c>
      <c r="L3375" t="s">
        <v>10041</v>
      </c>
      <c r="O3375" t="s">
        <v>10042</v>
      </c>
    </row>
    <row r="3376" spans="1:15" x14ac:dyDescent="0.25">
      <c r="A3376" t="s">
        <v>18</v>
      </c>
      <c r="B3376" t="s">
        <v>10041</v>
      </c>
      <c r="C3376" t="s">
        <v>10043</v>
      </c>
      <c r="D3376" t="s">
        <v>20</v>
      </c>
      <c r="E3376" t="s">
        <v>11</v>
      </c>
      <c r="F3376">
        <v>2610.96</v>
      </c>
      <c r="G3376">
        <v>18</v>
      </c>
      <c r="L3376" t="s">
        <v>10044</v>
      </c>
      <c r="O3376" t="s">
        <v>10045</v>
      </c>
    </row>
    <row r="3377" spans="1:15" x14ac:dyDescent="0.25">
      <c r="A3377" t="s">
        <v>18</v>
      </c>
      <c r="B3377" t="s">
        <v>10044</v>
      </c>
      <c r="C3377" t="s">
        <v>10046</v>
      </c>
      <c r="D3377" t="s">
        <v>20</v>
      </c>
      <c r="E3377" t="s">
        <v>11</v>
      </c>
      <c r="F3377">
        <v>1501.302</v>
      </c>
      <c r="G3377">
        <v>18</v>
      </c>
      <c r="L3377" t="s">
        <v>10047</v>
      </c>
      <c r="O3377" t="s">
        <v>10048</v>
      </c>
    </row>
    <row r="3378" spans="1:15" x14ac:dyDescent="0.25">
      <c r="A3378" t="s">
        <v>18</v>
      </c>
      <c r="B3378" t="s">
        <v>10047</v>
      </c>
      <c r="C3378" t="s">
        <v>10049</v>
      </c>
      <c r="D3378" t="s">
        <v>20</v>
      </c>
      <c r="E3378" t="s">
        <v>11</v>
      </c>
      <c r="F3378">
        <v>6853.7699999999995</v>
      </c>
      <c r="G3378">
        <v>18</v>
      </c>
      <c r="L3378" t="s">
        <v>10050</v>
      </c>
      <c r="O3378" t="s">
        <v>10051</v>
      </c>
    </row>
    <row r="3379" spans="1:15" x14ac:dyDescent="0.25">
      <c r="A3379" t="s">
        <v>18</v>
      </c>
      <c r="B3379" t="s">
        <v>10050</v>
      </c>
      <c r="C3379" t="s">
        <v>10052</v>
      </c>
      <c r="D3379" t="s">
        <v>20</v>
      </c>
      <c r="E3379" t="s">
        <v>11</v>
      </c>
      <c r="F3379">
        <v>783.2879999999999</v>
      </c>
      <c r="G3379">
        <v>18</v>
      </c>
      <c r="L3379" t="s">
        <v>10053</v>
      </c>
      <c r="O3379" t="s">
        <v>10054</v>
      </c>
    </row>
    <row r="3380" spans="1:15" x14ac:dyDescent="0.25">
      <c r="A3380" t="s">
        <v>18</v>
      </c>
      <c r="B3380" t="s">
        <v>10053</v>
      </c>
      <c r="C3380" t="s">
        <v>10055</v>
      </c>
      <c r="D3380" t="s">
        <v>20</v>
      </c>
      <c r="E3380" t="s">
        <v>11</v>
      </c>
      <c r="F3380">
        <v>326.37</v>
      </c>
      <c r="G3380">
        <v>18</v>
      </c>
      <c r="L3380" t="s">
        <v>10056</v>
      </c>
      <c r="O3380" t="s">
        <v>10057</v>
      </c>
    </row>
    <row r="3381" spans="1:15" x14ac:dyDescent="0.25">
      <c r="A3381" t="s">
        <v>18</v>
      </c>
      <c r="B3381" t="s">
        <v>10056</v>
      </c>
      <c r="C3381" t="s">
        <v>10058</v>
      </c>
      <c r="D3381" t="s">
        <v>20</v>
      </c>
      <c r="E3381" t="s">
        <v>11</v>
      </c>
      <c r="F3381">
        <v>1566.5759999999998</v>
      </c>
      <c r="G3381">
        <v>18</v>
      </c>
      <c r="L3381" t="s">
        <v>10059</v>
      </c>
      <c r="O3381" t="s">
        <v>10060</v>
      </c>
    </row>
    <row r="3382" spans="1:15" x14ac:dyDescent="0.25">
      <c r="A3382" t="s">
        <v>18</v>
      </c>
      <c r="B3382" t="s">
        <v>10059</v>
      </c>
      <c r="C3382" t="s">
        <v>10061</v>
      </c>
      <c r="D3382" t="s">
        <v>20</v>
      </c>
      <c r="E3382" t="s">
        <v>11</v>
      </c>
      <c r="F3382">
        <v>522.192</v>
      </c>
      <c r="G3382">
        <v>18</v>
      </c>
      <c r="L3382" t="s">
        <v>10062</v>
      </c>
      <c r="O3382" t="s">
        <v>10063</v>
      </c>
    </row>
    <row r="3383" spans="1:15" x14ac:dyDescent="0.25">
      <c r="A3383" t="s">
        <v>18</v>
      </c>
      <c r="B3383" t="s">
        <v>10062</v>
      </c>
      <c r="C3383" t="s">
        <v>10064</v>
      </c>
      <c r="D3383" t="s">
        <v>20</v>
      </c>
      <c r="E3383" t="s">
        <v>11</v>
      </c>
      <c r="F3383">
        <v>391.64399999999995</v>
      </c>
      <c r="G3383">
        <v>18</v>
      </c>
      <c r="L3383" t="s">
        <v>10065</v>
      </c>
      <c r="O3383" t="s">
        <v>10066</v>
      </c>
    </row>
    <row r="3384" spans="1:15" x14ac:dyDescent="0.25">
      <c r="A3384" t="s">
        <v>18</v>
      </c>
      <c r="B3384" t="s">
        <v>10065</v>
      </c>
      <c r="C3384" t="s">
        <v>10067</v>
      </c>
      <c r="D3384" t="s">
        <v>20</v>
      </c>
      <c r="E3384" t="s">
        <v>11</v>
      </c>
      <c r="F3384">
        <v>261.096</v>
      </c>
      <c r="G3384">
        <v>18</v>
      </c>
      <c r="L3384" t="s">
        <v>10068</v>
      </c>
      <c r="O3384" t="s">
        <v>10069</v>
      </c>
    </row>
    <row r="3385" spans="1:15" x14ac:dyDescent="0.25">
      <c r="A3385" t="s">
        <v>18</v>
      </c>
      <c r="B3385" t="s">
        <v>10068</v>
      </c>
      <c r="C3385" t="s">
        <v>10070</v>
      </c>
      <c r="D3385" t="s">
        <v>20</v>
      </c>
      <c r="E3385" t="s">
        <v>11</v>
      </c>
      <c r="F3385">
        <v>652.74</v>
      </c>
      <c r="G3385">
        <v>18</v>
      </c>
      <c r="L3385" t="s">
        <v>10071</v>
      </c>
      <c r="O3385" t="s">
        <v>10072</v>
      </c>
    </row>
    <row r="3386" spans="1:15" x14ac:dyDescent="0.25">
      <c r="A3386" t="s">
        <v>18</v>
      </c>
      <c r="B3386" t="s">
        <v>10071</v>
      </c>
      <c r="C3386" t="s">
        <v>10073</v>
      </c>
      <c r="D3386" t="s">
        <v>20</v>
      </c>
      <c r="E3386" t="s">
        <v>11</v>
      </c>
      <c r="F3386">
        <v>2088.768</v>
      </c>
      <c r="G3386">
        <v>18</v>
      </c>
      <c r="L3386" t="s">
        <v>10074</v>
      </c>
      <c r="O3386" t="s">
        <v>10075</v>
      </c>
    </row>
    <row r="3387" spans="1:15" x14ac:dyDescent="0.25">
      <c r="A3387" t="s">
        <v>18</v>
      </c>
      <c r="B3387" t="s">
        <v>10074</v>
      </c>
      <c r="C3387" t="s">
        <v>10076</v>
      </c>
      <c r="D3387" t="s">
        <v>20</v>
      </c>
      <c r="E3387" t="s">
        <v>11</v>
      </c>
      <c r="F3387">
        <v>1044.384</v>
      </c>
      <c r="G3387">
        <v>18</v>
      </c>
      <c r="L3387" t="s">
        <v>10077</v>
      </c>
      <c r="O3387" t="s">
        <v>10078</v>
      </c>
    </row>
    <row r="3388" spans="1:15" x14ac:dyDescent="0.25">
      <c r="A3388" t="s">
        <v>18</v>
      </c>
      <c r="B3388" t="s">
        <v>10077</v>
      </c>
      <c r="C3388" t="s">
        <v>10079</v>
      </c>
      <c r="D3388" t="s">
        <v>20</v>
      </c>
      <c r="E3388" t="s">
        <v>11</v>
      </c>
      <c r="F3388">
        <v>456.918</v>
      </c>
      <c r="G3388">
        <v>18</v>
      </c>
      <c r="L3388" t="s">
        <v>10080</v>
      </c>
      <c r="O3388" t="s">
        <v>10081</v>
      </c>
    </row>
    <row r="3389" spans="1:15" x14ac:dyDescent="0.25">
      <c r="A3389" t="s">
        <v>18</v>
      </c>
      <c r="B3389" t="s">
        <v>10080</v>
      </c>
      <c r="C3389" t="s">
        <v>10082</v>
      </c>
      <c r="D3389" t="s">
        <v>20</v>
      </c>
      <c r="E3389" t="s">
        <v>11</v>
      </c>
      <c r="F3389">
        <v>587.4659999999999</v>
      </c>
      <c r="G3389">
        <v>18</v>
      </c>
      <c r="L3389" t="s">
        <v>10083</v>
      </c>
      <c r="O3389" t="s">
        <v>10084</v>
      </c>
    </row>
    <row r="3390" spans="1:15" x14ac:dyDescent="0.25">
      <c r="A3390" t="s">
        <v>18</v>
      </c>
      <c r="B3390" t="s">
        <v>10083</v>
      </c>
      <c r="C3390" t="s">
        <v>10085</v>
      </c>
      <c r="D3390" t="s">
        <v>20</v>
      </c>
      <c r="E3390" t="s">
        <v>11</v>
      </c>
      <c r="F3390">
        <v>261.096</v>
      </c>
      <c r="G3390">
        <v>18</v>
      </c>
      <c r="L3390" t="s">
        <v>10086</v>
      </c>
      <c r="O3390" t="s">
        <v>10087</v>
      </c>
    </row>
    <row r="3391" spans="1:15" x14ac:dyDescent="0.25">
      <c r="A3391" t="s">
        <v>18</v>
      </c>
      <c r="B3391" t="s">
        <v>10086</v>
      </c>
      <c r="C3391" t="s">
        <v>10088</v>
      </c>
      <c r="D3391" t="s">
        <v>20</v>
      </c>
      <c r="E3391" t="s">
        <v>11</v>
      </c>
      <c r="F3391">
        <v>391.64399999999995</v>
      </c>
      <c r="G3391">
        <v>18</v>
      </c>
      <c r="L3391" t="s">
        <v>10089</v>
      </c>
      <c r="O3391" t="s">
        <v>10090</v>
      </c>
    </row>
    <row r="3392" spans="1:15" x14ac:dyDescent="0.25">
      <c r="A3392" t="s">
        <v>18</v>
      </c>
      <c r="B3392" t="s">
        <v>10089</v>
      </c>
      <c r="C3392" t="s">
        <v>10091</v>
      </c>
      <c r="D3392" t="s">
        <v>20</v>
      </c>
      <c r="E3392" t="s">
        <v>11</v>
      </c>
      <c r="F3392">
        <v>522.192</v>
      </c>
      <c r="G3392">
        <v>18</v>
      </c>
      <c r="L3392" t="s">
        <v>10092</v>
      </c>
      <c r="O3392" t="s">
        <v>10093</v>
      </c>
    </row>
    <row r="3393" spans="1:15" x14ac:dyDescent="0.25">
      <c r="A3393" t="s">
        <v>18</v>
      </c>
      <c r="B3393" t="s">
        <v>10092</v>
      </c>
      <c r="C3393" t="s">
        <v>10094</v>
      </c>
      <c r="D3393" t="s">
        <v>20</v>
      </c>
      <c r="E3393" t="s">
        <v>11</v>
      </c>
      <c r="F3393">
        <v>587.4659999999999</v>
      </c>
      <c r="G3393">
        <v>18</v>
      </c>
      <c r="L3393" t="s">
        <v>10095</v>
      </c>
      <c r="O3393" t="s">
        <v>10096</v>
      </c>
    </row>
    <row r="3394" spans="1:15" x14ac:dyDescent="0.25">
      <c r="A3394" t="s">
        <v>18</v>
      </c>
      <c r="B3394" t="s">
        <v>10095</v>
      </c>
      <c r="C3394" t="s">
        <v>10097</v>
      </c>
      <c r="D3394" t="s">
        <v>20</v>
      </c>
      <c r="E3394" t="s">
        <v>11</v>
      </c>
      <c r="F3394">
        <v>1109.658</v>
      </c>
      <c r="G3394">
        <v>18</v>
      </c>
      <c r="L3394" t="s">
        <v>10098</v>
      </c>
      <c r="O3394" t="s">
        <v>10099</v>
      </c>
    </row>
    <row r="3395" spans="1:15" x14ac:dyDescent="0.25">
      <c r="A3395" t="s">
        <v>18</v>
      </c>
      <c r="B3395" t="s">
        <v>10098</v>
      </c>
      <c r="C3395" t="s">
        <v>10100</v>
      </c>
      <c r="D3395" t="s">
        <v>20</v>
      </c>
      <c r="E3395" t="s">
        <v>11</v>
      </c>
      <c r="F3395">
        <v>718.014</v>
      </c>
      <c r="G3395">
        <v>18</v>
      </c>
      <c r="L3395" t="s">
        <v>10101</v>
      </c>
      <c r="O3395" t="s">
        <v>10102</v>
      </c>
    </row>
    <row r="3396" spans="1:15" x14ac:dyDescent="0.25">
      <c r="A3396" t="s">
        <v>18</v>
      </c>
      <c r="B3396" t="s">
        <v>10101</v>
      </c>
      <c r="C3396" t="s">
        <v>10103</v>
      </c>
      <c r="D3396" t="s">
        <v>20</v>
      </c>
      <c r="E3396" t="s">
        <v>11</v>
      </c>
      <c r="F3396">
        <v>456.918</v>
      </c>
      <c r="G3396">
        <v>18</v>
      </c>
      <c r="L3396" t="s">
        <v>10104</v>
      </c>
      <c r="O3396" t="s">
        <v>10105</v>
      </c>
    </row>
    <row r="3397" spans="1:15" x14ac:dyDescent="0.25">
      <c r="A3397" t="s">
        <v>18</v>
      </c>
      <c r="B3397" t="s">
        <v>10104</v>
      </c>
      <c r="C3397" t="s">
        <v>10106</v>
      </c>
      <c r="D3397" t="s">
        <v>20</v>
      </c>
      <c r="E3397" t="s">
        <v>11</v>
      </c>
      <c r="F3397">
        <v>1305.48</v>
      </c>
      <c r="G3397">
        <v>18</v>
      </c>
      <c r="L3397" t="s">
        <v>10107</v>
      </c>
      <c r="O3397" t="s">
        <v>10108</v>
      </c>
    </row>
    <row r="3398" spans="1:15" x14ac:dyDescent="0.25">
      <c r="A3398" t="s">
        <v>18</v>
      </c>
      <c r="B3398" t="s">
        <v>10107</v>
      </c>
      <c r="C3398" t="s">
        <v>10109</v>
      </c>
      <c r="D3398" t="s">
        <v>20</v>
      </c>
      <c r="E3398" t="s">
        <v>11</v>
      </c>
      <c r="F3398">
        <v>1566.5759999999998</v>
      </c>
      <c r="G3398">
        <v>18</v>
      </c>
      <c r="L3398" t="s">
        <v>10110</v>
      </c>
      <c r="O3398" t="s">
        <v>10111</v>
      </c>
    </row>
    <row r="3399" spans="1:15" x14ac:dyDescent="0.25">
      <c r="A3399" t="s">
        <v>18</v>
      </c>
      <c r="B3399" t="s">
        <v>10110</v>
      </c>
      <c r="C3399" t="s">
        <v>10112</v>
      </c>
      <c r="D3399" t="s">
        <v>20</v>
      </c>
      <c r="E3399" t="s">
        <v>11</v>
      </c>
      <c r="F3399">
        <v>1370.754</v>
      </c>
      <c r="G3399">
        <v>18</v>
      </c>
      <c r="L3399" t="s">
        <v>10113</v>
      </c>
      <c r="O3399" t="s">
        <v>10114</v>
      </c>
    </row>
    <row r="3400" spans="1:15" x14ac:dyDescent="0.25">
      <c r="A3400" t="s">
        <v>18</v>
      </c>
      <c r="B3400" t="s">
        <v>10113</v>
      </c>
      <c r="C3400" t="s">
        <v>10115</v>
      </c>
      <c r="D3400" t="s">
        <v>20</v>
      </c>
      <c r="E3400" t="s">
        <v>11</v>
      </c>
      <c r="F3400">
        <v>718.014</v>
      </c>
      <c r="G3400">
        <v>18</v>
      </c>
      <c r="L3400" t="s">
        <v>10116</v>
      </c>
      <c r="O3400" t="s">
        <v>10117</v>
      </c>
    </row>
    <row r="3401" spans="1:15" x14ac:dyDescent="0.25">
      <c r="A3401" t="s">
        <v>18</v>
      </c>
      <c r="B3401" t="s">
        <v>10116</v>
      </c>
      <c r="C3401" t="s">
        <v>10118</v>
      </c>
      <c r="D3401" t="s">
        <v>20</v>
      </c>
      <c r="E3401" t="s">
        <v>11</v>
      </c>
      <c r="F3401">
        <v>587.4659999999999</v>
      </c>
      <c r="G3401">
        <v>18</v>
      </c>
      <c r="L3401" t="s">
        <v>10119</v>
      </c>
      <c r="O3401" t="s">
        <v>10120</v>
      </c>
    </row>
    <row r="3402" spans="1:15" x14ac:dyDescent="0.25">
      <c r="A3402" t="s">
        <v>18</v>
      </c>
      <c r="B3402" t="s">
        <v>10119</v>
      </c>
      <c r="C3402" t="s">
        <v>10121</v>
      </c>
      <c r="D3402" t="s">
        <v>20</v>
      </c>
      <c r="E3402" t="s">
        <v>11</v>
      </c>
      <c r="F3402">
        <v>587.4659999999999</v>
      </c>
      <c r="G3402">
        <v>18</v>
      </c>
      <c r="L3402" t="s">
        <v>10122</v>
      </c>
      <c r="O3402" t="s">
        <v>10123</v>
      </c>
    </row>
    <row r="3403" spans="1:15" x14ac:dyDescent="0.25">
      <c r="A3403" t="s">
        <v>18</v>
      </c>
      <c r="B3403" t="s">
        <v>10122</v>
      </c>
      <c r="C3403" t="s">
        <v>10124</v>
      </c>
      <c r="D3403" t="s">
        <v>20</v>
      </c>
      <c r="E3403" t="s">
        <v>11</v>
      </c>
      <c r="F3403">
        <v>652.74</v>
      </c>
      <c r="G3403">
        <v>18</v>
      </c>
      <c r="L3403" t="s">
        <v>10125</v>
      </c>
      <c r="O3403" t="s">
        <v>10126</v>
      </c>
    </row>
    <row r="3404" spans="1:15" x14ac:dyDescent="0.25">
      <c r="A3404" t="s">
        <v>18</v>
      </c>
      <c r="B3404" t="s">
        <v>10125</v>
      </c>
      <c r="C3404" t="s">
        <v>10127</v>
      </c>
      <c r="D3404" t="s">
        <v>20</v>
      </c>
      <c r="E3404" t="s">
        <v>11</v>
      </c>
      <c r="F3404">
        <v>1402.632</v>
      </c>
      <c r="G3404">
        <v>18</v>
      </c>
      <c r="L3404" t="s">
        <v>10128</v>
      </c>
      <c r="O3404" t="s">
        <v>10129</v>
      </c>
    </row>
    <row r="3405" spans="1:15" x14ac:dyDescent="0.25">
      <c r="A3405" t="s">
        <v>18</v>
      </c>
      <c r="B3405" t="s">
        <v>10128</v>
      </c>
      <c r="C3405" t="s">
        <v>10130</v>
      </c>
      <c r="D3405" t="s">
        <v>20</v>
      </c>
      <c r="E3405" t="s">
        <v>11</v>
      </c>
      <c r="F3405">
        <v>637.56</v>
      </c>
      <c r="G3405">
        <v>18</v>
      </c>
      <c r="L3405" t="s">
        <v>10131</v>
      </c>
      <c r="O3405" t="s">
        <v>10132</v>
      </c>
    </row>
    <row r="3406" spans="1:15" x14ac:dyDescent="0.25">
      <c r="A3406" t="s">
        <v>18</v>
      </c>
      <c r="B3406" t="s">
        <v>10131</v>
      </c>
      <c r="C3406" t="s">
        <v>10133</v>
      </c>
      <c r="D3406" t="s">
        <v>20</v>
      </c>
      <c r="E3406" t="s">
        <v>11</v>
      </c>
      <c r="F3406">
        <v>765.0719999999999</v>
      </c>
      <c r="G3406">
        <v>18</v>
      </c>
      <c r="L3406" t="s">
        <v>10134</v>
      </c>
      <c r="O3406" t="s">
        <v>10135</v>
      </c>
    </row>
    <row r="3407" spans="1:15" x14ac:dyDescent="0.25">
      <c r="A3407" t="s">
        <v>18</v>
      </c>
      <c r="B3407" t="s">
        <v>10134</v>
      </c>
      <c r="C3407" t="s">
        <v>10136</v>
      </c>
      <c r="D3407" t="s">
        <v>20</v>
      </c>
      <c r="E3407" t="s">
        <v>11</v>
      </c>
      <c r="F3407">
        <v>1827.672</v>
      </c>
      <c r="G3407">
        <v>18</v>
      </c>
      <c r="L3407" t="s">
        <v>10137</v>
      </c>
      <c r="O3407" t="s">
        <v>10138</v>
      </c>
    </row>
    <row r="3408" spans="1:15" x14ac:dyDescent="0.25">
      <c r="A3408" t="s">
        <v>18</v>
      </c>
      <c r="B3408" t="s">
        <v>10137</v>
      </c>
      <c r="C3408" t="s">
        <v>10139</v>
      </c>
      <c r="D3408" t="s">
        <v>20</v>
      </c>
      <c r="E3408" t="s">
        <v>11</v>
      </c>
      <c r="F3408">
        <v>1593.9</v>
      </c>
      <c r="G3408">
        <v>18</v>
      </c>
      <c r="L3408" t="s">
        <v>10140</v>
      </c>
      <c r="O3408" t="s">
        <v>10141</v>
      </c>
    </row>
    <row r="3409" spans="1:15" x14ac:dyDescent="0.25">
      <c r="A3409" t="s">
        <v>18</v>
      </c>
      <c r="B3409" t="s">
        <v>10140</v>
      </c>
      <c r="C3409" t="s">
        <v>10142</v>
      </c>
      <c r="D3409" t="s">
        <v>20</v>
      </c>
      <c r="E3409" t="s">
        <v>11</v>
      </c>
      <c r="F3409">
        <v>326.37</v>
      </c>
      <c r="G3409">
        <v>18</v>
      </c>
      <c r="L3409" t="s">
        <v>10143</v>
      </c>
      <c r="O3409" t="s">
        <v>10144</v>
      </c>
    </row>
    <row r="3410" spans="1:15" x14ac:dyDescent="0.25">
      <c r="A3410" t="s">
        <v>18</v>
      </c>
      <c r="B3410" t="s">
        <v>10143</v>
      </c>
      <c r="C3410" t="s">
        <v>10145</v>
      </c>
      <c r="D3410" t="s">
        <v>20</v>
      </c>
      <c r="E3410" t="s">
        <v>11</v>
      </c>
      <c r="F3410">
        <v>848.5619999999999</v>
      </c>
      <c r="G3410">
        <v>18</v>
      </c>
      <c r="L3410" t="s">
        <v>10146</v>
      </c>
      <c r="O3410" t="s">
        <v>10147</v>
      </c>
    </row>
    <row r="3411" spans="1:15" x14ac:dyDescent="0.25">
      <c r="A3411" t="s">
        <v>18</v>
      </c>
      <c r="B3411" t="s">
        <v>10146</v>
      </c>
      <c r="C3411" t="s">
        <v>10148</v>
      </c>
      <c r="D3411" t="s">
        <v>20</v>
      </c>
      <c r="E3411" t="s">
        <v>11</v>
      </c>
      <c r="F3411">
        <v>1566.5759999999998</v>
      </c>
      <c r="G3411">
        <v>18</v>
      </c>
      <c r="L3411" t="s">
        <v>10149</v>
      </c>
      <c r="O3411" t="s">
        <v>10150</v>
      </c>
    </row>
    <row r="3412" spans="1:15" x14ac:dyDescent="0.25">
      <c r="A3412" t="s">
        <v>18</v>
      </c>
      <c r="B3412" t="s">
        <v>10149</v>
      </c>
      <c r="C3412" t="s">
        <v>10151</v>
      </c>
      <c r="D3412" t="s">
        <v>20</v>
      </c>
      <c r="E3412" t="s">
        <v>11</v>
      </c>
      <c r="F3412">
        <v>1631.85</v>
      </c>
      <c r="G3412">
        <v>18</v>
      </c>
      <c r="L3412" t="s">
        <v>10152</v>
      </c>
      <c r="O3412" t="s">
        <v>10153</v>
      </c>
    </row>
    <row r="3413" spans="1:15" x14ac:dyDescent="0.25">
      <c r="A3413" t="s">
        <v>18</v>
      </c>
      <c r="B3413" t="s">
        <v>10152</v>
      </c>
      <c r="C3413" t="s">
        <v>10154</v>
      </c>
      <c r="D3413" t="s">
        <v>20</v>
      </c>
      <c r="E3413" t="s">
        <v>11</v>
      </c>
      <c r="F3413">
        <v>195.82199999999997</v>
      </c>
      <c r="G3413">
        <v>18</v>
      </c>
      <c r="L3413" t="s">
        <v>10155</v>
      </c>
      <c r="O3413" t="s">
        <v>10156</v>
      </c>
    </row>
    <row r="3414" spans="1:15" x14ac:dyDescent="0.25">
      <c r="A3414" t="s">
        <v>18</v>
      </c>
      <c r="B3414" t="s">
        <v>10155</v>
      </c>
      <c r="C3414" t="s">
        <v>10157</v>
      </c>
      <c r="D3414" t="s">
        <v>20</v>
      </c>
      <c r="E3414" t="s">
        <v>11</v>
      </c>
      <c r="F3414">
        <v>2937.3300000000004</v>
      </c>
      <c r="G3414">
        <v>18</v>
      </c>
      <c r="L3414" t="s">
        <v>10158</v>
      </c>
      <c r="O3414" t="s">
        <v>10159</v>
      </c>
    </row>
    <row r="3415" spans="1:15" x14ac:dyDescent="0.25">
      <c r="A3415" t="s">
        <v>18</v>
      </c>
      <c r="B3415" t="s">
        <v>10158</v>
      </c>
      <c r="C3415" t="s">
        <v>10160</v>
      </c>
      <c r="D3415" t="s">
        <v>20</v>
      </c>
      <c r="E3415" t="s">
        <v>11</v>
      </c>
      <c r="F3415">
        <v>4503.906</v>
      </c>
      <c r="G3415">
        <v>18</v>
      </c>
      <c r="L3415" t="s">
        <v>10161</v>
      </c>
      <c r="O3415" t="s">
        <v>10162</v>
      </c>
    </row>
    <row r="3416" spans="1:15" x14ac:dyDescent="0.25">
      <c r="A3416" t="s">
        <v>18</v>
      </c>
      <c r="B3416" t="s">
        <v>10161</v>
      </c>
      <c r="C3416" t="s">
        <v>10160</v>
      </c>
      <c r="D3416" t="s">
        <v>20</v>
      </c>
      <c r="E3416" t="s">
        <v>11</v>
      </c>
      <c r="F3416">
        <v>2610.96</v>
      </c>
      <c r="G3416">
        <v>18</v>
      </c>
      <c r="L3416" t="s">
        <v>10163</v>
      </c>
      <c r="O3416" t="s">
        <v>10164</v>
      </c>
    </row>
    <row r="3417" spans="1:15" x14ac:dyDescent="0.25">
      <c r="A3417" t="s">
        <v>18</v>
      </c>
      <c r="B3417" t="s">
        <v>10163</v>
      </c>
      <c r="C3417" t="s">
        <v>10160</v>
      </c>
      <c r="D3417" t="s">
        <v>20</v>
      </c>
      <c r="E3417" t="s">
        <v>11</v>
      </c>
      <c r="F3417">
        <v>2741.508</v>
      </c>
      <c r="G3417">
        <v>18</v>
      </c>
      <c r="L3417" t="s">
        <v>10165</v>
      </c>
      <c r="O3417" t="s">
        <v>10166</v>
      </c>
    </row>
    <row r="3418" spans="1:15" x14ac:dyDescent="0.25">
      <c r="A3418" t="s">
        <v>18</v>
      </c>
      <c r="B3418" t="s">
        <v>10165</v>
      </c>
      <c r="C3418" t="s">
        <v>10167</v>
      </c>
      <c r="D3418" t="s">
        <v>20</v>
      </c>
      <c r="E3418" t="s">
        <v>11</v>
      </c>
      <c r="F3418">
        <v>1436.028</v>
      </c>
      <c r="G3418">
        <v>18</v>
      </c>
      <c r="L3418" t="s">
        <v>10168</v>
      </c>
      <c r="O3418" t="s">
        <v>10169</v>
      </c>
    </row>
    <row r="3419" spans="1:15" x14ac:dyDescent="0.25">
      <c r="A3419" t="s">
        <v>18</v>
      </c>
      <c r="B3419" t="s">
        <v>10168</v>
      </c>
      <c r="C3419" t="s">
        <v>10170</v>
      </c>
      <c r="D3419" t="s">
        <v>20</v>
      </c>
      <c r="E3419" t="s">
        <v>11</v>
      </c>
      <c r="F3419">
        <v>456.918</v>
      </c>
      <c r="G3419">
        <v>18</v>
      </c>
      <c r="L3419" t="s">
        <v>10171</v>
      </c>
      <c r="O3419" t="s">
        <v>10172</v>
      </c>
    </row>
    <row r="3420" spans="1:15" x14ac:dyDescent="0.25">
      <c r="A3420" t="s">
        <v>18</v>
      </c>
      <c r="B3420" t="s">
        <v>10171</v>
      </c>
      <c r="C3420" t="s">
        <v>10173</v>
      </c>
      <c r="D3420" t="s">
        <v>20</v>
      </c>
      <c r="E3420" t="s">
        <v>11</v>
      </c>
      <c r="F3420">
        <v>1501.302</v>
      </c>
      <c r="G3420">
        <v>18</v>
      </c>
      <c r="L3420" t="s">
        <v>10174</v>
      </c>
      <c r="O3420" t="s">
        <v>10175</v>
      </c>
    </row>
    <row r="3421" spans="1:15" x14ac:dyDescent="0.25">
      <c r="A3421" t="s">
        <v>18</v>
      </c>
      <c r="B3421" t="s">
        <v>10174</v>
      </c>
      <c r="C3421" t="s">
        <v>10176</v>
      </c>
      <c r="D3421" t="s">
        <v>20</v>
      </c>
      <c r="E3421" t="s">
        <v>11</v>
      </c>
      <c r="F3421">
        <v>979.11</v>
      </c>
      <c r="G3421">
        <v>18</v>
      </c>
      <c r="L3421" t="s">
        <v>10177</v>
      </c>
      <c r="O3421" t="s">
        <v>10178</v>
      </c>
    </row>
    <row r="3422" spans="1:15" x14ac:dyDescent="0.25">
      <c r="A3422" t="s">
        <v>18</v>
      </c>
      <c r="B3422" t="s">
        <v>10177</v>
      </c>
      <c r="C3422" t="s">
        <v>10179</v>
      </c>
      <c r="D3422" t="s">
        <v>20</v>
      </c>
      <c r="E3422" t="s">
        <v>11</v>
      </c>
      <c r="F3422">
        <v>2806.7819999999997</v>
      </c>
      <c r="G3422">
        <v>18</v>
      </c>
      <c r="L3422" t="s">
        <v>10180</v>
      </c>
      <c r="O3422" t="s">
        <v>10181</v>
      </c>
    </row>
    <row r="3423" spans="1:15" x14ac:dyDescent="0.25">
      <c r="A3423" t="s">
        <v>18</v>
      </c>
      <c r="B3423" t="s">
        <v>10180</v>
      </c>
      <c r="C3423" t="s">
        <v>10182</v>
      </c>
      <c r="D3423" t="s">
        <v>20</v>
      </c>
      <c r="E3423" t="s">
        <v>11</v>
      </c>
      <c r="F3423">
        <v>2610.96</v>
      </c>
      <c r="G3423">
        <v>18</v>
      </c>
      <c r="L3423" t="s">
        <v>10183</v>
      </c>
      <c r="O3423" t="s">
        <v>10184</v>
      </c>
    </row>
    <row r="3424" spans="1:15" x14ac:dyDescent="0.25">
      <c r="A3424" t="s">
        <v>18</v>
      </c>
      <c r="B3424" t="s">
        <v>10183</v>
      </c>
      <c r="C3424" t="s">
        <v>10185</v>
      </c>
      <c r="D3424" t="s">
        <v>20</v>
      </c>
      <c r="E3424" t="s">
        <v>11</v>
      </c>
      <c r="F3424">
        <v>3328.9739999999997</v>
      </c>
      <c r="G3424">
        <v>18</v>
      </c>
      <c r="L3424" t="s">
        <v>10186</v>
      </c>
      <c r="O3424" t="s">
        <v>10187</v>
      </c>
    </row>
    <row r="3425" spans="1:15" x14ac:dyDescent="0.25">
      <c r="A3425" t="s">
        <v>18</v>
      </c>
      <c r="B3425" t="s">
        <v>10186</v>
      </c>
      <c r="C3425" t="s">
        <v>10188</v>
      </c>
      <c r="D3425" t="s">
        <v>20</v>
      </c>
      <c r="E3425" t="s">
        <v>11</v>
      </c>
      <c r="F3425">
        <v>3198.426</v>
      </c>
      <c r="G3425">
        <v>18</v>
      </c>
      <c r="L3425" t="s">
        <v>10189</v>
      </c>
      <c r="O3425" t="s">
        <v>10190</v>
      </c>
    </row>
    <row r="3426" spans="1:15" x14ac:dyDescent="0.25">
      <c r="A3426" t="s">
        <v>18</v>
      </c>
      <c r="B3426" t="s">
        <v>10189</v>
      </c>
      <c r="C3426" t="s">
        <v>10191</v>
      </c>
      <c r="D3426" t="s">
        <v>20</v>
      </c>
      <c r="E3426" t="s">
        <v>11</v>
      </c>
      <c r="F3426">
        <v>3328.9739999999997</v>
      </c>
      <c r="G3426">
        <v>18</v>
      </c>
      <c r="L3426" t="s">
        <v>10192</v>
      </c>
      <c r="O3426" t="s">
        <v>10193</v>
      </c>
    </row>
    <row r="3427" spans="1:15" x14ac:dyDescent="0.25">
      <c r="A3427" t="s">
        <v>18</v>
      </c>
      <c r="B3427" t="s">
        <v>10192</v>
      </c>
      <c r="C3427" t="s">
        <v>10194</v>
      </c>
      <c r="D3427" t="s">
        <v>20</v>
      </c>
      <c r="E3427" t="s">
        <v>11</v>
      </c>
      <c r="F3427">
        <v>1501.302</v>
      </c>
      <c r="G3427">
        <v>18</v>
      </c>
      <c r="L3427" t="s">
        <v>10195</v>
      </c>
      <c r="O3427" t="s">
        <v>10196</v>
      </c>
    </row>
    <row r="3428" spans="1:15" x14ac:dyDescent="0.25">
      <c r="A3428" t="s">
        <v>18</v>
      </c>
      <c r="B3428" t="s">
        <v>10195</v>
      </c>
      <c r="C3428" t="s">
        <v>10197</v>
      </c>
      <c r="D3428" t="s">
        <v>20</v>
      </c>
      <c r="E3428" t="s">
        <v>11</v>
      </c>
      <c r="F3428">
        <v>195.82199999999997</v>
      </c>
      <c r="G3428">
        <v>18</v>
      </c>
      <c r="L3428" t="s">
        <v>10198</v>
      </c>
      <c r="O3428" t="s">
        <v>10199</v>
      </c>
    </row>
    <row r="3429" spans="1:15" x14ac:dyDescent="0.25">
      <c r="A3429" t="s">
        <v>18</v>
      </c>
      <c r="B3429" t="s">
        <v>10198</v>
      </c>
      <c r="C3429" t="s">
        <v>10200</v>
      </c>
      <c r="D3429" t="s">
        <v>20</v>
      </c>
      <c r="E3429" t="s">
        <v>11</v>
      </c>
      <c r="F3429">
        <v>195.82199999999997</v>
      </c>
      <c r="G3429">
        <v>18</v>
      </c>
      <c r="L3429" t="s">
        <v>10201</v>
      </c>
      <c r="O3429" t="s">
        <v>10202</v>
      </c>
    </row>
    <row r="3430" spans="1:15" x14ac:dyDescent="0.25">
      <c r="A3430" t="s">
        <v>18</v>
      </c>
      <c r="B3430" t="s">
        <v>10201</v>
      </c>
      <c r="C3430" t="s">
        <v>10203</v>
      </c>
      <c r="D3430" t="s">
        <v>20</v>
      </c>
      <c r="E3430" t="s">
        <v>11</v>
      </c>
      <c r="F3430">
        <v>195.82199999999997</v>
      </c>
      <c r="G3430">
        <v>18</v>
      </c>
      <c r="L3430" t="s">
        <v>10204</v>
      </c>
      <c r="O3430" t="s">
        <v>10205</v>
      </c>
    </row>
    <row r="3431" spans="1:15" x14ac:dyDescent="0.25">
      <c r="A3431" t="s">
        <v>18</v>
      </c>
      <c r="B3431" t="s">
        <v>10204</v>
      </c>
      <c r="C3431" t="s">
        <v>10206</v>
      </c>
      <c r="D3431" t="s">
        <v>20</v>
      </c>
      <c r="E3431" t="s">
        <v>11</v>
      </c>
      <c r="F3431">
        <v>391.64399999999995</v>
      </c>
      <c r="G3431">
        <v>18</v>
      </c>
      <c r="L3431" t="s">
        <v>10207</v>
      </c>
      <c r="O3431" t="s">
        <v>10208</v>
      </c>
    </row>
    <row r="3432" spans="1:15" x14ac:dyDescent="0.25">
      <c r="A3432" t="s">
        <v>18</v>
      </c>
      <c r="B3432" t="s">
        <v>10207</v>
      </c>
      <c r="C3432" t="s">
        <v>10209</v>
      </c>
      <c r="D3432" t="s">
        <v>20</v>
      </c>
      <c r="E3432" t="s">
        <v>11</v>
      </c>
      <c r="F3432">
        <v>587.4659999999999</v>
      </c>
      <c r="G3432">
        <v>18</v>
      </c>
      <c r="L3432" t="s">
        <v>10210</v>
      </c>
      <c r="O3432" t="s">
        <v>10211</v>
      </c>
    </row>
    <row r="3433" spans="1:15" x14ac:dyDescent="0.25">
      <c r="A3433" t="s">
        <v>18</v>
      </c>
      <c r="B3433" t="s">
        <v>10210</v>
      </c>
      <c r="C3433" t="s">
        <v>10212</v>
      </c>
      <c r="D3433" t="s">
        <v>20</v>
      </c>
      <c r="E3433" t="s">
        <v>11</v>
      </c>
      <c r="F3433">
        <v>522.192</v>
      </c>
      <c r="G3433">
        <v>18</v>
      </c>
      <c r="L3433" t="s">
        <v>10213</v>
      </c>
      <c r="O3433" t="s">
        <v>10214</v>
      </c>
    </row>
    <row r="3434" spans="1:15" x14ac:dyDescent="0.25">
      <c r="A3434" t="s">
        <v>18</v>
      </c>
      <c r="B3434" t="s">
        <v>10213</v>
      </c>
      <c r="C3434" t="s">
        <v>10215</v>
      </c>
      <c r="D3434" t="s">
        <v>20</v>
      </c>
      <c r="E3434" t="s">
        <v>11</v>
      </c>
      <c r="F3434">
        <v>326.37</v>
      </c>
      <c r="G3434">
        <v>18</v>
      </c>
      <c r="L3434" t="s">
        <v>10216</v>
      </c>
      <c r="O3434" t="s">
        <v>10217</v>
      </c>
    </row>
    <row r="3435" spans="1:15" x14ac:dyDescent="0.25">
      <c r="A3435" t="s">
        <v>18</v>
      </c>
      <c r="B3435" t="s">
        <v>10216</v>
      </c>
      <c r="C3435" t="s">
        <v>10218</v>
      </c>
      <c r="D3435" t="s">
        <v>20</v>
      </c>
      <c r="E3435" t="s">
        <v>11</v>
      </c>
      <c r="F3435">
        <v>130.548</v>
      </c>
      <c r="G3435">
        <v>18</v>
      </c>
      <c r="L3435" t="s">
        <v>10219</v>
      </c>
      <c r="O3435" t="s">
        <v>10220</v>
      </c>
    </row>
    <row r="3436" spans="1:15" x14ac:dyDescent="0.25">
      <c r="A3436" t="s">
        <v>18</v>
      </c>
      <c r="B3436" t="s">
        <v>10219</v>
      </c>
      <c r="C3436" t="s">
        <v>10221</v>
      </c>
      <c r="D3436" t="s">
        <v>20</v>
      </c>
      <c r="E3436" t="s">
        <v>11</v>
      </c>
      <c r="F3436">
        <v>261.096</v>
      </c>
      <c r="G3436">
        <v>18</v>
      </c>
      <c r="L3436" t="s">
        <v>10222</v>
      </c>
      <c r="O3436" t="s">
        <v>10223</v>
      </c>
    </row>
    <row r="3437" spans="1:15" x14ac:dyDescent="0.25">
      <c r="A3437" t="s">
        <v>18</v>
      </c>
      <c r="B3437" t="s">
        <v>10222</v>
      </c>
      <c r="C3437" t="s">
        <v>10224</v>
      </c>
      <c r="D3437" t="s">
        <v>20</v>
      </c>
      <c r="E3437" t="s">
        <v>11</v>
      </c>
      <c r="F3437">
        <v>195.82199999999997</v>
      </c>
      <c r="G3437">
        <v>18</v>
      </c>
      <c r="L3437" t="s">
        <v>10225</v>
      </c>
      <c r="O3437" t="s">
        <v>10226</v>
      </c>
    </row>
    <row r="3438" spans="1:15" x14ac:dyDescent="0.25">
      <c r="A3438" t="s">
        <v>18</v>
      </c>
      <c r="B3438" t="s">
        <v>10225</v>
      </c>
      <c r="C3438" t="s">
        <v>10227</v>
      </c>
      <c r="D3438" t="s">
        <v>20</v>
      </c>
      <c r="E3438" t="s">
        <v>11</v>
      </c>
      <c r="F3438">
        <v>261.096</v>
      </c>
      <c r="G3438">
        <v>18</v>
      </c>
      <c r="L3438" t="s">
        <v>10228</v>
      </c>
      <c r="O3438" t="s">
        <v>10229</v>
      </c>
    </row>
    <row r="3439" spans="1:15" x14ac:dyDescent="0.25">
      <c r="A3439" t="s">
        <v>18</v>
      </c>
      <c r="B3439" t="s">
        <v>10228</v>
      </c>
      <c r="C3439" t="s">
        <v>10230</v>
      </c>
      <c r="D3439" t="s">
        <v>20</v>
      </c>
      <c r="E3439" t="s">
        <v>11</v>
      </c>
      <c r="F3439">
        <v>191.26799999999997</v>
      </c>
      <c r="G3439">
        <v>18</v>
      </c>
      <c r="L3439" t="s">
        <v>10231</v>
      </c>
      <c r="O3439" t="s">
        <v>10232</v>
      </c>
    </row>
    <row r="3440" spans="1:15" x14ac:dyDescent="0.25">
      <c r="A3440" t="s">
        <v>18</v>
      </c>
      <c r="B3440" t="s">
        <v>10231</v>
      </c>
      <c r="C3440" t="s">
        <v>10233</v>
      </c>
      <c r="D3440" t="s">
        <v>20</v>
      </c>
      <c r="E3440" t="s">
        <v>11</v>
      </c>
      <c r="F3440">
        <v>456.918</v>
      </c>
      <c r="G3440">
        <v>18</v>
      </c>
      <c r="L3440" t="s">
        <v>10234</v>
      </c>
      <c r="O3440" t="s">
        <v>10235</v>
      </c>
    </row>
    <row r="3441" spans="1:15" x14ac:dyDescent="0.25">
      <c r="A3441" t="s">
        <v>18</v>
      </c>
      <c r="B3441" t="s">
        <v>10234</v>
      </c>
      <c r="C3441" t="s">
        <v>10236</v>
      </c>
      <c r="D3441" t="s">
        <v>20</v>
      </c>
      <c r="E3441" t="s">
        <v>11</v>
      </c>
      <c r="F3441">
        <v>783.2879999999999</v>
      </c>
      <c r="G3441">
        <v>18</v>
      </c>
      <c r="L3441" t="s">
        <v>10237</v>
      </c>
      <c r="O3441" t="s">
        <v>10238</v>
      </c>
    </row>
    <row r="3442" spans="1:15" x14ac:dyDescent="0.25">
      <c r="A3442" t="s">
        <v>18</v>
      </c>
      <c r="B3442" t="s">
        <v>10237</v>
      </c>
      <c r="C3442" t="s">
        <v>10239</v>
      </c>
      <c r="D3442" t="s">
        <v>20</v>
      </c>
      <c r="E3442" t="s">
        <v>11</v>
      </c>
      <c r="F3442">
        <v>195.82199999999997</v>
      </c>
      <c r="G3442">
        <v>18</v>
      </c>
      <c r="L3442" t="s">
        <v>10240</v>
      </c>
      <c r="O3442" t="s">
        <v>10241</v>
      </c>
    </row>
    <row r="3443" spans="1:15" x14ac:dyDescent="0.25">
      <c r="A3443" t="s">
        <v>18</v>
      </c>
      <c r="B3443" t="s">
        <v>10240</v>
      </c>
      <c r="C3443" t="s">
        <v>10242</v>
      </c>
      <c r="D3443" t="s">
        <v>20</v>
      </c>
      <c r="E3443" t="s">
        <v>11</v>
      </c>
      <c r="F3443">
        <v>261.096</v>
      </c>
      <c r="G3443">
        <v>18</v>
      </c>
      <c r="L3443" t="s">
        <v>10243</v>
      </c>
      <c r="O3443" t="s">
        <v>10244</v>
      </c>
    </row>
    <row r="3444" spans="1:15" x14ac:dyDescent="0.25">
      <c r="A3444" t="s">
        <v>18</v>
      </c>
      <c r="B3444" t="s">
        <v>10243</v>
      </c>
      <c r="C3444" t="s">
        <v>10245</v>
      </c>
      <c r="D3444" t="s">
        <v>20</v>
      </c>
      <c r="E3444" t="s">
        <v>11</v>
      </c>
      <c r="F3444">
        <v>130.548</v>
      </c>
      <c r="G3444">
        <v>18</v>
      </c>
      <c r="L3444" t="s">
        <v>10246</v>
      </c>
      <c r="O3444" t="s">
        <v>10247</v>
      </c>
    </row>
    <row r="3445" spans="1:15" x14ac:dyDescent="0.25">
      <c r="A3445" t="s">
        <v>18</v>
      </c>
      <c r="B3445" t="s">
        <v>10246</v>
      </c>
      <c r="C3445" t="s">
        <v>10248</v>
      </c>
      <c r="D3445" t="s">
        <v>20</v>
      </c>
      <c r="E3445" t="s">
        <v>11</v>
      </c>
      <c r="F3445">
        <v>130.548</v>
      </c>
      <c r="G3445">
        <v>18</v>
      </c>
      <c r="L3445" t="s">
        <v>10249</v>
      </c>
      <c r="O3445" t="s">
        <v>10250</v>
      </c>
    </row>
    <row r="3446" spans="1:15" x14ac:dyDescent="0.25">
      <c r="A3446" t="s">
        <v>18</v>
      </c>
      <c r="B3446" t="s">
        <v>10249</v>
      </c>
      <c r="C3446" t="s">
        <v>10251</v>
      </c>
      <c r="D3446" t="s">
        <v>20</v>
      </c>
      <c r="E3446" t="s">
        <v>11</v>
      </c>
      <c r="F3446">
        <v>130.548</v>
      </c>
      <c r="G3446">
        <v>18</v>
      </c>
      <c r="L3446" t="s">
        <v>10252</v>
      </c>
      <c r="O3446" t="s">
        <v>10253</v>
      </c>
    </row>
    <row r="3447" spans="1:15" x14ac:dyDescent="0.25">
      <c r="A3447" t="s">
        <v>18</v>
      </c>
      <c r="B3447" t="s">
        <v>10252</v>
      </c>
      <c r="C3447" t="s">
        <v>10254</v>
      </c>
      <c r="D3447" t="s">
        <v>20</v>
      </c>
      <c r="E3447" t="s">
        <v>11</v>
      </c>
      <c r="F3447">
        <v>261.096</v>
      </c>
      <c r="G3447">
        <v>18</v>
      </c>
      <c r="L3447" t="s">
        <v>10255</v>
      </c>
      <c r="O3447" t="s">
        <v>10256</v>
      </c>
    </row>
    <row r="3448" spans="1:15" x14ac:dyDescent="0.25">
      <c r="A3448" t="s">
        <v>18</v>
      </c>
      <c r="B3448" t="s">
        <v>10255</v>
      </c>
      <c r="C3448" t="s">
        <v>10257</v>
      </c>
      <c r="D3448" t="s">
        <v>20</v>
      </c>
      <c r="E3448" t="s">
        <v>11</v>
      </c>
      <c r="F3448">
        <v>195.82199999999997</v>
      </c>
      <c r="G3448">
        <v>18</v>
      </c>
      <c r="L3448" t="s">
        <v>10258</v>
      </c>
      <c r="O3448" t="s">
        <v>10259</v>
      </c>
    </row>
    <row r="3449" spans="1:15" x14ac:dyDescent="0.25">
      <c r="A3449" t="s">
        <v>18</v>
      </c>
      <c r="B3449" t="s">
        <v>10258</v>
      </c>
      <c r="C3449" t="s">
        <v>10260</v>
      </c>
      <c r="D3449" t="s">
        <v>20</v>
      </c>
      <c r="E3449" t="s">
        <v>11</v>
      </c>
      <c r="F3449">
        <v>456.918</v>
      </c>
      <c r="G3449">
        <v>18</v>
      </c>
      <c r="L3449" t="s">
        <v>10261</v>
      </c>
      <c r="O3449" t="s">
        <v>10262</v>
      </c>
    </row>
    <row r="3450" spans="1:15" x14ac:dyDescent="0.25">
      <c r="A3450" t="s">
        <v>18</v>
      </c>
      <c r="B3450" t="s">
        <v>10261</v>
      </c>
      <c r="C3450" t="s">
        <v>10263</v>
      </c>
      <c r="D3450" t="s">
        <v>20</v>
      </c>
      <c r="E3450" t="s">
        <v>11</v>
      </c>
      <c r="F3450">
        <v>2284.59</v>
      </c>
      <c r="G3450">
        <v>18</v>
      </c>
      <c r="L3450" t="s">
        <v>10264</v>
      </c>
      <c r="O3450" t="s">
        <v>10265</v>
      </c>
    </row>
    <row r="3451" spans="1:15" x14ac:dyDescent="0.25">
      <c r="A3451" t="s">
        <v>18</v>
      </c>
      <c r="B3451" t="s">
        <v>10264</v>
      </c>
      <c r="C3451" t="s">
        <v>10266</v>
      </c>
      <c r="D3451" t="s">
        <v>20</v>
      </c>
      <c r="E3451" t="s">
        <v>11</v>
      </c>
      <c r="F3451">
        <v>261.096</v>
      </c>
      <c r="G3451">
        <v>18</v>
      </c>
      <c r="L3451" t="s">
        <v>10267</v>
      </c>
      <c r="O3451" t="s">
        <v>10268</v>
      </c>
    </row>
    <row r="3452" spans="1:15" x14ac:dyDescent="0.25">
      <c r="A3452" t="s">
        <v>18</v>
      </c>
      <c r="B3452" t="s">
        <v>10267</v>
      </c>
      <c r="C3452" t="s">
        <v>10269</v>
      </c>
      <c r="D3452" t="s">
        <v>20</v>
      </c>
      <c r="E3452" t="s">
        <v>11</v>
      </c>
      <c r="F3452">
        <v>2023.494</v>
      </c>
      <c r="G3452">
        <v>18</v>
      </c>
      <c r="L3452" t="s">
        <v>10270</v>
      </c>
      <c r="O3452" t="s">
        <v>10271</v>
      </c>
    </row>
    <row r="3453" spans="1:15" x14ac:dyDescent="0.25">
      <c r="A3453" t="s">
        <v>18</v>
      </c>
      <c r="B3453" t="s">
        <v>10270</v>
      </c>
      <c r="C3453" t="s">
        <v>10272</v>
      </c>
      <c r="D3453" t="s">
        <v>20</v>
      </c>
      <c r="E3453" t="s">
        <v>11</v>
      </c>
      <c r="F3453">
        <v>1044.384</v>
      </c>
      <c r="G3453">
        <v>18</v>
      </c>
      <c r="L3453" t="s">
        <v>10273</v>
      </c>
      <c r="O3453" t="s">
        <v>10274</v>
      </c>
    </row>
    <row r="3454" spans="1:15" x14ac:dyDescent="0.25">
      <c r="A3454" t="s">
        <v>18</v>
      </c>
      <c r="B3454" t="s">
        <v>10273</v>
      </c>
      <c r="C3454" t="s">
        <v>10275</v>
      </c>
      <c r="D3454" t="s">
        <v>20</v>
      </c>
      <c r="E3454" t="s">
        <v>11</v>
      </c>
      <c r="F3454">
        <v>326.37</v>
      </c>
      <c r="G3454">
        <v>18</v>
      </c>
      <c r="L3454" t="s">
        <v>10276</v>
      </c>
      <c r="O3454" t="s">
        <v>10277</v>
      </c>
    </row>
    <row r="3455" spans="1:15" x14ac:dyDescent="0.25">
      <c r="A3455" t="s">
        <v>18</v>
      </c>
      <c r="B3455" t="s">
        <v>10276</v>
      </c>
      <c r="C3455" t="s">
        <v>10278</v>
      </c>
      <c r="D3455" t="s">
        <v>20</v>
      </c>
      <c r="E3455" t="s">
        <v>11</v>
      </c>
      <c r="F3455">
        <v>130.548</v>
      </c>
      <c r="G3455">
        <v>18</v>
      </c>
      <c r="L3455" t="s">
        <v>10279</v>
      </c>
      <c r="O3455" t="s">
        <v>10280</v>
      </c>
    </row>
    <row r="3456" spans="1:15" x14ac:dyDescent="0.25">
      <c r="A3456" t="s">
        <v>18</v>
      </c>
      <c r="B3456" t="s">
        <v>10279</v>
      </c>
      <c r="C3456" t="s">
        <v>10281</v>
      </c>
      <c r="D3456" t="s">
        <v>20</v>
      </c>
      <c r="E3456" t="s">
        <v>11</v>
      </c>
      <c r="F3456">
        <v>5678.838</v>
      </c>
      <c r="G3456">
        <v>18</v>
      </c>
      <c r="L3456" t="s">
        <v>10282</v>
      </c>
      <c r="O3456" t="s">
        <v>10283</v>
      </c>
    </row>
    <row r="3457" spans="1:15" x14ac:dyDescent="0.25">
      <c r="A3457" t="s">
        <v>18</v>
      </c>
      <c r="B3457" t="s">
        <v>10282</v>
      </c>
      <c r="C3457" t="s">
        <v>10284</v>
      </c>
      <c r="D3457" t="s">
        <v>20</v>
      </c>
      <c r="E3457" t="s">
        <v>11</v>
      </c>
      <c r="F3457">
        <v>6788.495999999999</v>
      </c>
      <c r="G3457">
        <v>18</v>
      </c>
      <c r="L3457" t="s">
        <v>10285</v>
      </c>
      <c r="O3457" t="s">
        <v>10286</v>
      </c>
    </row>
    <row r="3458" spans="1:15" x14ac:dyDescent="0.25">
      <c r="A3458" t="s">
        <v>18</v>
      </c>
      <c r="B3458" t="s">
        <v>10285</v>
      </c>
      <c r="C3458" t="s">
        <v>10287</v>
      </c>
      <c r="D3458" t="s">
        <v>20</v>
      </c>
      <c r="E3458" t="s">
        <v>11</v>
      </c>
      <c r="F3458">
        <v>1109.658</v>
      </c>
      <c r="G3458">
        <v>18</v>
      </c>
      <c r="L3458" t="s">
        <v>10288</v>
      </c>
      <c r="O3458" t="s">
        <v>10289</v>
      </c>
    </row>
    <row r="3459" spans="1:15" x14ac:dyDescent="0.25">
      <c r="A3459" t="s">
        <v>18</v>
      </c>
      <c r="B3459" t="s">
        <v>10288</v>
      </c>
      <c r="C3459" t="s">
        <v>10290</v>
      </c>
      <c r="D3459" t="s">
        <v>20</v>
      </c>
      <c r="E3459" t="s">
        <v>11</v>
      </c>
      <c r="F3459">
        <v>130.548</v>
      </c>
      <c r="G3459">
        <v>18</v>
      </c>
      <c r="L3459" t="s">
        <v>10291</v>
      </c>
      <c r="O3459" t="s">
        <v>10292</v>
      </c>
    </row>
    <row r="3460" spans="1:15" x14ac:dyDescent="0.25">
      <c r="A3460" t="s">
        <v>18</v>
      </c>
      <c r="B3460" t="s">
        <v>10291</v>
      </c>
      <c r="C3460" t="s">
        <v>10293</v>
      </c>
      <c r="D3460" t="s">
        <v>20</v>
      </c>
      <c r="E3460" t="s">
        <v>11</v>
      </c>
      <c r="F3460">
        <v>718.014</v>
      </c>
      <c r="G3460">
        <v>18</v>
      </c>
      <c r="L3460" t="s">
        <v>10294</v>
      </c>
      <c r="O3460" t="s">
        <v>10295</v>
      </c>
    </row>
    <row r="3461" spans="1:15" x14ac:dyDescent="0.25">
      <c r="A3461" t="s">
        <v>18</v>
      </c>
      <c r="B3461" t="s">
        <v>10294</v>
      </c>
      <c r="C3461" t="s">
        <v>10296</v>
      </c>
      <c r="D3461" t="s">
        <v>20</v>
      </c>
      <c r="E3461" t="s">
        <v>11</v>
      </c>
      <c r="F3461">
        <v>4373.358</v>
      </c>
      <c r="G3461">
        <v>18</v>
      </c>
      <c r="L3461" t="s">
        <v>10297</v>
      </c>
      <c r="O3461" t="s">
        <v>10298</v>
      </c>
    </row>
    <row r="3462" spans="1:15" x14ac:dyDescent="0.25">
      <c r="A3462" t="s">
        <v>18</v>
      </c>
      <c r="B3462" t="s">
        <v>10297</v>
      </c>
      <c r="C3462" t="s">
        <v>10299</v>
      </c>
      <c r="D3462" t="s">
        <v>20</v>
      </c>
      <c r="E3462" t="s">
        <v>11</v>
      </c>
      <c r="F3462">
        <v>9399.455999999998</v>
      </c>
      <c r="G3462">
        <v>18</v>
      </c>
      <c r="L3462" t="s">
        <v>10300</v>
      </c>
      <c r="O3462" t="s">
        <v>10301</v>
      </c>
    </row>
    <row r="3463" spans="1:15" x14ac:dyDescent="0.25">
      <c r="A3463" t="s">
        <v>18</v>
      </c>
      <c r="B3463" t="s">
        <v>10300</v>
      </c>
      <c r="C3463" t="s">
        <v>10302</v>
      </c>
      <c r="D3463" t="s">
        <v>20</v>
      </c>
      <c r="E3463" t="s">
        <v>11</v>
      </c>
      <c r="F3463">
        <v>9268.908</v>
      </c>
      <c r="G3463">
        <v>18</v>
      </c>
      <c r="L3463" t="s">
        <v>10303</v>
      </c>
      <c r="O3463" t="s">
        <v>10304</v>
      </c>
    </row>
    <row r="3464" spans="1:15" x14ac:dyDescent="0.25">
      <c r="A3464" t="s">
        <v>18</v>
      </c>
      <c r="B3464" t="s">
        <v>10303</v>
      </c>
      <c r="C3464" t="s">
        <v>10305</v>
      </c>
      <c r="D3464" t="s">
        <v>20</v>
      </c>
      <c r="E3464" t="s">
        <v>11</v>
      </c>
      <c r="F3464">
        <v>7506.51</v>
      </c>
      <c r="G3464">
        <v>18</v>
      </c>
      <c r="L3464" t="s">
        <v>10306</v>
      </c>
      <c r="O3464" t="s">
        <v>10307</v>
      </c>
    </row>
    <row r="3465" spans="1:15" x14ac:dyDescent="0.25">
      <c r="A3465" t="s">
        <v>18</v>
      </c>
      <c r="B3465" t="s">
        <v>10306</v>
      </c>
      <c r="C3465" t="s">
        <v>10308</v>
      </c>
      <c r="D3465" t="s">
        <v>20</v>
      </c>
      <c r="E3465" t="s">
        <v>11</v>
      </c>
      <c r="F3465">
        <v>4830.276</v>
      </c>
      <c r="G3465">
        <v>18</v>
      </c>
      <c r="L3465" t="s">
        <v>10309</v>
      </c>
      <c r="O3465" t="s">
        <v>10310</v>
      </c>
    </row>
    <row r="3466" spans="1:15" x14ac:dyDescent="0.25">
      <c r="A3466" t="s">
        <v>18</v>
      </c>
      <c r="B3466" t="s">
        <v>10309</v>
      </c>
      <c r="C3466" t="s">
        <v>10311</v>
      </c>
      <c r="D3466" t="s">
        <v>20</v>
      </c>
      <c r="E3466" t="s">
        <v>11</v>
      </c>
      <c r="F3466">
        <v>456.918</v>
      </c>
      <c r="G3466">
        <v>18</v>
      </c>
      <c r="L3466" t="s">
        <v>10312</v>
      </c>
      <c r="O3466" t="s">
        <v>10313</v>
      </c>
    </row>
    <row r="3467" spans="1:15" x14ac:dyDescent="0.25">
      <c r="A3467" t="s">
        <v>18</v>
      </c>
      <c r="B3467" t="s">
        <v>10312</v>
      </c>
      <c r="C3467" t="s">
        <v>10314</v>
      </c>
      <c r="D3467" t="s">
        <v>20</v>
      </c>
      <c r="E3467" t="s">
        <v>11</v>
      </c>
      <c r="F3467">
        <v>718.014</v>
      </c>
      <c r="G3467">
        <v>18</v>
      </c>
      <c r="L3467" t="s">
        <v>10315</v>
      </c>
      <c r="O3467" t="s">
        <v>10316</v>
      </c>
    </row>
    <row r="3468" spans="1:15" x14ac:dyDescent="0.25">
      <c r="A3468" t="s">
        <v>18</v>
      </c>
      <c r="B3468" t="s">
        <v>10315</v>
      </c>
      <c r="C3468" t="s">
        <v>10317</v>
      </c>
      <c r="D3468" t="s">
        <v>20</v>
      </c>
      <c r="E3468" t="s">
        <v>11</v>
      </c>
      <c r="F3468">
        <v>9073.086</v>
      </c>
      <c r="G3468">
        <v>18</v>
      </c>
      <c r="L3468" t="s">
        <v>10318</v>
      </c>
      <c r="O3468" t="s">
        <v>10319</v>
      </c>
    </row>
    <row r="3469" spans="1:15" x14ac:dyDescent="0.25">
      <c r="A3469" t="s">
        <v>18</v>
      </c>
      <c r="B3469" t="s">
        <v>10318</v>
      </c>
      <c r="C3469" t="s">
        <v>10320</v>
      </c>
      <c r="D3469" t="s">
        <v>20</v>
      </c>
      <c r="E3469" t="s">
        <v>11</v>
      </c>
      <c r="F3469">
        <v>11031.305999999999</v>
      </c>
      <c r="G3469">
        <v>18</v>
      </c>
      <c r="L3469" t="s">
        <v>10321</v>
      </c>
      <c r="O3469" t="s">
        <v>10322</v>
      </c>
    </row>
    <row r="3470" spans="1:15" x14ac:dyDescent="0.25">
      <c r="A3470" t="s">
        <v>18</v>
      </c>
      <c r="B3470" t="s">
        <v>10321</v>
      </c>
      <c r="C3470" t="s">
        <v>10323</v>
      </c>
      <c r="D3470" t="s">
        <v>20</v>
      </c>
      <c r="E3470" t="s">
        <v>11</v>
      </c>
      <c r="F3470">
        <v>1044.384</v>
      </c>
      <c r="G3470">
        <v>18</v>
      </c>
      <c r="L3470" t="s">
        <v>10324</v>
      </c>
      <c r="O3470" t="s">
        <v>10325</v>
      </c>
    </row>
    <row r="3471" spans="1:15" x14ac:dyDescent="0.25">
      <c r="A3471" t="s">
        <v>18</v>
      </c>
      <c r="B3471" t="s">
        <v>10324</v>
      </c>
      <c r="C3471" t="s">
        <v>10326</v>
      </c>
      <c r="D3471" t="s">
        <v>20</v>
      </c>
      <c r="E3471" t="s">
        <v>11</v>
      </c>
      <c r="F3471">
        <v>130.548</v>
      </c>
      <c r="G3471">
        <v>18</v>
      </c>
      <c r="L3471" t="s">
        <v>10327</v>
      </c>
      <c r="O3471" t="s">
        <v>10328</v>
      </c>
    </row>
    <row r="3472" spans="1:15" x14ac:dyDescent="0.25">
      <c r="A3472" t="s">
        <v>18</v>
      </c>
      <c r="B3472" t="s">
        <v>10327</v>
      </c>
      <c r="C3472" t="s">
        <v>10329</v>
      </c>
      <c r="D3472" t="s">
        <v>20</v>
      </c>
      <c r="E3472" t="s">
        <v>11</v>
      </c>
      <c r="F3472">
        <v>1631.85</v>
      </c>
      <c r="G3472">
        <v>18</v>
      </c>
      <c r="L3472" t="s">
        <v>10330</v>
      </c>
      <c r="O3472" t="s">
        <v>10331</v>
      </c>
    </row>
    <row r="3473" spans="1:15" x14ac:dyDescent="0.25">
      <c r="A3473" t="s">
        <v>18</v>
      </c>
      <c r="B3473" t="s">
        <v>10330</v>
      </c>
      <c r="C3473" t="s">
        <v>10332</v>
      </c>
      <c r="D3473" t="s">
        <v>20</v>
      </c>
      <c r="E3473" t="s">
        <v>11</v>
      </c>
      <c r="F3473">
        <v>718.014</v>
      </c>
      <c r="G3473">
        <v>18</v>
      </c>
      <c r="L3473" t="s">
        <v>10333</v>
      </c>
      <c r="O3473" t="s">
        <v>10334</v>
      </c>
    </row>
    <row r="3474" spans="1:15" x14ac:dyDescent="0.25">
      <c r="A3474" t="s">
        <v>18</v>
      </c>
      <c r="B3474" t="s">
        <v>10333</v>
      </c>
      <c r="C3474" t="s">
        <v>10335</v>
      </c>
      <c r="D3474" t="s">
        <v>20</v>
      </c>
      <c r="E3474" t="s">
        <v>11</v>
      </c>
      <c r="F3474">
        <v>652.74</v>
      </c>
      <c r="G3474">
        <v>18</v>
      </c>
      <c r="L3474" t="s">
        <v>10336</v>
      </c>
      <c r="O3474" t="s">
        <v>10337</v>
      </c>
    </row>
    <row r="3475" spans="1:15" x14ac:dyDescent="0.25">
      <c r="A3475" t="s">
        <v>18</v>
      </c>
      <c r="B3475" t="s">
        <v>10336</v>
      </c>
      <c r="C3475" t="s">
        <v>10338</v>
      </c>
      <c r="D3475" t="s">
        <v>20</v>
      </c>
      <c r="E3475" t="s">
        <v>11</v>
      </c>
      <c r="F3475">
        <v>326.37</v>
      </c>
      <c r="G3475">
        <v>18</v>
      </c>
      <c r="L3475" t="s">
        <v>10339</v>
      </c>
      <c r="O3475" t="s">
        <v>10340</v>
      </c>
    </row>
    <row r="3476" spans="1:15" x14ac:dyDescent="0.25">
      <c r="A3476" t="s">
        <v>18</v>
      </c>
      <c r="B3476" t="s">
        <v>10339</v>
      </c>
      <c r="C3476" t="s">
        <v>10341</v>
      </c>
      <c r="D3476" t="s">
        <v>20</v>
      </c>
      <c r="E3476" t="s">
        <v>11</v>
      </c>
      <c r="F3476">
        <v>5483.016</v>
      </c>
      <c r="G3476">
        <v>18</v>
      </c>
      <c r="L3476" t="s">
        <v>10342</v>
      </c>
      <c r="O3476" t="s">
        <v>10343</v>
      </c>
    </row>
    <row r="3477" spans="1:15" x14ac:dyDescent="0.25">
      <c r="A3477" t="s">
        <v>18</v>
      </c>
      <c r="B3477" t="s">
        <v>10342</v>
      </c>
      <c r="C3477" t="s">
        <v>10344</v>
      </c>
      <c r="D3477" t="s">
        <v>20</v>
      </c>
      <c r="E3477" t="s">
        <v>11</v>
      </c>
      <c r="F3477">
        <v>7898.1539999999995</v>
      </c>
      <c r="G3477">
        <v>18</v>
      </c>
      <c r="L3477" t="s">
        <v>10345</v>
      </c>
      <c r="O3477" t="s">
        <v>10346</v>
      </c>
    </row>
    <row r="3478" spans="1:15" x14ac:dyDescent="0.25">
      <c r="A3478" t="s">
        <v>18</v>
      </c>
      <c r="B3478" t="s">
        <v>10345</v>
      </c>
      <c r="C3478" t="s">
        <v>10347</v>
      </c>
      <c r="D3478" t="s">
        <v>20</v>
      </c>
      <c r="E3478" t="s">
        <v>11</v>
      </c>
      <c r="F3478">
        <v>1827.672</v>
      </c>
      <c r="G3478">
        <v>18</v>
      </c>
      <c r="L3478" t="s">
        <v>10348</v>
      </c>
      <c r="O3478" t="s">
        <v>10349</v>
      </c>
    </row>
    <row r="3479" spans="1:15" x14ac:dyDescent="0.25">
      <c r="A3479" t="s">
        <v>18</v>
      </c>
      <c r="B3479" t="s">
        <v>10348</v>
      </c>
      <c r="C3479" t="s">
        <v>10350</v>
      </c>
      <c r="D3479" t="s">
        <v>20</v>
      </c>
      <c r="E3479" t="s">
        <v>11</v>
      </c>
      <c r="F3479">
        <v>326.37</v>
      </c>
      <c r="G3479">
        <v>18</v>
      </c>
      <c r="L3479" t="s">
        <v>10351</v>
      </c>
      <c r="O3479" t="s">
        <v>10352</v>
      </c>
    </row>
    <row r="3480" spans="1:15" x14ac:dyDescent="0.25">
      <c r="A3480" t="s">
        <v>18</v>
      </c>
      <c r="B3480" t="s">
        <v>10351</v>
      </c>
      <c r="C3480" t="s">
        <v>10353</v>
      </c>
      <c r="D3480" t="s">
        <v>20</v>
      </c>
      <c r="E3480" t="s">
        <v>11</v>
      </c>
      <c r="F3480">
        <v>3981.714</v>
      </c>
      <c r="G3480">
        <v>18</v>
      </c>
      <c r="L3480" t="s">
        <v>10354</v>
      </c>
      <c r="O3480" t="s">
        <v>10355</v>
      </c>
    </row>
    <row r="3481" spans="1:15" x14ac:dyDescent="0.25">
      <c r="A3481" t="s">
        <v>18</v>
      </c>
      <c r="B3481" t="s">
        <v>10354</v>
      </c>
      <c r="C3481" t="s">
        <v>10356</v>
      </c>
      <c r="D3481" t="s">
        <v>20</v>
      </c>
      <c r="E3481" t="s">
        <v>11</v>
      </c>
      <c r="F3481">
        <v>2610.96</v>
      </c>
      <c r="G3481">
        <v>18</v>
      </c>
      <c r="L3481" t="s">
        <v>10357</v>
      </c>
      <c r="O3481" t="s">
        <v>10358</v>
      </c>
    </row>
    <row r="3482" spans="1:15" x14ac:dyDescent="0.25">
      <c r="A3482" t="s">
        <v>18</v>
      </c>
      <c r="B3482" t="s">
        <v>10357</v>
      </c>
      <c r="C3482" t="s">
        <v>10359</v>
      </c>
      <c r="D3482" t="s">
        <v>20</v>
      </c>
      <c r="E3482" t="s">
        <v>11</v>
      </c>
      <c r="F3482">
        <v>3328.9739999999997</v>
      </c>
      <c r="G3482">
        <v>18</v>
      </c>
      <c r="L3482" t="s">
        <v>10360</v>
      </c>
      <c r="O3482" t="s">
        <v>10361</v>
      </c>
    </row>
    <row r="3483" spans="1:15" x14ac:dyDescent="0.25">
      <c r="A3483" t="s">
        <v>18</v>
      </c>
      <c r="B3483" t="s">
        <v>10360</v>
      </c>
      <c r="C3483" t="s">
        <v>10362</v>
      </c>
      <c r="D3483" t="s">
        <v>20</v>
      </c>
      <c r="E3483" t="s">
        <v>11</v>
      </c>
      <c r="F3483">
        <v>3851.166</v>
      </c>
      <c r="G3483">
        <v>18</v>
      </c>
      <c r="L3483" t="s">
        <v>10363</v>
      </c>
      <c r="O3483" t="s">
        <v>10364</v>
      </c>
    </row>
    <row r="3484" spans="1:15" x14ac:dyDescent="0.25">
      <c r="A3484" t="s">
        <v>18</v>
      </c>
      <c r="B3484" t="s">
        <v>10363</v>
      </c>
      <c r="C3484" t="s">
        <v>10365</v>
      </c>
      <c r="D3484" t="s">
        <v>20</v>
      </c>
      <c r="E3484" t="s">
        <v>11</v>
      </c>
      <c r="F3484">
        <v>3524.7960000000003</v>
      </c>
      <c r="G3484">
        <v>18</v>
      </c>
      <c r="L3484" t="s">
        <v>10366</v>
      </c>
      <c r="O3484" t="s">
        <v>10367</v>
      </c>
    </row>
    <row r="3485" spans="1:15" x14ac:dyDescent="0.25">
      <c r="A3485" t="s">
        <v>18</v>
      </c>
      <c r="B3485" t="s">
        <v>10366</v>
      </c>
      <c r="C3485" t="s">
        <v>10368</v>
      </c>
      <c r="D3485" t="s">
        <v>20</v>
      </c>
      <c r="E3485" t="s">
        <v>11</v>
      </c>
      <c r="F3485">
        <v>4895.55</v>
      </c>
      <c r="G3485">
        <v>18</v>
      </c>
      <c r="L3485" t="s">
        <v>10369</v>
      </c>
      <c r="O3485" t="s">
        <v>10370</v>
      </c>
    </row>
    <row r="3486" spans="1:15" x14ac:dyDescent="0.25">
      <c r="A3486" t="s">
        <v>18</v>
      </c>
      <c r="B3486" t="s">
        <v>10369</v>
      </c>
      <c r="C3486" t="s">
        <v>10371</v>
      </c>
      <c r="D3486" t="s">
        <v>20</v>
      </c>
      <c r="E3486" t="s">
        <v>11</v>
      </c>
      <c r="F3486">
        <v>195.82199999999997</v>
      </c>
      <c r="G3486">
        <v>18</v>
      </c>
      <c r="L3486" t="s">
        <v>10372</v>
      </c>
      <c r="O3486" t="s">
        <v>10373</v>
      </c>
    </row>
    <row r="3487" spans="1:15" x14ac:dyDescent="0.25">
      <c r="A3487" t="s">
        <v>18</v>
      </c>
      <c r="B3487" t="s">
        <v>10372</v>
      </c>
      <c r="C3487" t="s">
        <v>10374</v>
      </c>
      <c r="D3487" t="s">
        <v>20</v>
      </c>
      <c r="E3487" t="s">
        <v>11</v>
      </c>
      <c r="F3487">
        <v>2088.768</v>
      </c>
      <c r="G3487">
        <v>18</v>
      </c>
      <c r="L3487" t="s">
        <v>10375</v>
      </c>
      <c r="O3487" t="s">
        <v>10376</v>
      </c>
    </row>
    <row r="3488" spans="1:15" x14ac:dyDescent="0.25">
      <c r="A3488" t="s">
        <v>18</v>
      </c>
      <c r="B3488" t="s">
        <v>10375</v>
      </c>
      <c r="C3488" t="s">
        <v>10377</v>
      </c>
      <c r="D3488" t="s">
        <v>20</v>
      </c>
      <c r="E3488" t="s">
        <v>11</v>
      </c>
      <c r="F3488">
        <v>391.64399999999995</v>
      </c>
      <c r="G3488">
        <v>18</v>
      </c>
      <c r="L3488" t="s">
        <v>10378</v>
      </c>
      <c r="O3488" t="s">
        <v>10379</v>
      </c>
    </row>
    <row r="3489" spans="1:15" x14ac:dyDescent="0.25">
      <c r="A3489" t="s">
        <v>18</v>
      </c>
      <c r="B3489" t="s">
        <v>10378</v>
      </c>
      <c r="C3489" t="s">
        <v>10380</v>
      </c>
      <c r="D3489" t="s">
        <v>20</v>
      </c>
      <c r="E3489" t="s">
        <v>11</v>
      </c>
      <c r="F3489">
        <v>913.836</v>
      </c>
      <c r="G3489">
        <v>18</v>
      </c>
      <c r="L3489" t="s">
        <v>10381</v>
      </c>
      <c r="O3489" t="s">
        <v>10382</v>
      </c>
    </row>
    <row r="3490" spans="1:15" x14ac:dyDescent="0.25">
      <c r="A3490" t="s">
        <v>18</v>
      </c>
      <c r="B3490" t="s">
        <v>10381</v>
      </c>
      <c r="C3490" t="s">
        <v>10383</v>
      </c>
      <c r="D3490" t="s">
        <v>20</v>
      </c>
      <c r="E3490" t="s">
        <v>11</v>
      </c>
      <c r="F3490">
        <v>130.548</v>
      </c>
      <c r="G3490">
        <v>18</v>
      </c>
      <c r="L3490" t="s">
        <v>10384</v>
      </c>
      <c r="O3490" t="s">
        <v>10385</v>
      </c>
    </row>
    <row r="3491" spans="1:15" x14ac:dyDescent="0.25">
      <c r="A3491" t="s">
        <v>18</v>
      </c>
      <c r="B3491" t="s">
        <v>10384</v>
      </c>
      <c r="C3491" t="s">
        <v>10386</v>
      </c>
      <c r="D3491" t="s">
        <v>20</v>
      </c>
      <c r="E3491" t="s">
        <v>11</v>
      </c>
      <c r="F3491">
        <v>130.548</v>
      </c>
      <c r="G3491">
        <v>18</v>
      </c>
      <c r="L3491" t="s">
        <v>10387</v>
      </c>
      <c r="O3491" t="s">
        <v>10388</v>
      </c>
    </row>
    <row r="3492" spans="1:15" x14ac:dyDescent="0.25">
      <c r="A3492" t="s">
        <v>18</v>
      </c>
      <c r="B3492" t="s">
        <v>10387</v>
      </c>
      <c r="C3492" t="s">
        <v>10389</v>
      </c>
      <c r="D3492" t="s">
        <v>20</v>
      </c>
      <c r="E3492" t="s">
        <v>11</v>
      </c>
      <c r="F3492">
        <v>195.82199999999997</v>
      </c>
      <c r="G3492">
        <v>18</v>
      </c>
      <c r="L3492" t="s">
        <v>10390</v>
      </c>
      <c r="O3492" t="s">
        <v>10391</v>
      </c>
    </row>
    <row r="3493" spans="1:15" x14ac:dyDescent="0.25">
      <c r="A3493" t="s">
        <v>18</v>
      </c>
      <c r="B3493" t="s">
        <v>10390</v>
      </c>
      <c r="C3493" t="s">
        <v>10392</v>
      </c>
      <c r="D3493" t="s">
        <v>20</v>
      </c>
      <c r="E3493" t="s">
        <v>11</v>
      </c>
      <c r="F3493">
        <v>130.548</v>
      </c>
      <c r="G3493">
        <v>18</v>
      </c>
      <c r="L3493" t="s">
        <v>10393</v>
      </c>
      <c r="O3493" t="s">
        <v>10394</v>
      </c>
    </row>
    <row r="3494" spans="1:15" x14ac:dyDescent="0.25">
      <c r="A3494" t="s">
        <v>18</v>
      </c>
      <c r="B3494" t="s">
        <v>10393</v>
      </c>
      <c r="C3494" t="s">
        <v>10395</v>
      </c>
      <c r="D3494" t="s">
        <v>20</v>
      </c>
      <c r="E3494" t="s">
        <v>11</v>
      </c>
      <c r="F3494">
        <v>130.548</v>
      </c>
      <c r="G3494">
        <v>18</v>
      </c>
      <c r="L3494" t="s">
        <v>10396</v>
      </c>
      <c r="O3494" t="s">
        <v>10397</v>
      </c>
    </row>
    <row r="3495" spans="1:15" x14ac:dyDescent="0.25">
      <c r="A3495" t="s">
        <v>18</v>
      </c>
      <c r="B3495" t="s">
        <v>10396</v>
      </c>
      <c r="C3495" t="s">
        <v>10398</v>
      </c>
      <c r="D3495" t="s">
        <v>20</v>
      </c>
      <c r="E3495" t="s">
        <v>11</v>
      </c>
      <c r="F3495">
        <v>1240.2060000000001</v>
      </c>
      <c r="G3495">
        <v>18</v>
      </c>
      <c r="L3495" t="s">
        <v>10399</v>
      </c>
      <c r="O3495" t="s">
        <v>10400</v>
      </c>
    </row>
    <row r="3496" spans="1:15" x14ac:dyDescent="0.25">
      <c r="A3496" t="s">
        <v>18</v>
      </c>
      <c r="B3496" t="s">
        <v>10399</v>
      </c>
      <c r="C3496" t="s">
        <v>10401</v>
      </c>
      <c r="D3496" t="s">
        <v>20</v>
      </c>
      <c r="E3496" t="s">
        <v>11</v>
      </c>
      <c r="F3496">
        <v>261.096</v>
      </c>
      <c r="G3496">
        <v>18</v>
      </c>
      <c r="L3496" t="s">
        <v>10402</v>
      </c>
      <c r="O3496" t="s">
        <v>10403</v>
      </c>
    </row>
    <row r="3497" spans="1:15" x14ac:dyDescent="0.25">
      <c r="A3497" t="s">
        <v>18</v>
      </c>
      <c r="B3497" t="s">
        <v>10402</v>
      </c>
      <c r="C3497" t="s">
        <v>10404</v>
      </c>
      <c r="D3497" t="s">
        <v>20</v>
      </c>
      <c r="E3497" t="s">
        <v>11</v>
      </c>
      <c r="F3497">
        <v>130.548</v>
      </c>
      <c r="G3497">
        <v>18</v>
      </c>
      <c r="L3497" t="s">
        <v>10405</v>
      </c>
      <c r="O3497" t="s">
        <v>10406</v>
      </c>
    </row>
    <row r="3498" spans="1:15" x14ac:dyDescent="0.25">
      <c r="A3498" t="s">
        <v>18</v>
      </c>
      <c r="B3498" t="s">
        <v>10405</v>
      </c>
      <c r="C3498" t="s">
        <v>10407</v>
      </c>
      <c r="D3498" t="s">
        <v>20</v>
      </c>
      <c r="E3498" t="s">
        <v>11</v>
      </c>
      <c r="F3498">
        <v>130.548</v>
      </c>
      <c r="G3498">
        <v>18</v>
      </c>
      <c r="L3498" t="s">
        <v>10408</v>
      </c>
      <c r="O3498" t="s">
        <v>10409</v>
      </c>
    </row>
    <row r="3499" spans="1:15" x14ac:dyDescent="0.25">
      <c r="A3499" t="s">
        <v>18</v>
      </c>
      <c r="B3499" t="s">
        <v>10408</v>
      </c>
      <c r="C3499" t="s">
        <v>10410</v>
      </c>
      <c r="D3499" t="s">
        <v>20</v>
      </c>
      <c r="E3499" t="s">
        <v>11</v>
      </c>
      <c r="F3499">
        <v>195.82199999999997</v>
      </c>
      <c r="G3499">
        <v>18</v>
      </c>
      <c r="L3499" t="s">
        <v>10411</v>
      </c>
      <c r="O3499" t="s">
        <v>10412</v>
      </c>
    </row>
    <row r="3500" spans="1:15" x14ac:dyDescent="0.25">
      <c r="A3500" t="s">
        <v>18</v>
      </c>
      <c r="B3500" t="s">
        <v>10411</v>
      </c>
      <c r="C3500" t="s">
        <v>10413</v>
      </c>
      <c r="D3500" t="s">
        <v>20</v>
      </c>
      <c r="E3500" t="s">
        <v>11</v>
      </c>
      <c r="F3500">
        <v>130.548</v>
      </c>
      <c r="G3500">
        <v>18</v>
      </c>
      <c r="L3500" t="s">
        <v>10414</v>
      </c>
      <c r="O3500" t="s">
        <v>10415</v>
      </c>
    </row>
    <row r="3501" spans="1:15" x14ac:dyDescent="0.25">
      <c r="A3501" t="s">
        <v>18</v>
      </c>
      <c r="B3501" t="s">
        <v>10414</v>
      </c>
      <c r="C3501" t="s">
        <v>10416</v>
      </c>
      <c r="D3501" t="s">
        <v>20</v>
      </c>
      <c r="E3501" t="s">
        <v>11</v>
      </c>
      <c r="F3501">
        <v>913.836</v>
      </c>
      <c r="G3501">
        <v>18</v>
      </c>
      <c r="L3501" t="s">
        <v>10417</v>
      </c>
      <c r="O3501" t="s">
        <v>10418</v>
      </c>
    </row>
    <row r="3502" spans="1:15" x14ac:dyDescent="0.25">
      <c r="A3502" t="s">
        <v>18</v>
      </c>
      <c r="B3502" t="s">
        <v>10417</v>
      </c>
      <c r="C3502" t="s">
        <v>10419</v>
      </c>
      <c r="D3502" t="s">
        <v>20</v>
      </c>
      <c r="E3502" t="s">
        <v>11</v>
      </c>
      <c r="F3502">
        <v>913.836</v>
      </c>
      <c r="G3502">
        <v>18</v>
      </c>
      <c r="L3502" t="s">
        <v>10420</v>
      </c>
      <c r="O3502" t="s">
        <v>10421</v>
      </c>
    </row>
    <row r="3503" spans="1:15" x14ac:dyDescent="0.25">
      <c r="A3503" t="s">
        <v>18</v>
      </c>
      <c r="B3503" t="s">
        <v>10420</v>
      </c>
      <c r="C3503" t="s">
        <v>10422</v>
      </c>
      <c r="D3503" t="s">
        <v>20</v>
      </c>
      <c r="E3503" t="s">
        <v>11</v>
      </c>
      <c r="F3503">
        <v>130.548</v>
      </c>
      <c r="G3503">
        <v>18</v>
      </c>
      <c r="L3503" t="s">
        <v>10423</v>
      </c>
      <c r="O3503" t="s">
        <v>10424</v>
      </c>
    </row>
    <row r="3504" spans="1:15" x14ac:dyDescent="0.25">
      <c r="A3504" t="s">
        <v>18</v>
      </c>
      <c r="B3504" t="s">
        <v>10423</v>
      </c>
      <c r="C3504" t="s">
        <v>10425</v>
      </c>
      <c r="D3504" t="s">
        <v>20</v>
      </c>
      <c r="E3504" t="s">
        <v>11</v>
      </c>
      <c r="F3504">
        <v>391.64399999999995</v>
      </c>
      <c r="G3504">
        <v>18</v>
      </c>
      <c r="L3504" t="s">
        <v>10426</v>
      </c>
      <c r="O3504" t="s">
        <v>10427</v>
      </c>
    </row>
    <row r="3505" spans="1:15" x14ac:dyDescent="0.25">
      <c r="A3505" t="s">
        <v>18</v>
      </c>
      <c r="B3505" t="s">
        <v>10426</v>
      </c>
      <c r="C3505" t="s">
        <v>10428</v>
      </c>
      <c r="D3505" t="s">
        <v>20</v>
      </c>
      <c r="E3505" t="s">
        <v>11</v>
      </c>
      <c r="F3505">
        <v>326.37</v>
      </c>
      <c r="G3505">
        <v>18</v>
      </c>
      <c r="L3505" t="s">
        <v>10429</v>
      </c>
      <c r="O3505" t="s">
        <v>10430</v>
      </c>
    </row>
    <row r="3506" spans="1:15" x14ac:dyDescent="0.25">
      <c r="A3506" t="s">
        <v>18</v>
      </c>
      <c r="B3506" t="s">
        <v>10429</v>
      </c>
      <c r="C3506" t="s">
        <v>10431</v>
      </c>
      <c r="D3506" t="s">
        <v>20</v>
      </c>
      <c r="E3506" t="s">
        <v>11</v>
      </c>
      <c r="F3506">
        <v>130.548</v>
      </c>
      <c r="G3506">
        <v>18</v>
      </c>
      <c r="L3506" t="s">
        <v>10432</v>
      </c>
      <c r="O3506" t="s">
        <v>10433</v>
      </c>
    </row>
    <row r="3507" spans="1:15" x14ac:dyDescent="0.25">
      <c r="A3507" t="s">
        <v>18</v>
      </c>
      <c r="B3507" t="s">
        <v>10432</v>
      </c>
      <c r="C3507" t="s">
        <v>10434</v>
      </c>
      <c r="D3507" t="s">
        <v>20</v>
      </c>
      <c r="E3507" t="s">
        <v>11</v>
      </c>
      <c r="F3507">
        <v>261.096</v>
      </c>
      <c r="G3507">
        <v>18</v>
      </c>
      <c r="L3507" t="s">
        <v>10435</v>
      </c>
      <c r="O3507" t="s">
        <v>10436</v>
      </c>
    </row>
    <row r="3508" spans="1:15" x14ac:dyDescent="0.25">
      <c r="A3508" t="s">
        <v>18</v>
      </c>
      <c r="B3508" t="s">
        <v>10435</v>
      </c>
      <c r="C3508" t="s">
        <v>10437</v>
      </c>
      <c r="D3508" t="s">
        <v>20</v>
      </c>
      <c r="E3508" t="s">
        <v>11</v>
      </c>
      <c r="F3508">
        <v>2023.494</v>
      </c>
      <c r="G3508">
        <v>18</v>
      </c>
      <c r="L3508" t="s">
        <v>10438</v>
      </c>
      <c r="O3508" t="s">
        <v>10439</v>
      </c>
    </row>
    <row r="3509" spans="1:15" x14ac:dyDescent="0.25">
      <c r="A3509" t="s">
        <v>18</v>
      </c>
      <c r="B3509" t="s">
        <v>10438</v>
      </c>
      <c r="C3509" t="s">
        <v>10440</v>
      </c>
      <c r="D3509" t="s">
        <v>20</v>
      </c>
      <c r="E3509" t="s">
        <v>11</v>
      </c>
      <c r="F3509">
        <v>1697.1239999999998</v>
      </c>
      <c r="G3509">
        <v>18</v>
      </c>
      <c r="L3509" t="s">
        <v>10441</v>
      </c>
      <c r="O3509" t="s">
        <v>10442</v>
      </c>
    </row>
    <row r="3510" spans="1:15" x14ac:dyDescent="0.25">
      <c r="A3510" t="s">
        <v>18</v>
      </c>
      <c r="B3510" t="s">
        <v>10441</v>
      </c>
      <c r="C3510" t="s">
        <v>10443</v>
      </c>
      <c r="D3510" t="s">
        <v>20</v>
      </c>
      <c r="E3510" t="s">
        <v>11</v>
      </c>
      <c r="F3510">
        <v>2480.4120000000003</v>
      </c>
      <c r="G3510">
        <v>18</v>
      </c>
      <c r="L3510" t="s">
        <v>10444</v>
      </c>
      <c r="O3510" t="s">
        <v>10445</v>
      </c>
    </row>
    <row r="3511" spans="1:15" x14ac:dyDescent="0.25">
      <c r="A3511" t="s">
        <v>18</v>
      </c>
      <c r="B3511" t="s">
        <v>10444</v>
      </c>
      <c r="C3511" t="s">
        <v>10446</v>
      </c>
      <c r="D3511" t="s">
        <v>20</v>
      </c>
      <c r="E3511" t="s">
        <v>11</v>
      </c>
      <c r="F3511">
        <v>2284.59</v>
      </c>
      <c r="G3511">
        <v>18</v>
      </c>
      <c r="L3511" t="s">
        <v>10447</v>
      </c>
      <c r="O3511" t="s">
        <v>10448</v>
      </c>
    </row>
    <row r="3512" spans="1:15" x14ac:dyDescent="0.25">
      <c r="A3512" t="s">
        <v>18</v>
      </c>
      <c r="B3512" t="s">
        <v>10447</v>
      </c>
      <c r="C3512" t="s">
        <v>10449</v>
      </c>
      <c r="D3512" t="s">
        <v>20</v>
      </c>
      <c r="E3512" t="s">
        <v>11</v>
      </c>
      <c r="F3512">
        <v>2415.138</v>
      </c>
      <c r="G3512">
        <v>18</v>
      </c>
      <c r="L3512" t="s">
        <v>10450</v>
      </c>
      <c r="O3512" t="s">
        <v>10451</v>
      </c>
    </row>
    <row r="3513" spans="1:15" x14ac:dyDescent="0.25">
      <c r="A3513" t="s">
        <v>18</v>
      </c>
      <c r="B3513" t="s">
        <v>10450</v>
      </c>
      <c r="C3513" t="s">
        <v>10452</v>
      </c>
      <c r="D3513" t="s">
        <v>20</v>
      </c>
      <c r="E3513" t="s">
        <v>11</v>
      </c>
      <c r="F3513">
        <v>2415.138</v>
      </c>
      <c r="G3513">
        <v>18</v>
      </c>
      <c r="L3513" t="s">
        <v>10453</v>
      </c>
      <c r="O3513" t="s">
        <v>10454</v>
      </c>
    </row>
    <row r="3514" spans="1:15" x14ac:dyDescent="0.25">
      <c r="A3514" t="s">
        <v>18</v>
      </c>
      <c r="B3514" t="s">
        <v>10453</v>
      </c>
      <c r="C3514" t="s">
        <v>10455</v>
      </c>
      <c r="D3514" t="s">
        <v>20</v>
      </c>
      <c r="E3514" t="s">
        <v>11</v>
      </c>
      <c r="F3514">
        <v>2480.4120000000003</v>
      </c>
      <c r="G3514">
        <v>18</v>
      </c>
      <c r="L3514" t="s">
        <v>10456</v>
      </c>
      <c r="O3514" t="s">
        <v>10457</v>
      </c>
    </row>
    <row r="3515" spans="1:15" x14ac:dyDescent="0.25">
      <c r="A3515" t="s">
        <v>18</v>
      </c>
      <c r="B3515" t="s">
        <v>10456</v>
      </c>
      <c r="C3515" t="s">
        <v>10458</v>
      </c>
      <c r="D3515" t="s">
        <v>20</v>
      </c>
      <c r="E3515" t="s">
        <v>11</v>
      </c>
      <c r="F3515">
        <v>13381.17</v>
      </c>
      <c r="G3515">
        <v>18</v>
      </c>
      <c r="L3515" t="s">
        <v>10459</v>
      </c>
      <c r="O3515" t="s">
        <v>10460</v>
      </c>
    </row>
    <row r="3516" spans="1:15" x14ac:dyDescent="0.25">
      <c r="A3516" t="s">
        <v>18</v>
      </c>
      <c r="B3516" t="s">
        <v>10459</v>
      </c>
      <c r="C3516" t="s">
        <v>10461</v>
      </c>
      <c r="D3516" t="s">
        <v>20</v>
      </c>
      <c r="E3516" t="s">
        <v>11</v>
      </c>
      <c r="F3516">
        <v>3198.426</v>
      </c>
      <c r="G3516">
        <v>18</v>
      </c>
      <c r="L3516" t="s">
        <v>10462</v>
      </c>
      <c r="O3516" t="s">
        <v>10463</v>
      </c>
    </row>
    <row r="3517" spans="1:15" x14ac:dyDescent="0.25">
      <c r="A3517" t="s">
        <v>18</v>
      </c>
      <c r="B3517" t="s">
        <v>10462</v>
      </c>
      <c r="C3517" t="s">
        <v>10464</v>
      </c>
      <c r="D3517" t="s">
        <v>20</v>
      </c>
      <c r="E3517" t="s">
        <v>11</v>
      </c>
      <c r="F3517">
        <v>2610.96</v>
      </c>
      <c r="G3517">
        <v>18</v>
      </c>
      <c r="L3517" t="s">
        <v>10465</v>
      </c>
      <c r="O3517" t="s">
        <v>10466</v>
      </c>
    </row>
    <row r="3518" spans="1:15" x14ac:dyDescent="0.25">
      <c r="A3518" t="s">
        <v>18</v>
      </c>
      <c r="B3518" t="s">
        <v>10465</v>
      </c>
      <c r="C3518" t="s">
        <v>10467</v>
      </c>
      <c r="D3518" t="s">
        <v>20</v>
      </c>
      <c r="E3518" t="s">
        <v>11</v>
      </c>
      <c r="F3518">
        <v>4308.084</v>
      </c>
      <c r="G3518">
        <v>18</v>
      </c>
      <c r="L3518" t="s">
        <v>10468</v>
      </c>
      <c r="O3518" t="s">
        <v>10469</v>
      </c>
    </row>
    <row r="3519" spans="1:15" x14ac:dyDescent="0.25">
      <c r="A3519" t="s">
        <v>18</v>
      </c>
      <c r="B3519" t="s">
        <v>10468</v>
      </c>
      <c r="C3519" t="s">
        <v>10470</v>
      </c>
      <c r="D3519" t="s">
        <v>20</v>
      </c>
      <c r="E3519" t="s">
        <v>11</v>
      </c>
      <c r="F3519">
        <v>1631.85</v>
      </c>
      <c r="G3519">
        <v>18</v>
      </c>
      <c r="L3519" t="s">
        <v>10471</v>
      </c>
      <c r="O3519" t="s">
        <v>10472</v>
      </c>
    </row>
    <row r="3520" spans="1:15" x14ac:dyDescent="0.25">
      <c r="A3520" t="s">
        <v>18</v>
      </c>
      <c r="B3520" t="s">
        <v>10471</v>
      </c>
      <c r="C3520" t="s">
        <v>10473</v>
      </c>
      <c r="D3520" t="s">
        <v>20</v>
      </c>
      <c r="E3520" t="s">
        <v>11</v>
      </c>
      <c r="F3520">
        <v>2415.138</v>
      </c>
      <c r="G3520">
        <v>18</v>
      </c>
      <c r="L3520" t="s">
        <v>10474</v>
      </c>
      <c r="O3520" t="s">
        <v>10475</v>
      </c>
    </row>
    <row r="3521" spans="1:15" x14ac:dyDescent="0.25">
      <c r="A3521" t="s">
        <v>18</v>
      </c>
      <c r="B3521" t="s">
        <v>10474</v>
      </c>
      <c r="C3521" t="s">
        <v>10476</v>
      </c>
      <c r="D3521" t="s">
        <v>20</v>
      </c>
      <c r="E3521" t="s">
        <v>11</v>
      </c>
      <c r="F3521">
        <v>4438.632</v>
      </c>
      <c r="G3521">
        <v>18</v>
      </c>
      <c r="L3521" t="s">
        <v>10477</v>
      </c>
      <c r="O3521" t="s">
        <v>10478</v>
      </c>
    </row>
    <row r="3522" spans="1:15" x14ac:dyDescent="0.25">
      <c r="A3522" t="s">
        <v>18</v>
      </c>
      <c r="B3522" t="s">
        <v>10477</v>
      </c>
      <c r="C3522" t="s">
        <v>10479</v>
      </c>
      <c r="D3522" t="s">
        <v>20</v>
      </c>
      <c r="E3522" t="s">
        <v>11</v>
      </c>
      <c r="F3522">
        <v>2610.96</v>
      </c>
      <c r="G3522">
        <v>18</v>
      </c>
      <c r="L3522" t="s">
        <v>10480</v>
      </c>
      <c r="O3522" t="s">
        <v>10481</v>
      </c>
    </row>
    <row r="3523" spans="1:15" x14ac:dyDescent="0.25">
      <c r="A3523" t="s">
        <v>18</v>
      </c>
      <c r="B3523" t="s">
        <v>10480</v>
      </c>
      <c r="C3523" t="s">
        <v>10482</v>
      </c>
      <c r="D3523" t="s">
        <v>20</v>
      </c>
      <c r="E3523" t="s">
        <v>11</v>
      </c>
      <c r="F3523">
        <v>2610.96</v>
      </c>
      <c r="G3523">
        <v>18</v>
      </c>
      <c r="L3523" t="s">
        <v>10483</v>
      </c>
      <c r="O3523" t="s">
        <v>10484</v>
      </c>
    </row>
    <row r="3524" spans="1:15" x14ac:dyDescent="0.25">
      <c r="A3524" t="s">
        <v>18</v>
      </c>
      <c r="B3524" t="s">
        <v>10483</v>
      </c>
      <c r="C3524" t="s">
        <v>10485</v>
      </c>
      <c r="D3524" t="s">
        <v>20</v>
      </c>
      <c r="E3524" t="s">
        <v>11</v>
      </c>
      <c r="F3524">
        <v>2676.234</v>
      </c>
      <c r="G3524">
        <v>18</v>
      </c>
      <c r="L3524" t="s">
        <v>10486</v>
      </c>
      <c r="O3524" t="s">
        <v>10487</v>
      </c>
    </row>
    <row r="3525" spans="1:15" x14ac:dyDescent="0.25">
      <c r="A3525" t="s">
        <v>18</v>
      </c>
      <c r="B3525" t="s">
        <v>10486</v>
      </c>
      <c r="C3525" t="s">
        <v>10488</v>
      </c>
      <c r="D3525" t="s">
        <v>20</v>
      </c>
      <c r="E3525" t="s">
        <v>11</v>
      </c>
      <c r="F3525">
        <v>1501.302</v>
      </c>
      <c r="G3525">
        <v>18</v>
      </c>
      <c r="L3525" t="s">
        <v>10489</v>
      </c>
      <c r="O3525" t="s">
        <v>10490</v>
      </c>
    </row>
    <row r="3526" spans="1:15" x14ac:dyDescent="0.25">
      <c r="A3526" t="s">
        <v>18</v>
      </c>
      <c r="B3526" t="s">
        <v>10489</v>
      </c>
      <c r="C3526" t="s">
        <v>10491</v>
      </c>
      <c r="D3526" t="s">
        <v>20</v>
      </c>
      <c r="E3526" t="s">
        <v>11</v>
      </c>
      <c r="F3526">
        <v>2545.6859999999997</v>
      </c>
      <c r="G3526">
        <v>18</v>
      </c>
      <c r="L3526" t="s">
        <v>10492</v>
      </c>
      <c r="O3526" t="s">
        <v>10493</v>
      </c>
    </row>
    <row r="3527" spans="1:15" x14ac:dyDescent="0.25">
      <c r="A3527" t="s">
        <v>18</v>
      </c>
      <c r="B3527" t="s">
        <v>10492</v>
      </c>
      <c r="C3527" t="s">
        <v>10494</v>
      </c>
      <c r="D3527" t="s">
        <v>20</v>
      </c>
      <c r="E3527" t="s">
        <v>11</v>
      </c>
      <c r="F3527">
        <v>783.2879999999999</v>
      </c>
      <c r="G3527">
        <v>18</v>
      </c>
      <c r="L3527" t="s">
        <v>10495</v>
      </c>
      <c r="O3527" t="s">
        <v>10496</v>
      </c>
    </row>
    <row r="3528" spans="1:15" x14ac:dyDescent="0.25">
      <c r="A3528" t="s">
        <v>18</v>
      </c>
      <c r="B3528" t="s">
        <v>10495</v>
      </c>
      <c r="C3528" t="s">
        <v>10497</v>
      </c>
      <c r="D3528" t="s">
        <v>20</v>
      </c>
      <c r="E3528" t="s">
        <v>11</v>
      </c>
      <c r="F3528">
        <v>652.74</v>
      </c>
      <c r="G3528">
        <v>18</v>
      </c>
      <c r="L3528" t="s">
        <v>10498</v>
      </c>
      <c r="O3528" t="s">
        <v>10499</v>
      </c>
    </row>
    <row r="3529" spans="1:15" x14ac:dyDescent="0.25">
      <c r="A3529" t="s">
        <v>18</v>
      </c>
      <c r="B3529" t="s">
        <v>10498</v>
      </c>
      <c r="C3529" t="s">
        <v>10500</v>
      </c>
      <c r="D3529" t="s">
        <v>20</v>
      </c>
      <c r="E3529" t="s">
        <v>11</v>
      </c>
      <c r="F3529">
        <v>522.192</v>
      </c>
      <c r="G3529">
        <v>18</v>
      </c>
      <c r="L3529" t="s">
        <v>10501</v>
      </c>
      <c r="O3529" t="s">
        <v>10502</v>
      </c>
    </row>
    <row r="3530" spans="1:15" x14ac:dyDescent="0.25">
      <c r="A3530" t="s">
        <v>18</v>
      </c>
      <c r="B3530" t="s">
        <v>10501</v>
      </c>
      <c r="C3530" t="s">
        <v>10503</v>
      </c>
      <c r="D3530" t="s">
        <v>20</v>
      </c>
      <c r="E3530" t="s">
        <v>11</v>
      </c>
      <c r="F3530">
        <v>1044.384</v>
      </c>
      <c r="G3530">
        <v>18</v>
      </c>
      <c r="L3530" t="s">
        <v>10504</v>
      </c>
      <c r="O3530" t="s">
        <v>10505</v>
      </c>
    </row>
    <row r="3531" spans="1:15" x14ac:dyDescent="0.25">
      <c r="A3531" t="s">
        <v>18</v>
      </c>
      <c r="B3531" t="s">
        <v>10504</v>
      </c>
      <c r="C3531" t="s">
        <v>10506</v>
      </c>
      <c r="D3531" t="s">
        <v>20</v>
      </c>
      <c r="E3531" t="s">
        <v>11</v>
      </c>
      <c r="F3531">
        <v>261.096</v>
      </c>
      <c r="G3531">
        <v>18</v>
      </c>
      <c r="L3531" t="s">
        <v>10507</v>
      </c>
      <c r="O3531" t="s">
        <v>10508</v>
      </c>
    </row>
    <row r="3532" spans="1:15" x14ac:dyDescent="0.25">
      <c r="A3532" t="s">
        <v>18</v>
      </c>
      <c r="B3532" t="s">
        <v>10507</v>
      </c>
      <c r="C3532" t="s">
        <v>10509</v>
      </c>
      <c r="D3532" t="s">
        <v>20</v>
      </c>
      <c r="E3532" t="s">
        <v>11</v>
      </c>
      <c r="F3532">
        <v>261.096</v>
      </c>
      <c r="G3532">
        <v>18</v>
      </c>
      <c r="L3532" t="s">
        <v>10510</v>
      </c>
      <c r="O3532" t="s">
        <v>10511</v>
      </c>
    </row>
    <row r="3533" spans="1:15" x14ac:dyDescent="0.25">
      <c r="A3533" t="s">
        <v>18</v>
      </c>
      <c r="B3533" t="s">
        <v>10510</v>
      </c>
      <c r="C3533" t="s">
        <v>10512</v>
      </c>
      <c r="D3533" t="s">
        <v>20</v>
      </c>
      <c r="E3533" t="s">
        <v>11</v>
      </c>
      <c r="F3533">
        <v>261.096</v>
      </c>
      <c r="G3533">
        <v>18</v>
      </c>
      <c r="L3533" t="s">
        <v>10513</v>
      </c>
      <c r="O3533" t="s">
        <v>10514</v>
      </c>
    </row>
    <row r="3534" spans="1:15" x14ac:dyDescent="0.25">
      <c r="A3534" t="s">
        <v>18</v>
      </c>
      <c r="B3534" t="s">
        <v>10513</v>
      </c>
      <c r="C3534" t="s">
        <v>10515</v>
      </c>
      <c r="D3534" t="s">
        <v>20</v>
      </c>
      <c r="E3534" t="s">
        <v>11</v>
      </c>
      <c r="F3534">
        <v>522.192</v>
      </c>
      <c r="G3534">
        <v>18</v>
      </c>
      <c r="L3534" t="s">
        <v>10516</v>
      </c>
      <c r="O3534" t="s">
        <v>10517</v>
      </c>
    </row>
    <row r="3535" spans="1:15" x14ac:dyDescent="0.25">
      <c r="A3535" t="s">
        <v>18</v>
      </c>
      <c r="B3535" t="s">
        <v>10516</v>
      </c>
      <c r="C3535" t="s">
        <v>10518</v>
      </c>
      <c r="D3535" t="s">
        <v>20</v>
      </c>
      <c r="E3535" t="s">
        <v>11</v>
      </c>
      <c r="F3535">
        <v>130.548</v>
      </c>
      <c r="G3535">
        <v>18</v>
      </c>
      <c r="L3535" t="s">
        <v>10519</v>
      </c>
      <c r="O3535" t="s">
        <v>10520</v>
      </c>
    </row>
    <row r="3536" spans="1:15" x14ac:dyDescent="0.25">
      <c r="A3536" t="s">
        <v>18</v>
      </c>
      <c r="B3536" t="s">
        <v>10519</v>
      </c>
      <c r="C3536" t="s">
        <v>10521</v>
      </c>
      <c r="D3536" t="s">
        <v>20</v>
      </c>
      <c r="E3536" t="s">
        <v>11</v>
      </c>
      <c r="F3536">
        <v>130.548</v>
      </c>
      <c r="G3536">
        <v>18</v>
      </c>
      <c r="L3536" t="s">
        <v>10522</v>
      </c>
      <c r="O3536" t="s">
        <v>10523</v>
      </c>
    </row>
    <row r="3537" spans="1:15" x14ac:dyDescent="0.25">
      <c r="A3537" t="s">
        <v>18</v>
      </c>
      <c r="B3537" t="s">
        <v>10522</v>
      </c>
      <c r="C3537" t="s">
        <v>10524</v>
      </c>
      <c r="D3537" t="s">
        <v>20</v>
      </c>
      <c r="E3537" t="s">
        <v>11</v>
      </c>
      <c r="F3537">
        <v>130.548</v>
      </c>
      <c r="G3537">
        <v>18</v>
      </c>
      <c r="L3537" t="s">
        <v>10525</v>
      </c>
      <c r="O3537" t="s">
        <v>10526</v>
      </c>
    </row>
    <row r="3538" spans="1:15" x14ac:dyDescent="0.25">
      <c r="A3538" t="s">
        <v>18</v>
      </c>
      <c r="B3538" t="s">
        <v>10525</v>
      </c>
      <c r="C3538" t="s">
        <v>10527</v>
      </c>
      <c r="D3538" t="s">
        <v>20</v>
      </c>
      <c r="E3538" t="s">
        <v>11</v>
      </c>
      <c r="F3538">
        <v>130.548</v>
      </c>
      <c r="G3538">
        <v>18</v>
      </c>
      <c r="L3538" t="s">
        <v>10528</v>
      </c>
      <c r="O3538" t="s">
        <v>10529</v>
      </c>
    </row>
    <row r="3539" spans="1:15" x14ac:dyDescent="0.25">
      <c r="A3539" t="s">
        <v>18</v>
      </c>
      <c r="B3539" t="s">
        <v>10528</v>
      </c>
      <c r="C3539" t="s">
        <v>10530</v>
      </c>
      <c r="D3539" t="s">
        <v>20</v>
      </c>
      <c r="E3539" t="s">
        <v>11</v>
      </c>
      <c r="F3539">
        <v>130.548</v>
      </c>
      <c r="G3539">
        <v>18</v>
      </c>
      <c r="L3539" t="s">
        <v>10531</v>
      </c>
      <c r="O3539" t="s">
        <v>10532</v>
      </c>
    </row>
    <row r="3540" spans="1:15" x14ac:dyDescent="0.25">
      <c r="A3540" t="s">
        <v>18</v>
      </c>
      <c r="B3540" t="s">
        <v>10531</v>
      </c>
      <c r="C3540" t="s">
        <v>10533</v>
      </c>
      <c r="D3540" t="s">
        <v>20</v>
      </c>
      <c r="E3540" t="s">
        <v>11</v>
      </c>
      <c r="F3540">
        <v>456.918</v>
      </c>
      <c r="G3540">
        <v>18</v>
      </c>
      <c r="L3540" t="s">
        <v>10534</v>
      </c>
      <c r="O3540" t="s">
        <v>10535</v>
      </c>
    </row>
    <row r="3541" spans="1:15" x14ac:dyDescent="0.25">
      <c r="A3541" t="s">
        <v>18</v>
      </c>
      <c r="B3541" t="s">
        <v>10534</v>
      </c>
      <c r="C3541" t="s">
        <v>10536</v>
      </c>
      <c r="D3541" t="s">
        <v>20</v>
      </c>
      <c r="E3541" t="s">
        <v>11</v>
      </c>
      <c r="F3541">
        <v>195.82199999999997</v>
      </c>
      <c r="G3541">
        <v>18</v>
      </c>
      <c r="L3541" t="s">
        <v>10537</v>
      </c>
      <c r="O3541" t="s">
        <v>10538</v>
      </c>
    </row>
    <row r="3542" spans="1:15" x14ac:dyDescent="0.25">
      <c r="A3542" t="s">
        <v>18</v>
      </c>
      <c r="B3542" t="s">
        <v>10537</v>
      </c>
      <c r="C3542" t="s">
        <v>10539</v>
      </c>
      <c r="D3542" t="s">
        <v>20</v>
      </c>
      <c r="E3542" t="s">
        <v>11</v>
      </c>
      <c r="F3542">
        <v>130.548</v>
      </c>
      <c r="G3542">
        <v>18</v>
      </c>
      <c r="L3542" t="s">
        <v>10540</v>
      </c>
      <c r="O3542" t="s">
        <v>10541</v>
      </c>
    </row>
    <row r="3543" spans="1:15" x14ac:dyDescent="0.25">
      <c r="A3543" t="s">
        <v>18</v>
      </c>
      <c r="B3543" t="s">
        <v>10540</v>
      </c>
      <c r="C3543" t="s">
        <v>10542</v>
      </c>
      <c r="D3543" t="s">
        <v>20</v>
      </c>
      <c r="E3543" t="s">
        <v>11</v>
      </c>
      <c r="F3543">
        <v>130.548</v>
      </c>
      <c r="G3543">
        <v>18</v>
      </c>
      <c r="L3543" t="s">
        <v>10543</v>
      </c>
      <c r="O3543" t="s">
        <v>10544</v>
      </c>
    </row>
    <row r="3544" spans="1:15" x14ac:dyDescent="0.25">
      <c r="A3544" t="s">
        <v>18</v>
      </c>
      <c r="B3544" t="s">
        <v>10543</v>
      </c>
      <c r="C3544" t="s">
        <v>10545</v>
      </c>
      <c r="D3544" t="s">
        <v>20</v>
      </c>
      <c r="E3544" t="s">
        <v>11</v>
      </c>
      <c r="F3544">
        <v>195.82199999999997</v>
      </c>
      <c r="G3544">
        <v>18</v>
      </c>
      <c r="L3544" t="s">
        <v>10546</v>
      </c>
      <c r="O3544" t="s">
        <v>10547</v>
      </c>
    </row>
    <row r="3545" spans="1:15" x14ac:dyDescent="0.25">
      <c r="A3545" t="s">
        <v>18</v>
      </c>
      <c r="B3545" t="s">
        <v>10546</v>
      </c>
      <c r="C3545" t="s">
        <v>10548</v>
      </c>
      <c r="D3545" t="s">
        <v>20</v>
      </c>
      <c r="E3545" t="s">
        <v>11</v>
      </c>
      <c r="F3545">
        <v>130.548</v>
      </c>
      <c r="G3545">
        <v>18</v>
      </c>
      <c r="L3545" t="s">
        <v>10549</v>
      </c>
      <c r="O3545" t="s">
        <v>10550</v>
      </c>
    </row>
    <row r="3546" spans="1:15" x14ac:dyDescent="0.25">
      <c r="A3546" t="s">
        <v>18</v>
      </c>
      <c r="B3546" t="s">
        <v>10549</v>
      </c>
      <c r="C3546" t="s">
        <v>10551</v>
      </c>
      <c r="D3546" t="s">
        <v>20</v>
      </c>
      <c r="E3546" t="s">
        <v>11</v>
      </c>
      <c r="F3546">
        <v>130.548</v>
      </c>
      <c r="G3546">
        <v>18</v>
      </c>
      <c r="L3546" t="s">
        <v>10552</v>
      </c>
      <c r="O3546" t="s">
        <v>10553</v>
      </c>
    </row>
    <row r="3547" spans="1:15" x14ac:dyDescent="0.25">
      <c r="A3547" t="s">
        <v>18</v>
      </c>
      <c r="B3547" t="s">
        <v>10552</v>
      </c>
      <c r="C3547" t="s">
        <v>10554</v>
      </c>
      <c r="D3547" t="s">
        <v>20</v>
      </c>
      <c r="E3547" t="s">
        <v>11</v>
      </c>
      <c r="F3547">
        <v>195.82199999999997</v>
      </c>
      <c r="G3547">
        <v>18</v>
      </c>
      <c r="L3547" t="s">
        <v>10555</v>
      </c>
      <c r="O3547" t="s">
        <v>10556</v>
      </c>
    </row>
    <row r="3548" spans="1:15" x14ac:dyDescent="0.25">
      <c r="A3548" t="s">
        <v>18</v>
      </c>
      <c r="B3548" t="s">
        <v>10555</v>
      </c>
      <c r="C3548" t="s">
        <v>10557</v>
      </c>
      <c r="D3548" t="s">
        <v>20</v>
      </c>
      <c r="E3548" t="s">
        <v>11</v>
      </c>
      <c r="F3548">
        <v>195.82199999999997</v>
      </c>
      <c r="G3548">
        <v>18</v>
      </c>
      <c r="L3548" t="s">
        <v>10558</v>
      </c>
      <c r="O3548" t="s">
        <v>10559</v>
      </c>
    </row>
    <row r="3549" spans="1:15" x14ac:dyDescent="0.25">
      <c r="A3549" t="s">
        <v>18</v>
      </c>
      <c r="B3549" t="s">
        <v>10558</v>
      </c>
      <c r="C3549" t="s">
        <v>10560</v>
      </c>
      <c r="D3549" t="s">
        <v>20</v>
      </c>
      <c r="E3549" t="s">
        <v>11</v>
      </c>
      <c r="F3549">
        <v>2088.768</v>
      </c>
      <c r="G3549">
        <v>18</v>
      </c>
      <c r="L3549" t="s">
        <v>10561</v>
      </c>
      <c r="O3549" t="s">
        <v>10562</v>
      </c>
    </row>
    <row r="3550" spans="1:15" x14ac:dyDescent="0.25">
      <c r="A3550" t="s">
        <v>18</v>
      </c>
      <c r="B3550" t="s">
        <v>10561</v>
      </c>
      <c r="C3550" t="s">
        <v>10563</v>
      </c>
      <c r="D3550" t="s">
        <v>20</v>
      </c>
      <c r="E3550" t="s">
        <v>11</v>
      </c>
      <c r="F3550">
        <v>4895.55</v>
      </c>
      <c r="G3550">
        <v>18</v>
      </c>
      <c r="L3550" t="s">
        <v>10564</v>
      </c>
      <c r="O3550" t="s">
        <v>10565</v>
      </c>
    </row>
    <row r="3551" spans="1:15" x14ac:dyDescent="0.25">
      <c r="A3551" t="s">
        <v>18</v>
      </c>
      <c r="B3551" t="s">
        <v>10564</v>
      </c>
      <c r="C3551" t="s">
        <v>10566</v>
      </c>
      <c r="D3551" t="s">
        <v>20</v>
      </c>
      <c r="E3551" t="s">
        <v>11</v>
      </c>
      <c r="F3551">
        <v>4895.55</v>
      </c>
      <c r="G3551">
        <v>18</v>
      </c>
      <c r="L3551" t="s">
        <v>10567</v>
      </c>
      <c r="O3551" t="s">
        <v>10568</v>
      </c>
    </row>
    <row r="3552" spans="1:15" x14ac:dyDescent="0.25">
      <c r="A3552" t="s">
        <v>18</v>
      </c>
      <c r="B3552" t="s">
        <v>10567</v>
      </c>
      <c r="C3552" t="s">
        <v>10569</v>
      </c>
      <c r="D3552" t="s">
        <v>20</v>
      </c>
      <c r="E3552" t="s">
        <v>11</v>
      </c>
      <c r="F3552">
        <v>5809.3859999999995</v>
      </c>
      <c r="G3552">
        <v>18</v>
      </c>
      <c r="L3552" t="s">
        <v>10570</v>
      </c>
      <c r="O3552" t="s">
        <v>10571</v>
      </c>
    </row>
    <row r="3553" spans="1:15" x14ac:dyDescent="0.25">
      <c r="A3553" t="s">
        <v>18</v>
      </c>
      <c r="B3553" t="s">
        <v>10570</v>
      </c>
      <c r="C3553" t="s">
        <v>10572</v>
      </c>
      <c r="D3553" t="s">
        <v>20</v>
      </c>
      <c r="E3553" t="s">
        <v>11</v>
      </c>
      <c r="F3553">
        <v>27415.079999999998</v>
      </c>
      <c r="G3553">
        <v>18</v>
      </c>
      <c r="L3553" t="s">
        <v>10573</v>
      </c>
      <c r="O3553" t="s">
        <v>10574</v>
      </c>
    </row>
    <row r="3554" spans="1:15" x14ac:dyDescent="0.25">
      <c r="A3554" t="s">
        <v>18</v>
      </c>
      <c r="B3554" t="s">
        <v>10573</v>
      </c>
      <c r="C3554" t="s">
        <v>10575</v>
      </c>
      <c r="D3554" t="s">
        <v>20</v>
      </c>
      <c r="E3554" t="s">
        <v>11</v>
      </c>
      <c r="F3554">
        <v>8811.99</v>
      </c>
      <c r="G3554">
        <v>18</v>
      </c>
      <c r="L3554" t="s">
        <v>10576</v>
      </c>
      <c r="O3554" t="s">
        <v>10577</v>
      </c>
    </row>
    <row r="3555" spans="1:15" x14ac:dyDescent="0.25">
      <c r="A3555" t="s">
        <v>18</v>
      </c>
      <c r="B3555" t="s">
        <v>10576</v>
      </c>
      <c r="C3555" t="s">
        <v>10578</v>
      </c>
      <c r="D3555" t="s">
        <v>20</v>
      </c>
      <c r="E3555" t="s">
        <v>11</v>
      </c>
      <c r="F3555">
        <v>4830.276</v>
      </c>
      <c r="G3555">
        <v>18</v>
      </c>
      <c r="L3555" t="s">
        <v>10579</v>
      </c>
      <c r="O3555" t="s">
        <v>10580</v>
      </c>
    </row>
    <row r="3556" spans="1:15" x14ac:dyDescent="0.25">
      <c r="A3556" t="s">
        <v>18</v>
      </c>
      <c r="B3556" t="s">
        <v>10579</v>
      </c>
      <c r="C3556" t="s">
        <v>10581</v>
      </c>
      <c r="D3556" t="s">
        <v>20</v>
      </c>
      <c r="E3556" t="s">
        <v>11</v>
      </c>
      <c r="F3556">
        <v>2415.138</v>
      </c>
      <c r="G3556">
        <v>18</v>
      </c>
      <c r="L3556" t="s">
        <v>10582</v>
      </c>
      <c r="O3556" t="s">
        <v>10583</v>
      </c>
    </row>
    <row r="3557" spans="1:15" x14ac:dyDescent="0.25">
      <c r="A3557" t="s">
        <v>18</v>
      </c>
      <c r="B3557" t="s">
        <v>10582</v>
      </c>
      <c r="C3557" t="s">
        <v>10584</v>
      </c>
      <c r="D3557" t="s">
        <v>20</v>
      </c>
      <c r="E3557" t="s">
        <v>11</v>
      </c>
      <c r="F3557">
        <v>2415.138</v>
      </c>
      <c r="G3557">
        <v>18</v>
      </c>
      <c r="L3557" t="s">
        <v>10585</v>
      </c>
      <c r="O3557" t="s">
        <v>10586</v>
      </c>
    </row>
    <row r="3558" spans="1:15" x14ac:dyDescent="0.25">
      <c r="A3558" t="s">
        <v>18</v>
      </c>
      <c r="B3558" t="s">
        <v>10585</v>
      </c>
      <c r="C3558" t="s">
        <v>10587</v>
      </c>
      <c r="D3558" t="s">
        <v>20</v>
      </c>
      <c r="E3558" t="s">
        <v>11</v>
      </c>
      <c r="F3558">
        <v>20039.118</v>
      </c>
      <c r="G3558">
        <v>18</v>
      </c>
      <c r="L3558" t="s">
        <v>10588</v>
      </c>
      <c r="O3558" t="s">
        <v>10589</v>
      </c>
    </row>
    <row r="3559" spans="1:15" x14ac:dyDescent="0.25">
      <c r="A3559" t="s">
        <v>18</v>
      </c>
      <c r="B3559" t="s">
        <v>10588</v>
      </c>
      <c r="C3559" t="s">
        <v>10590</v>
      </c>
      <c r="D3559" t="s">
        <v>20</v>
      </c>
      <c r="E3559" t="s">
        <v>11</v>
      </c>
      <c r="F3559">
        <v>1566.5759999999998</v>
      </c>
      <c r="G3559">
        <v>18</v>
      </c>
      <c r="L3559" t="s">
        <v>10591</v>
      </c>
      <c r="O3559" t="s">
        <v>10592</v>
      </c>
    </row>
    <row r="3560" spans="1:15" x14ac:dyDescent="0.25">
      <c r="A3560" t="s">
        <v>18</v>
      </c>
      <c r="B3560" t="s">
        <v>10591</v>
      </c>
      <c r="C3560" t="s">
        <v>10593</v>
      </c>
      <c r="D3560" t="s">
        <v>20</v>
      </c>
      <c r="E3560" t="s">
        <v>11</v>
      </c>
      <c r="F3560">
        <v>913.836</v>
      </c>
      <c r="G3560">
        <v>18</v>
      </c>
      <c r="L3560" t="s">
        <v>10594</v>
      </c>
      <c r="O3560" t="s">
        <v>10595</v>
      </c>
    </row>
    <row r="3561" spans="1:15" x14ac:dyDescent="0.25">
      <c r="A3561" t="s">
        <v>18</v>
      </c>
      <c r="B3561" t="s">
        <v>10594</v>
      </c>
      <c r="C3561" t="s">
        <v>10596</v>
      </c>
      <c r="D3561" t="s">
        <v>20</v>
      </c>
      <c r="E3561" t="s">
        <v>11</v>
      </c>
      <c r="F3561">
        <v>522.192</v>
      </c>
      <c r="G3561">
        <v>18</v>
      </c>
      <c r="L3561" t="s">
        <v>10597</v>
      </c>
      <c r="O3561" t="s">
        <v>10598</v>
      </c>
    </row>
    <row r="3562" spans="1:15" x14ac:dyDescent="0.25">
      <c r="A3562" t="s">
        <v>18</v>
      </c>
      <c r="B3562" t="s">
        <v>10597</v>
      </c>
      <c r="C3562" t="s">
        <v>10599</v>
      </c>
      <c r="D3562" t="s">
        <v>20</v>
      </c>
      <c r="E3562" t="s">
        <v>11</v>
      </c>
      <c r="F3562">
        <v>195.82199999999997</v>
      </c>
      <c r="G3562">
        <v>18</v>
      </c>
      <c r="L3562" t="s">
        <v>10600</v>
      </c>
      <c r="O3562" t="s">
        <v>10601</v>
      </c>
    </row>
    <row r="3563" spans="1:15" x14ac:dyDescent="0.25">
      <c r="A3563" t="s">
        <v>18</v>
      </c>
      <c r="B3563" t="s">
        <v>10600</v>
      </c>
      <c r="C3563" t="s">
        <v>10602</v>
      </c>
      <c r="D3563" t="s">
        <v>20</v>
      </c>
      <c r="E3563" t="s">
        <v>11</v>
      </c>
      <c r="F3563">
        <v>195.82199999999997</v>
      </c>
      <c r="G3563">
        <v>18</v>
      </c>
      <c r="L3563" t="s">
        <v>10603</v>
      </c>
      <c r="O3563" t="s">
        <v>10604</v>
      </c>
    </row>
    <row r="3564" spans="1:15" x14ac:dyDescent="0.25">
      <c r="A3564" t="s">
        <v>18</v>
      </c>
      <c r="B3564" t="s">
        <v>10603</v>
      </c>
      <c r="C3564" t="s">
        <v>10605</v>
      </c>
      <c r="D3564" t="s">
        <v>20</v>
      </c>
      <c r="E3564" t="s">
        <v>11</v>
      </c>
      <c r="F3564">
        <v>195.82199999999997</v>
      </c>
      <c r="G3564">
        <v>18</v>
      </c>
      <c r="L3564" t="s">
        <v>10606</v>
      </c>
      <c r="O3564" t="s">
        <v>10607</v>
      </c>
    </row>
    <row r="3565" spans="1:15" x14ac:dyDescent="0.25">
      <c r="A3565" t="s">
        <v>18</v>
      </c>
      <c r="B3565" t="s">
        <v>10606</v>
      </c>
      <c r="C3565" t="s">
        <v>10608</v>
      </c>
      <c r="D3565" t="s">
        <v>20</v>
      </c>
      <c r="E3565" t="s">
        <v>11</v>
      </c>
      <c r="F3565">
        <v>130.548</v>
      </c>
      <c r="G3565">
        <v>18</v>
      </c>
      <c r="L3565" t="s">
        <v>10609</v>
      </c>
      <c r="O3565" t="s">
        <v>10610</v>
      </c>
    </row>
    <row r="3566" spans="1:15" x14ac:dyDescent="0.25">
      <c r="A3566" t="s">
        <v>18</v>
      </c>
      <c r="B3566" t="s">
        <v>10609</v>
      </c>
      <c r="C3566" t="s">
        <v>10611</v>
      </c>
      <c r="D3566" t="s">
        <v>20</v>
      </c>
      <c r="E3566" t="s">
        <v>11</v>
      </c>
      <c r="F3566">
        <v>652.74</v>
      </c>
      <c r="G3566">
        <v>18</v>
      </c>
      <c r="L3566" t="s">
        <v>10612</v>
      </c>
      <c r="O3566" t="s">
        <v>10613</v>
      </c>
    </row>
    <row r="3567" spans="1:15" x14ac:dyDescent="0.25">
      <c r="A3567" t="s">
        <v>18</v>
      </c>
      <c r="B3567" t="s">
        <v>10612</v>
      </c>
      <c r="C3567" t="s">
        <v>10614</v>
      </c>
      <c r="D3567" t="s">
        <v>20</v>
      </c>
      <c r="E3567" t="s">
        <v>11</v>
      </c>
      <c r="F3567">
        <v>652.74</v>
      </c>
      <c r="G3567">
        <v>18</v>
      </c>
      <c r="L3567" t="s">
        <v>10615</v>
      </c>
      <c r="O3567" t="s">
        <v>10616</v>
      </c>
    </row>
    <row r="3568" spans="1:15" x14ac:dyDescent="0.25">
      <c r="A3568" t="s">
        <v>18</v>
      </c>
      <c r="B3568" t="s">
        <v>10615</v>
      </c>
      <c r="C3568" t="s">
        <v>10617</v>
      </c>
      <c r="D3568" t="s">
        <v>20</v>
      </c>
      <c r="E3568" t="s">
        <v>11</v>
      </c>
      <c r="F3568">
        <v>652.74</v>
      </c>
      <c r="G3568">
        <v>18</v>
      </c>
      <c r="L3568" t="s">
        <v>10618</v>
      </c>
      <c r="O3568" t="s">
        <v>10619</v>
      </c>
    </row>
    <row r="3569" spans="1:15" x14ac:dyDescent="0.25">
      <c r="A3569" t="s">
        <v>18</v>
      </c>
      <c r="B3569" t="s">
        <v>10618</v>
      </c>
      <c r="C3569" t="s">
        <v>10620</v>
      </c>
      <c r="D3569" t="s">
        <v>20</v>
      </c>
      <c r="E3569" t="s">
        <v>11</v>
      </c>
      <c r="F3569">
        <v>848.5619999999999</v>
      </c>
      <c r="G3569">
        <v>18</v>
      </c>
      <c r="L3569" t="s">
        <v>10621</v>
      </c>
      <c r="O3569" t="s">
        <v>10622</v>
      </c>
    </row>
    <row r="3570" spans="1:15" x14ac:dyDescent="0.25">
      <c r="A3570" t="s">
        <v>18</v>
      </c>
      <c r="B3570" t="s">
        <v>10621</v>
      </c>
      <c r="C3570" t="s">
        <v>10623</v>
      </c>
      <c r="D3570" t="s">
        <v>20</v>
      </c>
      <c r="E3570" t="s">
        <v>11</v>
      </c>
      <c r="F3570">
        <v>456.918</v>
      </c>
      <c r="G3570">
        <v>18</v>
      </c>
      <c r="L3570" t="s">
        <v>10624</v>
      </c>
      <c r="O3570" t="s">
        <v>10625</v>
      </c>
    </row>
    <row r="3571" spans="1:15" x14ac:dyDescent="0.25">
      <c r="A3571" t="s">
        <v>18</v>
      </c>
      <c r="B3571" t="s">
        <v>10624</v>
      </c>
      <c r="C3571" t="s">
        <v>10626</v>
      </c>
      <c r="D3571" t="s">
        <v>20</v>
      </c>
      <c r="E3571" t="s">
        <v>11</v>
      </c>
      <c r="F3571">
        <v>3133.1519999999996</v>
      </c>
      <c r="G3571">
        <v>18</v>
      </c>
      <c r="L3571" t="s">
        <v>10627</v>
      </c>
      <c r="O3571" t="s">
        <v>10628</v>
      </c>
    </row>
    <row r="3572" spans="1:15" x14ac:dyDescent="0.25">
      <c r="A3572" t="s">
        <v>18</v>
      </c>
      <c r="B3572" t="s">
        <v>10627</v>
      </c>
      <c r="C3572" t="s">
        <v>10629</v>
      </c>
      <c r="D3572" t="s">
        <v>20</v>
      </c>
      <c r="E3572" t="s">
        <v>11</v>
      </c>
      <c r="F3572">
        <v>326.37</v>
      </c>
      <c r="G3572">
        <v>18</v>
      </c>
      <c r="L3572" t="s">
        <v>10630</v>
      </c>
      <c r="O3572" t="s">
        <v>10631</v>
      </c>
    </row>
    <row r="3573" spans="1:15" x14ac:dyDescent="0.25">
      <c r="A3573" t="s">
        <v>18</v>
      </c>
      <c r="B3573" t="s">
        <v>10630</v>
      </c>
      <c r="C3573" t="s">
        <v>10632</v>
      </c>
      <c r="D3573" t="s">
        <v>20</v>
      </c>
      <c r="E3573" t="s">
        <v>11</v>
      </c>
      <c r="F3573">
        <v>456.918</v>
      </c>
      <c r="G3573">
        <v>18</v>
      </c>
      <c r="L3573" t="s">
        <v>10633</v>
      </c>
      <c r="O3573" t="s">
        <v>10634</v>
      </c>
    </row>
    <row r="3574" spans="1:15" x14ac:dyDescent="0.25">
      <c r="A3574" t="s">
        <v>18</v>
      </c>
      <c r="B3574" t="s">
        <v>10633</v>
      </c>
      <c r="C3574" t="s">
        <v>10635</v>
      </c>
      <c r="D3574" t="s">
        <v>20</v>
      </c>
      <c r="E3574" t="s">
        <v>11</v>
      </c>
      <c r="F3574">
        <v>456.918</v>
      </c>
      <c r="G3574">
        <v>18</v>
      </c>
      <c r="L3574" t="s">
        <v>10636</v>
      </c>
      <c r="O3574" t="s">
        <v>10637</v>
      </c>
    </row>
    <row r="3575" spans="1:15" x14ac:dyDescent="0.25">
      <c r="A3575" t="s">
        <v>18</v>
      </c>
      <c r="B3575" t="s">
        <v>10636</v>
      </c>
      <c r="C3575" t="s">
        <v>10638</v>
      </c>
      <c r="D3575" t="s">
        <v>20</v>
      </c>
      <c r="E3575" t="s">
        <v>11</v>
      </c>
      <c r="F3575">
        <v>652.74</v>
      </c>
      <c r="G3575">
        <v>18</v>
      </c>
      <c r="L3575" t="s">
        <v>10639</v>
      </c>
      <c r="O3575" t="s">
        <v>10640</v>
      </c>
    </row>
    <row r="3576" spans="1:15" x14ac:dyDescent="0.25">
      <c r="A3576" t="s">
        <v>18</v>
      </c>
      <c r="B3576" t="s">
        <v>10639</v>
      </c>
      <c r="C3576" t="s">
        <v>10641</v>
      </c>
      <c r="D3576" t="s">
        <v>20</v>
      </c>
      <c r="E3576" t="s">
        <v>11</v>
      </c>
      <c r="F3576">
        <v>522.192</v>
      </c>
      <c r="G3576">
        <v>18</v>
      </c>
      <c r="L3576" t="s">
        <v>10642</v>
      </c>
      <c r="O3576" t="s">
        <v>10643</v>
      </c>
    </row>
    <row r="3577" spans="1:15" x14ac:dyDescent="0.25">
      <c r="A3577" t="s">
        <v>18</v>
      </c>
      <c r="B3577" t="s">
        <v>10642</v>
      </c>
      <c r="C3577" t="s">
        <v>10644</v>
      </c>
      <c r="D3577" t="s">
        <v>20</v>
      </c>
      <c r="E3577" t="s">
        <v>11</v>
      </c>
      <c r="F3577">
        <v>195.82199999999997</v>
      </c>
      <c r="G3577">
        <v>18</v>
      </c>
      <c r="L3577" t="s">
        <v>10645</v>
      </c>
      <c r="O3577" t="s">
        <v>10646</v>
      </c>
    </row>
    <row r="3578" spans="1:15" x14ac:dyDescent="0.25">
      <c r="A3578" t="s">
        <v>18</v>
      </c>
      <c r="B3578" t="s">
        <v>10645</v>
      </c>
      <c r="C3578" t="s">
        <v>10647</v>
      </c>
      <c r="D3578" t="s">
        <v>20</v>
      </c>
      <c r="E3578" t="s">
        <v>11</v>
      </c>
      <c r="F3578">
        <v>652.74</v>
      </c>
      <c r="G3578">
        <v>18</v>
      </c>
      <c r="L3578" t="s">
        <v>10648</v>
      </c>
      <c r="O3578" t="s">
        <v>10649</v>
      </c>
    </row>
    <row r="3579" spans="1:15" x14ac:dyDescent="0.25">
      <c r="A3579" t="s">
        <v>18</v>
      </c>
      <c r="B3579" t="s">
        <v>10648</v>
      </c>
      <c r="C3579" t="s">
        <v>10650</v>
      </c>
      <c r="D3579" t="s">
        <v>20</v>
      </c>
      <c r="E3579" t="s">
        <v>11</v>
      </c>
      <c r="F3579">
        <v>522.192</v>
      </c>
      <c r="G3579">
        <v>18</v>
      </c>
      <c r="L3579" t="s">
        <v>10651</v>
      </c>
      <c r="O3579" t="s">
        <v>10652</v>
      </c>
    </row>
    <row r="3580" spans="1:15" x14ac:dyDescent="0.25">
      <c r="A3580" t="s">
        <v>18</v>
      </c>
      <c r="B3580" t="s">
        <v>10651</v>
      </c>
      <c r="C3580" t="s">
        <v>10653</v>
      </c>
      <c r="D3580" t="s">
        <v>20</v>
      </c>
      <c r="E3580" t="s">
        <v>11</v>
      </c>
      <c r="F3580">
        <v>718.014</v>
      </c>
      <c r="G3580">
        <v>18</v>
      </c>
      <c r="L3580" t="s">
        <v>10654</v>
      </c>
      <c r="O3580" t="s">
        <v>10655</v>
      </c>
    </row>
    <row r="3581" spans="1:15" x14ac:dyDescent="0.25">
      <c r="A3581" t="s">
        <v>18</v>
      </c>
      <c r="B3581" t="s">
        <v>10654</v>
      </c>
      <c r="C3581" t="s">
        <v>10656</v>
      </c>
      <c r="D3581" t="s">
        <v>20</v>
      </c>
      <c r="E3581" t="s">
        <v>11</v>
      </c>
      <c r="F3581">
        <v>456.918</v>
      </c>
      <c r="G3581">
        <v>18</v>
      </c>
      <c r="L3581" t="s">
        <v>10657</v>
      </c>
      <c r="O3581" t="s">
        <v>10658</v>
      </c>
    </row>
    <row r="3582" spans="1:15" x14ac:dyDescent="0.25">
      <c r="A3582" t="s">
        <v>18</v>
      </c>
      <c r="B3582" t="s">
        <v>10657</v>
      </c>
      <c r="C3582" t="s">
        <v>10659</v>
      </c>
      <c r="D3582" t="s">
        <v>20</v>
      </c>
      <c r="E3582" t="s">
        <v>11</v>
      </c>
      <c r="F3582">
        <v>130.548</v>
      </c>
      <c r="G3582">
        <v>18</v>
      </c>
      <c r="L3582" t="s">
        <v>10660</v>
      </c>
      <c r="O3582" t="s">
        <v>10661</v>
      </c>
    </row>
    <row r="3583" spans="1:15" x14ac:dyDescent="0.25">
      <c r="A3583" t="s">
        <v>18</v>
      </c>
      <c r="B3583" t="s">
        <v>10660</v>
      </c>
      <c r="C3583" t="s">
        <v>10662</v>
      </c>
      <c r="D3583" t="s">
        <v>20</v>
      </c>
      <c r="E3583" t="s">
        <v>11</v>
      </c>
      <c r="F3583">
        <v>195.82199999999997</v>
      </c>
      <c r="G3583">
        <v>18</v>
      </c>
      <c r="L3583" t="s">
        <v>10663</v>
      </c>
      <c r="O3583" t="s">
        <v>10664</v>
      </c>
    </row>
    <row r="3584" spans="1:15" x14ac:dyDescent="0.25">
      <c r="A3584" t="s">
        <v>18</v>
      </c>
      <c r="B3584" t="s">
        <v>10663</v>
      </c>
      <c r="C3584" t="s">
        <v>10665</v>
      </c>
      <c r="D3584" t="s">
        <v>20</v>
      </c>
      <c r="E3584" t="s">
        <v>11</v>
      </c>
      <c r="F3584">
        <v>979.11</v>
      </c>
      <c r="G3584">
        <v>18</v>
      </c>
      <c r="L3584" t="s">
        <v>10666</v>
      </c>
      <c r="O3584" t="s">
        <v>10667</v>
      </c>
    </row>
    <row r="3585" spans="1:15" x14ac:dyDescent="0.25">
      <c r="A3585" t="s">
        <v>18</v>
      </c>
      <c r="B3585" t="s">
        <v>10666</v>
      </c>
      <c r="C3585" t="s">
        <v>10668</v>
      </c>
      <c r="D3585" t="s">
        <v>20</v>
      </c>
      <c r="E3585" t="s">
        <v>11</v>
      </c>
      <c r="F3585">
        <v>3394.2479999999996</v>
      </c>
      <c r="G3585">
        <v>18</v>
      </c>
      <c r="L3585" t="s">
        <v>10669</v>
      </c>
      <c r="O3585" t="s">
        <v>10670</v>
      </c>
    </row>
    <row r="3586" spans="1:15" x14ac:dyDescent="0.25">
      <c r="A3586" t="s">
        <v>18</v>
      </c>
      <c r="B3586" t="s">
        <v>10669</v>
      </c>
      <c r="C3586" t="s">
        <v>10671</v>
      </c>
      <c r="D3586" t="s">
        <v>20</v>
      </c>
      <c r="E3586" t="s">
        <v>11</v>
      </c>
      <c r="F3586">
        <v>1501.302</v>
      </c>
      <c r="G3586">
        <v>18</v>
      </c>
      <c r="L3586" t="s">
        <v>10672</v>
      </c>
      <c r="O3586" t="s">
        <v>10673</v>
      </c>
    </row>
    <row r="3587" spans="1:15" x14ac:dyDescent="0.25">
      <c r="A3587" t="s">
        <v>18</v>
      </c>
      <c r="B3587" t="s">
        <v>10672</v>
      </c>
      <c r="C3587" t="s">
        <v>10674</v>
      </c>
      <c r="D3587" t="s">
        <v>20</v>
      </c>
      <c r="E3587" t="s">
        <v>11</v>
      </c>
      <c r="F3587">
        <v>5548.29</v>
      </c>
      <c r="G3587">
        <v>18</v>
      </c>
      <c r="L3587" t="s">
        <v>10675</v>
      </c>
      <c r="O3587" t="s">
        <v>10676</v>
      </c>
    </row>
    <row r="3588" spans="1:15" x14ac:dyDescent="0.25">
      <c r="A3588" t="s">
        <v>18</v>
      </c>
      <c r="B3588" t="s">
        <v>10675</v>
      </c>
      <c r="C3588" t="s">
        <v>10677</v>
      </c>
      <c r="D3588" t="s">
        <v>20</v>
      </c>
      <c r="E3588" t="s">
        <v>11</v>
      </c>
      <c r="F3588">
        <v>652.74</v>
      </c>
      <c r="G3588">
        <v>18</v>
      </c>
      <c r="L3588" t="s">
        <v>10678</v>
      </c>
      <c r="O3588" t="s">
        <v>10679</v>
      </c>
    </row>
    <row r="3589" spans="1:15" x14ac:dyDescent="0.25">
      <c r="A3589" t="s">
        <v>18</v>
      </c>
      <c r="B3589" t="s">
        <v>10678</v>
      </c>
      <c r="C3589" t="s">
        <v>10680</v>
      </c>
      <c r="D3589" t="s">
        <v>20</v>
      </c>
      <c r="E3589" t="s">
        <v>11</v>
      </c>
      <c r="F3589">
        <v>130.548</v>
      </c>
      <c r="G3589">
        <v>18</v>
      </c>
      <c r="L3589" t="s">
        <v>10681</v>
      </c>
      <c r="O3589" t="s">
        <v>10682</v>
      </c>
    </row>
    <row r="3590" spans="1:15" x14ac:dyDescent="0.25">
      <c r="A3590" t="s">
        <v>18</v>
      </c>
      <c r="B3590" t="s">
        <v>10681</v>
      </c>
      <c r="C3590" t="s">
        <v>10683</v>
      </c>
      <c r="D3590" t="s">
        <v>20</v>
      </c>
      <c r="E3590" t="s">
        <v>11</v>
      </c>
      <c r="F3590">
        <v>652.74</v>
      </c>
      <c r="G3590">
        <v>18</v>
      </c>
      <c r="L3590" t="s">
        <v>10684</v>
      </c>
      <c r="O3590" t="s">
        <v>10685</v>
      </c>
    </row>
    <row r="3591" spans="1:15" x14ac:dyDescent="0.25">
      <c r="A3591" t="s">
        <v>18</v>
      </c>
      <c r="B3591" t="s">
        <v>10684</v>
      </c>
      <c r="C3591" t="s">
        <v>10686</v>
      </c>
      <c r="D3591" t="s">
        <v>20</v>
      </c>
      <c r="E3591" t="s">
        <v>11</v>
      </c>
      <c r="F3591">
        <v>8616.168</v>
      </c>
      <c r="G3591">
        <v>18</v>
      </c>
      <c r="L3591" t="s">
        <v>10687</v>
      </c>
      <c r="O3591" t="s">
        <v>10688</v>
      </c>
    </row>
    <row r="3592" spans="1:15" x14ac:dyDescent="0.25">
      <c r="A3592" t="s">
        <v>18</v>
      </c>
      <c r="B3592" t="s">
        <v>10687</v>
      </c>
      <c r="C3592" t="s">
        <v>10689</v>
      </c>
      <c r="D3592" t="s">
        <v>20</v>
      </c>
      <c r="E3592" t="s">
        <v>11</v>
      </c>
      <c r="F3592">
        <v>130.548</v>
      </c>
      <c r="G3592">
        <v>18</v>
      </c>
      <c r="L3592" t="s">
        <v>10690</v>
      </c>
      <c r="O3592" t="s">
        <v>10691</v>
      </c>
    </row>
    <row r="3593" spans="1:15" x14ac:dyDescent="0.25">
      <c r="A3593" t="s">
        <v>18</v>
      </c>
      <c r="B3593" t="s">
        <v>10690</v>
      </c>
      <c r="C3593" t="s">
        <v>10692</v>
      </c>
      <c r="D3593" t="s">
        <v>20</v>
      </c>
      <c r="E3593" t="s">
        <v>11</v>
      </c>
      <c r="F3593">
        <v>391.64399999999995</v>
      </c>
      <c r="G3593">
        <v>18</v>
      </c>
      <c r="L3593" t="s">
        <v>10693</v>
      </c>
      <c r="O3593" t="s">
        <v>10694</v>
      </c>
    </row>
    <row r="3594" spans="1:15" x14ac:dyDescent="0.25">
      <c r="A3594" t="s">
        <v>18</v>
      </c>
      <c r="B3594" t="s">
        <v>10693</v>
      </c>
      <c r="C3594" t="s">
        <v>10695</v>
      </c>
      <c r="D3594" t="s">
        <v>20</v>
      </c>
      <c r="E3594" t="s">
        <v>11</v>
      </c>
      <c r="F3594">
        <v>783.2879999999999</v>
      </c>
      <c r="G3594">
        <v>18</v>
      </c>
      <c r="L3594" t="s">
        <v>10696</v>
      </c>
      <c r="O3594" t="s">
        <v>10697</v>
      </c>
    </row>
    <row r="3595" spans="1:15" x14ac:dyDescent="0.25">
      <c r="A3595" t="s">
        <v>18</v>
      </c>
      <c r="B3595" t="s">
        <v>10696</v>
      </c>
      <c r="C3595" t="s">
        <v>10698</v>
      </c>
      <c r="D3595" t="s">
        <v>20</v>
      </c>
      <c r="E3595" t="s">
        <v>11</v>
      </c>
      <c r="F3595">
        <v>391.64399999999995</v>
      </c>
      <c r="G3595">
        <v>18</v>
      </c>
      <c r="L3595" t="s">
        <v>10699</v>
      </c>
      <c r="O3595" t="s">
        <v>10700</v>
      </c>
    </row>
    <row r="3596" spans="1:15" x14ac:dyDescent="0.25">
      <c r="A3596" t="s">
        <v>18</v>
      </c>
      <c r="B3596" t="s">
        <v>10699</v>
      </c>
      <c r="C3596" t="s">
        <v>10701</v>
      </c>
      <c r="D3596" t="s">
        <v>20</v>
      </c>
      <c r="E3596" t="s">
        <v>11</v>
      </c>
      <c r="F3596">
        <v>261.096</v>
      </c>
      <c r="G3596">
        <v>18</v>
      </c>
      <c r="L3596" t="s">
        <v>10702</v>
      </c>
      <c r="O3596" t="s">
        <v>10703</v>
      </c>
    </row>
    <row r="3597" spans="1:15" x14ac:dyDescent="0.25">
      <c r="A3597" t="s">
        <v>18</v>
      </c>
      <c r="B3597" t="s">
        <v>10702</v>
      </c>
      <c r="C3597" t="s">
        <v>10704</v>
      </c>
      <c r="D3597" t="s">
        <v>20</v>
      </c>
      <c r="E3597" t="s">
        <v>11</v>
      </c>
      <c r="F3597">
        <v>718.014</v>
      </c>
      <c r="G3597">
        <v>18</v>
      </c>
      <c r="L3597" t="s">
        <v>10705</v>
      </c>
      <c r="O3597" t="s">
        <v>10706</v>
      </c>
    </row>
    <row r="3598" spans="1:15" x14ac:dyDescent="0.25">
      <c r="A3598" t="s">
        <v>18</v>
      </c>
      <c r="B3598" t="s">
        <v>10705</v>
      </c>
      <c r="C3598" t="s">
        <v>10707</v>
      </c>
      <c r="D3598" t="s">
        <v>20</v>
      </c>
      <c r="E3598" t="s">
        <v>11</v>
      </c>
      <c r="F3598">
        <v>195.82199999999997</v>
      </c>
      <c r="G3598">
        <v>18</v>
      </c>
      <c r="L3598" t="s">
        <v>10708</v>
      </c>
      <c r="O3598" t="s">
        <v>10709</v>
      </c>
    </row>
    <row r="3599" spans="1:15" x14ac:dyDescent="0.25">
      <c r="A3599" t="s">
        <v>18</v>
      </c>
      <c r="B3599" t="s">
        <v>10708</v>
      </c>
      <c r="C3599" t="s">
        <v>10710</v>
      </c>
      <c r="D3599" t="s">
        <v>20</v>
      </c>
      <c r="E3599" t="s">
        <v>11</v>
      </c>
      <c r="F3599">
        <v>1958.22</v>
      </c>
      <c r="G3599">
        <v>18</v>
      </c>
      <c r="L3599" t="s">
        <v>10711</v>
      </c>
      <c r="O3599" t="s">
        <v>10712</v>
      </c>
    </row>
    <row r="3600" spans="1:15" x14ac:dyDescent="0.25">
      <c r="A3600" t="s">
        <v>18</v>
      </c>
      <c r="B3600" t="s">
        <v>10711</v>
      </c>
      <c r="C3600" t="s">
        <v>10713</v>
      </c>
      <c r="D3600" t="s">
        <v>20</v>
      </c>
      <c r="E3600" t="s">
        <v>11</v>
      </c>
      <c r="F3600">
        <v>1631.85</v>
      </c>
      <c r="G3600">
        <v>18</v>
      </c>
      <c r="L3600" t="s">
        <v>10714</v>
      </c>
      <c r="O3600" t="s">
        <v>10715</v>
      </c>
    </row>
    <row r="3601" spans="1:15" x14ac:dyDescent="0.25">
      <c r="A3601" t="s">
        <v>18</v>
      </c>
      <c r="B3601" t="s">
        <v>10714</v>
      </c>
      <c r="C3601" t="s">
        <v>10716</v>
      </c>
      <c r="D3601" t="s">
        <v>20</v>
      </c>
      <c r="E3601" t="s">
        <v>11</v>
      </c>
      <c r="F3601">
        <v>391.64399999999995</v>
      </c>
      <c r="G3601">
        <v>18</v>
      </c>
      <c r="L3601" t="s">
        <v>10717</v>
      </c>
      <c r="O3601" t="s">
        <v>10718</v>
      </c>
    </row>
    <row r="3602" spans="1:15" x14ac:dyDescent="0.25">
      <c r="A3602" t="s">
        <v>18</v>
      </c>
      <c r="B3602" t="s">
        <v>10717</v>
      </c>
      <c r="C3602" t="s">
        <v>10719</v>
      </c>
      <c r="D3602" t="s">
        <v>20</v>
      </c>
      <c r="E3602" t="s">
        <v>11</v>
      </c>
      <c r="F3602">
        <v>261.096</v>
      </c>
      <c r="G3602">
        <v>18</v>
      </c>
      <c r="L3602" t="s">
        <v>10720</v>
      </c>
      <c r="O3602" t="s">
        <v>10721</v>
      </c>
    </row>
    <row r="3603" spans="1:15" x14ac:dyDescent="0.25">
      <c r="A3603" t="s">
        <v>18</v>
      </c>
      <c r="B3603" t="s">
        <v>10720</v>
      </c>
      <c r="C3603" t="s">
        <v>10722</v>
      </c>
      <c r="D3603" t="s">
        <v>20</v>
      </c>
      <c r="E3603" t="s">
        <v>11</v>
      </c>
      <c r="F3603">
        <v>130.548</v>
      </c>
      <c r="G3603">
        <v>18</v>
      </c>
      <c r="L3603" t="s">
        <v>10723</v>
      </c>
      <c r="O3603" t="s">
        <v>10724</v>
      </c>
    </row>
    <row r="3604" spans="1:15" x14ac:dyDescent="0.25">
      <c r="A3604" t="s">
        <v>18</v>
      </c>
      <c r="B3604" t="s">
        <v>10723</v>
      </c>
      <c r="C3604" t="s">
        <v>10725</v>
      </c>
      <c r="D3604" t="s">
        <v>20</v>
      </c>
      <c r="E3604" t="s">
        <v>11</v>
      </c>
      <c r="F3604">
        <v>587.4659999999999</v>
      </c>
      <c r="G3604">
        <v>18</v>
      </c>
      <c r="L3604" t="s">
        <v>10726</v>
      </c>
      <c r="O3604" t="s">
        <v>10727</v>
      </c>
    </row>
    <row r="3605" spans="1:15" x14ac:dyDescent="0.25">
      <c r="A3605" t="s">
        <v>18</v>
      </c>
      <c r="B3605" t="s">
        <v>10726</v>
      </c>
      <c r="C3605" t="s">
        <v>10728</v>
      </c>
      <c r="D3605" t="s">
        <v>20</v>
      </c>
      <c r="E3605" t="s">
        <v>11</v>
      </c>
      <c r="F3605">
        <v>195.82199999999997</v>
      </c>
      <c r="G3605">
        <v>18</v>
      </c>
      <c r="L3605" t="s">
        <v>10729</v>
      </c>
      <c r="O3605" t="s">
        <v>10730</v>
      </c>
    </row>
    <row r="3606" spans="1:15" x14ac:dyDescent="0.25">
      <c r="A3606" t="s">
        <v>18</v>
      </c>
      <c r="B3606" t="s">
        <v>10729</v>
      </c>
      <c r="C3606" t="s">
        <v>10731</v>
      </c>
      <c r="D3606" t="s">
        <v>20</v>
      </c>
      <c r="E3606" t="s">
        <v>11</v>
      </c>
      <c r="F3606">
        <v>652.74</v>
      </c>
      <c r="G3606">
        <v>18</v>
      </c>
      <c r="L3606" t="s">
        <v>10732</v>
      </c>
      <c r="O3606" t="s">
        <v>10733</v>
      </c>
    </row>
    <row r="3607" spans="1:15" x14ac:dyDescent="0.25">
      <c r="A3607" t="s">
        <v>18</v>
      </c>
      <c r="B3607" t="s">
        <v>10732</v>
      </c>
      <c r="C3607" t="s">
        <v>10734</v>
      </c>
      <c r="D3607" t="s">
        <v>20</v>
      </c>
      <c r="E3607" t="s">
        <v>11</v>
      </c>
      <c r="F3607">
        <v>130.548</v>
      </c>
      <c r="G3607">
        <v>18</v>
      </c>
      <c r="L3607" t="s">
        <v>10735</v>
      </c>
      <c r="O3607" t="s">
        <v>10736</v>
      </c>
    </row>
    <row r="3608" spans="1:15" x14ac:dyDescent="0.25">
      <c r="A3608" t="s">
        <v>18</v>
      </c>
      <c r="B3608" t="s">
        <v>10735</v>
      </c>
      <c r="C3608" t="s">
        <v>10737</v>
      </c>
      <c r="D3608" t="s">
        <v>20</v>
      </c>
      <c r="E3608" t="s">
        <v>11</v>
      </c>
      <c r="F3608">
        <v>130.548</v>
      </c>
      <c r="G3608">
        <v>18</v>
      </c>
      <c r="L3608" t="s">
        <v>10738</v>
      </c>
      <c r="O3608" t="s">
        <v>10739</v>
      </c>
    </row>
    <row r="3609" spans="1:15" x14ac:dyDescent="0.25">
      <c r="A3609" t="s">
        <v>18</v>
      </c>
      <c r="B3609" t="s">
        <v>10738</v>
      </c>
      <c r="C3609" t="s">
        <v>10740</v>
      </c>
      <c r="D3609" t="s">
        <v>20</v>
      </c>
      <c r="E3609" t="s">
        <v>11</v>
      </c>
      <c r="F3609">
        <v>456.918</v>
      </c>
      <c r="G3609">
        <v>18</v>
      </c>
      <c r="L3609" t="s">
        <v>10741</v>
      </c>
      <c r="O3609" t="s">
        <v>10742</v>
      </c>
    </row>
    <row r="3610" spans="1:15" x14ac:dyDescent="0.25">
      <c r="A3610" t="s">
        <v>18</v>
      </c>
      <c r="B3610" t="s">
        <v>10741</v>
      </c>
      <c r="C3610" t="s">
        <v>10743</v>
      </c>
      <c r="D3610" t="s">
        <v>20</v>
      </c>
      <c r="E3610" t="s">
        <v>11</v>
      </c>
      <c r="F3610">
        <v>261.096</v>
      </c>
      <c r="G3610">
        <v>18</v>
      </c>
      <c r="L3610" t="s">
        <v>10744</v>
      </c>
      <c r="O3610" t="s">
        <v>10745</v>
      </c>
    </row>
    <row r="3611" spans="1:15" x14ac:dyDescent="0.25">
      <c r="A3611" t="s">
        <v>18</v>
      </c>
      <c r="B3611" t="s">
        <v>10744</v>
      </c>
      <c r="C3611" t="s">
        <v>10746</v>
      </c>
      <c r="D3611" t="s">
        <v>20</v>
      </c>
      <c r="E3611" t="s">
        <v>11</v>
      </c>
      <c r="F3611">
        <v>2154.042</v>
      </c>
      <c r="G3611">
        <v>18</v>
      </c>
      <c r="L3611" t="s">
        <v>10747</v>
      </c>
      <c r="O3611" t="s">
        <v>10748</v>
      </c>
    </row>
    <row r="3612" spans="1:15" x14ac:dyDescent="0.25">
      <c r="A3612" t="s">
        <v>18</v>
      </c>
      <c r="B3612" t="s">
        <v>10747</v>
      </c>
      <c r="C3612" t="s">
        <v>10749</v>
      </c>
      <c r="D3612" t="s">
        <v>20</v>
      </c>
      <c r="E3612" t="s">
        <v>11</v>
      </c>
      <c r="F3612">
        <v>2219.316</v>
      </c>
      <c r="G3612">
        <v>18</v>
      </c>
      <c r="L3612" t="s">
        <v>10750</v>
      </c>
      <c r="O3612" t="s">
        <v>10751</v>
      </c>
    </row>
    <row r="3613" spans="1:15" x14ac:dyDescent="0.25">
      <c r="A3613" t="s">
        <v>18</v>
      </c>
      <c r="B3613" t="s">
        <v>10750</v>
      </c>
      <c r="C3613" t="s">
        <v>10752</v>
      </c>
      <c r="D3613" t="s">
        <v>20</v>
      </c>
      <c r="E3613" t="s">
        <v>11</v>
      </c>
      <c r="F3613">
        <v>261.096</v>
      </c>
      <c r="G3613">
        <v>18</v>
      </c>
      <c r="L3613" t="s">
        <v>10753</v>
      </c>
      <c r="O3613" t="s">
        <v>10754</v>
      </c>
    </row>
    <row r="3614" spans="1:15" x14ac:dyDescent="0.25">
      <c r="A3614" t="s">
        <v>18</v>
      </c>
      <c r="B3614" t="s">
        <v>10753</v>
      </c>
      <c r="C3614" t="s">
        <v>10755</v>
      </c>
      <c r="D3614" t="s">
        <v>20</v>
      </c>
      <c r="E3614" t="s">
        <v>11</v>
      </c>
      <c r="F3614">
        <v>195.82199999999997</v>
      </c>
      <c r="G3614">
        <v>18</v>
      </c>
      <c r="L3614" t="s">
        <v>10756</v>
      </c>
      <c r="O3614" t="s">
        <v>10757</v>
      </c>
    </row>
    <row r="3615" spans="1:15" x14ac:dyDescent="0.25">
      <c r="A3615" t="s">
        <v>18</v>
      </c>
      <c r="B3615" t="s">
        <v>10756</v>
      </c>
      <c r="C3615" t="s">
        <v>10758</v>
      </c>
      <c r="D3615" t="s">
        <v>20</v>
      </c>
      <c r="E3615" t="s">
        <v>11</v>
      </c>
      <c r="F3615">
        <v>130.548</v>
      </c>
      <c r="G3615">
        <v>18</v>
      </c>
      <c r="L3615" t="s">
        <v>10759</v>
      </c>
      <c r="O3615" t="s">
        <v>10760</v>
      </c>
    </row>
    <row r="3616" spans="1:15" x14ac:dyDescent="0.25">
      <c r="A3616" t="s">
        <v>18</v>
      </c>
      <c r="B3616" t="s">
        <v>10759</v>
      </c>
      <c r="C3616" t="s">
        <v>10761</v>
      </c>
      <c r="D3616" t="s">
        <v>20</v>
      </c>
      <c r="E3616" t="s">
        <v>11</v>
      </c>
      <c r="F3616">
        <v>783.2879999999999</v>
      </c>
      <c r="G3616">
        <v>18</v>
      </c>
      <c r="L3616" t="s">
        <v>10762</v>
      </c>
      <c r="O3616" t="s">
        <v>10763</v>
      </c>
    </row>
    <row r="3617" spans="1:15" x14ac:dyDescent="0.25">
      <c r="A3617" t="s">
        <v>18</v>
      </c>
      <c r="B3617" t="s">
        <v>10762</v>
      </c>
      <c r="C3617" t="s">
        <v>10764</v>
      </c>
      <c r="D3617" t="s">
        <v>20</v>
      </c>
      <c r="E3617" t="s">
        <v>11</v>
      </c>
      <c r="F3617">
        <v>130.548</v>
      </c>
      <c r="G3617">
        <v>18</v>
      </c>
      <c r="L3617" t="s">
        <v>10765</v>
      </c>
      <c r="O3617" t="s">
        <v>10766</v>
      </c>
    </row>
    <row r="3618" spans="1:15" x14ac:dyDescent="0.25">
      <c r="A3618" t="s">
        <v>18</v>
      </c>
      <c r="B3618" t="s">
        <v>10765</v>
      </c>
      <c r="C3618" t="s">
        <v>10767</v>
      </c>
      <c r="D3618" t="s">
        <v>20</v>
      </c>
      <c r="E3618" t="s">
        <v>11</v>
      </c>
      <c r="F3618">
        <v>130.548</v>
      </c>
      <c r="G3618">
        <v>18</v>
      </c>
      <c r="L3618" t="s">
        <v>10768</v>
      </c>
      <c r="O3618" t="s">
        <v>10769</v>
      </c>
    </row>
    <row r="3619" spans="1:15" x14ac:dyDescent="0.25">
      <c r="A3619" t="s">
        <v>18</v>
      </c>
      <c r="B3619" t="s">
        <v>10768</v>
      </c>
      <c r="C3619" t="s">
        <v>10770</v>
      </c>
      <c r="D3619" t="s">
        <v>20</v>
      </c>
      <c r="E3619" t="s">
        <v>11</v>
      </c>
      <c r="F3619">
        <v>1958.22</v>
      </c>
      <c r="G3619">
        <v>18</v>
      </c>
      <c r="L3619" t="s">
        <v>10771</v>
      </c>
      <c r="O3619" t="s">
        <v>10772</v>
      </c>
    </row>
    <row r="3620" spans="1:15" x14ac:dyDescent="0.25">
      <c r="A3620" t="s">
        <v>18</v>
      </c>
      <c r="B3620" t="s">
        <v>10771</v>
      </c>
      <c r="C3620" t="s">
        <v>10773</v>
      </c>
      <c r="D3620" t="s">
        <v>20</v>
      </c>
      <c r="E3620" t="s">
        <v>11</v>
      </c>
      <c r="F3620">
        <v>3067.8779999999997</v>
      </c>
      <c r="G3620">
        <v>18</v>
      </c>
      <c r="L3620" t="s">
        <v>10774</v>
      </c>
      <c r="O3620" t="s">
        <v>10775</v>
      </c>
    </row>
    <row r="3621" spans="1:15" x14ac:dyDescent="0.25">
      <c r="A3621" t="s">
        <v>18</v>
      </c>
      <c r="B3621" t="s">
        <v>10774</v>
      </c>
      <c r="C3621" t="s">
        <v>10776</v>
      </c>
      <c r="D3621" t="s">
        <v>20</v>
      </c>
      <c r="E3621" t="s">
        <v>11</v>
      </c>
      <c r="F3621">
        <v>587.4659999999999</v>
      </c>
      <c r="G3621">
        <v>18</v>
      </c>
      <c r="L3621" t="s">
        <v>10777</v>
      </c>
      <c r="O3621" t="s">
        <v>10778</v>
      </c>
    </row>
    <row r="3622" spans="1:15" x14ac:dyDescent="0.25">
      <c r="A3622" t="s">
        <v>18</v>
      </c>
      <c r="B3622" t="s">
        <v>10777</v>
      </c>
      <c r="C3622" t="s">
        <v>10779</v>
      </c>
      <c r="D3622" t="s">
        <v>20</v>
      </c>
      <c r="E3622" t="s">
        <v>11</v>
      </c>
      <c r="F3622">
        <v>261.096</v>
      </c>
      <c r="G3622">
        <v>18</v>
      </c>
      <c r="L3622" t="s">
        <v>10780</v>
      </c>
      <c r="O3622" t="s">
        <v>10781</v>
      </c>
    </row>
    <row r="3623" spans="1:15" x14ac:dyDescent="0.25">
      <c r="A3623" t="s">
        <v>18</v>
      </c>
      <c r="B3623" t="s">
        <v>10780</v>
      </c>
      <c r="C3623" t="s">
        <v>10782</v>
      </c>
      <c r="D3623" t="s">
        <v>20</v>
      </c>
      <c r="E3623" t="s">
        <v>11</v>
      </c>
      <c r="F3623">
        <v>456.918</v>
      </c>
      <c r="G3623">
        <v>18</v>
      </c>
      <c r="L3623" t="s">
        <v>10783</v>
      </c>
      <c r="O3623" t="s">
        <v>10784</v>
      </c>
    </row>
    <row r="3624" spans="1:15" x14ac:dyDescent="0.25">
      <c r="A3624" t="s">
        <v>18</v>
      </c>
      <c r="B3624" t="s">
        <v>10783</v>
      </c>
      <c r="C3624" t="s">
        <v>10785</v>
      </c>
      <c r="D3624" t="s">
        <v>20</v>
      </c>
      <c r="E3624" t="s">
        <v>11</v>
      </c>
      <c r="F3624">
        <v>718.014</v>
      </c>
      <c r="G3624">
        <v>18</v>
      </c>
      <c r="L3624" t="s">
        <v>10786</v>
      </c>
      <c r="O3624" t="s">
        <v>10787</v>
      </c>
    </row>
    <row r="3625" spans="1:15" x14ac:dyDescent="0.25">
      <c r="A3625" t="s">
        <v>18</v>
      </c>
      <c r="B3625" t="s">
        <v>10786</v>
      </c>
      <c r="C3625" t="s">
        <v>10788</v>
      </c>
      <c r="D3625" t="s">
        <v>20</v>
      </c>
      <c r="E3625" t="s">
        <v>11</v>
      </c>
      <c r="F3625">
        <v>2023.494</v>
      </c>
      <c r="G3625">
        <v>18</v>
      </c>
      <c r="L3625" t="s">
        <v>10789</v>
      </c>
      <c r="O3625" t="s">
        <v>10790</v>
      </c>
    </row>
    <row r="3626" spans="1:15" x14ac:dyDescent="0.25">
      <c r="A3626" t="s">
        <v>18</v>
      </c>
      <c r="B3626" t="s">
        <v>10789</v>
      </c>
      <c r="C3626" t="s">
        <v>10791</v>
      </c>
      <c r="D3626" t="s">
        <v>20</v>
      </c>
      <c r="E3626" t="s">
        <v>11</v>
      </c>
      <c r="F3626">
        <v>1109.658</v>
      </c>
      <c r="G3626">
        <v>18</v>
      </c>
      <c r="L3626" t="s">
        <v>10792</v>
      </c>
      <c r="O3626" t="s">
        <v>10793</v>
      </c>
    </row>
    <row r="3627" spans="1:15" x14ac:dyDescent="0.25">
      <c r="A3627" t="s">
        <v>18</v>
      </c>
      <c r="B3627" t="s">
        <v>10792</v>
      </c>
      <c r="C3627" t="s">
        <v>10794</v>
      </c>
      <c r="D3627" t="s">
        <v>20</v>
      </c>
      <c r="E3627" t="s">
        <v>11</v>
      </c>
      <c r="F3627">
        <v>3785.892</v>
      </c>
      <c r="G3627">
        <v>18</v>
      </c>
      <c r="L3627" t="s">
        <v>10795</v>
      </c>
      <c r="O3627" t="s">
        <v>10796</v>
      </c>
    </row>
    <row r="3628" spans="1:15" x14ac:dyDescent="0.25">
      <c r="A3628" t="s">
        <v>18</v>
      </c>
      <c r="B3628" t="s">
        <v>10795</v>
      </c>
      <c r="C3628" t="s">
        <v>10797</v>
      </c>
      <c r="D3628" t="s">
        <v>20</v>
      </c>
      <c r="E3628" t="s">
        <v>11</v>
      </c>
      <c r="F3628">
        <v>783.2879999999999</v>
      </c>
      <c r="G3628">
        <v>18</v>
      </c>
      <c r="L3628" t="s">
        <v>10798</v>
      </c>
      <c r="O3628" t="s">
        <v>10799</v>
      </c>
    </row>
    <row r="3629" spans="1:15" x14ac:dyDescent="0.25">
      <c r="A3629" t="s">
        <v>18</v>
      </c>
      <c r="B3629" t="s">
        <v>10798</v>
      </c>
      <c r="C3629" t="s">
        <v>10800</v>
      </c>
      <c r="D3629" t="s">
        <v>20</v>
      </c>
      <c r="E3629" t="s">
        <v>11</v>
      </c>
      <c r="F3629">
        <v>913.836</v>
      </c>
      <c r="G3629">
        <v>18</v>
      </c>
      <c r="L3629" t="s">
        <v>10801</v>
      </c>
      <c r="O3629" t="s">
        <v>10802</v>
      </c>
    </row>
    <row r="3630" spans="1:15" x14ac:dyDescent="0.25">
      <c r="A3630" t="s">
        <v>18</v>
      </c>
      <c r="B3630" t="s">
        <v>10801</v>
      </c>
      <c r="C3630" t="s">
        <v>10803</v>
      </c>
      <c r="D3630" t="s">
        <v>20</v>
      </c>
      <c r="E3630" t="s">
        <v>11</v>
      </c>
      <c r="F3630">
        <v>261.096</v>
      </c>
      <c r="G3630">
        <v>18</v>
      </c>
      <c r="L3630" t="s">
        <v>10804</v>
      </c>
      <c r="O3630" t="s">
        <v>10805</v>
      </c>
    </row>
    <row r="3631" spans="1:15" x14ac:dyDescent="0.25">
      <c r="A3631" t="s">
        <v>18</v>
      </c>
      <c r="B3631" t="s">
        <v>10804</v>
      </c>
      <c r="C3631" t="s">
        <v>10806</v>
      </c>
      <c r="D3631" t="s">
        <v>20</v>
      </c>
      <c r="E3631" t="s">
        <v>11</v>
      </c>
      <c r="F3631">
        <v>522.192</v>
      </c>
      <c r="G3631">
        <v>18</v>
      </c>
      <c r="L3631" t="s">
        <v>10807</v>
      </c>
      <c r="O3631" t="s">
        <v>10808</v>
      </c>
    </row>
    <row r="3632" spans="1:15" x14ac:dyDescent="0.25">
      <c r="A3632" t="s">
        <v>18</v>
      </c>
      <c r="B3632" t="s">
        <v>10807</v>
      </c>
      <c r="C3632" t="s">
        <v>10809</v>
      </c>
      <c r="D3632" t="s">
        <v>20</v>
      </c>
      <c r="E3632" t="s">
        <v>11</v>
      </c>
      <c r="F3632">
        <v>783.2879999999999</v>
      </c>
      <c r="G3632">
        <v>18</v>
      </c>
      <c r="L3632" t="s">
        <v>10810</v>
      </c>
      <c r="O3632" t="s">
        <v>10811</v>
      </c>
    </row>
    <row r="3633" spans="1:15" x14ac:dyDescent="0.25">
      <c r="A3633" t="s">
        <v>18</v>
      </c>
      <c r="B3633" t="s">
        <v>10810</v>
      </c>
      <c r="C3633" t="s">
        <v>10812</v>
      </c>
      <c r="D3633" t="s">
        <v>20</v>
      </c>
      <c r="E3633" t="s">
        <v>11</v>
      </c>
      <c r="F3633">
        <v>326.37</v>
      </c>
      <c r="G3633">
        <v>18</v>
      </c>
      <c r="L3633" t="s">
        <v>10813</v>
      </c>
      <c r="O3633" t="s">
        <v>10814</v>
      </c>
    </row>
    <row r="3634" spans="1:15" x14ac:dyDescent="0.25">
      <c r="A3634" t="s">
        <v>18</v>
      </c>
      <c r="B3634" t="s">
        <v>10813</v>
      </c>
      <c r="C3634" t="s">
        <v>10815</v>
      </c>
      <c r="D3634" t="s">
        <v>20</v>
      </c>
      <c r="E3634" t="s">
        <v>11</v>
      </c>
      <c r="F3634">
        <v>587.4659999999999</v>
      </c>
      <c r="G3634">
        <v>18</v>
      </c>
      <c r="L3634" t="s">
        <v>10816</v>
      </c>
      <c r="O3634" t="s">
        <v>10817</v>
      </c>
    </row>
    <row r="3635" spans="1:15" x14ac:dyDescent="0.25">
      <c r="A3635" t="s">
        <v>18</v>
      </c>
      <c r="B3635" t="s">
        <v>10816</v>
      </c>
      <c r="C3635" t="s">
        <v>10818</v>
      </c>
      <c r="D3635" t="s">
        <v>20</v>
      </c>
      <c r="E3635" t="s">
        <v>11</v>
      </c>
      <c r="F3635">
        <v>130.548</v>
      </c>
      <c r="G3635">
        <v>18</v>
      </c>
      <c r="L3635" t="s">
        <v>10819</v>
      </c>
      <c r="O3635" t="s">
        <v>10820</v>
      </c>
    </row>
    <row r="3636" spans="1:15" x14ac:dyDescent="0.25">
      <c r="A3636" t="s">
        <v>18</v>
      </c>
      <c r="B3636" t="s">
        <v>10819</v>
      </c>
      <c r="C3636" t="s">
        <v>10821</v>
      </c>
      <c r="D3636" t="s">
        <v>20</v>
      </c>
      <c r="E3636" t="s">
        <v>11</v>
      </c>
      <c r="F3636">
        <v>3851.166</v>
      </c>
      <c r="G3636">
        <v>18</v>
      </c>
      <c r="L3636" t="s">
        <v>10822</v>
      </c>
      <c r="O3636" t="s">
        <v>10823</v>
      </c>
    </row>
    <row r="3637" spans="1:15" x14ac:dyDescent="0.25">
      <c r="A3637" t="s">
        <v>18</v>
      </c>
      <c r="B3637" t="s">
        <v>10822</v>
      </c>
      <c r="C3637" t="s">
        <v>10824</v>
      </c>
      <c r="D3637" t="s">
        <v>20</v>
      </c>
      <c r="E3637" t="s">
        <v>11</v>
      </c>
      <c r="F3637">
        <v>1044.384</v>
      </c>
      <c r="G3637">
        <v>18</v>
      </c>
      <c r="L3637" t="s">
        <v>10825</v>
      </c>
      <c r="O3637" t="s">
        <v>10826</v>
      </c>
    </row>
    <row r="3638" spans="1:15" x14ac:dyDescent="0.25">
      <c r="A3638" t="s">
        <v>18</v>
      </c>
      <c r="B3638" t="s">
        <v>10825</v>
      </c>
      <c r="C3638" t="s">
        <v>10827</v>
      </c>
      <c r="D3638" t="s">
        <v>20</v>
      </c>
      <c r="E3638" t="s">
        <v>11</v>
      </c>
      <c r="F3638">
        <v>195.82199999999997</v>
      </c>
      <c r="G3638">
        <v>18</v>
      </c>
      <c r="L3638" t="s">
        <v>10828</v>
      </c>
      <c r="O3638" t="s">
        <v>10829</v>
      </c>
    </row>
    <row r="3639" spans="1:15" x14ac:dyDescent="0.25">
      <c r="A3639" t="s">
        <v>18</v>
      </c>
      <c r="B3639" t="s">
        <v>10828</v>
      </c>
      <c r="C3639" t="s">
        <v>10830</v>
      </c>
      <c r="D3639" t="s">
        <v>20</v>
      </c>
      <c r="E3639" t="s">
        <v>11</v>
      </c>
      <c r="F3639">
        <v>1370.754</v>
      </c>
      <c r="G3639">
        <v>18</v>
      </c>
      <c r="L3639" t="s">
        <v>10831</v>
      </c>
      <c r="O3639" t="s">
        <v>10832</v>
      </c>
    </row>
    <row r="3640" spans="1:15" x14ac:dyDescent="0.25">
      <c r="A3640" t="s">
        <v>18</v>
      </c>
      <c r="B3640" t="s">
        <v>10831</v>
      </c>
      <c r="C3640" t="s">
        <v>10833</v>
      </c>
      <c r="D3640" t="s">
        <v>20</v>
      </c>
      <c r="E3640" t="s">
        <v>11</v>
      </c>
      <c r="F3640">
        <v>391.64399999999995</v>
      </c>
      <c r="G3640">
        <v>18</v>
      </c>
      <c r="L3640" t="s">
        <v>10834</v>
      </c>
      <c r="O3640" t="s">
        <v>10835</v>
      </c>
    </row>
    <row r="3641" spans="1:15" x14ac:dyDescent="0.25">
      <c r="A3641" t="s">
        <v>18</v>
      </c>
      <c r="B3641" t="s">
        <v>10834</v>
      </c>
      <c r="C3641" t="s">
        <v>10836</v>
      </c>
      <c r="D3641" t="s">
        <v>20</v>
      </c>
      <c r="E3641" t="s">
        <v>11</v>
      </c>
      <c r="F3641">
        <v>718.014</v>
      </c>
      <c r="G3641">
        <v>18</v>
      </c>
      <c r="L3641" t="s">
        <v>10837</v>
      </c>
      <c r="O3641" t="s">
        <v>10838</v>
      </c>
    </row>
    <row r="3642" spans="1:15" x14ac:dyDescent="0.25">
      <c r="A3642" t="s">
        <v>18</v>
      </c>
      <c r="B3642" t="s">
        <v>10837</v>
      </c>
      <c r="C3642" t="s">
        <v>10839</v>
      </c>
      <c r="D3642" t="s">
        <v>20</v>
      </c>
      <c r="E3642" t="s">
        <v>11</v>
      </c>
      <c r="F3642">
        <v>261.096</v>
      </c>
      <c r="G3642">
        <v>18</v>
      </c>
      <c r="L3642" t="s">
        <v>10840</v>
      </c>
      <c r="O3642" t="s">
        <v>10841</v>
      </c>
    </row>
    <row r="3643" spans="1:15" x14ac:dyDescent="0.25">
      <c r="A3643" t="s">
        <v>18</v>
      </c>
      <c r="B3643" t="s">
        <v>10840</v>
      </c>
      <c r="C3643" t="s">
        <v>10842</v>
      </c>
      <c r="D3643" t="s">
        <v>20</v>
      </c>
      <c r="E3643" t="s">
        <v>11</v>
      </c>
      <c r="F3643">
        <v>522.192</v>
      </c>
      <c r="G3643">
        <v>18</v>
      </c>
      <c r="L3643" t="s">
        <v>10843</v>
      </c>
      <c r="O3643" t="s">
        <v>10844</v>
      </c>
    </row>
    <row r="3644" spans="1:15" x14ac:dyDescent="0.25">
      <c r="A3644" t="s">
        <v>18</v>
      </c>
      <c r="B3644" t="s">
        <v>10843</v>
      </c>
      <c r="C3644" t="s">
        <v>10845</v>
      </c>
      <c r="D3644" t="s">
        <v>20</v>
      </c>
      <c r="E3644" t="s">
        <v>11</v>
      </c>
      <c r="F3644">
        <v>1370.754</v>
      </c>
      <c r="G3644">
        <v>18</v>
      </c>
      <c r="L3644" t="s">
        <v>10846</v>
      </c>
      <c r="O3644" t="s">
        <v>10847</v>
      </c>
    </row>
    <row r="3645" spans="1:15" x14ac:dyDescent="0.25">
      <c r="A3645" t="s">
        <v>18</v>
      </c>
      <c r="B3645" t="s">
        <v>10846</v>
      </c>
      <c r="C3645" t="s">
        <v>10848</v>
      </c>
      <c r="D3645" t="s">
        <v>20</v>
      </c>
      <c r="E3645" t="s">
        <v>11</v>
      </c>
      <c r="F3645">
        <v>1436.028</v>
      </c>
      <c r="G3645">
        <v>18</v>
      </c>
      <c r="L3645" t="s">
        <v>10849</v>
      </c>
      <c r="O3645" t="s">
        <v>10850</v>
      </c>
    </row>
    <row r="3646" spans="1:15" x14ac:dyDescent="0.25">
      <c r="A3646" t="s">
        <v>18</v>
      </c>
      <c r="B3646" t="s">
        <v>10849</v>
      </c>
      <c r="C3646" t="s">
        <v>10851</v>
      </c>
      <c r="D3646" t="s">
        <v>20</v>
      </c>
      <c r="E3646" t="s">
        <v>11</v>
      </c>
      <c r="F3646">
        <v>391.64399999999995</v>
      </c>
      <c r="G3646">
        <v>18</v>
      </c>
      <c r="L3646" t="s">
        <v>10852</v>
      </c>
      <c r="O3646" t="s">
        <v>10853</v>
      </c>
    </row>
    <row r="3647" spans="1:15" x14ac:dyDescent="0.25">
      <c r="A3647" t="s">
        <v>18</v>
      </c>
      <c r="B3647" t="s">
        <v>10852</v>
      </c>
      <c r="C3647" t="s">
        <v>10854</v>
      </c>
      <c r="D3647" t="s">
        <v>20</v>
      </c>
      <c r="E3647" t="s">
        <v>11</v>
      </c>
      <c r="F3647">
        <v>2023.494</v>
      </c>
      <c r="G3647">
        <v>18</v>
      </c>
      <c r="L3647" t="s">
        <v>10855</v>
      </c>
      <c r="O3647" t="s">
        <v>10856</v>
      </c>
    </row>
    <row r="3648" spans="1:15" x14ac:dyDescent="0.25">
      <c r="A3648" t="s">
        <v>18</v>
      </c>
      <c r="B3648" t="s">
        <v>10855</v>
      </c>
      <c r="C3648" t="s">
        <v>10857</v>
      </c>
      <c r="D3648" t="s">
        <v>20</v>
      </c>
      <c r="E3648" t="s">
        <v>11</v>
      </c>
      <c r="F3648">
        <v>1370.754</v>
      </c>
      <c r="G3648">
        <v>18</v>
      </c>
      <c r="L3648" t="s">
        <v>10858</v>
      </c>
      <c r="O3648" t="s">
        <v>10859</v>
      </c>
    </row>
    <row r="3649" spans="1:15" x14ac:dyDescent="0.25">
      <c r="A3649" t="s">
        <v>18</v>
      </c>
      <c r="B3649" t="s">
        <v>10858</v>
      </c>
      <c r="C3649" t="s">
        <v>10860</v>
      </c>
      <c r="D3649" t="s">
        <v>20</v>
      </c>
      <c r="E3649" t="s">
        <v>11</v>
      </c>
      <c r="F3649">
        <v>2415.138</v>
      </c>
      <c r="G3649">
        <v>18</v>
      </c>
      <c r="L3649" t="s">
        <v>10861</v>
      </c>
      <c r="O3649" t="s">
        <v>10862</v>
      </c>
    </row>
    <row r="3650" spans="1:15" x14ac:dyDescent="0.25">
      <c r="A3650" t="s">
        <v>18</v>
      </c>
      <c r="B3650" t="s">
        <v>10861</v>
      </c>
      <c r="C3650" t="s">
        <v>10863</v>
      </c>
      <c r="D3650" t="s">
        <v>20</v>
      </c>
      <c r="E3650" t="s">
        <v>11</v>
      </c>
      <c r="F3650">
        <v>1044.384</v>
      </c>
      <c r="G3650">
        <v>18</v>
      </c>
      <c r="L3650" t="s">
        <v>10864</v>
      </c>
      <c r="O3650" t="s">
        <v>10865</v>
      </c>
    </row>
    <row r="3651" spans="1:15" x14ac:dyDescent="0.25">
      <c r="A3651" t="s">
        <v>18</v>
      </c>
      <c r="B3651" t="s">
        <v>10864</v>
      </c>
      <c r="C3651" t="s">
        <v>10866</v>
      </c>
      <c r="D3651" t="s">
        <v>20</v>
      </c>
      <c r="E3651" t="s">
        <v>11</v>
      </c>
      <c r="F3651">
        <v>456.918</v>
      </c>
      <c r="G3651">
        <v>18</v>
      </c>
      <c r="L3651" t="s">
        <v>10867</v>
      </c>
      <c r="O3651" t="s">
        <v>10868</v>
      </c>
    </row>
    <row r="3652" spans="1:15" x14ac:dyDescent="0.25">
      <c r="A3652" t="s">
        <v>18</v>
      </c>
      <c r="B3652" t="s">
        <v>10867</v>
      </c>
      <c r="C3652" t="s">
        <v>10869</v>
      </c>
      <c r="D3652" t="s">
        <v>20</v>
      </c>
      <c r="E3652" t="s">
        <v>11</v>
      </c>
      <c r="F3652">
        <v>456.918</v>
      </c>
      <c r="G3652">
        <v>18</v>
      </c>
      <c r="L3652" t="s">
        <v>10870</v>
      </c>
      <c r="O3652" t="s">
        <v>10871</v>
      </c>
    </row>
    <row r="3653" spans="1:15" x14ac:dyDescent="0.25">
      <c r="A3653" t="s">
        <v>18</v>
      </c>
      <c r="B3653" t="s">
        <v>10870</v>
      </c>
      <c r="C3653" t="s">
        <v>10872</v>
      </c>
      <c r="D3653" t="s">
        <v>20</v>
      </c>
      <c r="E3653" t="s">
        <v>11</v>
      </c>
      <c r="F3653">
        <v>456.918</v>
      </c>
      <c r="G3653">
        <v>18</v>
      </c>
      <c r="L3653" t="s">
        <v>10873</v>
      </c>
      <c r="O3653" t="s">
        <v>10874</v>
      </c>
    </row>
    <row r="3654" spans="1:15" x14ac:dyDescent="0.25">
      <c r="A3654" t="s">
        <v>18</v>
      </c>
      <c r="B3654" t="s">
        <v>10873</v>
      </c>
      <c r="C3654" t="s">
        <v>10875</v>
      </c>
      <c r="D3654" t="s">
        <v>20</v>
      </c>
      <c r="E3654" t="s">
        <v>11</v>
      </c>
      <c r="F3654">
        <v>1174.9319999999998</v>
      </c>
      <c r="G3654">
        <v>18</v>
      </c>
      <c r="L3654" t="s">
        <v>10876</v>
      </c>
      <c r="O3654" t="s">
        <v>10877</v>
      </c>
    </row>
    <row r="3655" spans="1:15" x14ac:dyDescent="0.25">
      <c r="A3655" t="s">
        <v>18</v>
      </c>
      <c r="B3655" t="s">
        <v>10876</v>
      </c>
      <c r="C3655" t="s">
        <v>10878</v>
      </c>
      <c r="D3655" t="s">
        <v>20</v>
      </c>
      <c r="E3655" t="s">
        <v>11</v>
      </c>
      <c r="F3655">
        <v>391.64399999999995</v>
      </c>
      <c r="G3655">
        <v>18</v>
      </c>
      <c r="L3655" t="s">
        <v>10879</v>
      </c>
      <c r="O3655" t="s">
        <v>10880</v>
      </c>
    </row>
    <row r="3656" spans="1:15" x14ac:dyDescent="0.25">
      <c r="A3656" t="s">
        <v>18</v>
      </c>
      <c r="B3656" t="s">
        <v>10879</v>
      </c>
      <c r="C3656" t="s">
        <v>10881</v>
      </c>
      <c r="D3656" t="s">
        <v>20</v>
      </c>
      <c r="E3656" t="s">
        <v>11</v>
      </c>
      <c r="F3656">
        <v>2154.042</v>
      </c>
      <c r="G3656">
        <v>18</v>
      </c>
      <c r="L3656" t="s">
        <v>10882</v>
      </c>
      <c r="O3656" t="s">
        <v>10883</v>
      </c>
    </row>
    <row r="3657" spans="1:15" x14ac:dyDescent="0.25">
      <c r="A3657" t="s">
        <v>18</v>
      </c>
      <c r="B3657" t="s">
        <v>10882</v>
      </c>
      <c r="C3657" t="s">
        <v>10884</v>
      </c>
      <c r="D3657" t="s">
        <v>20</v>
      </c>
      <c r="E3657" t="s">
        <v>11</v>
      </c>
      <c r="F3657">
        <v>3655.344</v>
      </c>
      <c r="G3657">
        <v>18</v>
      </c>
      <c r="L3657" t="s">
        <v>10885</v>
      </c>
      <c r="O3657" t="s">
        <v>10886</v>
      </c>
    </row>
    <row r="3658" spans="1:15" x14ac:dyDescent="0.25">
      <c r="A3658" t="s">
        <v>18</v>
      </c>
      <c r="B3658" t="s">
        <v>10885</v>
      </c>
      <c r="C3658" t="s">
        <v>10887</v>
      </c>
      <c r="D3658" t="s">
        <v>20</v>
      </c>
      <c r="E3658" t="s">
        <v>11</v>
      </c>
      <c r="F3658">
        <v>3655.344</v>
      </c>
      <c r="G3658">
        <v>18</v>
      </c>
      <c r="L3658" t="s">
        <v>10888</v>
      </c>
      <c r="O3658" t="s">
        <v>10889</v>
      </c>
    </row>
    <row r="3659" spans="1:15" x14ac:dyDescent="0.25">
      <c r="A3659" t="s">
        <v>18</v>
      </c>
      <c r="B3659" t="s">
        <v>10888</v>
      </c>
      <c r="C3659" t="s">
        <v>10890</v>
      </c>
      <c r="D3659" t="s">
        <v>20</v>
      </c>
      <c r="E3659" t="s">
        <v>11</v>
      </c>
      <c r="F3659">
        <v>1305.48</v>
      </c>
      <c r="G3659">
        <v>18</v>
      </c>
      <c r="L3659" t="s">
        <v>10891</v>
      </c>
      <c r="O3659" t="s">
        <v>10892</v>
      </c>
    </row>
    <row r="3660" spans="1:15" x14ac:dyDescent="0.25">
      <c r="A3660" t="s">
        <v>18</v>
      </c>
      <c r="B3660" t="s">
        <v>10891</v>
      </c>
      <c r="C3660" t="s">
        <v>10893</v>
      </c>
      <c r="D3660" t="s">
        <v>20</v>
      </c>
      <c r="E3660" t="s">
        <v>11</v>
      </c>
      <c r="F3660">
        <v>522.192</v>
      </c>
      <c r="G3660">
        <v>18</v>
      </c>
      <c r="L3660" t="s">
        <v>10894</v>
      </c>
      <c r="O3660" t="s">
        <v>10895</v>
      </c>
    </row>
    <row r="3661" spans="1:15" x14ac:dyDescent="0.25">
      <c r="A3661" t="s">
        <v>18</v>
      </c>
      <c r="B3661" t="s">
        <v>10894</v>
      </c>
      <c r="C3661" t="s">
        <v>10896</v>
      </c>
      <c r="D3661" t="s">
        <v>20</v>
      </c>
      <c r="E3661" t="s">
        <v>11</v>
      </c>
      <c r="F3661">
        <v>522.192</v>
      </c>
      <c r="G3661">
        <v>18</v>
      </c>
      <c r="L3661" t="s">
        <v>10897</v>
      </c>
      <c r="O3661" t="s">
        <v>10898</v>
      </c>
    </row>
    <row r="3662" spans="1:15" x14ac:dyDescent="0.25">
      <c r="A3662" t="s">
        <v>18</v>
      </c>
      <c r="B3662" t="s">
        <v>10897</v>
      </c>
      <c r="C3662" t="s">
        <v>10899</v>
      </c>
      <c r="D3662" t="s">
        <v>20</v>
      </c>
      <c r="E3662" t="s">
        <v>11</v>
      </c>
      <c r="F3662">
        <v>1631.85</v>
      </c>
      <c r="G3662">
        <v>18</v>
      </c>
      <c r="L3662" t="s">
        <v>10900</v>
      </c>
      <c r="O3662" t="s">
        <v>10901</v>
      </c>
    </row>
    <row r="3663" spans="1:15" x14ac:dyDescent="0.25">
      <c r="A3663" t="s">
        <v>18</v>
      </c>
      <c r="B3663" t="s">
        <v>10900</v>
      </c>
      <c r="C3663" t="s">
        <v>10902</v>
      </c>
      <c r="D3663" t="s">
        <v>20</v>
      </c>
      <c r="E3663" t="s">
        <v>11</v>
      </c>
      <c r="F3663">
        <v>9856.374</v>
      </c>
      <c r="G3663">
        <v>18</v>
      </c>
      <c r="L3663" t="s">
        <v>10903</v>
      </c>
      <c r="O3663" t="s">
        <v>10904</v>
      </c>
    </row>
    <row r="3664" spans="1:15" x14ac:dyDescent="0.25">
      <c r="A3664" t="s">
        <v>18</v>
      </c>
      <c r="B3664" t="s">
        <v>10903</v>
      </c>
      <c r="C3664" t="s">
        <v>10905</v>
      </c>
      <c r="D3664" t="s">
        <v>20</v>
      </c>
      <c r="E3664" t="s">
        <v>11</v>
      </c>
      <c r="F3664">
        <v>783.2879999999999</v>
      </c>
      <c r="G3664">
        <v>18</v>
      </c>
      <c r="L3664" t="s">
        <v>10906</v>
      </c>
      <c r="O3664" t="s">
        <v>10907</v>
      </c>
    </row>
    <row r="3665" spans="1:15" x14ac:dyDescent="0.25">
      <c r="A3665" t="s">
        <v>18</v>
      </c>
      <c r="B3665" t="s">
        <v>10906</v>
      </c>
      <c r="C3665" t="s">
        <v>10908</v>
      </c>
      <c r="D3665" t="s">
        <v>20</v>
      </c>
      <c r="E3665" t="s">
        <v>11</v>
      </c>
      <c r="F3665">
        <v>783.2879999999999</v>
      </c>
      <c r="G3665">
        <v>18</v>
      </c>
      <c r="L3665" t="s">
        <v>10909</v>
      </c>
      <c r="O3665" t="s">
        <v>10910</v>
      </c>
    </row>
    <row r="3666" spans="1:15" x14ac:dyDescent="0.25">
      <c r="A3666" t="s">
        <v>18</v>
      </c>
      <c r="B3666" t="s">
        <v>10909</v>
      </c>
      <c r="C3666" t="s">
        <v>10911</v>
      </c>
      <c r="D3666" t="s">
        <v>20</v>
      </c>
      <c r="E3666" t="s">
        <v>11</v>
      </c>
      <c r="F3666">
        <v>1566.5759999999998</v>
      </c>
      <c r="G3666">
        <v>18</v>
      </c>
      <c r="L3666" t="s">
        <v>10912</v>
      </c>
      <c r="O3666" t="s">
        <v>10913</v>
      </c>
    </row>
    <row r="3667" spans="1:15" x14ac:dyDescent="0.25">
      <c r="A3667" t="s">
        <v>18</v>
      </c>
      <c r="B3667" t="s">
        <v>10912</v>
      </c>
      <c r="C3667" t="s">
        <v>10914</v>
      </c>
      <c r="D3667" t="s">
        <v>20</v>
      </c>
      <c r="E3667" t="s">
        <v>11</v>
      </c>
      <c r="F3667">
        <v>1370.754</v>
      </c>
      <c r="G3667">
        <v>18</v>
      </c>
      <c r="L3667" t="s">
        <v>10915</v>
      </c>
      <c r="O3667" t="s">
        <v>10916</v>
      </c>
    </row>
    <row r="3668" spans="1:15" x14ac:dyDescent="0.25">
      <c r="A3668" t="s">
        <v>18</v>
      </c>
      <c r="B3668" t="s">
        <v>10915</v>
      </c>
      <c r="C3668" t="s">
        <v>10917</v>
      </c>
      <c r="D3668" t="s">
        <v>20</v>
      </c>
      <c r="E3668" t="s">
        <v>11</v>
      </c>
      <c r="F3668">
        <v>2023.494</v>
      </c>
      <c r="G3668">
        <v>18</v>
      </c>
      <c r="L3668" t="s">
        <v>10918</v>
      </c>
      <c r="O3668" t="s">
        <v>10919</v>
      </c>
    </row>
    <row r="3669" spans="1:15" x14ac:dyDescent="0.25">
      <c r="A3669" t="s">
        <v>18</v>
      </c>
      <c r="B3669" t="s">
        <v>10918</v>
      </c>
      <c r="C3669" t="s">
        <v>10920</v>
      </c>
      <c r="D3669" t="s">
        <v>20</v>
      </c>
      <c r="E3669" t="s">
        <v>11</v>
      </c>
      <c r="F3669">
        <v>3067.8779999999997</v>
      </c>
      <c r="G3669">
        <v>18</v>
      </c>
      <c r="L3669" t="s">
        <v>10921</v>
      </c>
      <c r="O3669" t="s">
        <v>10922</v>
      </c>
    </row>
    <row r="3670" spans="1:15" x14ac:dyDescent="0.25">
      <c r="A3670" t="s">
        <v>18</v>
      </c>
      <c r="B3670" t="s">
        <v>10921</v>
      </c>
      <c r="C3670" t="s">
        <v>10923</v>
      </c>
      <c r="D3670" t="s">
        <v>20</v>
      </c>
      <c r="E3670" t="s">
        <v>11</v>
      </c>
      <c r="F3670">
        <v>2415.138</v>
      </c>
      <c r="G3670">
        <v>18</v>
      </c>
      <c r="L3670" t="s">
        <v>10924</v>
      </c>
      <c r="O3670" t="s">
        <v>10925</v>
      </c>
    </row>
    <row r="3671" spans="1:15" x14ac:dyDescent="0.25">
      <c r="A3671" t="s">
        <v>18</v>
      </c>
      <c r="B3671" t="s">
        <v>10924</v>
      </c>
      <c r="C3671" t="s">
        <v>10926</v>
      </c>
      <c r="D3671" t="s">
        <v>20</v>
      </c>
      <c r="E3671" t="s">
        <v>11</v>
      </c>
      <c r="F3671">
        <v>848.5619999999999</v>
      </c>
      <c r="G3671">
        <v>18</v>
      </c>
      <c r="L3671" t="s">
        <v>10927</v>
      </c>
      <c r="O3671" t="s">
        <v>10928</v>
      </c>
    </row>
    <row r="3672" spans="1:15" x14ac:dyDescent="0.25">
      <c r="A3672" t="s">
        <v>18</v>
      </c>
      <c r="B3672" t="s">
        <v>10927</v>
      </c>
      <c r="C3672" t="s">
        <v>10929</v>
      </c>
      <c r="D3672" t="s">
        <v>20</v>
      </c>
      <c r="E3672" t="s">
        <v>11</v>
      </c>
      <c r="F3672">
        <v>913.836</v>
      </c>
      <c r="G3672">
        <v>18</v>
      </c>
      <c r="L3672" t="s">
        <v>10930</v>
      </c>
      <c r="O3672" t="s">
        <v>10931</v>
      </c>
    </row>
    <row r="3673" spans="1:15" x14ac:dyDescent="0.25">
      <c r="A3673" t="s">
        <v>18</v>
      </c>
      <c r="B3673" t="s">
        <v>10930</v>
      </c>
      <c r="C3673" t="s">
        <v>10932</v>
      </c>
      <c r="D3673" t="s">
        <v>20</v>
      </c>
      <c r="E3673" t="s">
        <v>11</v>
      </c>
      <c r="F3673">
        <v>2415.138</v>
      </c>
      <c r="G3673">
        <v>18</v>
      </c>
      <c r="L3673" t="s">
        <v>10933</v>
      </c>
      <c r="O3673" t="s">
        <v>10934</v>
      </c>
    </row>
    <row r="3674" spans="1:15" x14ac:dyDescent="0.25">
      <c r="A3674" t="s">
        <v>18</v>
      </c>
      <c r="B3674" t="s">
        <v>10933</v>
      </c>
      <c r="C3674" t="s">
        <v>10935</v>
      </c>
      <c r="D3674" t="s">
        <v>20</v>
      </c>
      <c r="E3674" t="s">
        <v>11</v>
      </c>
      <c r="F3674">
        <v>6201.030000000001</v>
      </c>
      <c r="G3674">
        <v>18</v>
      </c>
      <c r="L3674" t="s">
        <v>10936</v>
      </c>
      <c r="O3674" t="s">
        <v>10937</v>
      </c>
    </row>
    <row r="3675" spans="1:15" x14ac:dyDescent="0.25">
      <c r="A3675" t="s">
        <v>18</v>
      </c>
      <c r="B3675" t="s">
        <v>10936</v>
      </c>
      <c r="C3675" t="s">
        <v>10938</v>
      </c>
      <c r="D3675" t="s">
        <v>20</v>
      </c>
      <c r="E3675" t="s">
        <v>11</v>
      </c>
      <c r="F3675">
        <v>6984.318</v>
      </c>
      <c r="G3675">
        <v>18</v>
      </c>
      <c r="L3675" t="s">
        <v>10939</v>
      </c>
      <c r="O3675" t="s">
        <v>10940</v>
      </c>
    </row>
    <row r="3676" spans="1:15" x14ac:dyDescent="0.25">
      <c r="A3676" t="s">
        <v>18</v>
      </c>
      <c r="B3676" t="s">
        <v>10939</v>
      </c>
      <c r="C3676" t="s">
        <v>10941</v>
      </c>
      <c r="D3676" t="s">
        <v>20</v>
      </c>
      <c r="E3676" t="s">
        <v>11</v>
      </c>
      <c r="F3676">
        <v>391.64399999999995</v>
      </c>
      <c r="G3676">
        <v>18</v>
      </c>
      <c r="L3676" t="s">
        <v>10942</v>
      </c>
      <c r="O3676" t="s">
        <v>10943</v>
      </c>
    </row>
    <row r="3677" spans="1:15" x14ac:dyDescent="0.25">
      <c r="A3677" t="s">
        <v>18</v>
      </c>
      <c r="B3677" t="s">
        <v>10942</v>
      </c>
      <c r="C3677" t="s">
        <v>10944</v>
      </c>
      <c r="D3677" t="s">
        <v>20</v>
      </c>
      <c r="E3677" t="s">
        <v>11</v>
      </c>
      <c r="F3677">
        <v>2154.042</v>
      </c>
      <c r="G3677">
        <v>18</v>
      </c>
      <c r="L3677" t="s">
        <v>10945</v>
      </c>
      <c r="O3677" t="s">
        <v>10946</v>
      </c>
    </row>
    <row r="3678" spans="1:15" x14ac:dyDescent="0.25">
      <c r="A3678" t="s">
        <v>18</v>
      </c>
      <c r="B3678" t="s">
        <v>10945</v>
      </c>
      <c r="C3678" t="s">
        <v>10947</v>
      </c>
      <c r="D3678" t="s">
        <v>20</v>
      </c>
      <c r="E3678" t="s">
        <v>11</v>
      </c>
      <c r="F3678">
        <v>2415.138</v>
      </c>
      <c r="G3678">
        <v>18</v>
      </c>
      <c r="L3678" t="s">
        <v>10948</v>
      </c>
      <c r="O3678" t="s">
        <v>10949</v>
      </c>
    </row>
    <row r="3679" spans="1:15" x14ac:dyDescent="0.25">
      <c r="A3679" t="s">
        <v>18</v>
      </c>
      <c r="B3679" t="s">
        <v>10948</v>
      </c>
      <c r="C3679" t="s">
        <v>10950</v>
      </c>
      <c r="D3679" t="s">
        <v>20</v>
      </c>
      <c r="E3679" t="s">
        <v>11</v>
      </c>
      <c r="F3679">
        <v>718.014</v>
      </c>
      <c r="G3679">
        <v>18</v>
      </c>
      <c r="L3679" t="s">
        <v>10951</v>
      </c>
      <c r="O3679" t="s">
        <v>10952</v>
      </c>
    </row>
    <row r="3680" spans="1:15" x14ac:dyDescent="0.25">
      <c r="A3680" t="s">
        <v>18</v>
      </c>
      <c r="B3680" t="s">
        <v>10951</v>
      </c>
      <c r="C3680" t="s">
        <v>10953</v>
      </c>
      <c r="D3680" t="s">
        <v>20</v>
      </c>
      <c r="E3680" t="s">
        <v>11</v>
      </c>
      <c r="F3680">
        <v>3002.604</v>
      </c>
      <c r="G3680">
        <v>18</v>
      </c>
      <c r="L3680" t="s">
        <v>10954</v>
      </c>
      <c r="O3680" t="s">
        <v>10955</v>
      </c>
    </row>
    <row r="3681" spans="1:15" x14ac:dyDescent="0.25">
      <c r="A3681" t="s">
        <v>18</v>
      </c>
      <c r="B3681" t="s">
        <v>10954</v>
      </c>
      <c r="C3681" t="s">
        <v>10956</v>
      </c>
      <c r="D3681" t="s">
        <v>20</v>
      </c>
      <c r="E3681" t="s">
        <v>11</v>
      </c>
      <c r="F3681">
        <v>1697.1239999999998</v>
      </c>
      <c r="G3681">
        <v>18</v>
      </c>
      <c r="L3681" t="s">
        <v>10957</v>
      </c>
      <c r="O3681" t="s">
        <v>10958</v>
      </c>
    </row>
    <row r="3682" spans="1:15" x14ac:dyDescent="0.25">
      <c r="A3682" t="s">
        <v>18</v>
      </c>
      <c r="B3682" t="s">
        <v>10957</v>
      </c>
      <c r="C3682" t="s">
        <v>10959</v>
      </c>
      <c r="D3682" t="s">
        <v>20</v>
      </c>
      <c r="E3682" t="s">
        <v>11</v>
      </c>
      <c r="F3682">
        <v>522.192</v>
      </c>
      <c r="G3682">
        <v>18</v>
      </c>
      <c r="L3682" t="s">
        <v>10960</v>
      </c>
      <c r="O3682" t="s">
        <v>10961</v>
      </c>
    </row>
    <row r="3683" spans="1:15" x14ac:dyDescent="0.25">
      <c r="A3683" t="s">
        <v>18</v>
      </c>
      <c r="B3683" t="s">
        <v>10960</v>
      </c>
      <c r="C3683" t="s">
        <v>10962</v>
      </c>
      <c r="D3683" t="s">
        <v>20</v>
      </c>
      <c r="E3683" t="s">
        <v>11</v>
      </c>
      <c r="F3683">
        <v>587.4659999999999</v>
      </c>
      <c r="G3683">
        <v>18</v>
      </c>
      <c r="L3683" t="s">
        <v>10963</v>
      </c>
      <c r="O3683" t="s">
        <v>10964</v>
      </c>
    </row>
    <row r="3684" spans="1:15" x14ac:dyDescent="0.25">
      <c r="A3684" t="s">
        <v>18</v>
      </c>
      <c r="B3684" t="s">
        <v>10963</v>
      </c>
      <c r="C3684" t="s">
        <v>10965</v>
      </c>
      <c r="D3684" t="s">
        <v>20</v>
      </c>
      <c r="E3684" t="s">
        <v>11</v>
      </c>
      <c r="F3684">
        <v>2088.768</v>
      </c>
      <c r="G3684">
        <v>18</v>
      </c>
      <c r="L3684" t="s">
        <v>10966</v>
      </c>
      <c r="O3684" t="s">
        <v>10967</v>
      </c>
    </row>
    <row r="3685" spans="1:15" x14ac:dyDescent="0.25">
      <c r="A3685" t="s">
        <v>18</v>
      </c>
      <c r="B3685" t="s">
        <v>10966</v>
      </c>
      <c r="C3685" t="s">
        <v>10968</v>
      </c>
      <c r="D3685" t="s">
        <v>20</v>
      </c>
      <c r="E3685" t="s">
        <v>11</v>
      </c>
      <c r="F3685">
        <v>3524.7960000000003</v>
      </c>
      <c r="G3685">
        <v>18</v>
      </c>
      <c r="L3685" t="s">
        <v>10969</v>
      </c>
      <c r="O3685" t="s">
        <v>10970</v>
      </c>
    </row>
    <row r="3686" spans="1:15" x14ac:dyDescent="0.25">
      <c r="A3686" t="s">
        <v>18</v>
      </c>
      <c r="B3686" t="s">
        <v>10969</v>
      </c>
      <c r="C3686" t="s">
        <v>10971</v>
      </c>
      <c r="D3686" t="s">
        <v>20</v>
      </c>
      <c r="E3686" t="s">
        <v>11</v>
      </c>
      <c r="F3686">
        <v>848.5619999999999</v>
      </c>
      <c r="G3686">
        <v>18</v>
      </c>
      <c r="L3686" t="s">
        <v>10972</v>
      </c>
      <c r="O3686" t="s">
        <v>10973</v>
      </c>
    </row>
    <row r="3687" spans="1:15" x14ac:dyDescent="0.25">
      <c r="A3687" t="s">
        <v>18</v>
      </c>
      <c r="B3687" t="s">
        <v>10972</v>
      </c>
      <c r="C3687" t="s">
        <v>10974</v>
      </c>
      <c r="D3687" t="s">
        <v>20</v>
      </c>
      <c r="E3687" t="s">
        <v>11</v>
      </c>
      <c r="F3687">
        <v>522.192</v>
      </c>
      <c r="G3687">
        <v>18</v>
      </c>
      <c r="L3687" t="s">
        <v>10975</v>
      </c>
      <c r="O3687" t="s">
        <v>10976</v>
      </c>
    </row>
    <row r="3688" spans="1:15" x14ac:dyDescent="0.25">
      <c r="A3688" t="s">
        <v>18</v>
      </c>
      <c r="B3688" t="s">
        <v>10975</v>
      </c>
      <c r="C3688" t="s">
        <v>10977</v>
      </c>
      <c r="D3688" t="s">
        <v>20</v>
      </c>
      <c r="E3688" t="s">
        <v>11</v>
      </c>
      <c r="F3688">
        <v>391.64399999999995</v>
      </c>
      <c r="G3688">
        <v>18</v>
      </c>
      <c r="L3688" t="s">
        <v>10978</v>
      </c>
      <c r="O3688" t="s">
        <v>10979</v>
      </c>
    </row>
    <row r="3689" spans="1:15" x14ac:dyDescent="0.25">
      <c r="A3689" t="s">
        <v>18</v>
      </c>
      <c r="B3689" t="s">
        <v>10978</v>
      </c>
      <c r="C3689" t="s">
        <v>10980</v>
      </c>
      <c r="D3689" t="s">
        <v>20</v>
      </c>
      <c r="E3689" t="s">
        <v>11</v>
      </c>
      <c r="F3689">
        <v>391.64399999999995</v>
      </c>
      <c r="G3689">
        <v>18</v>
      </c>
      <c r="L3689" t="s">
        <v>10981</v>
      </c>
      <c r="O3689" t="s">
        <v>10982</v>
      </c>
    </row>
    <row r="3690" spans="1:15" x14ac:dyDescent="0.25">
      <c r="A3690" t="s">
        <v>18</v>
      </c>
      <c r="B3690" t="s">
        <v>10981</v>
      </c>
      <c r="C3690" t="s">
        <v>10983</v>
      </c>
      <c r="D3690" t="s">
        <v>20</v>
      </c>
      <c r="E3690" t="s">
        <v>11</v>
      </c>
      <c r="F3690">
        <v>6396.852</v>
      </c>
      <c r="G3690">
        <v>18</v>
      </c>
      <c r="L3690" t="s">
        <v>10984</v>
      </c>
      <c r="O3690" t="s">
        <v>10985</v>
      </c>
    </row>
    <row r="3691" spans="1:15" x14ac:dyDescent="0.25">
      <c r="A3691" t="s">
        <v>18</v>
      </c>
      <c r="B3691" t="s">
        <v>10984</v>
      </c>
      <c r="C3691" t="s">
        <v>10986</v>
      </c>
      <c r="D3691" t="s">
        <v>20</v>
      </c>
      <c r="E3691" t="s">
        <v>11</v>
      </c>
      <c r="F3691">
        <v>913.836</v>
      </c>
      <c r="G3691">
        <v>18</v>
      </c>
      <c r="L3691" t="s">
        <v>10987</v>
      </c>
      <c r="O3691" t="s">
        <v>10988</v>
      </c>
    </row>
    <row r="3692" spans="1:15" x14ac:dyDescent="0.25">
      <c r="A3692" t="s">
        <v>18</v>
      </c>
      <c r="B3692" t="s">
        <v>10987</v>
      </c>
      <c r="C3692" t="s">
        <v>10989</v>
      </c>
      <c r="D3692" t="s">
        <v>20</v>
      </c>
      <c r="E3692" t="s">
        <v>11</v>
      </c>
      <c r="F3692">
        <v>1370.754</v>
      </c>
      <c r="G3692">
        <v>18</v>
      </c>
      <c r="L3692" t="s">
        <v>10990</v>
      </c>
      <c r="O3692" t="s">
        <v>10991</v>
      </c>
    </row>
    <row r="3693" spans="1:15" x14ac:dyDescent="0.25">
      <c r="A3693" t="s">
        <v>18</v>
      </c>
      <c r="B3693" t="s">
        <v>10990</v>
      </c>
      <c r="C3693" t="s">
        <v>10992</v>
      </c>
      <c r="D3693" t="s">
        <v>20</v>
      </c>
      <c r="E3693" t="s">
        <v>11</v>
      </c>
      <c r="F3693">
        <v>9921.648000000001</v>
      </c>
      <c r="G3693">
        <v>18</v>
      </c>
      <c r="L3693" t="s">
        <v>10993</v>
      </c>
      <c r="O3693" t="s">
        <v>10994</v>
      </c>
    </row>
    <row r="3694" spans="1:15" x14ac:dyDescent="0.25">
      <c r="A3694" t="s">
        <v>18</v>
      </c>
      <c r="B3694" t="s">
        <v>10993</v>
      </c>
      <c r="C3694" t="s">
        <v>10995</v>
      </c>
      <c r="D3694" t="s">
        <v>20</v>
      </c>
      <c r="E3694" t="s">
        <v>11</v>
      </c>
      <c r="F3694">
        <v>5221.92</v>
      </c>
      <c r="G3694">
        <v>18</v>
      </c>
      <c r="L3694" t="s">
        <v>10996</v>
      </c>
      <c r="O3694" t="s">
        <v>10997</v>
      </c>
    </row>
    <row r="3695" spans="1:15" x14ac:dyDescent="0.25">
      <c r="A3695" t="s">
        <v>18</v>
      </c>
      <c r="B3695" t="s">
        <v>10996</v>
      </c>
      <c r="C3695" t="s">
        <v>10998</v>
      </c>
      <c r="D3695" t="s">
        <v>20</v>
      </c>
      <c r="E3695" t="s">
        <v>11</v>
      </c>
      <c r="F3695">
        <v>522.192</v>
      </c>
      <c r="G3695">
        <v>18</v>
      </c>
      <c r="L3695" t="s">
        <v>10999</v>
      </c>
      <c r="O3695" t="s">
        <v>11000</v>
      </c>
    </row>
    <row r="3696" spans="1:15" x14ac:dyDescent="0.25">
      <c r="A3696" t="s">
        <v>18</v>
      </c>
      <c r="B3696" t="s">
        <v>10999</v>
      </c>
      <c r="C3696" t="s">
        <v>11001</v>
      </c>
      <c r="D3696" t="s">
        <v>20</v>
      </c>
      <c r="E3696" t="s">
        <v>11</v>
      </c>
      <c r="F3696">
        <v>913.836</v>
      </c>
      <c r="G3696">
        <v>18</v>
      </c>
      <c r="L3696" t="s">
        <v>11002</v>
      </c>
      <c r="O3696" t="s">
        <v>11003</v>
      </c>
    </row>
    <row r="3697" spans="1:15" x14ac:dyDescent="0.25">
      <c r="A3697" t="s">
        <v>18</v>
      </c>
      <c r="B3697" t="s">
        <v>11002</v>
      </c>
      <c r="C3697" t="s">
        <v>11004</v>
      </c>
      <c r="D3697" t="s">
        <v>20</v>
      </c>
      <c r="E3697" t="s">
        <v>11</v>
      </c>
      <c r="F3697">
        <v>1501.302</v>
      </c>
      <c r="G3697">
        <v>18</v>
      </c>
      <c r="L3697" t="s">
        <v>11005</v>
      </c>
      <c r="O3697" t="s">
        <v>11006</v>
      </c>
    </row>
    <row r="3698" spans="1:15" x14ac:dyDescent="0.25">
      <c r="A3698" t="s">
        <v>18</v>
      </c>
      <c r="B3698" t="s">
        <v>11005</v>
      </c>
      <c r="C3698" t="s">
        <v>11007</v>
      </c>
      <c r="D3698" t="s">
        <v>20</v>
      </c>
      <c r="E3698" t="s">
        <v>11</v>
      </c>
      <c r="F3698">
        <v>522.192</v>
      </c>
      <c r="G3698">
        <v>18</v>
      </c>
      <c r="L3698" t="s">
        <v>11008</v>
      </c>
      <c r="O3698" t="s">
        <v>11009</v>
      </c>
    </row>
    <row r="3699" spans="1:15" x14ac:dyDescent="0.25">
      <c r="A3699" t="s">
        <v>18</v>
      </c>
      <c r="B3699" t="s">
        <v>11008</v>
      </c>
      <c r="C3699" t="s">
        <v>11010</v>
      </c>
      <c r="D3699" t="s">
        <v>20</v>
      </c>
      <c r="E3699" t="s">
        <v>11</v>
      </c>
      <c r="F3699">
        <v>1370.754</v>
      </c>
      <c r="G3699">
        <v>18</v>
      </c>
      <c r="L3699" t="s">
        <v>11011</v>
      </c>
      <c r="O3699" t="s">
        <v>11012</v>
      </c>
    </row>
    <row r="3700" spans="1:15" x14ac:dyDescent="0.25">
      <c r="A3700" t="s">
        <v>18</v>
      </c>
      <c r="B3700" t="s">
        <v>11011</v>
      </c>
      <c r="C3700" t="s">
        <v>11013</v>
      </c>
      <c r="D3700" t="s">
        <v>20</v>
      </c>
      <c r="E3700" t="s">
        <v>11</v>
      </c>
      <c r="F3700">
        <v>1631.85</v>
      </c>
      <c r="G3700">
        <v>18</v>
      </c>
      <c r="L3700" t="s">
        <v>11014</v>
      </c>
      <c r="O3700" t="s">
        <v>11015</v>
      </c>
    </row>
    <row r="3701" spans="1:15" x14ac:dyDescent="0.25">
      <c r="A3701" t="s">
        <v>18</v>
      </c>
      <c r="B3701" t="s">
        <v>11014</v>
      </c>
      <c r="C3701" t="s">
        <v>11016</v>
      </c>
      <c r="D3701" t="s">
        <v>20</v>
      </c>
      <c r="E3701" t="s">
        <v>11</v>
      </c>
      <c r="F3701">
        <v>2741.508</v>
      </c>
      <c r="G3701">
        <v>18</v>
      </c>
      <c r="L3701" t="s">
        <v>11017</v>
      </c>
      <c r="O3701" t="s">
        <v>11018</v>
      </c>
    </row>
    <row r="3702" spans="1:15" x14ac:dyDescent="0.25">
      <c r="A3702" t="s">
        <v>18</v>
      </c>
      <c r="B3702" t="s">
        <v>11017</v>
      </c>
      <c r="C3702" t="s">
        <v>11019</v>
      </c>
      <c r="D3702" t="s">
        <v>20</v>
      </c>
      <c r="E3702" t="s">
        <v>11</v>
      </c>
      <c r="F3702">
        <v>4242.8099999999995</v>
      </c>
      <c r="G3702">
        <v>18</v>
      </c>
      <c r="L3702" t="s">
        <v>11020</v>
      </c>
      <c r="O3702" t="s">
        <v>11021</v>
      </c>
    </row>
    <row r="3703" spans="1:15" x14ac:dyDescent="0.25">
      <c r="A3703" t="s">
        <v>18</v>
      </c>
      <c r="B3703" t="s">
        <v>11020</v>
      </c>
      <c r="C3703" t="s">
        <v>11022</v>
      </c>
      <c r="D3703" t="s">
        <v>20</v>
      </c>
      <c r="E3703" t="s">
        <v>11</v>
      </c>
      <c r="F3703">
        <v>2284.59</v>
      </c>
      <c r="G3703">
        <v>18</v>
      </c>
      <c r="L3703" t="s">
        <v>11023</v>
      </c>
      <c r="O3703" t="s">
        <v>11024</v>
      </c>
    </row>
    <row r="3704" spans="1:15" x14ac:dyDescent="0.25">
      <c r="A3704" t="s">
        <v>18</v>
      </c>
      <c r="B3704" t="s">
        <v>11023</v>
      </c>
      <c r="C3704" t="s">
        <v>11025</v>
      </c>
      <c r="D3704" t="s">
        <v>20</v>
      </c>
      <c r="E3704" t="s">
        <v>11</v>
      </c>
      <c r="F3704">
        <v>1697.1239999999998</v>
      </c>
      <c r="G3704">
        <v>18</v>
      </c>
      <c r="L3704" t="s">
        <v>11026</v>
      </c>
      <c r="O3704" t="s">
        <v>11027</v>
      </c>
    </row>
    <row r="3705" spans="1:15" x14ac:dyDescent="0.25">
      <c r="A3705" t="s">
        <v>18</v>
      </c>
      <c r="B3705" t="s">
        <v>11026</v>
      </c>
      <c r="C3705" t="s">
        <v>11028</v>
      </c>
      <c r="D3705" t="s">
        <v>20</v>
      </c>
      <c r="E3705" t="s">
        <v>11</v>
      </c>
      <c r="F3705">
        <v>3981.714</v>
      </c>
      <c r="G3705">
        <v>18</v>
      </c>
      <c r="L3705" t="s">
        <v>11029</v>
      </c>
      <c r="O3705" t="s">
        <v>11030</v>
      </c>
    </row>
    <row r="3706" spans="1:15" x14ac:dyDescent="0.25">
      <c r="A3706" t="s">
        <v>18</v>
      </c>
      <c r="B3706" t="s">
        <v>11029</v>
      </c>
      <c r="C3706" t="s">
        <v>11031</v>
      </c>
      <c r="D3706" t="s">
        <v>20</v>
      </c>
      <c r="E3706" t="s">
        <v>11</v>
      </c>
      <c r="F3706">
        <v>4569.18</v>
      </c>
      <c r="G3706">
        <v>18</v>
      </c>
      <c r="L3706" t="s">
        <v>11032</v>
      </c>
      <c r="O3706" t="s">
        <v>11033</v>
      </c>
    </row>
    <row r="3707" spans="1:15" x14ac:dyDescent="0.25">
      <c r="A3707" t="s">
        <v>18</v>
      </c>
      <c r="B3707" t="s">
        <v>11032</v>
      </c>
      <c r="C3707" t="s">
        <v>11034</v>
      </c>
      <c r="D3707" t="s">
        <v>20</v>
      </c>
      <c r="E3707" t="s">
        <v>11</v>
      </c>
      <c r="F3707">
        <v>718.014</v>
      </c>
      <c r="G3707">
        <v>18</v>
      </c>
      <c r="L3707" t="s">
        <v>11035</v>
      </c>
      <c r="O3707" t="s">
        <v>11036</v>
      </c>
    </row>
    <row r="3708" spans="1:15" x14ac:dyDescent="0.25">
      <c r="A3708" t="s">
        <v>18</v>
      </c>
      <c r="B3708" t="s">
        <v>11035</v>
      </c>
      <c r="C3708" t="s">
        <v>11037</v>
      </c>
      <c r="D3708" t="s">
        <v>20</v>
      </c>
      <c r="E3708" t="s">
        <v>11</v>
      </c>
      <c r="F3708">
        <v>1501.302</v>
      </c>
      <c r="G3708">
        <v>18</v>
      </c>
      <c r="L3708" t="s">
        <v>11038</v>
      </c>
      <c r="O3708" t="s">
        <v>11039</v>
      </c>
    </row>
    <row r="3709" spans="1:15" x14ac:dyDescent="0.25">
      <c r="A3709" t="s">
        <v>18</v>
      </c>
      <c r="B3709" t="s">
        <v>11038</v>
      </c>
      <c r="C3709" t="s">
        <v>11040</v>
      </c>
      <c r="D3709" t="s">
        <v>20</v>
      </c>
      <c r="E3709" t="s">
        <v>11</v>
      </c>
      <c r="F3709">
        <v>2610.96</v>
      </c>
      <c r="G3709">
        <v>18</v>
      </c>
      <c r="L3709" t="s">
        <v>11041</v>
      </c>
      <c r="O3709" t="s">
        <v>11042</v>
      </c>
    </row>
    <row r="3710" spans="1:15" x14ac:dyDescent="0.25">
      <c r="A3710" t="s">
        <v>18</v>
      </c>
      <c r="B3710" t="s">
        <v>11041</v>
      </c>
      <c r="C3710" t="s">
        <v>11043</v>
      </c>
      <c r="D3710" t="s">
        <v>20</v>
      </c>
      <c r="E3710" t="s">
        <v>11</v>
      </c>
      <c r="F3710">
        <v>4242.8099999999995</v>
      </c>
      <c r="G3710">
        <v>18</v>
      </c>
      <c r="L3710" t="s">
        <v>11044</v>
      </c>
      <c r="O3710" t="s">
        <v>11045</v>
      </c>
    </row>
    <row r="3711" spans="1:15" x14ac:dyDescent="0.25">
      <c r="A3711" t="s">
        <v>18</v>
      </c>
      <c r="B3711" t="s">
        <v>11044</v>
      </c>
      <c r="C3711" t="s">
        <v>11046</v>
      </c>
      <c r="D3711" t="s">
        <v>20</v>
      </c>
      <c r="E3711" t="s">
        <v>11</v>
      </c>
      <c r="F3711">
        <v>3851.166</v>
      </c>
      <c r="G3711">
        <v>18</v>
      </c>
      <c r="L3711" t="s">
        <v>11047</v>
      </c>
      <c r="O3711" t="s">
        <v>11048</v>
      </c>
    </row>
    <row r="3712" spans="1:15" x14ac:dyDescent="0.25">
      <c r="A3712" t="s">
        <v>18</v>
      </c>
      <c r="B3712" t="s">
        <v>11047</v>
      </c>
      <c r="C3712" t="s">
        <v>11049</v>
      </c>
      <c r="D3712" t="s">
        <v>20</v>
      </c>
      <c r="E3712" t="s">
        <v>11</v>
      </c>
      <c r="F3712">
        <v>4960.8240000000005</v>
      </c>
      <c r="G3712">
        <v>18</v>
      </c>
      <c r="L3712" t="s">
        <v>11050</v>
      </c>
      <c r="O3712" t="s">
        <v>11051</v>
      </c>
    </row>
    <row r="3713" spans="1:15" x14ac:dyDescent="0.25">
      <c r="A3713" t="s">
        <v>18</v>
      </c>
      <c r="B3713" t="s">
        <v>11050</v>
      </c>
      <c r="C3713" t="s">
        <v>11052</v>
      </c>
      <c r="D3713" t="s">
        <v>20</v>
      </c>
      <c r="E3713" t="s">
        <v>11</v>
      </c>
      <c r="F3713">
        <v>4699.727999999999</v>
      </c>
      <c r="G3713">
        <v>18</v>
      </c>
      <c r="L3713" t="s">
        <v>11053</v>
      </c>
      <c r="O3713" t="s">
        <v>11054</v>
      </c>
    </row>
    <row r="3714" spans="1:15" x14ac:dyDescent="0.25">
      <c r="A3714" t="s">
        <v>18</v>
      </c>
      <c r="B3714" t="s">
        <v>11053</v>
      </c>
      <c r="C3714" t="s">
        <v>11055</v>
      </c>
      <c r="D3714" t="s">
        <v>20</v>
      </c>
      <c r="E3714" t="s">
        <v>11</v>
      </c>
      <c r="F3714">
        <v>3916.44</v>
      </c>
      <c r="G3714">
        <v>18</v>
      </c>
      <c r="L3714" t="s">
        <v>11056</v>
      </c>
      <c r="O3714" t="s">
        <v>11057</v>
      </c>
    </row>
    <row r="3715" spans="1:15" x14ac:dyDescent="0.25">
      <c r="A3715" t="s">
        <v>18</v>
      </c>
      <c r="B3715" t="s">
        <v>11056</v>
      </c>
      <c r="C3715" t="s">
        <v>11058</v>
      </c>
      <c r="D3715" t="s">
        <v>20</v>
      </c>
      <c r="E3715" t="s">
        <v>11</v>
      </c>
      <c r="F3715">
        <v>2023.494</v>
      </c>
      <c r="G3715">
        <v>18</v>
      </c>
      <c r="L3715" t="s">
        <v>11059</v>
      </c>
      <c r="O3715" t="s">
        <v>11060</v>
      </c>
    </row>
    <row r="3716" spans="1:15" x14ac:dyDescent="0.25">
      <c r="A3716" t="s">
        <v>18</v>
      </c>
      <c r="B3716" t="s">
        <v>11059</v>
      </c>
      <c r="C3716" t="s">
        <v>11061</v>
      </c>
      <c r="D3716" t="s">
        <v>20</v>
      </c>
      <c r="E3716" t="s">
        <v>11</v>
      </c>
      <c r="F3716">
        <v>3524.7960000000003</v>
      </c>
      <c r="G3716">
        <v>18</v>
      </c>
      <c r="L3716" t="s">
        <v>11062</v>
      </c>
      <c r="O3716" t="s">
        <v>11063</v>
      </c>
    </row>
    <row r="3717" spans="1:15" x14ac:dyDescent="0.25">
      <c r="A3717" t="s">
        <v>18</v>
      </c>
      <c r="B3717" t="s">
        <v>11062</v>
      </c>
      <c r="C3717" t="s">
        <v>11064</v>
      </c>
      <c r="D3717" t="s">
        <v>20</v>
      </c>
      <c r="E3717" t="s">
        <v>11</v>
      </c>
      <c r="F3717">
        <v>2937.3300000000004</v>
      </c>
      <c r="G3717">
        <v>18</v>
      </c>
      <c r="L3717" t="s">
        <v>11065</v>
      </c>
      <c r="O3717" t="s">
        <v>11066</v>
      </c>
    </row>
    <row r="3718" spans="1:15" x14ac:dyDescent="0.25">
      <c r="A3718" t="s">
        <v>18</v>
      </c>
      <c r="B3718" t="s">
        <v>11065</v>
      </c>
      <c r="C3718" t="s">
        <v>11067</v>
      </c>
      <c r="D3718" t="s">
        <v>20</v>
      </c>
      <c r="E3718" t="s">
        <v>11</v>
      </c>
      <c r="F3718">
        <v>3981.714</v>
      </c>
      <c r="G3718">
        <v>18</v>
      </c>
      <c r="L3718" t="s">
        <v>11068</v>
      </c>
      <c r="O3718" t="s">
        <v>11069</v>
      </c>
    </row>
    <row r="3719" spans="1:15" x14ac:dyDescent="0.25">
      <c r="A3719" t="s">
        <v>18</v>
      </c>
      <c r="B3719" t="s">
        <v>11068</v>
      </c>
      <c r="C3719" t="s">
        <v>11070</v>
      </c>
      <c r="D3719" t="s">
        <v>20</v>
      </c>
      <c r="E3719" t="s">
        <v>11</v>
      </c>
      <c r="F3719">
        <v>2676.234</v>
      </c>
      <c r="G3719">
        <v>18</v>
      </c>
      <c r="L3719" t="s">
        <v>11071</v>
      </c>
      <c r="O3719" t="s">
        <v>11072</v>
      </c>
    </row>
    <row r="3720" spans="1:15" x14ac:dyDescent="0.25">
      <c r="A3720" t="s">
        <v>18</v>
      </c>
      <c r="B3720" t="s">
        <v>11071</v>
      </c>
      <c r="C3720" t="s">
        <v>11073</v>
      </c>
      <c r="D3720" t="s">
        <v>20</v>
      </c>
      <c r="E3720" t="s">
        <v>11</v>
      </c>
      <c r="F3720">
        <v>2937.3300000000004</v>
      </c>
      <c r="G3720">
        <v>18</v>
      </c>
      <c r="L3720" t="s">
        <v>11074</v>
      </c>
      <c r="O3720" t="s">
        <v>11075</v>
      </c>
    </row>
    <row r="3721" spans="1:15" x14ac:dyDescent="0.25">
      <c r="A3721" t="s">
        <v>18</v>
      </c>
      <c r="B3721" t="s">
        <v>11074</v>
      </c>
      <c r="C3721" t="s">
        <v>11076</v>
      </c>
      <c r="D3721" t="s">
        <v>20</v>
      </c>
      <c r="E3721" t="s">
        <v>11</v>
      </c>
      <c r="F3721">
        <v>848.5619999999999</v>
      </c>
      <c r="G3721">
        <v>18</v>
      </c>
      <c r="L3721" t="s">
        <v>11077</v>
      </c>
      <c r="O3721" t="s">
        <v>11078</v>
      </c>
    </row>
    <row r="3722" spans="1:15" x14ac:dyDescent="0.25">
      <c r="A3722" t="s">
        <v>18</v>
      </c>
      <c r="B3722" t="s">
        <v>11077</v>
      </c>
      <c r="C3722" t="s">
        <v>11079</v>
      </c>
      <c r="D3722" t="s">
        <v>20</v>
      </c>
      <c r="E3722" t="s">
        <v>11</v>
      </c>
      <c r="F3722">
        <v>456.918</v>
      </c>
      <c r="G3722">
        <v>18</v>
      </c>
      <c r="L3722" t="s">
        <v>11080</v>
      </c>
      <c r="O3722" t="s">
        <v>11081</v>
      </c>
    </row>
    <row r="3723" spans="1:15" x14ac:dyDescent="0.25">
      <c r="A3723" t="s">
        <v>18</v>
      </c>
      <c r="B3723" t="s">
        <v>11080</v>
      </c>
      <c r="C3723" t="s">
        <v>11082</v>
      </c>
      <c r="D3723" t="s">
        <v>20</v>
      </c>
      <c r="E3723" t="s">
        <v>11</v>
      </c>
      <c r="F3723">
        <v>522.192</v>
      </c>
      <c r="G3723">
        <v>18</v>
      </c>
      <c r="L3723" t="s">
        <v>11083</v>
      </c>
      <c r="O3723" t="s">
        <v>11084</v>
      </c>
    </row>
    <row r="3724" spans="1:15" x14ac:dyDescent="0.25">
      <c r="A3724" t="s">
        <v>18</v>
      </c>
      <c r="B3724" t="s">
        <v>11083</v>
      </c>
      <c r="C3724" t="s">
        <v>11085</v>
      </c>
      <c r="D3724" t="s">
        <v>20</v>
      </c>
      <c r="E3724" t="s">
        <v>11</v>
      </c>
      <c r="F3724">
        <v>783.2879999999999</v>
      </c>
      <c r="G3724">
        <v>18</v>
      </c>
      <c r="L3724" t="s">
        <v>11086</v>
      </c>
      <c r="O3724" t="s">
        <v>11087</v>
      </c>
    </row>
    <row r="3725" spans="1:15" x14ac:dyDescent="0.25">
      <c r="A3725" t="s">
        <v>18</v>
      </c>
      <c r="B3725" t="s">
        <v>11086</v>
      </c>
      <c r="C3725" t="s">
        <v>11088</v>
      </c>
      <c r="D3725" t="s">
        <v>20</v>
      </c>
      <c r="E3725" t="s">
        <v>11</v>
      </c>
      <c r="F3725">
        <v>522.192</v>
      </c>
      <c r="G3725">
        <v>18</v>
      </c>
      <c r="L3725" t="s">
        <v>11089</v>
      </c>
      <c r="O3725" t="s">
        <v>11090</v>
      </c>
    </row>
    <row r="3726" spans="1:15" x14ac:dyDescent="0.25">
      <c r="A3726" t="s">
        <v>18</v>
      </c>
      <c r="B3726" t="s">
        <v>11089</v>
      </c>
      <c r="C3726" t="s">
        <v>11091</v>
      </c>
      <c r="D3726" t="s">
        <v>20</v>
      </c>
      <c r="E3726" t="s">
        <v>11</v>
      </c>
      <c r="F3726">
        <v>1566.5759999999998</v>
      </c>
      <c r="G3726">
        <v>18</v>
      </c>
      <c r="L3726" t="s">
        <v>11092</v>
      </c>
      <c r="O3726" t="s">
        <v>11093</v>
      </c>
    </row>
    <row r="3727" spans="1:15" x14ac:dyDescent="0.25">
      <c r="A3727" t="s">
        <v>18</v>
      </c>
      <c r="B3727" t="s">
        <v>11092</v>
      </c>
      <c r="C3727" t="s">
        <v>11094</v>
      </c>
      <c r="D3727" t="s">
        <v>20</v>
      </c>
      <c r="E3727" t="s">
        <v>11</v>
      </c>
      <c r="F3727">
        <v>2023.494</v>
      </c>
      <c r="G3727">
        <v>18</v>
      </c>
      <c r="L3727" t="s">
        <v>11095</v>
      </c>
      <c r="O3727" t="s">
        <v>11096</v>
      </c>
    </row>
    <row r="3728" spans="1:15" x14ac:dyDescent="0.25">
      <c r="A3728" t="s">
        <v>18</v>
      </c>
      <c r="B3728" t="s">
        <v>11095</v>
      </c>
      <c r="C3728" t="s">
        <v>11097</v>
      </c>
      <c r="D3728" t="s">
        <v>20</v>
      </c>
      <c r="E3728" t="s">
        <v>11</v>
      </c>
      <c r="F3728">
        <v>783.2879999999999</v>
      </c>
      <c r="G3728">
        <v>18</v>
      </c>
      <c r="L3728" t="s">
        <v>11098</v>
      </c>
      <c r="O3728" t="s">
        <v>11099</v>
      </c>
    </row>
    <row r="3729" spans="1:15" x14ac:dyDescent="0.25">
      <c r="A3729" t="s">
        <v>18</v>
      </c>
      <c r="B3729" t="s">
        <v>11098</v>
      </c>
      <c r="C3729" t="s">
        <v>11100</v>
      </c>
      <c r="D3729" t="s">
        <v>20</v>
      </c>
      <c r="E3729" t="s">
        <v>11</v>
      </c>
      <c r="F3729">
        <v>783.2879999999999</v>
      </c>
      <c r="G3729">
        <v>18</v>
      </c>
      <c r="L3729" t="s">
        <v>11101</v>
      </c>
      <c r="O3729" t="s">
        <v>11102</v>
      </c>
    </row>
    <row r="3730" spans="1:15" x14ac:dyDescent="0.25">
      <c r="A3730" t="s">
        <v>18</v>
      </c>
      <c r="B3730" t="s">
        <v>11101</v>
      </c>
      <c r="C3730" t="s">
        <v>11103</v>
      </c>
      <c r="D3730" t="s">
        <v>20</v>
      </c>
      <c r="E3730" t="s">
        <v>11</v>
      </c>
      <c r="F3730">
        <v>783.2879999999999</v>
      </c>
      <c r="G3730">
        <v>18</v>
      </c>
      <c r="L3730" t="s">
        <v>11104</v>
      </c>
      <c r="O3730" t="s">
        <v>11105</v>
      </c>
    </row>
    <row r="3731" spans="1:15" x14ac:dyDescent="0.25">
      <c r="A3731" t="s">
        <v>18</v>
      </c>
      <c r="B3731" t="s">
        <v>11104</v>
      </c>
      <c r="C3731" t="s">
        <v>11106</v>
      </c>
      <c r="D3731" t="s">
        <v>20</v>
      </c>
      <c r="E3731" t="s">
        <v>11</v>
      </c>
      <c r="F3731">
        <v>783.2879999999999</v>
      </c>
      <c r="G3731">
        <v>18</v>
      </c>
      <c r="L3731" t="s">
        <v>11107</v>
      </c>
      <c r="O3731" t="s">
        <v>11108</v>
      </c>
    </row>
    <row r="3732" spans="1:15" x14ac:dyDescent="0.25">
      <c r="A3732" t="s">
        <v>18</v>
      </c>
      <c r="B3732" t="s">
        <v>11107</v>
      </c>
      <c r="C3732" t="s">
        <v>11109</v>
      </c>
      <c r="D3732" t="s">
        <v>20</v>
      </c>
      <c r="E3732" t="s">
        <v>11</v>
      </c>
      <c r="F3732">
        <v>1370.754</v>
      </c>
      <c r="G3732">
        <v>18</v>
      </c>
      <c r="L3732" t="s">
        <v>11110</v>
      </c>
      <c r="O3732" t="s">
        <v>11111</v>
      </c>
    </row>
    <row r="3733" spans="1:15" x14ac:dyDescent="0.25">
      <c r="A3733" t="s">
        <v>18</v>
      </c>
      <c r="B3733" t="s">
        <v>11110</v>
      </c>
      <c r="C3733" t="s">
        <v>11112</v>
      </c>
      <c r="D3733" t="s">
        <v>20</v>
      </c>
      <c r="E3733" t="s">
        <v>11</v>
      </c>
      <c r="F3733">
        <v>783.2879999999999</v>
      </c>
      <c r="G3733">
        <v>18</v>
      </c>
      <c r="L3733" t="s">
        <v>11113</v>
      </c>
      <c r="O3733" t="s">
        <v>11114</v>
      </c>
    </row>
    <row r="3734" spans="1:15" x14ac:dyDescent="0.25">
      <c r="A3734" t="s">
        <v>18</v>
      </c>
      <c r="B3734" t="s">
        <v>11113</v>
      </c>
      <c r="C3734" t="s">
        <v>11115</v>
      </c>
      <c r="D3734" t="s">
        <v>20</v>
      </c>
      <c r="E3734" t="s">
        <v>11</v>
      </c>
      <c r="F3734">
        <v>783.2879999999999</v>
      </c>
      <c r="G3734">
        <v>18</v>
      </c>
      <c r="L3734" t="s">
        <v>11116</v>
      </c>
      <c r="O3734" t="s">
        <v>11117</v>
      </c>
    </row>
    <row r="3735" spans="1:15" x14ac:dyDescent="0.25">
      <c r="A3735" t="s">
        <v>18</v>
      </c>
      <c r="B3735" t="s">
        <v>11116</v>
      </c>
      <c r="C3735" t="s">
        <v>11118</v>
      </c>
      <c r="D3735" t="s">
        <v>20</v>
      </c>
      <c r="E3735" t="s">
        <v>11</v>
      </c>
      <c r="F3735">
        <v>1697.1239999999998</v>
      </c>
      <c r="G3735">
        <v>18</v>
      </c>
      <c r="L3735" t="s">
        <v>11119</v>
      </c>
      <c r="O3735" t="s">
        <v>11120</v>
      </c>
    </row>
    <row r="3736" spans="1:15" x14ac:dyDescent="0.25">
      <c r="A3736" t="s">
        <v>18</v>
      </c>
      <c r="B3736" t="s">
        <v>11119</v>
      </c>
      <c r="C3736" t="s">
        <v>11121</v>
      </c>
      <c r="D3736" t="s">
        <v>20</v>
      </c>
      <c r="E3736" t="s">
        <v>11</v>
      </c>
      <c r="F3736">
        <v>2545.6859999999997</v>
      </c>
      <c r="G3736">
        <v>18</v>
      </c>
      <c r="L3736" t="s">
        <v>11122</v>
      </c>
      <c r="O3736" t="s">
        <v>11123</v>
      </c>
    </row>
    <row r="3737" spans="1:15" x14ac:dyDescent="0.25">
      <c r="A3737" t="s">
        <v>18</v>
      </c>
      <c r="B3737" t="s">
        <v>11122</v>
      </c>
      <c r="C3737" t="s">
        <v>11124</v>
      </c>
      <c r="D3737" t="s">
        <v>20</v>
      </c>
      <c r="E3737" t="s">
        <v>11</v>
      </c>
      <c r="F3737">
        <v>3067.8779999999997</v>
      </c>
      <c r="G3737">
        <v>18</v>
      </c>
      <c r="L3737" t="s">
        <v>11125</v>
      </c>
      <c r="O3737" t="s">
        <v>11126</v>
      </c>
    </row>
    <row r="3738" spans="1:15" x14ac:dyDescent="0.25">
      <c r="A3738" t="s">
        <v>18</v>
      </c>
      <c r="B3738" t="s">
        <v>11125</v>
      </c>
      <c r="C3738" t="s">
        <v>11127</v>
      </c>
      <c r="D3738" t="s">
        <v>20</v>
      </c>
      <c r="E3738" t="s">
        <v>11</v>
      </c>
      <c r="F3738">
        <v>3002.604</v>
      </c>
      <c r="G3738">
        <v>18</v>
      </c>
      <c r="L3738" t="s">
        <v>11128</v>
      </c>
      <c r="O3738" t="s">
        <v>11129</v>
      </c>
    </row>
    <row r="3739" spans="1:15" x14ac:dyDescent="0.25">
      <c r="A3739" t="s">
        <v>18</v>
      </c>
      <c r="B3739" t="s">
        <v>11128</v>
      </c>
      <c r="C3739" t="s">
        <v>11130</v>
      </c>
      <c r="D3739" t="s">
        <v>20</v>
      </c>
      <c r="E3739" t="s">
        <v>11</v>
      </c>
      <c r="F3739">
        <v>4569.18</v>
      </c>
      <c r="G3739">
        <v>18</v>
      </c>
      <c r="L3739" t="s">
        <v>11131</v>
      </c>
      <c r="O3739" t="s">
        <v>11132</v>
      </c>
    </row>
    <row r="3740" spans="1:15" x14ac:dyDescent="0.25">
      <c r="A3740" t="s">
        <v>18</v>
      </c>
      <c r="B3740" t="s">
        <v>11131</v>
      </c>
      <c r="C3740" t="s">
        <v>11133</v>
      </c>
      <c r="D3740" t="s">
        <v>20</v>
      </c>
      <c r="E3740" t="s">
        <v>11</v>
      </c>
      <c r="F3740">
        <v>1436.028</v>
      </c>
      <c r="G3740">
        <v>18</v>
      </c>
      <c r="L3740" t="s">
        <v>11134</v>
      </c>
      <c r="O3740" t="s">
        <v>11135</v>
      </c>
    </row>
    <row r="3741" spans="1:15" x14ac:dyDescent="0.25">
      <c r="A3741" t="s">
        <v>18</v>
      </c>
      <c r="B3741" t="s">
        <v>11134</v>
      </c>
      <c r="C3741" t="s">
        <v>11136</v>
      </c>
      <c r="D3741" t="s">
        <v>20</v>
      </c>
      <c r="E3741" t="s">
        <v>11</v>
      </c>
      <c r="F3741">
        <v>979.11</v>
      </c>
      <c r="G3741">
        <v>18</v>
      </c>
      <c r="L3741" t="s">
        <v>11137</v>
      </c>
      <c r="O3741" t="s">
        <v>11138</v>
      </c>
    </row>
    <row r="3742" spans="1:15" x14ac:dyDescent="0.25">
      <c r="A3742" t="s">
        <v>18</v>
      </c>
      <c r="B3742" t="s">
        <v>11137</v>
      </c>
      <c r="C3742" t="s">
        <v>11139</v>
      </c>
      <c r="D3742" t="s">
        <v>20</v>
      </c>
      <c r="E3742" t="s">
        <v>11</v>
      </c>
      <c r="F3742">
        <v>587.4659999999999</v>
      </c>
      <c r="G3742">
        <v>18</v>
      </c>
      <c r="L3742" t="s">
        <v>11140</v>
      </c>
      <c r="O3742" t="s">
        <v>11141</v>
      </c>
    </row>
    <row r="3743" spans="1:15" x14ac:dyDescent="0.25">
      <c r="A3743" t="s">
        <v>18</v>
      </c>
      <c r="B3743" t="s">
        <v>11140</v>
      </c>
      <c r="C3743" t="s">
        <v>11142</v>
      </c>
      <c r="D3743" t="s">
        <v>20</v>
      </c>
      <c r="E3743" t="s">
        <v>11</v>
      </c>
      <c r="F3743">
        <v>1827.672</v>
      </c>
      <c r="G3743">
        <v>18</v>
      </c>
      <c r="L3743" t="s">
        <v>11143</v>
      </c>
      <c r="O3743" t="s">
        <v>11144</v>
      </c>
    </row>
    <row r="3744" spans="1:15" x14ac:dyDescent="0.25">
      <c r="A3744" t="s">
        <v>18</v>
      </c>
      <c r="B3744" t="s">
        <v>11143</v>
      </c>
      <c r="C3744" t="s">
        <v>11145</v>
      </c>
      <c r="D3744" t="s">
        <v>20</v>
      </c>
      <c r="E3744" t="s">
        <v>11</v>
      </c>
      <c r="F3744">
        <v>1827.672</v>
      </c>
      <c r="G3744">
        <v>18</v>
      </c>
      <c r="L3744" t="s">
        <v>11146</v>
      </c>
      <c r="O3744" t="s">
        <v>11147</v>
      </c>
    </row>
    <row r="3745" spans="1:15" x14ac:dyDescent="0.25">
      <c r="A3745" t="s">
        <v>18</v>
      </c>
      <c r="B3745" t="s">
        <v>11146</v>
      </c>
      <c r="C3745" t="s">
        <v>11148</v>
      </c>
      <c r="D3745" t="s">
        <v>20</v>
      </c>
      <c r="E3745" t="s">
        <v>11</v>
      </c>
      <c r="F3745">
        <v>1958.22</v>
      </c>
      <c r="G3745">
        <v>18</v>
      </c>
      <c r="L3745" t="s">
        <v>11149</v>
      </c>
      <c r="O3745" t="s">
        <v>11150</v>
      </c>
    </row>
    <row r="3746" spans="1:15" x14ac:dyDescent="0.25">
      <c r="A3746" t="s">
        <v>18</v>
      </c>
      <c r="B3746" t="s">
        <v>11149</v>
      </c>
      <c r="C3746" t="s">
        <v>11151</v>
      </c>
      <c r="D3746" t="s">
        <v>20</v>
      </c>
      <c r="E3746" t="s">
        <v>11</v>
      </c>
      <c r="F3746">
        <v>1109.658</v>
      </c>
      <c r="G3746">
        <v>18</v>
      </c>
      <c r="L3746" t="s">
        <v>11152</v>
      </c>
      <c r="O3746" t="s">
        <v>11153</v>
      </c>
    </row>
    <row r="3747" spans="1:15" x14ac:dyDescent="0.25">
      <c r="A3747" t="s">
        <v>18</v>
      </c>
      <c r="B3747" t="s">
        <v>11152</v>
      </c>
      <c r="C3747" t="s">
        <v>11154</v>
      </c>
      <c r="D3747" t="s">
        <v>20</v>
      </c>
      <c r="E3747" t="s">
        <v>11</v>
      </c>
      <c r="F3747">
        <v>5939.933999999999</v>
      </c>
      <c r="G3747">
        <v>18</v>
      </c>
      <c r="L3747" t="s">
        <v>11155</v>
      </c>
      <c r="O3747" t="s">
        <v>11156</v>
      </c>
    </row>
    <row r="3748" spans="1:15" x14ac:dyDescent="0.25">
      <c r="A3748" t="s">
        <v>18</v>
      </c>
      <c r="B3748" t="s">
        <v>11155</v>
      </c>
      <c r="C3748" t="s">
        <v>11157</v>
      </c>
      <c r="D3748" t="s">
        <v>20</v>
      </c>
      <c r="E3748" t="s">
        <v>11</v>
      </c>
      <c r="F3748">
        <v>1240.2060000000001</v>
      </c>
      <c r="G3748">
        <v>18</v>
      </c>
      <c r="L3748" t="s">
        <v>11158</v>
      </c>
      <c r="O3748" t="s">
        <v>11159</v>
      </c>
    </row>
    <row r="3749" spans="1:15" x14ac:dyDescent="0.25">
      <c r="A3749" t="s">
        <v>18</v>
      </c>
      <c r="B3749" t="s">
        <v>11158</v>
      </c>
      <c r="C3749" t="s">
        <v>11160</v>
      </c>
      <c r="D3749" t="s">
        <v>20</v>
      </c>
      <c r="E3749" t="s">
        <v>11</v>
      </c>
      <c r="F3749">
        <v>1174.9319999999998</v>
      </c>
      <c r="G3749">
        <v>18</v>
      </c>
      <c r="L3749" t="s">
        <v>11161</v>
      </c>
      <c r="O3749" t="s">
        <v>11162</v>
      </c>
    </row>
    <row r="3750" spans="1:15" x14ac:dyDescent="0.25">
      <c r="A3750" t="s">
        <v>18</v>
      </c>
      <c r="B3750" t="s">
        <v>11161</v>
      </c>
      <c r="C3750" t="s">
        <v>11163</v>
      </c>
      <c r="D3750" t="s">
        <v>20</v>
      </c>
      <c r="E3750" t="s">
        <v>11</v>
      </c>
      <c r="F3750">
        <v>979.11</v>
      </c>
      <c r="G3750">
        <v>18</v>
      </c>
      <c r="L3750" t="s">
        <v>11164</v>
      </c>
      <c r="O3750" t="s">
        <v>11165</v>
      </c>
    </row>
    <row r="3751" spans="1:15" x14ac:dyDescent="0.25">
      <c r="A3751" t="s">
        <v>18</v>
      </c>
      <c r="B3751" t="s">
        <v>11164</v>
      </c>
      <c r="C3751" t="s">
        <v>11166</v>
      </c>
      <c r="D3751" t="s">
        <v>20</v>
      </c>
      <c r="E3751" t="s">
        <v>11</v>
      </c>
      <c r="F3751">
        <v>979.11</v>
      </c>
      <c r="G3751">
        <v>18</v>
      </c>
      <c r="L3751" t="s">
        <v>11167</v>
      </c>
      <c r="O3751" t="s">
        <v>11168</v>
      </c>
    </row>
    <row r="3752" spans="1:15" x14ac:dyDescent="0.25">
      <c r="A3752" t="s">
        <v>18</v>
      </c>
      <c r="B3752" t="s">
        <v>11167</v>
      </c>
      <c r="C3752" t="s">
        <v>11169</v>
      </c>
      <c r="D3752" t="s">
        <v>20</v>
      </c>
      <c r="E3752" t="s">
        <v>11</v>
      </c>
      <c r="F3752">
        <v>3916.44</v>
      </c>
      <c r="G3752">
        <v>18</v>
      </c>
      <c r="L3752" t="s">
        <v>11170</v>
      </c>
      <c r="O3752" t="s">
        <v>11171</v>
      </c>
    </row>
    <row r="3753" spans="1:15" x14ac:dyDescent="0.25">
      <c r="A3753" t="s">
        <v>18</v>
      </c>
      <c r="B3753" t="s">
        <v>11170</v>
      </c>
      <c r="C3753" t="s">
        <v>11172</v>
      </c>
      <c r="D3753" t="s">
        <v>20</v>
      </c>
      <c r="E3753" t="s">
        <v>11</v>
      </c>
      <c r="F3753">
        <v>8485.619999999999</v>
      </c>
      <c r="G3753">
        <v>18</v>
      </c>
      <c r="L3753" t="s">
        <v>11173</v>
      </c>
      <c r="O3753" t="s">
        <v>11174</v>
      </c>
    </row>
    <row r="3754" spans="1:15" x14ac:dyDescent="0.25">
      <c r="A3754" t="s">
        <v>18</v>
      </c>
      <c r="B3754" t="s">
        <v>11173</v>
      </c>
      <c r="C3754" t="s">
        <v>11175</v>
      </c>
      <c r="D3754" t="s">
        <v>20</v>
      </c>
      <c r="E3754" t="s">
        <v>11</v>
      </c>
      <c r="F3754">
        <v>1958.22</v>
      </c>
      <c r="G3754">
        <v>18</v>
      </c>
      <c r="L3754" t="s">
        <v>11176</v>
      </c>
      <c r="O3754" t="s">
        <v>11177</v>
      </c>
    </row>
    <row r="3755" spans="1:15" x14ac:dyDescent="0.25">
      <c r="A3755" t="s">
        <v>18</v>
      </c>
      <c r="B3755" t="s">
        <v>11176</v>
      </c>
      <c r="C3755" t="s">
        <v>11178</v>
      </c>
      <c r="D3755" t="s">
        <v>20</v>
      </c>
      <c r="E3755" t="s">
        <v>11</v>
      </c>
      <c r="F3755">
        <v>4765.0019999999995</v>
      </c>
      <c r="G3755">
        <v>18</v>
      </c>
      <c r="L3755" t="s">
        <v>11179</v>
      </c>
      <c r="O3755" t="s">
        <v>11180</v>
      </c>
    </row>
    <row r="3756" spans="1:15" x14ac:dyDescent="0.25">
      <c r="A3756" t="s">
        <v>18</v>
      </c>
      <c r="B3756" t="s">
        <v>11179</v>
      </c>
      <c r="C3756" t="s">
        <v>11181</v>
      </c>
      <c r="D3756" t="s">
        <v>20</v>
      </c>
      <c r="E3756" t="s">
        <v>11</v>
      </c>
      <c r="F3756">
        <v>1566.5759999999998</v>
      </c>
      <c r="G3756">
        <v>18</v>
      </c>
      <c r="L3756" t="s">
        <v>11182</v>
      </c>
      <c r="O3756" t="s">
        <v>11183</v>
      </c>
    </row>
    <row r="3757" spans="1:15" x14ac:dyDescent="0.25">
      <c r="A3757" t="s">
        <v>18</v>
      </c>
      <c r="B3757" t="s">
        <v>11182</v>
      </c>
      <c r="C3757" t="s">
        <v>11184</v>
      </c>
      <c r="D3757" t="s">
        <v>20</v>
      </c>
      <c r="E3757" t="s">
        <v>11</v>
      </c>
      <c r="F3757">
        <v>1566.5759999999998</v>
      </c>
      <c r="G3757">
        <v>18</v>
      </c>
      <c r="L3757" t="s">
        <v>11185</v>
      </c>
      <c r="O3757" t="s">
        <v>11186</v>
      </c>
    </row>
    <row r="3758" spans="1:15" x14ac:dyDescent="0.25">
      <c r="A3758" t="s">
        <v>18</v>
      </c>
      <c r="B3758" t="s">
        <v>11185</v>
      </c>
      <c r="C3758" t="s">
        <v>11187</v>
      </c>
      <c r="D3758" t="s">
        <v>20</v>
      </c>
      <c r="E3758" t="s">
        <v>11</v>
      </c>
      <c r="F3758">
        <v>1697.1239999999998</v>
      </c>
      <c r="G3758">
        <v>18</v>
      </c>
      <c r="L3758" t="s">
        <v>11188</v>
      </c>
      <c r="O3758" t="s">
        <v>11189</v>
      </c>
    </row>
    <row r="3759" spans="1:15" x14ac:dyDescent="0.25">
      <c r="A3759" t="s">
        <v>18</v>
      </c>
      <c r="B3759" t="s">
        <v>11188</v>
      </c>
      <c r="C3759" t="s">
        <v>11190</v>
      </c>
      <c r="D3759" t="s">
        <v>20</v>
      </c>
      <c r="E3759" t="s">
        <v>11</v>
      </c>
      <c r="F3759">
        <v>783.2879999999999</v>
      </c>
      <c r="G3759">
        <v>18</v>
      </c>
      <c r="L3759" t="s">
        <v>11191</v>
      </c>
      <c r="O3759" t="s">
        <v>11192</v>
      </c>
    </row>
    <row r="3760" spans="1:15" x14ac:dyDescent="0.25">
      <c r="A3760" t="s">
        <v>18</v>
      </c>
      <c r="B3760" t="s">
        <v>11191</v>
      </c>
      <c r="C3760" t="s">
        <v>11193</v>
      </c>
      <c r="D3760" t="s">
        <v>20</v>
      </c>
      <c r="E3760" t="s">
        <v>11</v>
      </c>
      <c r="F3760">
        <v>456.918</v>
      </c>
      <c r="G3760">
        <v>18</v>
      </c>
      <c r="L3760" t="s">
        <v>11194</v>
      </c>
      <c r="O3760" t="s">
        <v>11195</v>
      </c>
    </row>
    <row r="3761" spans="1:15" x14ac:dyDescent="0.25">
      <c r="A3761" t="s">
        <v>18</v>
      </c>
      <c r="B3761" t="s">
        <v>11194</v>
      </c>
      <c r="C3761" t="s">
        <v>11196</v>
      </c>
      <c r="D3761" t="s">
        <v>20</v>
      </c>
      <c r="E3761" t="s">
        <v>11</v>
      </c>
      <c r="F3761">
        <v>391.64399999999995</v>
      </c>
      <c r="G3761">
        <v>18</v>
      </c>
      <c r="L3761" t="s">
        <v>11197</v>
      </c>
      <c r="O3761" t="s">
        <v>11198</v>
      </c>
    </row>
    <row r="3762" spans="1:15" x14ac:dyDescent="0.25">
      <c r="A3762" t="s">
        <v>18</v>
      </c>
      <c r="B3762" t="s">
        <v>11197</v>
      </c>
      <c r="C3762" t="s">
        <v>11199</v>
      </c>
      <c r="D3762" t="s">
        <v>20</v>
      </c>
      <c r="E3762" t="s">
        <v>11</v>
      </c>
      <c r="F3762">
        <v>456.918</v>
      </c>
      <c r="G3762">
        <v>18</v>
      </c>
      <c r="L3762" t="s">
        <v>11200</v>
      </c>
      <c r="O3762" t="s">
        <v>11201</v>
      </c>
    </row>
    <row r="3763" spans="1:15" x14ac:dyDescent="0.25">
      <c r="A3763" t="s">
        <v>18</v>
      </c>
      <c r="B3763" t="s">
        <v>11200</v>
      </c>
      <c r="C3763" t="s">
        <v>11202</v>
      </c>
      <c r="D3763" t="s">
        <v>20</v>
      </c>
      <c r="E3763" t="s">
        <v>11</v>
      </c>
      <c r="F3763">
        <v>522.192</v>
      </c>
      <c r="G3763">
        <v>18</v>
      </c>
      <c r="L3763" t="s">
        <v>11203</v>
      </c>
      <c r="O3763" t="s">
        <v>11204</v>
      </c>
    </row>
    <row r="3764" spans="1:15" x14ac:dyDescent="0.25">
      <c r="A3764" t="s">
        <v>18</v>
      </c>
      <c r="B3764" t="s">
        <v>11203</v>
      </c>
      <c r="C3764" t="s">
        <v>11205</v>
      </c>
      <c r="D3764" t="s">
        <v>20</v>
      </c>
      <c r="E3764" t="s">
        <v>11</v>
      </c>
      <c r="F3764">
        <v>522.192</v>
      </c>
      <c r="G3764">
        <v>18</v>
      </c>
      <c r="L3764" t="s">
        <v>11206</v>
      </c>
      <c r="O3764" t="s">
        <v>11207</v>
      </c>
    </row>
    <row r="3765" spans="1:15" x14ac:dyDescent="0.25">
      <c r="A3765" t="s">
        <v>18</v>
      </c>
      <c r="B3765" t="s">
        <v>11206</v>
      </c>
      <c r="C3765" t="s">
        <v>11208</v>
      </c>
      <c r="D3765" t="s">
        <v>20</v>
      </c>
      <c r="E3765" t="s">
        <v>11</v>
      </c>
      <c r="F3765">
        <v>261.096</v>
      </c>
      <c r="G3765">
        <v>18</v>
      </c>
      <c r="L3765" t="s">
        <v>11209</v>
      </c>
      <c r="O3765" t="s">
        <v>11210</v>
      </c>
    </row>
    <row r="3766" spans="1:15" x14ac:dyDescent="0.25">
      <c r="A3766" t="s">
        <v>18</v>
      </c>
      <c r="B3766" t="s">
        <v>11209</v>
      </c>
      <c r="C3766" t="s">
        <v>11211</v>
      </c>
      <c r="D3766" t="s">
        <v>20</v>
      </c>
      <c r="E3766" t="s">
        <v>11</v>
      </c>
      <c r="F3766">
        <v>2088.768</v>
      </c>
      <c r="G3766">
        <v>18</v>
      </c>
      <c r="L3766" t="s">
        <v>11212</v>
      </c>
      <c r="O3766" t="s">
        <v>11213</v>
      </c>
    </row>
    <row r="3767" spans="1:15" x14ac:dyDescent="0.25">
      <c r="A3767" t="s">
        <v>18</v>
      </c>
      <c r="B3767" t="s">
        <v>11212</v>
      </c>
      <c r="C3767" t="s">
        <v>11214</v>
      </c>
      <c r="D3767" t="s">
        <v>20</v>
      </c>
      <c r="E3767" t="s">
        <v>11</v>
      </c>
      <c r="F3767">
        <v>1109.658</v>
      </c>
      <c r="G3767">
        <v>18</v>
      </c>
      <c r="L3767" t="s">
        <v>11215</v>
      </c>
      <c r="O3767" t="s">
        <v>11216</v>
      </c>
    </row>
    <row r="3768" spans="1:15" x14ac:dyDescent="0.25">
      <c r="A3768" t="s">
        <v>18</v>
      </c>
      <c r="B3768" t="s">
        <v>11215</v>
      </c>
      <c r="C3768" t="s">
        <v>11217</v>
      </c>
      <c r="D3768" t="s">
        <v>20</v>
      </c>
      <c r="E3768" t="s">
        <v>11</v>
      </c>
      <c r="F3768">
        <v>652.74</v>
      </c>
      <c r="G3768">
        <v>18</v>
      </c>
      <c r="L3768" t="s">
        <v>11218</v>
      </c>
      <c r="O3768" t="s">
        <v>11219</v>
      </c>
    </row>
    <row r="3769" spans="1:15" x14ac:dyDescent="0.25">
      <c r="A3769" t="s">
        <v>18</v>
      </c>
      <c r="B3769" t="s">
        <v>11218</v>
      </c>
      <c r="C3769" t="s">
        <v>11220</v>
      </c>
      <c r="D3769" t="s">
        <v>20</v>
      </c>
      <c r="E3769" t="s">
        <v>11</v>
      </c>
      <c r="F3769">
        <v>195.82199999999997</v>
      </c>
      <c r="G3769">
        <v>18</v>
      </c>
      <c r="L3769" t="s">
        <v>11221</v>
      </c>
      <c r="O3769" t="s">
        <v>11222</v>
      </c>
    </row>
    <row r="3770" spans="1:15" x14ac:dyDescent="0.25">
      <c r="A3770" t="s">
        <v>18</v>
      </c>
      <c r="B3770" t="s">
        <v>11221</v>
      </c>
      <c r="C3770" t="s">
        <v>11223</v>
      </c>
      <c r="D3770" t="s">
        <v>20</v>
      </c>
      <c r="E3770" t="s">
        <v>11</v>
      </c>
      <c r="F3770">
        <v>456.918</v>
      </c>
      <c r="G3770">
        <v>18</v>
      </c>
      <c r="L3770" t="s">
        <v>11224</v>
      </c>
      <c r="O3770" t="s">
        <v>11225</v>
      </c>
    </row>
    <row r="3771" spans="1:15" x14ac:dyDescent="0.25">
      <c r="A3771" t="s">
        <v>18</v>
      </c>
      <c r="B3771" t="s">
        <v>11224</v>
      </c>
      <c r="C3771" t="s">
        <v>11226</v>
      </c>
      <c r="D3771" t="s">
        <v>20</v>
      </c>
      <c r="E3771" t="s">
        <v>11</v>
      </c>
      <c r="F3771">
        <v>848.5619999999999</v>
      </c>
      <c r="G3771">
        <v>18</v>
      </c>
      <c r="L3771" t="s">
        <v>11227</v>
      </c>
      <c r="O3771" t="s">
        <v>11228</v>
      </c>
    </row>
    <row r="3772" spans="1:15" x14ac:dyDescent="0.25">
      <c r="A3772" t="s">
        <v>18</v>
      </c>
      <c r="B3772" t="s">
        <v>11227</v>
      </c>
      <c r="C3772" t="s">
        <v>11229</v>
      </c>
      <c r="D3772" t="s">
        <v>20</v>
      </c>
      <c r="E3772" t="s">
        <v>11</v>
      </c>
      <c r="F3772">
        <v>848.5619999999999</v>
      </c>
      <c r="G3772">
        <v>18</v>
      </c>
      <c r="L3772" t="s">
        <v>11230</v>
      </c>
      <c r="O3772" t="s">
        <v>11231</v>
      </c>
    </row>
    <row r="3773" spans="1:15" x14ac:dyDescent="0.25">
      <c r="A3773" t="s">
        <v>18</v>
      </c>
      <c r="B3773" t="s">
        <v>11230</v>
      </c>
      <c r="C3773" t="s">
        <v>11232</v>
      </c>
      <c r="D3773" t="s">
        <v>20</v>
      </c>
      <c r="E3773" t="s">
        <v>11</v>
      </c>
      <c r="F3773">
        <v>326.37</v>
      </c>
      <c r="G3773">
        <v>18</v>
      </c>
      <c r="L3773" t="s">
        <v>11233</v>
      </c>
      <c r="O3773" t="s">
        <v>11234</v>
      </c>
    </row>
    <row r="3774" spans="1:15" x14ac:dyDescent="0.25">
      <c r="A3774" t="s">
        <v>18</v>
      </c>
      <c r="B3774" t="s">
        <v>11233</v>
      </c>
      <c r="C3774" t="s">
        <v>11235</v>
      </c>
      <c r="D3774" t="s">
        <v>20</v>
      </c>
      <c r="E3774" t="s">
        <v>11</v>
      </c>
      <c r="F3774">
        <v>1697.1239999999998</v>
      </c>
      <c r="G3774">
        <v>18</v>
      </c>
      <c r="L3774" t="s">
        <v>11236</v>
      </c>
      <c r="O3774" t="s">
        <v>11237</v>
      </c>
    </row>
    <row r="3775" spans="1:15" x14ac:dyDescent="0.25">
      <c r="A3775" t="s">
        <v>18</v>
      </c>
      <c r="B3775" t="s">
        <v>11236</v>
      </c>
      <c r="C3775" t="s">
        <v>11238</v>
      </c>
      <c r="D3775" t="s">
        <v>20</v>
      </c>
      <c r="E3775" t="s">
        <v>11</v>
      </c>
      <c r="F3775">
        <v>4112.262</v>
      </c>
      <c r="G3775">
        <v>18</v>
      </c>
      <c r="L3775" t="s">
        <v>11239</v>
      </c>
      <c r="O3775" t="s">
        <v>11240</v>
      </c>
    </row>
    <row r="3776" spans="1:15" x14ac:dyDescent="0.25">
      <c r="A3776" t="s">
        <v>18</v>
      </c>
      <c r="B3776" t="s">
        <v>11239</v>
      </c>
      <c r="C3776" t="s">
        <v>11241</v>
      </c>
      <c r="D3776" t="s">
        <v>20</v>
      </c>
      <c r="E3776" t="s">
        <v>11</v>
      </c>
      <c r="F3776">
        <v>1566.5759999999998</v>
      </c>
      <c r="G3776">
        <v>18</v>
      </c>
      <c r="L3776" t="s">
        <v>11242</v>
      </c>
      <c r="O3776" t="s">
        <v>11243</v>
      </c>
    </row>
    <row r="3777" spans="1:15" x14ac:dyDescent="0.25">
      <c r="A3777" t="s">
        <v>18</v>
      </c>
      <c r="B3777" t="s">
        <v>11242</v>
      </c>
      <c r="C3777" t="s">
        <v>11244</v>
      </c>
      <c r="D3777" t="s">
        <v>20</v>
      </c>
      <c r="E3777" t="s">
        <v>11</v>
      </c>
      <c r="F3777">
        <v>979.11</v>
      </c>
      <c r="G3777">
        <v>18</v>
      </c>
      <c r="L3777" t="s">
        <v>11245</v>
      </c>
      <c r="O3777" t="s">
        <v>11246</v>
      </c>
    </row>
    <row r="3778" spans="1:15" x14ac:dyDescent="0.25">
      <c r="A3778" t="s">
        <v>18</v>
      </c>
      <c r="B3778" t="s">
        <v>11245</v>
      </c>
      <c r="C3778" t="s">
        <v>11247</v>
      </c>
      <c r="D3778" t="s">
        <v>20</v>
      </c>
      <c r="E3778" t="s">
        <v>11</v>
      </c>
      <c r="F3778">
        <v>14490.828</v>
      </c>
      <c r="G3778">
        <v>18</v>
      </c>
      <c r="L3778" t="s">
        <v>11248</v>
      </c>
      <c r="O3778" t="s">
        <v>11249</v>
      </c>
    </row>
    <row r="3779" spans="1:15" x14ac:dyDescent="0.25">
      <c r="A3779" t="s">
        <v>18</v>
      </c>
      <c r="B3779" t="s">
        <v>11248</v>
      </c>
      <c r="C3779" t="s">
        <v>11250</v>
      </c>
      <c r="D3779" t="s">
        <v>20</v>
      </c>
      <c r="E3779" t="s">
        <v>11</v>
      </c>
      <c r="F3779">
        <v>5809.3859999999995</v>
      </c>
      <c r="G3779">
        <v>18</v>
      </c>
      <c r="L3779" t="s">
        <v>11251</v>
      </c>
      <c r="O3779" t="s">
        <v>11252</v>
      </c>
    </row>
    <row r="3780" spans="1:15" x14ac:dyDescent="0.25">
      <c r="A3780" t="s">
        <v>18</v>
      </c>
      <c r="B3780" t="s">
        <v>11251</v>
      </c>
      <c r="C3780" t="s">
        <v>11253</v>
      </c>
      <c r="D3780" t="s">
        <v>20</v>
      </c>
      <c r="E3780" t="s">
        <v>11</v>
      </c>
      <c r="F3780">
        <v>3133.1519999999996</v>
      </c>
      <c r="G3780">
        <v>18</v>
      </c>
      <c r="L3780" t="s">
        <v>11254</v>
      </c>
      <c r="O3780" t="s">
        <v>11255</v>
      </c>
    </row>
    <row r="3781" spans="1:15" x14ac:dyDescent="0.25">
      <c r="A3781" t="s">
        <v>18</v>
      </c>
      <c r="B3781" t="s">
        <v>11254</v>
      </c>
      <c r="C3781" t="s">
        <v>11256</v>
      </c>
      <c r="D3781" t="s">
        <v>20</v>
      </c>
      <c r="E3781" t="s">
        <v>11</v>
      </c>
      <c r="F3781">
        <v>7245.414</v>
      </c>
      <c r="G3781">
        <v>18</v>
      </c>
      <c r="L3781" t="s">
        <v>11257</v>
      </c>
      <c r="O3781" t="s">
        <v>11258</v>
      </c>
    </row>
    <row r="3782" spans="1:15" x14ac:dyDescent="0.25">
      <c r="A3782" t="s">
        <v>18</v>
      </c>
      <c r="B3782" t="s">
        <v>11257</v>
      </c>
      <c r="C3782" t="s">
        <v>11259</v>
      </c>
      <c r="D3782" t="s">
        <v>20</v>
      </c>
      <c r="E3782" t="s">
        <v>11</v>
      </c>
      <c r="F3782">
        <v>1044.384</v>
      </c>
      <c r="G3782">
        <v>18</v>
      </c>
      <c r="L3782" t="s">
        <v>11260</v>
      </c>
      <c r="O3782" t="s">
        <v>11261</v>
      </c>
    </row>
    <row r="3783" spans="1:15" x14ac:dyDescent="0.25">
      <c r="A3783" t="s">
        <v>18</v>
      </c>
      <c r="B3783" t="s">
        <v>11260</v>
      </c>
      <c r="C3783" t="s">
        <v>11262</v>
      </c>
      <c r="D3783" t="s">
        <v>20</v>
      </c>
      <c r="E3783" t="s">
        <v>11</v>
      </c>
      <c r="F3783">
        <v>783.2879999999999</v>
      </c>
      <c r="G3783">
        <v>18</v>
      </c>
      <c r="L3783" t="s">
        <v>11263</v>
      </c>
      <c r="O3783" t="s">
        <v>11264</v>
      </c>
    </row>
    <row r="3784" spans="1:15" x14ac:dyDescent="0.25">
      <c r="A3784" t="s">
        <v>18</v>
      </c>
      <c r="B3784" t="s">
        <v>11263</v>
      </c>
      <c r="C3784" t="s">
        <v>11265</v>
      </c>
      <c r="D3784" t="s">
        <v>20</v>
      </c>
      <c r="E3784" t="s">
        <v>11</v>
      </c>
      <c r="F3784">
        <v>783.2879999999999</v>
      </c>
      <c r="G3784">
        <v>18</v>
      </c>
      <c r="L3784" t="s">
        <v>11266</v>
      </c>
      <c r="O3784" t="s">
        <v>11267</v>
      </c>
    </row>
    <row r="3785" spans="1:15" x14ac:dyDescent="0.25">
      <c r="A3785" t="s">
        <v>18</v>
      </c>
      <c r="B3785" t="s">
        <v>11266</v>
      </c>
      <c r="C3785" t="s">
        <v>11268</v>
      </c>
      <c r="D3785" t="s">
        <v>20</v>
      </c>
      <c r="E3785" t="s">
        <v>11</v>
      </c>
      <c r="F3785">
        <v>1631.85</v>
      </c>
      <c r="G3785">
        <v>18</v>
      </c>
      <c r="L3785" t="s">
        <v>11269</v>
      </c>
      <c r="O3785" t="s">
        <v>11270</v>
      </c>
    </row>
    <row r="3786" spans="1:15" x14ac:dyDescent="0.25">
      <c r="A3786" t="s">
        <v>18</v>
      </c>
      <c r="B3786" t="s">
        <v>11269</v>
      </c>
      <c r="C3786" t="s">
        <v>11271</v>
      </c>
      <c r="D3786" t="s">
        <v>20</v>
      </c>
      <c r="E3786" t="s">
        <v>11</v>
      </c>
      <c r="F3786">
        <v>9921.648000000001</v>
      </c>
      <c r="G3786">
        <v>18</v>
      </c>
      <c r="L3786" t="s">
        <v>11272</v>
      </c>
      <c r="O3786" t="s">
        <v>11273</v>
      </c>
    </row>
    <row r="3787" spans="1:15" x14ac:dyDescent="0.25">
      <c r="A3787" t="s">
        <v>18</v>
      </c>
      <c r="B3787" t="s">
        <v>11272</v>
      </c>
      <c r="C3787" t="s">
        <v>11274</v>
      </c>
      <c r="D3787" t="s">
        <v>20</v>
      </c>
      <c r="E3787" t="s">
        <v>11</v>
      </c>
      <c r="F3787">
        <v>12793.704</v>
      </c>
      <c r="G3787">
        <v>18</v>
      </c>
      <c r="L3787" t="s">
        <v>11275</v>
      </c>
      <c r="O3787" t="s">
        <v>11276</v>
      </c>
    </row>
    <row r="3788" spans="1:15" x14ac:dyDescent="0.25">
      <c r="A3788" t="s">
        <v>18</v>
      </c>
      <c r="B3788" t="s">
        <v>11275</v>
      </c>
      <c r="C3788" t="s">
        <v>11277</v>
      </c>
      <c r="D3788" t="s">
        <v>20</v>
      </c>
      <c r="E3788" t="s">
        <v>11</v>
      </c>
      <c r="F3788">
        <v>1109.658</v>
      </c>
      <c r="G3788">
        <v>18</v>
      </c>
      <c r="L3788" t="s">
        <v>11278</v>
      </c>
      <c r="O3788" t="s">
        <v>11279</v>
      </c>
    </row>
    <row r="3789" spans="1:15" x14ac:dyDescent="0.25">
      <c r="A3789" t="s">
        <v>18</v>
      </c>
      <c r="B3789" t="s">
        <v>11278</v>
      </c>
      <c r="C3789" t="s">
        <v>11280</v>
      </c>
      <c r="D3789" t="s">
        <v>20</v>
      </c>
      <c r="E3789" t="s">
        <v>11</v>
      </c>
      <c r="F3789">
        <v>979.11</v>
      </c>
      <c r="G3789">
        <v>18</v>
      </c>
      <c r="L3789" t="s">
        <v>11281</v>
      </c>
      <c r="O3789" t="s">
        <v>11282</v>
      </c>
    </row>
    <row r="3790" spans="1:15" x14ac:dyDescent="0.25">
      <c r="A3790" t="s">
        <v>18</v>
      </c>
      <c r="B3790" t="s">
        <v>11281</v>
      </c>
      <c r="C3790" t="s">
        <v>11283</v>
      </c>
      <c r="D3790" t="s">
        <v>20</v>
      </c>
      <c r="E3790" t="s">
        <v>11</v>
      </c>
      <c r="F3790">
        <v>456.918</v>
      </c>
      <c r="G3790">
        <v>18</v>
      </c>
      <c r="L3790" t="s">
        <v>11284</v>
      </c>
      <c r="O3790" t="s">
        <v>11285</v>
      </c>
    </row>
    <row r="3791" spans="1:15" x14ac:dyDescent="0.25">
      <c r="A3791" t="s">
        <v>18</v>
      </c>
      <c r="B3791" t="s">
        <v>11284</v>
      </c>
      <c r="C3791" t="s">
        <v>11286</v>
      </c>
      <c r="D3791" t="s">
        <v>20</v>
      </c>
      <c r="E3791" t="s">
        <v>11</v>
      </c>
      <c r="F3791">
        <v>2741.508</v>
      </c>
      <c r="G3791">
        <v>18</v>
      </c>
      <c r="L3791" t="s">
        <v>11287</v>
      </c>
      <c r="O3791" t="s">
        <v>11288</v>
      </c>
    </row>
    <row r="3792" spans="1:15" x14ac:dyDescent="0.25">
      <c r="A3792" t="s">
        <v>18</v>
      </c>
      <c r="B3792" t="s">
        <v>11287</v>
      </c>
      <c r="C3792" t="s">
        <v>11289</v>
      </c>
      <c r="D3792" t="s">
        <v>20</v>
      </c>
      <c r="E3792" t="s">
        <v>11</v>
      </c>
      <c r="F3792">
        <v>6919.043999999999</v>
      </c>
      <c r="G3792">
        <v>18</v>
      </c>
      <c r="L3792" t="s">
        <v>11290</v>
      </c>
      <c r="O3792" t="s">
        <v>11291</v>
      </c>
    </row>
    <row r="3793" spans="1:15" x14ac:dyDescent="0.25">
      <c r="A3793" t="s">
        <v>18</v>
      </c>
      <c r="B3793" t="s">
        <v>11290</v>
      </c>
      <c r="C3793" t="s">
        <v>11292</v>
      </c>
      <c r="D3793" t="s">
        <v>20</v>
      </c>
      <c r="E3793" t="s">
        <v>11</v>
      </c>
      <c r="F3793">
        <v>2480.4120000000003</v>
      </c>
      <c r="G3793">
        <v>18</v>
      </c>
      <c r="L3793" t="s">
        <v>11293</v>
      </c>
      <c r="O3793" t="s">
        <v>11294</v>
      </c>
    </row>
    <row r="3794" spans="1:15" x14ac:dyDescent="0.25">
      <c r="A3794" t="s">
        <v>18</v>
      </c>
      <c r="B3794" t="s">
        <v>11293</v>
      </c>
      <c r="C3794" t="s">
        <v>11295</v>
      </c>
      <c r="D3794" t="s">
        <v>20</v>
      </c>
      <c r="E3794" t="s">
        <v>11</v>
      </c>
      <c r="F3794">
        <v>1370.754</v>
      </c>
      <c r="G3794">
        <v>18</v>
      </c>
      <c r="L3794" t="s">
        <v>11296</v>
      </c>
      <c r="O3794" t="s">
        <v>11297</v>
      </c>
    </row>
    <row r="3795" spans="1:15" x14ac:dyDescent="0.25">
      <c r="A3795" t="s">
        <v>18</v>
      </c>
      <c r="B3795" t="s">
        <v>11296</v>
      </c>
      <c r="C3795" t="s">
        <v>11298</v>
      </c>
      <c r="D3795" t="s">
        <v>20</v>
      </c>
      <c r="E3795" t="s">
        <v>11</v>
      </c>
      <c r="F3795">
        <v>848.5619999999999</v>
      </c>
      <c r="G3795">
        <v>18</v>
      </c>
      <c r="L3795" t="s">
        <v>11299</v>
      </c>
      <c r="O3795" t="s">
        <v>11300</v>
      </c>
    </row>
    <row r="3796" spans="1:15" x14ac:dyDescent="0.25">
      <c r="A3796" t="s">
        <v>18</v>
      </c>
      <c r="B3796" t="s">
        <v>11299</v>
      </c>
      <c r="C3796" t="s">
        <v>11301</v>
      </c>
      <c r="D3796" t="s">
        <v>20</v>
      </c>
      <c r="E3796" t="s">
        <v>11</v>
      </c>
      <c r="F3796">
        <v>848.5619999999999</v>
      </c>
      <c r="G3796">
        <v>18</v>
      </c>
      <c r="L3796" t="s">
        <v>11302</v>
      </c>
      <c r="O3796" t="s">
        <v>11303</v>
      </c>
    </row>
    <row r="3797" spans="1:15" x14ac:dyDescent="0.25">
      <c r="A3797" t="s">
        <v>18</v>
      </c>
      <c r="B3797" t="s">
        <v>11302</v>
      </c>
      <c r="C3797" t="s">
        <v>11304</v>
      </c>
      <c r="D3797" t="s">
        <v>20</v>
      </c>
      <c r="E3797" t="s">
        <v>11</v>
      </c>
      <c r="F3797">
        <v>979.11</v>
      </c>
      <c r="G3797">
        <v>18</v>
      </c>
      <c r="L3797" t="s">
        <v>11305</v>
      </c>
      <c r="O3797" t="s">
        <v>11306</v>
      </c>
    </row>
    <row r="3798" spans="1:15" x14ac:dyDescent="0.25">
      <c r="A3798" t="s">
        <v>18</v>
      </c>
      <c r="B3798" t="s">
        <v>11305</v>
      </c>
      <c r="C3798" t="s">
        <v>11307</v>
      </c>
      <c r="D3798" t="s">
        <v>20</v>
      </c>
      <c r="E3798" t="s">
        <v>11</v>
      </c>
      <c r="F3798">
        <v>7441.235999999999</v>
      </c>
      <c r="G3798">
        <v>18</v>
      </c>
      <c r="L3798" t="s">
        <v>11308</v>
      </c>
      <c r="O3798" t="s">
        <v>11309</v>
      </c>
    </row>
    <row r="3799" spans="1:15" x14ac:dyDescent="0.25">
      <c r="A3799" t="s">
        <v>18</v>
      </c>
      <c r="B3799" t="s">
        <v>11308</v>
      </c>
      <c r="C3799" t="s">
        <v>11310</v>
      </c>
      <c r="D3799" t="s">
        <v>20</v>
      </c>
      <c r="E3799" t="s">
        <v>11</v>
      </c>
      <c r="F3799">
        <v>1631.85</v>
      </c>
      <c r="G3799">
        <v>18</v>
      </c>
      <c r="L3799" t="s">
        <v>11311</v>
      </c>
      <c r="O3799" t="s">
        <v>11312</v>
      </c>
    </row>
    <row r="3800" spans="1:15" x14ac:dyDescent="0.25">
      <c r="A3800" t="s">
        <v>18</v>
      </c>
      <c r="B3800" t="s">
        <v>11311</v>
      </c>
      <c r="C3800" t="s">
        <v>11313</v>
      </c>
      <c r="D3800" t="s">
        <v>20</v>
      </c>
      <c r="E3800" t="s">
        <v>11</v>
      </c>
      <c r="F3800">
        <v>261.096</v>
      </c>
      <c r="G3800">
        <v>18</v>
      </c>
      <c r="L3800" t="s">
        <v>11314</v>
      </c>
      <c r="O3800" t="s">
        <v>11315</v>
      </c>
    </row>
    <row r="3801" spans="1:15" x14ac:dyDescent="0.25">
      <c r="A3801" t="s">
        <v>18</v>
      </c>
      <c r="B3801" t="s">
        <v>11314</v>
      </c>
      <c r="C3801" t="s">
        <v>11316</v>
      </c>
      <c r="D3801" t="s">
        <v>20</v>
      </c>
      <c r="E3801" t="s">
        <v>11</v>
      </c>
      <c r="F3801">
        <v>261.096</v>
      </c>
      <c r="G3801">
        <v>18</v>
      </c>
      <c r="L3801" t="s">
        <v>11317</v>
      </c>
      <c r="O3801" t="s">
        <v>11318</v>
      </c>
    </row>
    <row r="3802" spans="1:15" x14ac:dyDescent="0.25">
      <c r="A3802" t="s">
        <v>18</v>
      </c>
      <c r="B3802" t="s">
        <v>11317</v>
      </c>
      <c r="C3802" t="s">
        <v>11319</v>
      </c>
      <c r="D3802" t="s">
        <v>20</v>
      </c>
      <c r="E3802" t="s">
        <v>11</v>
      </c>
      <c r="F3802">
        <v>6592.673999999999</v>
      </c>
      <c r="G3802">
        <v>18</v>
      </c>
      <c r="L3802" t="s">
        <v>11320</v>
      </c>
      <c r="O3802" t="s">
        <v>11321</v>
      </c>
    </row>
    <row r="3803" spans="1:15" x14ac:dyDescent="0.25">
      <c r="A3803" t="s">
        <v>18</v>
      </c>
      <c r="B3803" t="s">
        <v>11320</v>
      </c>
      <c r="C3803" t="s">
        <v>11322</v>
      </c>
      <c r="D3803" t="s">
        <v>20</v>
      </c>
      <c r="E3803" t="s">
        <v>11</v>
      </c>
      <c r="F3803">
        <v>3328.9739999999997</v>
      </c>
      <c r="G3803">
        <v>18</v>
      </c>
      <c r="L3803" t="s">
        <v>11323</v>
      </c>
      <c r="O3803" t="s">
        <v>11324</v>
      </c>
    </row>
    <row r="3804" spans="1:15" x14ac:dyDescent="0.25">
      <c r="A3804" t="s">
        <v>18</v>
      </c>
      <c r="B3804" t="s">
        <v>11323</v>
      </c>
      <c r="C3804" t="s">
        <v>11325</v>
      </c>
      <c r="D3804" t="s">
        <v>20</v>
      </c>
      <c r="E3804" t="s">
        <v>11</v>
      </c>
      <c r="F3804">
        <v>1566.5759999999998</v>
      </c>
      <c r="G3804">
        <v>18</v>
      </c>
      <c r="L3804" t="s">
        <v>11326</v>
      </c>
      <c r="O3804" t="s">
        <v>11327</v>
      </c>
    </row>
    <row r="3805" spans="1:15" x14ac:dyDescent="0.25">
      <c r="A3805" t="s">
        <v>18</v>
      </c>
      <c r="B3805" t="s">
        <v>11326</v>
      </c>
      <c r="C3805" t="s">
        <v>11328</v>
      </c>
      <c r="D3805" t="s">
        <v>20</v>
      </c>
      <c r="E3805" t="s">
        <v>11</v>
      </c>
      <c r="F3805">
        <v>130.548</v>
      </c>
      <c r="G3805">
        <v>18</v>
      </c>
      <c r="L3805" t="s">
        <v>11329</v>
      </c>
      <c r="O3805" t="s">
        <v>11330</v>
      </c>
    </row>
    <row r="3806" spans="1:15" x14ac:dyDescent="0.25">
      <c r="A3806" t="s">
        <v>18</v>
      </c>
      <c r="B3806" t="s">
        <v>11329</v>
      </c>
      <c r="C3806" t="s">
        <v>11331</v>
      </c>
      <c r="D3806" t="s">
        <v>20</v>
      </c>
      <c r="E3806" t="s">
        <v>11</v>
      </c>
      <c r="F3806">
        <v>12271.511999999999</v>
      </c>
      <c r="G3806">
        <v>18</v>
      </c>
      <c r="L3806" t="s">
        <v>11332</v>
      </c>
      <c r="O3806" t="s">
        <v>11333</v>
      </c>
    </row>
    <row r="3807" spans="1:15" x14ac:dyDescent="0.25">
      <c r="A3807" t="s">
        <v>18</v>
      </c>
      <c r="B3807" t="s">
        <v>11332</v>
      </c>
      <c r="C3807" t="s">
        <v>11334</v>
      </c>
      <c r="D3807" t="s">
        <v>20</v>
      </c>
      <c r="E3807" t="s">
        <v>11</v>
      </c>
      <c r="F3807">
        <v>718.014</v>
      </c>
      <c r="G3807">
        <v>18</v>
      </c>
      <c r="L3807" t="s">
        <v>11335</v>
      </c>
      <c r="O3807" t="s">
        <v>11336</v>
      </c>
    </row>
    <row r="3808" spans="1:15" x14ac:dyDescent="0.25">
      <c r="A3808" t="s">
        <v>18</v>
      </c>
      <c r="B3808" t="s">
        <v>11335</v>
      </c>
      <c r="C3808" t="s">
        <v>11337</v>
      </c>
      <c r="D3808" t="s">
        <v>20</v>
      </c>
      <c r="E3808" t="s">
        <v>11</v>
      </c>
      <c r="F3808">
        <v>587.4659999999999</v>
      </c>
      <c r="G3808">
        <v>18</v>
      </c>
      <c r="L3808" t="s">
        <v>11338</v>
      </c>
      <c r="O3808" t="s">
        <v>11339</v>
      </c>
    </row>
    <row r="3809" spans="1:15" x14ac:dyDescent="0.25">
      <c r="A3809" t="s">
        <v>18</v>
      </c>
      <c r="B3809" t="s">
        <v>11338</v>
      </c>
      <c r="C3809" t="s">
        <v>11340</v>
      </c>
      <c r="D3809" t="s">
        <v>20</v>
      </c>
      <c r="E3809" t="s">
        <v>11</v>
      </c>
      <c r="F3809">
        <v>587.4659999999999</v>
      </c>
      <c r="G3809">
        <v>18</v>
      </c>
      <c r="L3809" t="s">
        <v>11341</v>
      </c>
      <c r="O3809" t="s">
        <v>11342</v>
      </c>
    </row>
    <row r="3810" spans="1:15" x14ac:dyDescent="0.25">
      <c r="A3810" t="s">
        <v>18</v>
      </c>
      <c r="B3810" t="s">
        <v>11341</v>
      </c>
      <c r="C3810" t="s">
        <v>11343</v>
      </c>
      <c r="D3810" t="s">
        <v>20</v>
      </c>
      <c r="E3810" t="s">
        <v>11</v>
      </c>
      <c r="F3810">
        <v>326.37</v>
      </c>
      <c r="G3810">
        <v>18</v>
      </c>
      <c r="L3810" t="s">
        <v>11344</v>
      </c>
      <c r="O3810" t="s">
        <v>11345</v>
      </c>
    </row>
    <row r="3811" spans="1:15" x14ac:dyDescent="0.25">
      <c r="A3811" t="s">
        <v>18</v>
      </c>
      <c r="B3811" t="s">
        <v>11344</v>
      </c>
      <c r="C3811" t="s">
        <v>11346</v>
      </c>
      <c r="D3811" t="s">
        <v>20</v>
      </c>
      <c r="E3811" t="s">
        <v>11</v>
      </c>
      <c r="F3811">
        <v>718.014</v>
      </c>
      <c r="G3811">
        <v>18</v>
      </c>
      <c r="L3811" t="s">
        <v>11347</v>
      </c>
      <c r="O3811" t="s">
        <v>11348</v>
      </c>
    </row>
    <row r="3812" spans="1:15" x14ac:dyDescent="0.25">
      <c r="A3812" t="s">
        <v>18</v>
      </c>
      <c r="B3812" t="s">
        <v>11347</v>
      </c>
      <c r="C3812" t="s">
        <v>11349</v>
      </c>
      <c r="D3812" t="s">
        <v>20</v>
      </c>
      <c r="E3812" t="s">
        <v>11</v>
      </c>
      <c r="F3812">
        <v>2741.508</v>
      </c>
      <c r="G3812">
        <v>18</v>
      </c>
      <c r="L3812" t="s">
        <v>11350</v>
      </c>
      <c r="O3812" t="s">
        <v>11351</v>
      </c>
    </row>
    <row r="3813" spans="1:15" x14ac:dyDescent="0.25">
      <c r="A3813" t="s">
        <v>18</v>
      </c>
      <c r="B3813" t="s">
        <v>11350</v>
      </c>
      <c r="C3813" t="s">
        <v>11352</v>
      </c>
      <c r="D3813" t="s">
        <v>20</v>
      </c>
      <c r="E3813" t="s">
        <v>11</v>
      </c>
      <c r="F3813">
        <v>4112.262</v>
      </c>
      <c r="G3813">
        <v>18</v>
      </c>
      <c r="L3813" t="s">
        <v>11353</v>
      </c>
      <c r="O3813" t="s">
        <v>11354</v>
      </c>
    </row>
    <row r="3814" spans="1:15" x14ac:dyDescent="0.25">
      <c r="A3814" t="s">
        <v>18</v>
      </c>
      <c r="B3814" t="s">
        <v>11353</v>
      </c>
      <c r="C3814" t="s">
        <v>11355</v>
      </c>
      <c r="D3814" t="s">
        <v>20</v>
      </c>
      <c r="E3814" t="s">
        <v>11</v>
      </c>
      <c r="F3814">
        <v>195.82199999999997</v>
      </c>
      <c r="G3814">
        <v>18</v>
      </c>
      <c r="L3814" t="s">
        <v>11356</v>
      </c>
      <c r="O3814" t="s">
        <v>11357</v>
      </c>
    </row>
    <row r="3815" spans="1:15" x14ac:dyDescent="0.25">
      <c r="A3815" t="s">
        <v>18</v>
      </c>
      <c r="B3815" t="s">
        <v>11356</v>
      </c>
      <c r="C3815" t="s">
        <v>11358</v>
      </c>
      <c r="D3815" t="s">
        <v>20</v>
      </c>
      <c r="E3815" t="s">
        <v>11</v>
      </c>
      <c r="F3815">
        <v>783.2879999999999</v>
      </c>
      <c r="G3815">
        <v>18</v>
      </c>
      <c r="L3815" t="s">
        <v>11359</v>
      </c>
      <c r="O3815" t="s">
        <v>11360</v>
      </c>
    </row>
    <row r="3816" spans="1:15" x14ac:dyDescent="0.25">
      <c r="A3816" t="s">
        <v>18</v>
      </c>
      <c r="B3816" t="s">
        <v>11359</v>
      </c>
      <c r="C3816" t="s">
        <v>11361</v>
      </c>
      <c r="D3816" t="s">
        <v>20</v>
      </c>
      <c r="E3816" t="s">
        <v>11</v>
      </c>
      <c r="F3816">
        <v>848.5619999999999</v>
      </c>
      <c r="G3816">
        <v>18</v>
      </c>
      <c r="L3816" t="s">
        <v>11362</v>
      </c>
      <c r="O3816" t="s">
        <v>11363</v>
      </c>
    </row>
    <row r="3817" spans="1:15" x14ac:dyDescent="0.25">
      <c r="A3817" t="s">
        <v>18</v>
      </c>
      <c r="B3817" t="s">
        <v>11362</v>
      </c>
      <c r="C3817" t="s">
        <v>11364</v>
      </c>
      <c r="D3817" t="s">
        <v>20</v>
      </c>
      <c r="E3817" t="s">
        <v>11</v>
      </c>
      <c r="F3817">
        <v>522.192</v>
      </c>
      <c r="G3817">
        <v>18</v>
      </c>
      <c r="L3817" t="s">
        <v>11365</v>
      </c>
      <c r="O3817" t="s">
        <v>11366</v>
      </c>
    </row>
    <row r="3818" spans="1:15" x14ac:dyDescent="0.25">
      <c r="A3818" t="s">
        <v>18</v>
      </c>
      <c r="B3818" t="s">
        <v>11365</v>
      </c>
      <c r="C3818" t="s">
        <v>11367</v>
      </c>
      <c r="D3818" t="s">
        <v>20</v>
      </c>
      <c r="E3818" t="s">
        <v>11</v>
      </c>
      <c r="F3818">
        <v>522.192</v>
      </c>
      <c r="G3818">
        <v>18</v>
      </c>
      <c r="L3818" t="s">
        <v>11368</v>
      </c>
      <c r="O3818" t="s">
        <v>11369</v>
      </c>
    </row>
    <row r="3819" spans="1:15" x14ac:dyDescent="0.25">
      <c r="A3819" t="s">
        <v>18</v>
      </c>
      <c r="B3819" t="s">
        <v>11368</v>
      </c>
      <c r="C3819" t="s">
        <v>11370</v>
      </c>
      <c r="D3819" t="s">
        <v>20</v>
      </c>
      <c r="E3819" t="s">
        <v>11</v>
      </c>
      <c r="F3819">
        <v>783.2879999999999</v>
      </c>
      <c r="G3819">
        <v>18</v>
      </c>
      <c r="L3819" t="s">
        <v>11371</v>
      </c>
      <c r="O3819" t="s">
        <v>11372</v>
      </c>
    </row>
    <row r="3820" spans="1:15" x14ac:dyDescent="0.25">
      <c r="A3820" t="s">
        <v>18</v>
      </c>
      <c r="B3820" t="s">
        <v>11371</v>
      </c>
      <c r="C3820" t="s">
        <v>11373</v>
      </c>
      <c r="D3820" t="s">
        <v>20</v>
      </c>
      <c r="E3820" t="s">
        <v>11</v>
      </c>
      <c r="F3820">
        <v>3263.7</v>
      </c>
      <c r="G3820">
        <v>18</v>
      </c>
      <c r="L3820" t="s">
        <v>11374</v>
      </c>
      <c r="O3820" t="s">
        <v>11375</v>
      </c>
    </row>
    <row r="3821" spans="1:15" x14ac:dyDescent="0.25">
      <c r="A3821" t="s">
        <v>18</v>
      </c>
      <c r="B3821" t="s">
        <v>11374</v>
      </c>
      <c r="C3821" t="s">
        <v>11376</v>
      </c>
      <c r="D3821" t="s">
        <v>20</v>
      </c>
      <c r="E3821" t="s">
        <v>11</v>
      </c>
      <c r="F3821">
        <v>2088.768</v>
      </c>
      <c r="G3821">
        <v>18</v>
      </c>
      <c r="L3821" t="s">
        <v>11377</v>
      </c>
      <c r="O3821" t="s">
        <v>11378</v>
      </c>
    </row>
    <row r="3822" spans="1:15" x14ac:dyDescent="0.25">
      <c r="A3822" t="s">
        <v>18</v>
      </c>
      <c r="B3822" t="s">
        <v>11377</v>
      </c>
      <c r="C3822" t="s">
        <v>11379</v>
      </c>
      <c r="D3822" t="s">
        <v>20</v>
      </c>
      <c r="E3822" t="s">
        <v>11</v>
      </c>
      <c r="F3822">
        <v>2741.508</v>
      </c>
      <c r="G3822">
        <v>18</v>
      </c>
      <c r="L3822" t="s">
        <v>11380</v>
      </c>
      <c r="O3822" t="s">
        <v>11381</v>
      </c>
    </row>
    <row r="3823" spans="1:15" x14ac:dyDescent="0.25">
      <c r="A3823" t="s">
        <v>18</v>
      </c>
      <c r="B3823" t="s">
        <v>11380</v>
      </c>
      <c r="C3823" t="s">
        <v>11382</v>
      </c>
      <c r="D3823" t="s">
        <v>20</v>
      </c>
      <c r="E3823" t="s">
        <v>11</v>
      </c>
      <c r="F3823">
        <v>4308.084</v>
      </c>
      <c r="G3823">
        <v>18</v>
      </c>
      <c r="L3823" t="s">
        <v>11383</v>
      </c>
      <c r="O3823" t="s">
        <v>11384</v>
      </c>
    </row>
    <row r="3824" spans="1:15" x14ac:dyDescent="0.25">
      <c r="A3824" t="s">
        <v>18</v>
      </c>
      <c r="B3824" t="s">
        <v>11383</v>
      </c>
      <c r="C3824" t="s">
        <v>11385</v>
      </c>
      <c r="D3824" t="s">
        <v>20</v>
      </c>
      <c r="E3824" t="s">
        <v>11</v>
      </c>
      <c r="F3824">
        <v>6005.208</v>
      </c>
      <c r="G3824">
        <v>18</v>
      </c>
      <c r="L3824" t="s">
        <v>11386</v>
      </c>
      <c r="O3824" t="s">
        <v>11387</v>
      </c>
    </row>
    <row r="3825" spans="1:15" x14ac:dyDescent="0.25">
      <c r="A3825" t="s">
        <v>18</v>
      </c>
      <c r="B3825" t="s">
        <v>11386</v>
      </c>
      <c r="C3825" t="s">
        <v>11388</v>
      </c>
      <c r="D3825" t="s">
        <v>20</v>
      </c>
      <c r="E3825" t="s">
        <v>11</v>
      </c>
      <c r="F3825">
        <v>1240.2060000000001</v>
      </c>
      <c r="G3825">
        <v>18</v>
      </c>
      <c r="L3825" t="s">
        <v>11389</v>
      </c>
      <c r="O3825" t="s">
        <v>11390</v>
      </c>
    </row>
    <row r="3826" spans="1:15" x14ac:dyDescent="0.25">
      <c r="A3826" t="s">
        <v>18</v>
      </c>
      <c r="B3826" t="s">
        <v>11389</v>
      </c>
      <c r="C3826" t="s">
        <v>11391</v>
      </c>
      <c r="D3826" t="s">
        <v>20</v>
      </c>
      <c r="E3826" t="s">
        <v>11</v>
      </c>
      <c r="F3826">
        <v>130.548</v>
      </c>
      <c r="G3826">
        <v>18</v>
      </c>
      <c r="L3826" t="s">
        <v>11392</v>
      </c>
      <c r="O3826" t="s">
        <v>11393</v>
      </c>
    </row>
    <row r="3827" spans="1:15" x14ac:dyDescent="0.25">
      <c r="A3827" t="s">
        <v>18</v>
      </c>
      <c r="B3827" t="s">
        <v>11392</v>
      </c>
      <c r="C3827" t="s">
        <v>11394</v>
      </c>
      <c r="D3827" t="s">
        <v>20</v>
      </c>
      <c r="E3827" t="s">
        <v>11</v>
      </c>
      <c r="F3827">
        <v>195.82199999999997</v>
      </c>
      <c r="G3827">
        <v>18</v>
      </c>
      <c r="L3827" t="s">
        <v>11395</v>
      </c>
      <c r="O3827" t="s">
        <v>11396</v>
      </c>
    </row>
    <row r="3828" spans="1:15" x14ac:dyDescent="0.25">
      <c r="A3828" t="s">
        <v>18</v>
      </c>
      <c r="B3828" t="s">
        <v>11395</v>
      </c>
      <c r="C3828" t="s">
        <v>11397</v>
      </c>
      <c r="D3828" t="s">
        <v>20</v>
      </c>
      <c r="E3828" t="s">
        <v>11</v>
      </c>
      <c r="F3828">
        <v>326.37</v>
      </c>
      <c r="G3828">
        <v>18</v>
      </c>
      <c r="L3828" t="s">
        <v>11398</v>
      </c>
      <c r="O3828" t="s">
        <v>11399</v>
      </c>
    </row>
    <row r="3829" spans="1:15" x14ac:dyDescent="0.25">
      <c r="A3829" t="s">
        <v>18</v>
      </c>
      <c r="B3829" t="s">
        <v>11398</v>
      </c>
      <c r="C3829" t="s">
        <v>11400</v>
      </c>
      <c r="D3829" t="s">
        <v>20</v>
      </c>
      <c r="E3829" t="s">
        <v>11</v>
      </c>
      <c r="F3829">
        <v>522.192</v>
      </c>
      <c r="G3829">
        <v>18</v>
      </c>
      <c r="L3829" t="s">
        <v>11401</v>
      </c>
      <c r="O3829" t="s">
        <v>11402</v>
      </c>
    </row>
    <row r="3830" spans="1:15" x14ac:dyDescent="0.25">
      <c r="A3830" t="s">
        <v>18</v>
      </c>
      <c r="B3830" t="s">
        <v>11401</v>
      </c>
      <c r="C3830" t="s">
        <v>11403</v>
      </c>
      <c r="D3830" t="s">
        <v>20</v>
      </c>
      <c r="E3830" t="s">
        <v>11</v>
      </c>
      <c r="F3830">
        <v>2349.8639999999996</v>
      </c>
      <c r="G3830">
        <v>18</v>
      </c>
      <c r="L3830" t="s">
        <v>11404</v>
      </c>
      <c r="O3830" t="s">
        <v>11405</v>
      </c>
    </row>
    <row r="3831" spans="1:15" x14ac:dyDescent="0.25">
      <c r="A3831" t="s">
        <v>18</v>
      </c>
      <c r="B3831" t="s">
        <v>11404</v>
      </c>
      <c r="C3831" t="s">
        <v>11406</v>
      </c>
      <c r="D3831" t="s">
        <v>20</v>
      </c>
      <c r="E3831" t="s">
        <v>11</v>
      </c>
      <c r="F3831">
        <v>2545.6859999999997</v>
      </c>
      <c r="G3831">
        <v>18</v>
      </c>
      <c r="L3831" t="s">
        <v>11407</v>
      </c>
      <c r="O3831" t="s">
        <v>11408</v>
      </c>
    </row>
    <row r="3832" spans="1:15" x14ac:dyDescent="0.25">
      <c r="A3832" t="s">
        <v>18</v>
      </c>
      <c r="B3832" t="s">
        <v>11407</v>
      </c>
      <c r="C3832" t="s">
        <v>11409</v>
      </c>
      <c r="D3832" t="s">
        <v>20</v>
      </c>
      <c r="E3832" t="s">
        <v>11</v>
      </c>
      <c r="F3832">
        <v>1109.658</v>
      </c>
      <c r="G3832">
        <v>18</v>
      </c>
      <c r="L3832" t="s">
        <v>11410</v>
      </c>
      <c r="O3832" t="s">
        <v>11411</v>
      </c>
    </row>
    <row r="3833" spans="1:15" x14ac:dyDescent="0.25">
      <c r="A3833" t="s">
        <v>18</v>
      </c>
      <c r="B3833" t="s">
        <v>11410</v>
      </c>
      <c r="C3833" t="s">
        <v>11412</v>
      </c>
      <c r="D3833" t="s">
        <v>20</v>
      </c>
      <c r="E3833" t="s">
        <v>11</v>
      </c>
      <c r="F3833">
        <v>1174.9319999999998</v>
      </c>
      <c r="G3833">
        <v>18</v>
      </c>
      <c r="L3833" t="s">
        <v>11413</v>
      </c>
      <c r="O3833" t="s">
        <v>11414</v>
      </c>
    </row>
    <row r="3834" spans="1:15" x14ac:dyDescent="0.25">
      <c r="A3834" t="s">
        <v>18</v>
      </c>
      <c r="B3834" t="s">
        <v>11413</v>
      </c>
      <c r="C3834" t="s">
        <v>11415</v>
      </c>
      <c r="D3834" t="s">
        <v>20</v>
      </c>
      <c r="E3834" t="s">
        <v>11</v>
      </c>
      <c r="F3834">
        <v>1109.658</v>
      </c>
      <c r="G3834">
        <v>18</v>
      </c>
      <c r="L3834" t="s">
        <v>11416</v>
      </c>
      <c r="O3834" t="s">
        <v>11417</v>
      </c>
    </row>
    <row r="3835" spans="1:15" x14ac:dyDescent="0.25">
      <c r="A3835" t="s">
        <v>18</v>
      </c>
      <c r="B3835" t="s">
        <v>11416</v>
      </c>
      <c r="C3835" t="s">
        <v>11418</v>
      </c>
      <c r="D3835" t="s">
        <v>20</v>
      </c>
      <c r="E3835" t="s">
        <v>11</v>
      </c>
      <c r="F3835">
        <v>1370.754</v>
      </c>
      <c r="G3835">
        <v>18</v>
      </c>
      <c r="L3835" t="s">
        <v>11419</v>
      </c>
      <c r="O3835" t="s">
        <v>11420</v>
      </c>
    </row>
    <row r="3836" spans="1:15" x14ac:dyDescent="0.25">
      <c r="A3836" t="s">
        <v>18</v>
      </c>
      <c r="B3836" t="s">
        <v>11419</v>
      </c>
      <c r="C3836" t="s">
        <v>11421</v>
      </c>
      <c r="D3836" t="s">
        <v>20</v>
      </c>
      <c r="E3836" t="s">
        <v>11</v>
      </c>
      <c r="F3836">
        <v>261.096</v>
      </c>
      <c r="G3836">
        <v>18</v>
      </c>
      <c r="L3836" t="s">
        <v>11422</v>
      </c>
      <c r="O3836" t="s">
        <v>11423</v>
      </c>
    </row>
    <row r="3837" spans="1:15" x14ac:dyDescent="0.25">
      <c r="A3837" t="s">
        <v>18</v>
      </c>
      <c r="B3837" t="s">
        <v>11422</v>
      </c>
      <c r="C3837" t="s">
        <v>11424</v>
      </c>
      <c r="D3837" t="s">
        <v>20</v>
      </c>
      <c r="E3837" t="s">
        <v>11</v>
      </c>
      <c r="F3837">
        <v>1044.384</v>
      </c>
      <c r="G3837">
        <v>18</v>
      </c>
      <c r="L3837" t="s">
        <v>11425</v>
      </c>
      <c r="O3837" t="s">
        <v>11426</v>
      </c>
    </row>
    <row r="3838" spans="1:15" x14ac:dyDescent="0.25">
      <c r="A3838" t="s">
        <v>18</v>
      </c>
      <c r="B3838" t="s">
        <v>11425</v>
      </c>
      <c r="C3838" t="s">
        <v>11427</v>
      </c>
      <c r="D3838" t="s">
        <v>20</v>
      </c>
      <c r="E3838" t="s">
        <v>11</v>
      </c>
      <c r="F3838">
        <v>848.5619999999999</v>
      </c>
      <c r="G3838">
        <v>18</v>
      </c>
      <c r="L3838" t="s">
        <v>11428</v>
      </c>
      <c r="O3838" t="s">
        <v>11429</v>
      </c>
    </row>
    <row r="3839" spans="1:15" x14ac:dyDescent="0.25">
      <c r="A3839" t="s">
        <v>18</v>
      </c>
      <c r="B3839" t="s">
        <v>11428</v>
      </c>
      <c r="C3839" t="s">
        <v>11430</v>
      </c>
      <c r="D3839" t="s">
        <v>20</v>
      </c>
      <c r="E3839" t="s">
        <v>11</v>
      </c>
      <c r="F3839">
        <v>848.5619999999999</v>
      </c>
      <c r="G3839">
        <v>18</v>
      </c>
      <c r="L3839" t="s">
        <v>11431</v>
      </c>
      <c r="O3839" t="s">
        <v>11432</v>
      </c>
    </row>
    <row r="3840" spans="1:15" x14ac:dyDescent="0.25">
      <c r="A3840" t="s">
        <v>18</v>
      </c>
      <c r="B3840" t="s">
        <v>11431</v>
      </c>
      <c r="C3840" t="s">
        <v>11433</v>
      </c>
      <c r="D3840" t="s">
        <v>20</v>
      </c>
      <c r="E3840" t="s">
        <v>11</v>
      </c>
      <c r="F3840">
        <v>848.5619999999999</v>
      </c>
      <c r="G3840">
        <v>18</v>
      </c>
      <c r="L3840" t="s">
        <v>11434</v>
      </c>
      <c r="O3840" t="s">
        <v>11435</v>
      </c>
    </row>
    <row r="3841" spans="1:15" x14ac:dyDescent="0.25">
      <c r="A3841" t="s">
        <v>18</v>
      </c>
      <c r="B3841" t="s">
        <v>11434</v>
      </c>
      <c r="C3841" t="s">
        <v>11436</v>
      </c>
      <c r="D3841" t="s">
        <v>20</v>
      </c>
      <c r="E3841" t="s">
        <v>11</v>
      </c>
      <c r="F3841">
        <v>848.5619999999999</v>
      </c>
      <c r="G3841">
        <v>18</v>
      </c>
      <c r="L3841" t="s">
        <v>11437</v>
      </c>
      <c r="O3841" t="s">
        <v>11438</v>
      </c>
    </row>
    <row r="3842" spans="1:15" x14ac:dyDescent="0.25">
      <c r="A3842" t="s">
        <v>18</v>
      </c>
      <c r="B3842" t="s">
        <v>11437</v>
      </c>
      <c r="C3842" t="s">
        <v>11439</v>
      </c>
      <c r="D3842" t="s">
        <v>20</v>
      </c>
      <c r="E3842" t="s">
        <v>11</v>
      </c>
      <c r="F3842">
        <v>848.5619999999999</v>
      </c>
      <c r="G3842">
        <v>18</v>
      </c>
      <c r="L3842" t="s">
        <v>11440</v>
      </c>
      <c r="O3842" t="s">
        <v>11441</v>
      </c>
    </row>
    <row r="3843" spans="1:15" x14ac:dyDescent="0.25">
      <c r="A3843" t="s">
        <v>18</v>
      </c>
      <c r="B3843" t="s">
        <v>11440</v>
      </c>
      <c r="C3843" t="s">
        <v>11442</v>
      </c>
      <c r="D3843" t="s">
        <v>20</v>
      </c>
      <c r="E3843" t="s">
        <v>11</v>
      </c>
      <c r="F3843">
        <v>2545.6859999999997</v>
      </c>
      <c r="G3843">
        <v>18</v>
      </c>
      <c r="L3843" t="s">
        <v>11443</v>
      </c>
      <c r="O3843" t="s">
        <v>11444</v>
      </c>
    </row>
    <row r="3844" spans="1:15" x14ac:dyDescent="0.25">
      <c r="A3844" t="s">
        <v>18</v>
      </c>
      <c r="B3844" t="s">
        <v>11443</v>
      </c>
      <c r="C3844" t="s">
        <v>11445</v>
      </c>
      <c r="D3844" t="s">
        <v>20</v>
      </c>
      <c r="E3844" t="s">
        <v>11</v>
      </c>
      <c r="F3844">
        <v>1044.384</v>
      </c>
      <c r="G3844">
        <v>18</v>
      </c>
      <c r="L3844" t="s">
        <v>11446</v>
      </c>
      <c r="O3844" t="s">
        <v>11447</v>
      </c>
    </row>
    <row r="3845" spans="1:15" x14ac:dyDescent="0.25">
      <c r="A3845" t="s">
        <v>18</v>
      </c>
      <c r="B3845" t="s">
        <v>11446</v>
      </c>
      <c r="C3845" t="s">
        <v>11448</v>
      </c>
      <c r="D3845" t="s">
        <v>20</v>
      </c>
      <c r="E3845" t="s">
        <v>11</v>
      </c>
      <c r="F3845">
        <v>652.74</v>
      </c>
      <c r="G3845">
        <v>18</v>
      </c>
      <c r="L3845" t="s">
        <v>11449</v>
      </c>
      <c r="O3845" t="s">
        <v>11450</v>
      </c>
    </row>
    <row r="3846" spans="1:15" x14ac:dyDescent="0.25">
      <c r="A3846" t="s">
        <v>18</v>
      </c>
      <c r="B3846" t="s">
        <v>11449</v>
      </c>
      <c r="C3846" t="s">
        <v>11451</v>
      </c>
      <c r="D3846" t="s">
        <v>20</v>
      </c>
      <c r="E3846" t="s">
        <v>11</v>
      </c>
      <c r="F3846">
        <v>652.74</v>
      </c>
      <c r="G3846">
        <v>18</v>
      </c>
      <c r="L3846" t="s">
        <v>11452</v>
      </c>
      <c r="O3846" t="s">
        <v>11453</v>
      </c>
    </row>
    <row r="3847" spans="1:15" x14ac:dyDescent="0.25">
      <c r="A3847" t="s">
        <v>18</v>
      </c>
      <c r="B3847" t="s">
        <v>11452</v>
      </c>
      <c r="C3847" t="s">
        <v>11454</v>
      </c>
      <c r="D3847" t="s">
        <v>20</v>
      </c>
      <c r="E3847" t="s">
        <v>11</v>
      </c>
      <c r="F3847">
        <v>718.014</v>
      </c>
      <c r="G3847">
        <v>18</v>
      </c>
      <c r="L3847" t="s">
        <v>11455</v>
      </c>
      <c r="O3847" t="s">
        <v>11456</v>
      </c>
    </row>
    <row r="3848" spans="1:15" x14ac:dyDescent="0.25">
      <c r="A3848" t="s">
        <v>18</v>
      </c>
      <c r="B3848" t="s">
        <v>11455</v>
      </c>
      <c r="C3848" t="s">
        <v>11457</v>
      </c>
      <c r="D3848" t="s">
        <v>20</v>
      </c>
      <c r="E3848" t="s">
        <v>11</v>
      </c>
      <c r="F3848">
        <v>913.836</v>
      </c>
      <c r="G3848">
        <v>18</v>
      </c>
      <c r="L3848" t="s">
        <v>11458</v>
      </c>
      <c r="O3848" t="s">
        <v>11459</v>
      </c>
    </row>
    <row r="3849" spans="1:15" x14ac:dyDescent="0.25">
      <c r="A3849" t="s">
        <v>18</v>
      </c>
      <c r="B3849" t="s">
        <v>11458</v>
      </c>
      <c r="C3849" t="s">
        <v>11460</v>
      </c>
      <c r="D3849" t="s">
        <v>20</v>
      </c>
      <c r="E3849" t="s">
        <v>11</v>
      </c>
      <c r="F3849">
        <v>783.2879999999999</v>
      </c>
      <c r="G3849">
        <v>18</v>
      </c>
      <c r="L3849" t="s">
        <v>11461</v>
      </c>
      <c r="O3849" t="s">
        <v>11462</v>
      </c>
    </row>
    <row r="3850" spans="1:15" x14ac:dyDescent="0.25">
      <c r="A3850" t="s">
        <v>18</v>
      </c>
      <c r="B3850" t="s">
        <v>11461</v>
      </c>
      <c r="C3850" t="s">
        <v>11463</v>
      </c>
      <c r="D3850" t="s">
        <v>20</v>
      </c>
      <c r="E3850" t="s">
        <v>11</v>
      </c>
      <c r="F3850">
        <v>848.5619999999999</v>
      </c>
      <c r="G3850">
        <v>18</v>
      </c>
      <c r="L3850" t="s">
        <v>11464</v>
      </c>
      <c r="O3850" t="s">
        <v>11465</v>
      </c>
    </row>
    <row r="3851" spans="1:15" x14ac:dyDescent="0.25">
      <c r="A3851" t="s">
        <v>18</v>
      </c>
      <c r="B3851" t="s">
        <v>11464</v>
      </c>
      <c r="C3851" t="s">
        <v>11466</v>
      </c>
      <c r="D3851" t="s">
        <v>20</v>
      </c>
      <c r="E3851" t="s">
        <v>11</v>
      </c>
      <c r="F3851">
        <v>848.5619999999999</v>
      </c>
      <c r="G3851">
        <v>18</v>
      </c>
      <c r="L3851" t="s">
        <v>11467</v>
      </c>
      <c r="O3851" t="s">
        <v>11468</v>
      </c>
    </row>
    <row r="3852" spans="1:15" x14ac:dyDescent="0.25">
      <c r="A3852" t="s">
        <v>18</v>
      </c>
      <c r="B3852" t="s">
        <v>11467</v>
      </c>
      <c r="C3852" t="s">
        <v>11469</v>
      </c>
      <c r="D3852" t="s">
        <v>20</v>
      </c>
      <c r="E3852" t="s">
        <v>11</v>
      </c>
      <c r="F3852">
        <v>979.11</v>
      </c>
      <c r="G3852">
        <v>18</v>
      </c>
      <c r="L3852" t="s">
        <v>11470</v>
      </c>
      <c r="O3852" t="s">
        <v>11471</v>
      </c>
    </row>
    <row r="3853" spans="1:15" x14ac:dyDescent="0.25">
      <c r="A3853" t="s">
        <v>18</v>
      </c>
      <c r="B3853" t="s">
        <v>11470</v>
      </c>
      <c r="C3853" t="s">
        <v>11472</v>
      </c>
      <c r="D3853" t="s">
        <v>20</v>
      </c>
      <c r="E3853" t="s">
        <v>11</v>
      </c>
      <c r="F3853">
        <v>1109.658</v>
      </c>
      <c r="G3853">
        <v>18</v>
      </c>
      <c r="L3853" t="s">
        <v>11473</v>
      </c>
      <c r="O3853" t="s">
        <v>11474</v>
      </c>
    </row>
    <row r="3854" spans="1:15" x14ac:dyDescent="0.25">
      <c r="A3854" t="s">
        <v>18</v>
      </c>
      <c r="B3854" t="s">
        <v>11473</v>
      </c>
      <c r="C3854" t="s">
        <v>11475</v>
      </c>
      <c r="D3854" t="s">
        <v>20</v>
      </c>
      <c r="E3854" t="s">
        <v>11</v>
      </c>
      <c r="F3854">
        <v>1958.22</v>
      </c>
      <c r="G3854">
        <v>18</v>
      </c>
      <c r="L3854" t="s">
        <v>11476</v>
      </c>
      <c r="O3854" t="s">
        <v>11477</v>
      </c>
    </row>
    <row r="3855" spans="1:15" x14ac:dyDescent="0.25">
      <c r="A3855" t="s">
        <v>18</v>
      </c>
      <c r="B3855" t="s">
        <v>11476</v>
      </c>
      <c r="C3855" t="s">
        <v>11478</v>
      </c>
      <c r="D3855" t="s">
        <v>20</v>
      </c>
      <c r="E3855" t="s">
        <v>11</v>
      </c>
      <c r="F3855">
        <v>2284.59</v>
      </c>
      <c r="G3855">
        <v>18</v>
      </c>
      <c r="L3855" t="s">
        <v>11479</v>
      </c>
      <c r="O3855" t="s">
        <v>11480</v>
      </c>
    </row>
    <row r="3856" spans="1:15" x14ac:dyDescent="0.25">
      <c r="A3856" t="s">
        <v>18</v>
      </c>
      <c r="B3856" t="s">
        <v>11479</v>
      </c>
      <c r="C3856" t="s">
        <v>11481</v>
      </c>
      <c r="D3856" t="s">
        <v>20</v>
      </c>
      <c r="E3856" t="s">
        <v>11</v>
      </c>
      <c r="F3856">
        <v>1240.2060000000001</v>
      </c>
      <c r="G3856">
        <v>18</v>
      </c>
      <c r="L3856" t="s">
        <v>11482</v>
      </c>
      <c r="O3856" t="s">
        <v>11483</v>
      </c>
    </row>
    <row r="3857" spans="1:15" x14ac:dyDescent="0.25">
      <c r="A3857" t="s">
        <v>18</v>
      </c>
      <c r="B3857" t="s">
        <v>11482</v>
      </c>
      <c r="C3857" t="s">
        <v>11484</v>
      </c>
      <c r="D3857" t="s">
        <v>20</v>
      </c>
      <c r="E3857" t="s">
        <v>11</v>
      </c>
      <c r="F3857">
        <v>652.74</v>
      </c>
      <c r="G3857">
        <v>18</v>
      </c>
      <c r="L3857" t="s">
        <v>11485</v>
      </c>
      <c r="O3857" t="s">
        <v>11486</v>
      </c>
    </row>
    <row r="3858" spans="1:15" x14ac:dyDescent="0.25">
      <c r="A3858" t="s">
        <v>18</v>
      </c>
      <c r="B3858" t="s">
        <v>11485</v>
      </c>
      <c r="C3858" t="s">
        <v>11487</v>
      </c>
      <c r="D3858" t="s">
        <v>20</v>
      </c>
      <c r="E3858" t="s">
        <v>11</v>
      </c>
      <c r="F3858">
        <v>783.2879999999999</v>
      </c>
      <c r="G3858">
        <v>18</v>
      </c>
      <c r="L3858" t="s">
        <v>11488</v>
      </c>
      <c r="O3858" t="s">
        <v>11489</v>
      </c>
    </row>
    <row r="3859" spans="1:15" x14ac:dyDescent="0.25">
      <c r="A3859" t="s">
        <v>18</v>
      </c>
      <c r="B3859" t="s">
        <v>11488</v>
      </c>
      <c r="C3859" t="s">
        <v>11490</v>
      </c>
      <c r="D3859" t="s">
        <v>20</v>
      </c>
      <c r="E3859" t="s">
        <v>11</v>
      </c>
      <c r="F3859">
        <v>1501.302</v>
      </c>
      <c r="G3859">
        <v>18</v>
      </c>
      <c r="L3859" t="s">
        <v>11491</v>
      </c>
      <c r="O3859" t="s">
        <v>11492</v>
      </c>
    </row>
    <row r="3860" spans="1:15" x14ac:dyDescent="0.25">
      <c r="A3860" t="s">
        <v>18</v>
      </c>
      <c r="B3860" t="s">
        <v>11491</v>
      </c>
      <c r="C3860" t="s">
        <v>11493</v>
      </c>
      <c r="D3860" t="s">
        <v>20</v>
      </c>
      <c r="E3860" t="s">
        <v>11</v>
      </c>
      <c r="F3860">
        <v>1501.302</v>
      </c>
      <c r="G3860">
        <v>18</v>
      </c>
      <c r="L3860" t="s">
        <v>11494</v>
      </c>
      <c r="O3860" t="s">
        <v>11495</v>
      </c>
    </row>
    <row r="3861" spans="1:15" x14ac:dyDescent="0.25">
      <c r="A3861" t="s">
        <v>18</v>
      </c>
      <c r="B3861" t="s">
        <v>11494</v>
      </c>
      <c r="C3861" t="s">
        <v>11496</v>
      </c>
      <c r="D3861" t="s">
        <v>20</v>
      </c>
      <c r="E3861" t="s">
        <v>11</v>
      </c>
      <c r="F3861">
        <v>3916.44</v>
      </c>
      <c r="G3861">
        <v>18</v>
      </c>
      <c r="L3861" t="s">
        <v>11497</v>
      </c>
      <c r="O3861" t="s">
        <v>11498</v>
      </c>
    </row>
    <row r="3862" spans="1:15" x14ac:dyDescent="0.25">
      <c r="A3862" t="s">
        <v>18</v>
      </c>
      <c r="B3862" t="s">
        <v>11497</v>
      </c>
      <c r="C3862" t="s">
        <v>11499</v>
      </c>
      <c r="D3862" t="s">
        <v>20</v>
      </c>
      <c r="E3862" t="s">
        <v>11</v>
      </c>
      <c r="F3862">
        <v>1109.658</v>
      </c>
      <c r="G3862">
        <v>18</v>
      </c>
      <c r="L3862" t="s">
        <v>11500</v>
      </c>
      <c r="O3862" t="s">
        <v>11501</v>
      </c>
    </row>
    <row r="3863" spans="1:15" x14ac:dyDescent="0.25">
      <c r="A3863" t="s">
        <v>18</v>
      </c>
      <c r="B3863" t="s">
        <v>11500</v>
      </c>
      <c r="C3863" t="s">
        <v>11502</v>
      </c>
      <c r="D3863" t="s">
        <v>20</v>
      </c>
      <c r="E3863" t="s">
        <v>11</v>
      </c>
      <c r="F3863">
        <v>261.096</v>
      </c>
      <c r="G3863">
        <v>18</v>
      </c>
      <c r="L3863" t="s">
        <v>11503</v>
      </c>
      <c r="O3863" t="s">
        <v>11504</v>
      </c>
    </row>
    <row r="3864" spans="1:15" x14ac:dyDescent="0.25">
      <c r="A3864" t="s">
        <v>18</v>
      </c>
      <c r="B3864" t="s">
        <v>11503</v>
      </c>
      <c r="C3864" t="s">
        <v>11505</v>
      </c>
      <c r="D3864" t="s">
        <v>20</v>
      </c>
      <c r="E3864" t="s">
        <v>11</v>
      </c>
      <c r="F3864">
        <v>522.192</v>
      </c>
      <c r="G3864">
        <v>18</v>
      </c>
      <c r="L3864" t="s">
        <v>11506</v>
      </c>
      <c r="O3864" t="s">
        <v>11507</v>
      </c>
    </row>
    <row r="3865" spans="1:15" x14ac:dyDescent="0.25">
      <c r="A3865" t="s">
        <v>18</v>
      </c>
      <c r="B3865" t="s">
        <v>11506</v>
      </c>
      <c r="C3865" t="s">
        <v>11508</v>
      </c>
      <c r="D3865" t="s">
        <v>20</v>
      </c>
      <c r="E3865" t="s">
        <v>11</v>
      </c>
      <c r="F3865">
        <v>261.096</v>
      </c>
      <c r="G3865">
        <v>18</v>
      </c>
      <c r="L3865" t="s">
        <v>11509</v>
      </c>
      <c r="O3865" t="s">
        <v>11510</v>
      </c>
    </row>
    <row r="3866" spans="1:15" x14ac:dyDescent="0.25">
      <c r="A3866" t="s">
        <v>18</v>
      </c>
      <c r="B3866" t="s">
        <v>11509</v>
      </c>
      <c r="C3866" t="s">
        <v>11511</v>
      </c>
      <c r="D3866" t="s">
        <v>20</v>
      </c>
      <c r="E3866" t="s">
        <v>11</v>
      </c>
      <c r="F3866">
        <v>913.836</v>
      </c>
      <c r="G3866">
        <v>18</v>
      </c>
      <c r="L3866" t="s">
        <v>11512</v>
      </c>
      <c r="O3866" t="s">
        <v>11513</v>
      </c>
    </row>
    <row r="3867" spans="1:15" x14ac:dyDescent="0.25">
      <c r="A3867" t="s">
        <v>18</v>
      </c>
      <c r="B3867" t="s">
        <v>11512</v>
      </c>
      <c r="C3867" t="s">
        <v>11514</v>
      </c>
      <c r="D3867" t="s">
        <v>20</v>
      </c>
      <c r="E3867" t="s">
        <v>11</v>
      </c>
      <c r="F3867">
        <v>2676.234</v>
      </c>
      <c r="G3867">
        <v>18</v>
      </c>
      <c r="L3867" t="s">
        <v>11515</v>
      </c>
      <c r="O3867" t="s">
        <v>11516</v>
      </c>
    </row>
    <row r="3868" spans="1:15" x14ac:dyDescent="0.25">
      <c r="A3868" t="s">
        <v>18</v>
      </c>
      <c r="B3868" t="s">
        <v>11515</v>
      </c>
      <c r="C3868" t="s">
        <v>11517</v>
      </c>
      <c r="D3868" t="s">
        <v>20</v>
      </c>
      <c r="E3868" t="s">
        <v>11</v>
      </c>
      <c r="F3868">
        <v>1501.302</v>
      </c>
      <c r="G3868">
        <v>18</v>
      </c>
      <c r="L3868" t="s">
        <v>11518</v>
      </c>
      <c r="O3868" t="s">
        <v>11519</v>
      </c>
    </row>
    <row r="3869" spans="1:15" x14ac:dyDescent="0.25">
      <c r="A3869" t="s">
        <v>18</v>
      </c>
      <c r="B3869" t="s">
        <v>11518</v>
      </c>
      <c r="C3869" t="s">
        <v>11520</v>
      </c>
      <c r="D3869" t="s">
        <v>20</v>
      </c>
      <c r="E3869" t="s">
        <v>11</v>
      </c>
      <c r="F3869">
        <v>1501.302</v>
      </c>
      <c r="G3869">
        <v>18</v>
      </c>
      <c r="L3869" t="s">
        <v>11521</v>
      </c>
      <c r="O3869" t="s">
        <v>11522</v>
      </c>
    </row>
    <row r="3870" spans="1:15" x14ac:dyDescent="0.25">
      <c r="A3870" t="s">
        <v>18</v>
      </c>
      <c r="B3870" t="s">
        <v>11521</v>
      </c>
      <c r="C3870" t="s">
        <v>11523</v>
      </c>
      <c r="D3870" t="s">
        <v>20</v>
      </c>
      <c r="E3870" t="s">
        <v>11</v>
      </c>
      <c r="F3870">
        <v>1566.5759999999998</v>
      </c>
      <c r="G3870">
        <v>18</v>
      </c>
      <c r="L3870" t="s">
        <v>11524</v>
      </c>
      <c r="O3870" t="s">
        <v>11525</v>
      </c>
    </row>
    <row r="3871" spans="1:15" x14ac:dyDescent="0.25">
      <c r="A3871" t="s">
        <v>18</v>
      </c>
      <c r="B3871" t="s">
        <v>11524</v>
      </c>
      <c r="C3871" t="s">
        <v>11526</v>
      </c>
      <c r="D3871" t="s">
        <v>20</v>
      </c>
      <c r="E3871" t="s">
        <v>11</v>
      </c>
      <c r="F3871">
        <v>1240.2060000000001</v>
      </c>
      <c r="G3871">
        <v>18</v>
      </c>
      <c r="L3871" t="s">
        <v>11527</v>
      </c>
      <c r="O3871" t="s">
        <v>11528</v>
      </c>
    </row>
    <row r="3872" spans="1:15" x14ac:dyDescent="0.25">
      <c r="A3872" t="s">
        <v>18</v>
      </c>
      <c r="B3872" t="s">
        <v>11527</v>
      </c>
      <c r="C3872" t="s">
        <v>11529</v>
      </c>
      <c r="D3872" t="s">
        <v>20</v>
      </c>
      <c r="E3872" t="s">
        <v>11</v>
      </c>
      <c r="F3872">
        <v>848.5619999999999</v>
      </c>
      <c r="G3872">
        <v>18</v>
      </c>
      <c r="L3872" t="s">
        <v>11530</v>
      </c>
      <c r="O3872" t="s">
        <v>11531</v>
      </c>
    </row>
    <row r="3873" spans="1:15" x14ac:dyDescent="0.25">
      <c r="A3873" t="s">
        <v>18</v>
      </c>
      <c r="B3873" t="s">
        <v>11530</v>
      </c>
      <c r="C3873" t="s">
        <v>11532</v>
      </c>
      <c r="D3873" t="s">
        <v>20</v>
      </c>
      <c r="E3873" t="s">
        <v>11</v>
      </c>
      <c r="F3873">
        <v>1697.1239999999998</v>
      </c>
      <c r="G3873">
        <v>18</v>
      </c>
      <c r="L3873" t="s">
        <v>11533</v>
      </c>
      <c r="O3873" t="s">
        <v>11534</v>
      </c>
    </row>
    <row r="3874" spans="1:15" x14ac:dyDescent="0.25">
      <c r="A3874" t="s">
        <v>18</v>
      </c>
      <c r="B3874" t="s">
        <v>11533</v>
      </c>
      <c r="C3874" t="s">
        <v>11535</v>
      </c>
      <c r="D3874" t="s">
        <v>20</v>
      </c>
      <c r="E3874" t="s">
        <v>11</v>
      </c>
      <c r="F3874">
        <v>1827.672</v>
      </c>
      <c r="G3874">
        <v>18</v>
      </c>
      <c r="L3874" t="s">
        <v>11536</v>
      </c>
      <c r="O3874" t="s">
        <v>11537</v>
      </c>
    </row>
    <row r="3875" spans="1:15" x14ac:dyDescent="0.25">
      <c r="A3875" t="s">
        <v>18</v>
      </c>
      <c r="B3875" t="s">
        <v>11536</v>
      </c>
      <c r="C3875" t="s">
        <v>11538</v>
      </c>
      <c r="D3875" t="s">
        <v>20</v>
      </c>
      <c r="E3875" t="s">
        <v>11</v>
      </c>
      <c r="F3875">
        <v>2415.138</v>
      </c>
      <c r="G3875">
        <v>18</v>
      </c>
      <c r="L3875" t="s">
        <v>11539</v>
      </c>
      <c r="O3875" t="s">
        <v>11540</v>
      </c>
    </row>
    <row r="3876" spans="1:15" x14ac:dyDescent="0.25">
      <c r="A3876" t="s">
        <v>18</v>
      </c>
      <c r="B3876" t="s">
        <v>11539</v>
      </c>
      <c r="C3876" t="s">
        <v>11541</v>
      </c>
      <c r="D3876" t="s">
        <v>20</v>
      </c>
      <c r="E3876" t="s">
        <v>11</v>
      </c>
      <c r="F3876">
        <v>9334.181999999999</v>
      </c>
      <c r="G3876">
        <v>18</v>
      </c>
      <c r="L3876" t="s">
        <v>11542</v>
      </c>
      <c r="O3876" t="s">
        <v>11543</v>
      </c>
    </row>
    <row r="3877" spans="1:15" x14ac:dyDescent="0.25">
      <c r="A3877" t="s">
        <v>18</v>
      </c>
      <c r="B3877" t="s">
        <v>11542</v>
      </c>
      <c r="C3877" t="s">
        <v>11544</v>
      </c>
      <c r="D3877" t="s">
        <v>20</v>
      </c>
      <c r="E3877" t="s">
        <v>11</v>
      </c>
      <c r="F3877">
        <v>3133.1519999999996</v>
      </c>
      <c r="G3877">
        <v>18</v>
      </c>
      <c r="L3877" t="s">
        <v>11545</v>
      </c>
      <c r="O3877" t="s">
        <v>11546</v>
      </c>
    </row>
    <row r="3878" spans="1:15" x14ac:dyDescent="0.25">
      <c r="A3878" t="s">
        <v>18</v>
      </c>
      <c r="B3878" t="s">
        <v>11545</v>
      </c>
      <c r="C3878" t="s">
        <v>11547</v>
      </c>
      <c r="D3878" t="s">
        <v>20</v>
      </c>
      <c r="E3878" t="s">
        <v>11</v>
      </c>
      <c r="F3878">
        <v>3785.892</v>
      </c>
      <c r="G3878">
        <v>18</v>
      </c>
      <c r="L3878" t="s">
        <v>11548</v>
      </c>
      <c r="O3878" t="s">
        <v>11549</v>
      </c>
    </row>
    <row r="3879" spans="1:15" x14ac:dyDescent="0.25">
      <c r="A3879" t="s">
        <v>18</v>
      </c>
      <c r="B3879" t="s">
        <v>11548</v>
      </c>
      <c r="C3879" t="s">
        <v>11550</v>
      </c>
      <c r="D3879" t="s">
        <v>20</v>
      </c>
      <c r="E3879" t="s">
        <v>11</v>
      </c>
      <c r="F3879">
        <v>3263.7</v>
      </c>
      <c r="G3879">
        <v>18</v>
      </c>
      <c r="L3879" t="s">
        <v>11551</v>
      </c>
      <c r="O3879" t="s">
        <v>11552</v>
      </c>
    </row>
    <row r="3880" spans="1:15" x14ac:dyDescent="0.25">
      <c r="A3880" t="s">
        <v>18</v>
      </c>
      <c r="B3880" t="s">
        <v>11551</v>
      </c>
      <c r="C3880" t="s">
        <v>11553</v>
      </c>
      <c r="D3880" t="s">
        <v>20</v>
      </c>
      <c r="E3880" t="s">
        <v>11</v>
      </c>
      <c r="F3880">
        <v>3133.1519999999996</v>
      </c>
      <c r="G3880">
        <v>18</v>
      </c>
      <c r="L3880" t="s">
        <v>11554</v>
      </c>
      <c r="O3880" t="s">
        <v>11555</v>
      </c>
    </row>
    <row r="3881" spans="1:15" x14ac:dyDescent="0.25">
      <c r="A3881" t="s">
        <v>18</v>
      </c>
      <c r="B3881" t="s">
        <v>11554</v>
      </c>
      <c r="C3881" t="s">
        <v>11556</v>
      </c>
      <c r="D3881" t="s">
        <v>20</v>
      </c>
      <c r="E3881" t="s">
        <v>11</v>
      </c>
      <c r="F3881">
        <v>3785.892</v>
      </c>
      <c r="G3881">
        <v>18</v>
      </c>
      <c r="L3881" t="s">
        <v>11557</v>
      </c>
      <c r="O3881" t="s">
        <v>11558</v>
      </c>
    </row>
    <row r="3882" spans="1:15" x14ac:dyDescent="0.25">
      <c r="A3882" t="s">
        <v>18</v>
      </c>
      <c r="B3882" t="s">
        <v>11557</v>
      </c>
      <c r="C3882" t="s">
        <v>11559</v>
      </c>
      <c r="D3882" t="s">
        <v>20</v>
      </c>
      <c r="E3882" t="s">
        <v>11</v>
      </c>
      <c r="F3882">
        <v>783.2879999999999</v>
      </c>
      <c r="G3882">
        <v>18</v>
      </c>
      <c r="L3882" t="s">
        <v>11560</v>
      </c>
      <c r="O3882" t="s">
        <v>11561</v>
      </c>
    </row>
    <row r="3883" spans="1:15" x14ac:dyDescent="0.25">
      <c r="A3883" t="s">
        <v>18</v>
      </c>
      <c r="B3883" t="s">
        <v>11560</v>
      </c>
      <c r="C3883" t="s">
        <v>11562</v>
      </c>
      <c r="D3883" t="s">
        <v>20</v>
      </c>
      <c r="E3883" t="s">
        <v>11</v>
      </c>
      <c r="F3883">
        <v>587.4659999999999</v>
      </c>
      <c r="G3883">
        <v>18</v>
      </c>
      <c r="L3883" t="s">
        <v>11563</v>
      </c>
      <c r="O3883" t="s">
        <v>11564</v>
      </c>
    </row>
    <row r="3884" spans="1:15" x14ac:dyDescent="0.25">
      <c r="A3884" t="s">
        <v>18</v>
      </c>
      <c r="B3884" t="s">
        <v>11563</v>
      </c>
      <c r="C3884" t="s">
        <v>11565</v>
      </c>
      <c r="D3884" t="s">
        <v>20</v>
      </c>
      <c r="E3884" t="s">
        <v>11</v>
      </c>
      <c r="F3884">
        <v>12728.429999999998</v>
      </c>
      <c r="G3884">
        <v>18</v>
      </c>
      <c r="L3884" t="s">
        <v>11566</v>
      </c>
      <c r="O3884" t="s">
        <v>11567</v>
      </c>
    </row>
    <row r="3885" spans="1:15" x14ac:dyDescent="0.25">
      <c r="A3885" t="s">
        <v>18</v>
      </c>
      <c r="B3885" t="s">
        <v>11566</v>
      </c>
      <c r="C3885" t="s">
        <v>11568</v>
      </c>
      <c r="D3885" t="s">
        <v>20</v>
      </c>
      <c r="E3885" t="s">
        <v>11</v>
      </c>
      <c r="F3885">
        <v>1240.2060000000001</v>
      </c>
      <c r="G3885">
        <v>18</v>
      </c>
      <c r="L3885" t="s">
        <v>11569</v>
      </c>
      <c r="O3885" t="s">
        <v>11570</v>
      </c>
    </row>
    <row r="3886" spans="1:15" x14ac:dyDescent="0.25">
      <c r="A3886" t="s">
        <v>18</v>
      </c>
      <c r="B3886" t="s">
        <v>11569</v>
      </c>
      <c r="C3886" t="s">
        <v>11571</v>
      </c>
      <c r="D3886" t="s">
        <v>20</v>
      </c>
      <c r="E3886" t="s">
        <v>11</v>
      </c>
      <c r="F3886">
        <v>3459.5219999999995</v>
      </c>
      <c r="G3886">
        <v>18</v>
      </c>
      <c r="L3886" t="s">
        <v>11572</v>
      </c>
      <c r="O3886" t="s">
        <v>11573</v>
      </c>
    </row>
    <row r="3887" spans="1:15" x14ac:dyDescent="0.25">
      <c r="A3887" t="s">
        <v>18</v>
      </c>
      <c r="B3887" t="s">
        <v>11572</v>
      </c>
      <c r="C3887" t="s">
        <v>11574</v>
      </c>
      <c r="D3887" t="s">
        <v>20</v>
      </c>
      <c r="E3887" t="s">
        <v>11</v>
      </c>
      <c r="F3887">
        <v>2676.234</v>
      </c>
      <c r="G3887">
        <v>18</v>
      </c>
      <c r="L3887" t="s">
        <v>11575</v>
      </c>
      <c r="O3887" t="s">
        <v>11576</v>
      </c>
    </row>
    <row r="3888" spans="1:15" x14ac:dyDescent="0.25">
      <c r="A3888" t="s">
        <v>18</v>
      </c>
      <c r="B3888" t="s">
        <v>11575</v>
      </c>
      <c r="C3888" t="s">
        <v>11577</v>
      </c>
      <c r="D3888" t="s">
        <v>20</v>
      </c>
      <c r="E3888" t="s">
        <v>11</v>
      </c>
      <c r="F3888">
        <v>848.5619999999999</v>
      </c>
      <c r="G3888">
        <v>18</v>
      </c>
      <c r="L3888" t="s">
        <v>11578</v>
      </c>
      <c r="O3888" t="s">
        <v>11579</v>
      </c>
    </row>
    <row r="3889" spans="1:15" x14ac:dyDescent="0.25">
      <c r="A3889" t="s">
        <v>18</v>
      </c>
      <c r="B3889" t="s">
        <v>11578</v>
      </c>
      <c r="C3889" t="s">
        <v>11580</v>
      </c>
      <c r="D3889" t="s">
        <v>20</v>
      </c>
      <c r="E3889" t="s">
        <v>11</v>
      </c>
      <c r="F3889">
        <v>7049.592000000001</v>
      </c>
      <c r="G3889">
        <v>18</v>
      </c>
      <c r="L3889" t="s">
        <v>11581</v>
      </c>
      <c r="O3889" t="s">
        <v>11582</v>
      </c>
    </row>
    <row r="3890" spans="1:15" x14ac:dyDescent="0.25">
      <c r="A3890" t="s">
        <v>18</v>
      </c>
      <c r="B3890" t="s">
        <v>11581</v>
      </c>
      <c r="C3890" t="s">
        <v>11583</v>
      </c>
      <c r="D3890" t="s">
        <v>20</v>
      </c>
      <c r="E3890" t="s">
        <v>11</v>
      </c>
      <c r="F3890">
        <v>6331.5779999999995</v>
      </c>
      <c r="G3890">
        <v>18</v>
      </c>
      <c r="L3890" t="s">
        <v>11584</v>
      </c>
      <c r="O3890" t="s">
        <v>11585</v>
      </c>
    </row>
    <row r="3891" spans="1:15" x14ac:dyDescent="0.25">
      <c r="A3891" t="s">
        <v>18</v>
      </c>
      <c r="B3891" t="s">
        <v>11584</v>
      </c>
      <c r="C3891" t="s">
        <v>11586</v>
      </c>
      <c r="D3891" t="s">
        <v>20</v>
      </c>
      <c r="E3891" t="s">
        <v>11</v>
      </c>
      <c r="F3891">
        <v>1827.672</v>
      </c>
      <c r="G3891">
        <v>18</v>
      </c>
      <c r="L3891" t="s">
        <v>11587</v>
      </c>
      <c r="O3891" t="s">
        <v>11588</v>
      </c>
    </row>
    <row r="3892" spans="1:15" x14ac:dyDescent="0.25">
      <c r="A3892" t="s">
        <v>18</v>
      </c>
      <c r="B3892" t="s">
        <v>11587</v>
      </c>
      <c r="C3892" t="s">
        <v>11589</v>
      </c>
      <c r="D3892" t="s">
        <v>20</v>
      </c>
      <c r="E3892" t="s">
        <v>11</v>
      </c>
      <c r="F3892">
        <v>1501.302</v>
      </c>
      <c r="G3892">
        <v>18</v>
      </c>
      <c r="L3892" t="s">
        <v>11590</v>
      </c>
      <c r="O3892" t="s">
        <v>11591</v>
      </c>
    </row>
    <row r="3893" spans="1:15" x14ac:dyDescent="0.25">
      <c r="A3893" t="s">
        <v>18</v>
      </c>
      <c r="B3893" t="s">
        <v>11590</v>
      </c>
      <c r="C3893" t="s">
        <v>11592</v>
      </c>
      <c r="D3893" t="s">
        <v>20</v>
      </c>
      <c r="E3893" t="s">
        <v>11</v>
      </c>
      <c r="F3893">
        <v>195.82199999999997</v>
      </c>
      <c r="G3893">
        <v>18</v>
      </c>
      <c r="L3893" t="s">
        <v>11593</v>
      </c>
      <c r="O3893" t="s">
        <v>11594</v>
      </c>
    </row>
    <row r="3894" spans="1:15" x14ac:dyDescent="0.25">
      <c r="A3894" t="s">
        <v>18</v>
      </c>
      <c r="B3894" t="s">
        <v>11593</v>
      </c>
      <c r="C3894" t="s">
        <v>11595</v>
      </c>
      <c r="D3894" t="s">
        <v>20</v>
      </c>
      <c r="E3894" t="s">
        <v>11</v>
      </c>
      <c r="F3894">
        <v>261.096</v>
      </c>
      <c r="G3894">
        <v>18</v>
      </c>
      <c r="L3894" t="s">
        <v>11596</v>
      </c>
      <c r="O3894" t="s">
        <v>11597</v>
      </c>
    </row>
    <row r="3895" spans="1:15" x14ac:dyDescent="0.25">
      <c r="A3895" t="s">
        <v>18</v>
      </c>
      <c r="B3895" t="s">
        <v>11596</v>
      </c>
      <c r="C3895" t="s">
        <v>11598</v>
      </c>
      <c r="D3895" t="s">
        <v>20</v>
      </c>
      <c r="E3895" t="s">
        <v>11</v>
      </c>
      <c r="F3895">
        <v>326.37</v>
      </c>
      <c r="G3895">
        <v>18</v>
      </c>
      <c r="L3895" t="s">
        <v>11599</v>
      </c>
      <c r="O3895" t="s">
        <v>11600</v>
      </c>
    </row>
    <row r="3896" spans="1:15" x14ac:dyDescent="0.25">
      <c r="A3896" t="s">
        <v>18</v>
      </c>
      <c r="B3896" t="s">
        <v>11599</v>
      </c>
      <c r="C3896" t="s">
        <v>11601</v>
      </c>
      <c r="D3896" t="s">
        <v>20</v>
      </c>
      <c r="E3896" t="s">
        <v>11</v>
      </c>
      <c r="F3896">
        <v>195.82199999999997</v>
      </c>
      <c r="G3896">
        <v>18</v>
      </c>
      <c r="L3896" t="s">
        <v>11602</v>
      </c>
      <c r="O3896" t="s">
        <v>11603</v>
      </c>
    </row>
    <row r="3897" spans="1:15" x14ac:dyDescent="0.25">
      <c r="A3897" t="s">
        <v>18</v>
      </c>
      <c r="B3897" t="s">
        <v>11602</v>
      </c>
      <c r="C3897" t="s">
        <v>11604</v>
      </c>
      <c r="D3897" t="s">
        <v>20</v>
      </c>
      <c r="E3897" t="s">
        <v>11</v>
      </c>
      <c r="F3897">
        <v>391.64399999999995</v>
      </c>
      <c r="G3897">
        <v>18</v>
      </c>
      <c r="L3897" t="s">
        <v>11605</v>
      </c>
      <c r="O3897" t="s">
        <v>11606</v>
      </c>
    </row>
    <row r="3898" spans="1:15" x14ac:dyDescent="0.25">
      <c r="A3898" t="s">
        <v>18</v>
      </c>
      <c r="B3898" t="s">
        <v>11605</v>
      </c>
      <c r="C3898" t="s">
        <v>11607</v>
      </c>
      <c r="D3898" t="s">
        <v>20</v>
      </c>
      <c r="E3898" t="s">
        <v>11</v>
      </c>
      <c r="F3898">
        <v>456.918</v>
      </c>
      <c r="G3898">
        <v>18</v>
      </c>
      <c r="L3898" t="s">
        <v>11608</v>
      </c>
      <c r="O3898" t="s">
        <v>11609</v>
      </c>
    </row>
    <row r="3899" spans="1:15" x14ac:dyDescent="0.25">
      <c r="A3899" t="s">
        <v>18</v>
      </c>
      <c r="B3899" t="s">
        <v>11608</v>
      </c>
      <c r="C3899" t="s">
        <v>11610</v>
      </c>
      <c r="D3899" t="s">
        <v>20</v>
      </c>
      <c r="E3899" t="s">
        <v>11</v>
      </c>
      <c r="F3899">
        <v>456.918</v>
      </c>
      <c r="G3899">
        <v>18</v>
      </c>
      <c r="L3899" t="s">
        <v>11611</v>
      </c>
      <c r="O3899" t="s">
        <v>11612</v>
      </c>
    </row>
    <row r="3900" spans="1:15" x14ac:dyDescent="0.25">
      <c r="A3900" t="s">
        <v>18</v>
      </c>
      <c r="B3900" t="s">
        <v>11611</v>
      </c>
      <c r="C3900" t="s">
        <v>11613</v>
      </c>
      <c r="D3900" t="s">
        <v>20</v>
      </c>
      <c r="E3900" t="s">
        <v>11</v>
      </c>
      <c r="F3900">
        <v>326.37</v>
      </c>
      <c r="G3900">
        <v>18</v>
      </c>
      <c r="L3900" t="s">
        <v>11614</v>
      </c>
      <c r="O3900" t="s">
        <v>11615</v>
      </c>
    </row>
    <row r="3901" spans="1:15" x14ac:dyDescent="0.25">
      <c r="A3901" t="s">
        <v>18</v>
      </c>
      <c r="B3901" t="s">
        <v>11614</v>
      </c>
      <c r="C3901" t="s">
        <v>11616</v>
      </c>
      <c r="D3901" t="s">
        <v>20</v>
      </c>
      <c r="E3901" t="s">
        <v>11</v>
      </c>
      <c r="F3901">
        <v>848.5619999999999</v>
      </c>
      <c r="G3901">
        <v>18</v>
      </c>
      <c r="L3901" t="s">
        <v>11617</v>
      </c>
      <c r="O3901" t="s">
        <v>11618</v>
      </c>
    </row>
    <row r="3902" spans="1:15" x14ac:dyDescent="0.25">
      <c r="A3902" t="s">
        <v>18</v>
      </c>
      <c r="B3902" t="s">
        <v>11617</v>
      </c>
      <c r="C3902" t="s">
        <v>11619</v>
      </c>
      <c r="D3902" t="s">
        <v>20</v>
      </c>
      <c r="E3902" t="s">
        <v>11</v>
      </c>
      <c r="F3902">
        <v>130.548</v>
      </c>
      <c r="G3902">
        <v>18</v>
      </c>
      <c r="L3902" t="s">
        <v>11620</v>
      </c>
      <c r="O3902" t="s">
        <v>11621</v>
      </c>
    </row>
    <row r="3903" spans="1:15" x14ac:dyDescent="0.25">
      <c r="A3903" t="s">
        <v>18</v>
      </c>
      <c r="B3903" t="s">
        <v>11620</v>
      </c>
      <c r="C3903" t="s">
        <v>11622</v>
      </c>
      <c r="D3903" t="s">
        <v>20</v>
      </c>
      <c r="E3903" t="s">
        <v>11</v>
      </c>
      <c r="F3903">
        <v>130.548</v>
      </c>
      <c r="G3903">
        <v>18</v>
      </c>
      <c r="L3903" t="s">
        <v>11623</v>
      </c>
      <c r="O3903" t="s">
        <v>11624</v>
      </c>
    </row>
    <row r="3904" spans="1:15" x14ac:dyDescent="0.25">
      <c r="A3904" t="s">
        <v>18</v>
      </c>
      <c r="B3904" t="s">
        <v>11623</v>
      </c>
      <c r="C3904" t="s">
        <v>11625</v>
      </c>
      <c r="D3904" t="s">
        <v>20</v>
      </c>
      <c r="E3904" t="s">
        <v>11</v>
      </c>
      <c r="F3904">
        <v>130.548</v>
      </c>
      <c r="G3904">
        <v>18</v>
      </c>
      <c r="L3904" t="s">
        <v>11626</v>
      </c>
      <c r="O3904" t="s">
        <v>11627</v>
      </c>
    </row>
    <row r="3905" spans="1:15" x14ac:dyDescent="0.25">
      <c r="A3905" t="s">
        <v>18</v>
      </c>
      <c r="B3905" t="s">
        <v>11626</v>
      </c>
      <c r="C3905" t="s">
        <v>11628</v>
      </c>
      <c r="D3905" t="s">
        <v>20</v>
      </c>
      <c r="E3905" t="s">
        <v>11</v>
      </c>
      <c r="F3905">
        <v>195.82199999999997</v>
      </c>
      <c r="G3905">
        <v>18</v>
      </c>
      <c r="L3905" t="s">
        <v>11629</v>
      </c>
      <c r="O3905" t="s">
        <v>11630</v>
      </c>
    </row>
    <row r="3906" spans="1:15" x14ac:dyDescent="0.25">
      <c r="A3906" t="s">
        <v>18</v>
      </c>
      <c r="B3906" t="s">
        <v>11629</v>
      </c>
      <c r="C3906" t="s">
        <v>11631</v>
      </c>
      <c r="D3906" t="s">
        <v>20</v>
      </c>
      <c r="E3906" t="s">
        <v>11</v>
      </c>
      <c r="F3906">
        <v>195.82199999999997</v>
      </c>
      <c r="G3906">
        <v>18</v>
      </c>
      <c r="L3906" t="s">
        <v>11632</v>
      </c>
      <c r="O3906" t="s">
        <v>11633</v>
      </c>
    </row>
    <row r="3907" spans="1:15" x14ac:dyDescent="0.25">
      <c r="A3907" t="s">
        <v>18</v>
      </c>
      <c r="B3907" t="s">
        <v>11632</v>
      </c>
      <c r="C3907" t="s">
        <v>11634</v>
      </c>
      <c r="D3907" t="s">
        <v>20</v>
      </c>
      <c r="E3907" t="s">
        <v>11</v>
      </c>
      <c r="F3907">
        <v>1827.672</v>
      </c>
      <c r="G3907">
        <v>18</v>
      </c>
      <c r="L3907" t="s">
        <v>11635</v>
      </c>
      <c r="O3907" t="s">
        <v>11636</v>
      </c>
    </row>
    <row r="3908" spans="1:15" x14ac:dyDescent="0.25">
      <c r="A3908" t="s">
        <v>18</v>
      </c>
      <c r="B3908" t="s">
        <v>11635</v>
      </c>
      <c r="C3908" t="s">
        <v>11637</v>
      </c>
      <c r="D3908" t="s">
        <v>20</v>
      </c>
      <c r="E3908" t="s">
        <v>11</v>
      </c>
      <c r="F3908">
        <v>326.37</v>
      </c>
      <c r="G3908">
        <v>18</v>
      </c>
      <c r="L3908" t="s">
        <v>11638</v>
      </c>
      <c r="O3908" t="s">
        <v>11639</v>
      </c>
    </row>
    <row r="3909" spans="1:15" x14ac:dyDescent="0.25">
      <c r="A3909" t="s">
        <v>18</v>
      </c>
      <c r="B3909" t="s">
        <v>11638</v>
      </c>
      <c r="C3909" t="s">
        <v>11640</v>
      </c>
      <c r="D3909" t="s">
        <v>20</v>
      </c>
      <c r="E3909" t="s">
        <v>11</v>
      </c>
      <c r="F3909">
        <v>326.37</v>
      </c>
      <c r="G3909">
        <v>18</v>
      </c>
      <c r="L3909" t="s">
        <v>11641</v>
      </c>
      <c r="O3909" t="s">
        <v>11642</v>
      </c>
    </row>
    <row r="3910" spans="1:15" x14ac:dyDescent="0.25">
      <c r="A3910" t="s">
        <v>18</v>
      </c>
      <c r="B3910" t="s">
        <v>11641</v>
      </c>
      <c r="C3910" t="s">
        <v>11643</v>
      </c>
      <c r="D3910" t="s">
        <v>20</v>
      </c>
      <c r="E3910" t="s">
        <v>11</v>
      </c>
      <c r="F3910">
        <v>848.5619999999999</v>
      </c>
      <c r="G3910">
        <v>18</v>
      </c>
      <c r="L3910" t="s">
        <v>11644</v>
      </c>
      <c r="O3910" t="s">
        <v>11645</v>
      </c>
    </row>
    <row r="3911" spans="1:15" x14ac:dyDescent="0.25">
      <c r="A3911" t="s">
        <v>18</v>
      </c>
      <c r="B3911" t="s">
        <v>11644</v>
      </c>
      <c r="C3911" t="s">
        <v>11646</v>
      </c>
      <c r="D3911" t="s">
        <v>20</v>
      </c>
      <c r="E3911" t="s">
        <v>11</v>
      </c>
      <c r="F3911">
        <v>522.192</v>
      </c>
      <c r="G3911">
        <v>18</v>
      </c>
      <c r="L3911" t="s">
        <v>11647</v>
      </c>
      <c r="O3911" t="s">
        <v>11648</v>
      </c>
    </row>
    <row r="3912" spans="1:15" x14ac:dyDescent="0.25">
      <c r="A3912" t="s">
        <v>18</v>
      </c>
      <c r="B3912" t="s">
        <v>11647</v>
      </c>
      <c r="C3912" t="s">
        <v>11649</v>
      </c>
      <c r="D3912" t="s">
        <v>20</v>
      </c>
      <c r="E3912" t="s">
        <v>11</v>
      </c>
      <c r="F3912">
        <v>1436.028</v>
      </c>
      <c r="G3912">
        <v>18</v>
      </c>
      <c r="L3912" t="s">
        <v>11650</v>
      </c>
      <c r="O3912" t="s">
        <v>11651</v>
      </c>
    </row>
    <row r="3913" spans="1:15" x14ac:dyDescent="0.25">
      <c r="A3913" t="s">
        <v>18</v>
      </c>
      <c r="B3913" t="s">
        <v>11650</v>
      </c>
      <c r="C3913" t="s">
        <v>11652</v>
      </c>
      <c r="D3913" t="s">
        <v>20</v>
      </c>
      <c r="E3913" t="s">
        <v>11</v>
      </c>
      <c r="F3913">
        <v>195.82199999999997</v>
      </c>
      <c r="G3913">
        <v>18</v>
      </c>
      <c r="L3913" t="s">
        <v>11653</v>
      </c>
      <c r="O3913" t="s">
        <v>11654</v>
      </c>
    </row>
    <row r="3914" spans="1:15" x14ac:dyDescent="0.25">
      <c r="A3914" t="s">
        <v>18</v>
      </c>
      <c r="B3914" t="s">
        <v>11653</v>
      </c>
      <c r="C3914" t="s">
        <v>11655</v>
      </c>
      <c r="D3914" t="s">
        <v>20</v>
      </c>
      <c r="E3914" t="s">
        <v>11</v>
      </c>
      <c r="F3914">
        <v>718.014</v>
      </c>
      <c r="G3914">
        <v>18</v>
      </c>
      <c r="L3914" t="s">
        <v>11656</v>
      </c>
      <c r="O3914" t="s">
        <v>11657</v>
      </c>
    </row>
    <row r="3915" spans="1:15" x14ac:dyDescent="0.25">
      <c r="A3915" t="s">
        <v>18</v>
      </c>
      <c r="B3915" t="s">
        <v>11656</v>
      </c>
      <c r="C3915" t="s">
        <v>11658</v>
      </c>
      <c r="D3915" t="s">
        <v>20</v>
      </c>
      <c r="E3915" t="s">
        <v>11</v>
      </c>
      <c r="F3915">
        <v>1109.658</v>
      </c>
      <c r="G3915">
        <v>18</v>
      </c>
      <c r="L3915" t="s">
        <v>11659</v>
      </c>
      <c r="O3915" t="s">
        <v>11660</v>
      </c>
    </row>
    <row r="3916" spans="1:15" x14ac:dyDescent="0.25">
      <c r="A3916" t="s">
        <v>18</v>
      </c>
      <c r="B3916" t="s">
        <v>11659</v>
      </c>
      <c r="C3916" t="s">
        <v>11661</v>
      </c>
      <c r="D3916" t="s">
        <v>20</v>
      </c>
      <c r="E3916" t="s">
        <v>11</v>
      </c>
      <c r="F3916">
        <v>2349.8639999999996</v>
      </c>
      <c r="G3916">
        <v>18</v>
      </c>
      <c r="L3916" t="s">
        <v>11662</v>
      </c>
      <c r="O3916" t="s">
        <v>11663</v>
      </c>
    </row>
    <row r="3917" spans="1:15" x14ac:dyDescent="0.25">
      <c r="A3917" t="s">
        <v>18</v>
      </c>
      <c r="B3917" t="s">
        <v>11662</v>
      </c>
      <c r="C3917" t="s">
        <v>11664</v>
      </c>
      <c r="D3917" t="s">
        <v>20</v>
      </c>
      <c r="E3917" t="s">
        <v>11</v>
      </c>
      <c r="F3917">
        <v>522.192</v>
      </c>
      <c r="G3917">
        <v>18</v>
      </c>
      <c r="L3917" t="s">
        <v>11665</v>
      </c>
      <c r="O3917" t="s">
        <v>11666</v>
      </c>
    </row>
    <row r="3918" spans="1:15" x14ac:dyDescent="0.25">
      <c r="A3918" t="s">
        <v>18</v>
      </c>
      <c r="B3918" t="s">
        <v>11665</v>
      </c>
      <c r="C3918" t="s">
        <v>11667</v>
      </c>
      <c r="D3918" t="s">
        <v>20</v>
      </c>
      <c r="E3918" t="s">
        <v>11</v>
      </c>
      <c r="F3918">
        <v>1109.658</v>
      </c>
      <c r="G3918">
        <v>18</v>
      </c>
      <c r="L3918" t="s">
        <v>11668</v>
      </c>
      <c r="O3918" t="s">
        <v>11669</v>
      </c>
    </row>
    <row r="3919" spans="1:15" x14ac:dyDescent="0.25">
      <c r="A3919" t="s">
        <v>18</v>
      </c>
      <c r="B3919" t="s">
        <v>11668</v>
      </c>
      <c r="C3919" t="s">
        <v>11670</v>
      </c>
      <c r="D3919" t="s">
        <v>20</v>
      </c>
      <c r="E3919" t="s">
        <v>11</v>
      </c>
      <c r="F3919">
        <v>195.82199999999997</v>
      </c>
      <c r="G3919">
        <v>18</v>
      </c>
      <c r="L3919" t="s">
        <v>11671</v>
      </c>
      <c r="O3919" t="s">
        <v>11672</v>
      </c>
    </row>
    <row r="3920" spans="1:15" x14ac:dyDescent="0.25">
      <c r="A3920" t="s">
        <v>18</v>
      </c>
      <c r="B3920" t="s">
        <v>11671</v>
      </c>
      <c r="C3920" t="s">
        <v>11673</v>
      </c>
      <c r="D3920" t="s">
        <v>20</v>
      </c>
      <c r="E3920" t="s">
        <v>11</v>
      </c>
      <c r="F3920">
        <v>2219.316</v>
      </c>
      <c r="G3920">
        <v>18</v>
      </c>
      <c r="L3920" t="s">
        <v>11674</v>
      </c>
      <c r="O3920" t="s">
        <v>11675</v>
      </c>
    </row>
    <row r="3921" spans="1:15" x14ac:dyDescent="0.25">
      <c r="A3921" t="s">
        <v>18</v>
      </c>
      <c r="B3921" t="s">
        <v>11674</v>
      </c>
      <c r="C3921" t="s">
        <v>11676</v>
      </c>
      <c r="D3921" t="s">
        <v>20</v>
      </c>
      <c r="E3921" t="s">
        <v>11</v>
      </c>
      <c r="F3921">
        <v>848.5619999999999</v>
      </c>
      <c r="G3921">
        <v>18</v>
      </c>
      <c r="L3921" t="s">
        <v>11677</v>
      </c>
      <c r="O3921" t="s">
        <v>11678</v>
      </c>
    </row>
    <row r="3922" spans="1:15" x14ac:dyDescent="0.25">
      <c r="A3922" t="s">
        <v>18</v>
      </c>
      <c r="B3922" t="s">
        <v>11677</v>
      </c>
      <c r="C3922" t="s">
        <v>11679</v>
      </c>
      <c r="D3922" t="s">
        <v>20</v>
      </c>
      <c r="E3922" t="s">
        <v>11</v>
      </c>
      <c r="F3922">
        <v>1436.028</v>
      </c>
      <c r="G3922">
        <v>18</v>
      </c>
      <c r="L3922" t="s">
        <v>11680</v>
      </c>
      <c r="O3922" t="s">
        <v>11681</v>
      </c>
    </row>
    <row r="3923" spans="1:15" x14ac:dyDescent="0.25">
      <c r="A3923" t="s">
        <v>18</v>
      </c>
      <c r="B3923" t="s">
        <v>11680</v>
      </c>
      <c r="C3923" t="s">
        <v>11682</v>
      </c>
      <c r="D3923" t="s">
        <v>20</v>
      </c>
      <c r="E3923" t="s">
        <v>11</v>
      </c>
      <c r="F3923">
        <v>652.74</v>
      </c>
      <c r="G3923">
        <v>18</v>
      </c>
      <c r="L3923" t="s">
        <v>11683</v>
      </c>
      <c r="O3923" t="s">
        <v>11684</v>
      </c>
    </row>
    <row r="3924" spans="1:15" x14ac:dyDescent="0.25">
      <c r="A3924" t="s">
        <v>18</v>
      </c>
      <c r="B3924" t="s">
        <v>11683</v>
      </c>
      <c r="C3924" t="s">
        <v>11685</v>
      </c>
      <c r="D3924" t="s">
        <v>20</v>
      </c>
      <c r="E3924" t="s">
        <v>11</v>
      </c>
      <c r="F3924">
        <v>2806.7819999999997</v>
      </c>
      <c r="G3924">
        <v>18</v>
      </c>
      <c r="L3924" t="s">
        <v>11686</v>
      </c>
      <c r="O3924" t="s">
        <v>11687</v>
      </c>
    </row>
    <row r="3925" spans="1:15" x14ac:dyDescent="0.25">
      <c r="A3925" t="s">
        <v>18</v>
      </c>
      <c r="B3925" t="s">
        <v>11686</v>
      </c>
      <c r="C3925" t="s">
        <v>11688</v>
      </c>
      <c r="D3925" t="s">
        <v>20</v>
      </c>
      <c r="E3925" t="s">
        <v>11</v>
      </c>
      <c r="F3925">
        <v>1566.5759999999998</v>
      </c>
      <c r="G3925">
        <v>18</v>
      </c>
      <c r="L3925" t="s">
        <v>11689</v>
      </c>
      <c r="O3925" t="s">
        <v>11690</v>
      </c>
    </row>
    <row r="3926" spans="1:15" x14ac:dyDescent="0.25">
      <c r="A3926" t="s">
        <v>18</v>
      </c>
      <c r="B3926" t="s">
        <v>11689</v>
      </c>
      <c r="C3926" t="s">
        <v>11691</v>
      </c>
      <c r="D3926" t="s">
        <v>20</v>
      </c>
      <c r="E3926" t="s">
        <v>11</v>
      </c>
      <c r="F3926">
        <v>1501.302</v>
      </c>
      <c r="G3926">
        <v>18</v>
      </c>
      <c r="L3926" t="s">
        <v>11692</v>
      </c>
      <c r="O3926" t="s">
        <v>11693</v>
      </c>
    </row>
    <row r="3927" spans="1:15" x14ac:dyDescent="0.25">
      <c r="A3927" t="s">
        <v>18</v>
      </c>
      <c r="B3927" t="s">
        <v>11692</v>
      </c>
      <c r="C3927" t="s">
        <v>11694</v>
      </c>
      <c r="D3927" t="s">
        <v>20</v>
      </c>
      <c r="E3927" t="s">
        <v>11</v>
      </c>
      <c r="F3927">
        <v>1501.302</v>
      </c>
      <c r="G3927">
        <v>18</v>
      </c>
      <c r="L3927" t="s">
        <v>11695</v>
      </c>
      <c r="O3927" t="s">
        <v>11696</v>
      </c>
    </row>
    <row r="3928" spans="1:15" x14ac:dyDescent="0.25">
      <c r="A3928" t="s">
        <v>18</v>
      </c>
      <c r="B3928" t="s">
        <v>11695</v>
      </c>
      <c r="C3928" t="s">
        <v>11697</v>
      </c>
      <c r="D3928" t="s">
        <v>20</v>
      </c>
      <c r="E3928" t="s">
        <v>11</v>
      </c>
      <c r="F3928">
        <v>1436.028</v>
      </c>
      <c r="G3928">
        <v>18</v>
      </c>
      <c r="L3928" t="s">
        <v>11698</v>
      </c>
      <c r="O3928" t="s">
        <v>11699</v>
      </c>
    </row>
    <row r="3929" spans="1:15" x14ac:dyDescent="0.25">
      <c r="A3929" t="s">
        <v>18</v>
      </c>
      <c r="B3929" t="s">
        <v>11698</v>
      </c>
      <c r="C3929" t="s">
        <v>11700</v>
      </c>
      <c r="D3929" t="s">
        <v>20</v>
      </c>
      <c r="E3929" t="s">
        <v>11</v>
      </c>
      <c r="F3929">
        <v>1697.1239999999998</v>
      </c>
      <c r="G3929">
        <v>18</v>
      </c>
      <c r="L3929" t="s">
        <v>11701</v>
      </c>
      <c r="O3929" t="s">
        <v>11702</v>
      </c>
    </row>
    <row r="3930" spans="1:15" x14ac:dyDescent="0.25">
      <c r="A3930" t="s">
        <v>18</v>
      </c>
      <c r="B3930" t="s">
        <v>11701</v>
      </c>
      <c r="C3930" t="s">
        <v>11703</v>
      </c>
      <c r="D3930" t="s">
        <v>20</v>
      </c>
      <c r="E3930" t="s">
        <v>11</v>
      </c>
      <c r="F3930">
        <v>2937.3300000000004</v>
      </c>
      <c r="G3930">
        <v>18</v>
      </c>
      <c r="L3930" t="s">
        <v>11704</v>
      </c>
      <c r="O3930" t="s">
        <v>11705</v>
      </c>
    </row>
    <row r="3931" spans="1:15" x14ac:dyDescent="0.25">
      <c r="A3931" t="s">
        <v>18</v>
      </c>
      <c r="B3931" t="s">
        <v>11704</v>
      </c>
      <c r="C3931" t="s">
        <v>11706</v>
      </c>
      <c r="D3931" t="s">
        <v>20</v>
      </c>
      <c r="E3931" t="s">
        <v>11</v>
      </c>
      <c r="F3931">
        <v>2219.316</v>
      </c>
      <c r="G3931">
        <v>18</v>
      </c>
      <c r="L3931" t="s">
        <v>11707</v>
      </c>
      <c r="O3931" t="s">
        <v>11708</v>
      </c>
    </row>
    <row r="3932" spans="1:15" x14ac:dyDescent="0.25">
      <c r="A3932" t="s">
        <v>18</v>
      </c>
      <c r="B3932" t="s">
        <v>11707</v>
      </c>
      <c r="C3932" t="s">
        <v>11709</v>
      </c>
      <c r="D3932" t="s">
        <v>20</v>
      </c>
      <c r="E3932" t="s">
        <v>11</v>
      </c>
      <c r="F3932">
        <v>2806.7819999999997</v>
      </c>
      <c r="G3932">
        <v>18</v>
      </c>
      <c r="L3932" t="s">
        <v>11710</v>
      </c>
      <c r="O3932" t="s">
        <v>11711</v>
      </c>
    </row>
    <row r="3933" spans="1:15" x14ac:dyDescent="0.25">
      <c r="A3933" t="s">
        <v>18</v>
      </c>
      <c r="B3933" t="s">
        <v>11710</v>
      </c>
      <c r="C3933" t="s">
        <v>11712</v>
      </c>
      <c r="D3933" t="s">
        <v>20</v>
      </c>
      <c r="E3933" t="s">
        <v>11</v>
      </c>
      <c r="F3933">
        <v>2219.316</v>
      </c>
      <c r="G3933">
        <v>18</v>
      </c>
      <c r="L3933" t="s">
        <v>11713</v>
      </c>
      <c r="O3933" t="s">
        <v>11714</v>
      </c>
    </row>
    <row r="3934" spans="1:15" x14ac:dyDescent="0.25">
      <c r="A3934" t="s">
        <v>18</v>
      </c>
      <c r="B3934" t="s">
        <v>11713</v>
      </c>
      <c r="C3934" t="s">
        <v>11715</v>
      </c>
      <c r="D3934" t="s">
        <v>20</v>
      </c>
      <c r="E3934" t="s">
        <v>11</v>
      </c>
      <c r="F3934">
        <v>11227.127999999999</v>
      </c>
      <c r="G3934">
        <v>18</v>
      </c>
      <c r="L3934" t="s">
        <v>11716</v>
      </c>
      <c r="O3934" t="s">
        <v>11717</v>
      </c>
    </row>
    <row r="3935" spans="1:15" x14ac:dyDescent="0.25">
      <c r="A3935" t="s">
        <v>18</v>
      </c>
      <c r="B3935" t="s">
        <v>11716</v>
      </c>
      <c r="C3935" t="s">
        <v>11718</v>
      </c>
      <c r="D3935" t="s">
        <v>20</v>
      </c>
      <c r="E3935" t="s">
        <v>11</v>
      </c>
      <c r="F3935">
        <v>587.4659999999999</v>
      </c>
      <c r="G3935">
        <v>18</v>
      </c>
      <c r="L3935" t="s">
        <v>11719</v>
      </c>
      <c r="O3935" t="s">
        <v>11720</v>
      </c>
    </row>
    <row r="3936" spans="1:15" x14ac:dyDescent="0.25">
      <c r="A3936" t="s">
        <v>18</v>
      </c>
      <c r="B3936" t="s">
        <v>11719</v>
      </c>
      <c r="C3936" t="s">
        <v>11721</v>
      </c>
      <c r="D3936" t="s">
        <v>20</v>
      </c>
      <c r="E3936" t="s">
        <v>11</v>
      </c>
      <c r="F3936">
        <v>2284.59</v>
      </c>
      <c r="G3936">
        <v>18</v>
      </c>
      <c r="L3936" t="s">
        <v>11722</v>
      </c>
      <c r="O3936" t="s">
        <v>11723</v>
      </c>
    </row>
    <row r="3937" spans="1:15" x14ac:dyDescent="0.25">
      <c r="A3937" t="s">
        <v>18</v>
      </c>
      <c r="B3937" t="s">
        <v>11722</v>
      </c>
      <c r="C3937" t="s">
        <v>11724</v>
      </c>
      <c r="D3937" t="s">
        <v>20</v>
      </c>
      <c r="E3937" t="s">
        <v>11</v>
      </c>
      <c r="F3937">
        <v>3263.7</v>
      </c>
      <c r="G3937">
        <v>18</v>
      </c>
      <c r="L3937" t="s">
        <v>11725</v>
      </c>
      <c r="O3937" t="s">
        <v>11726</v>
      </c>
    </row>
    <row r="3938" spans="1:15" x14ac:dyDescent="0.25">
      <c r="A3938" t="s">
        <v>18</v>
      </c>
      <c r="B3938" t="s">
        <v>11725</v>
      </c>
      <c r="C3938" t="s">
        <v>11727</v>
      </c>
      <c r="D3938" t="s">
        <v>20</v>
      </c>
      <c r="E3938" t="s">
        <v>11</v>
      </c>
      <c r="F3938">
        <v>4438.632</v>
      </c>
      <c r="G3938">
        <v>18</v>
      </c>
      <c r="L3938" t="s">
        <v>11728</v>
      </c>
      <c r="O3938" t="s">
        <v>11729</v>
      </c>
    </row>
    <row r="3939" spans="1:15" x14ac:dyDescent="0.25">
      <c r="A3939" t="s">
        <v>18</v>
      </c>
      <c r="B3939" t="s">
        <v>11728</v>
      </c>
      <c r="C3939" t="s">
        <v>11730</v>
      </c>
      <c r="D3939" t="s">
        <v>20</v>
      </c>
      <c r="E3939" t="s">
        <v>11</v>
      </c>
      <c r="F3939">
        <v>1370.754</v>
      </c>
      <c r="G3939">
        <v>18</v>
      </c>
      <c r="L3939" t="s">
        <v>11731</v>
      </c>
      <c r="O3939" t="s">
        <v>11732</v>
      </c>
    </row>
    <row r="3940" spans="1:15" x14ac:dyDescent="0.25">
      <c r="A3940" t="s">
        <v>18</v>
      </c>
      <c r="B3940" t="s">
        <v>11731</v>
      </c>
      <c r="C3940" t="s">
        <v>11733</v>
      </c>
      <c r="D3940" t="s">
        <v>20</v>
      </c>
      <c r="E3940" t="s">
        <v>11</v>
      </c>
      <c r="F3940">
        <v>2349.8639999999996</v>
      </c>
      <c r="G3940">
        <v>18</v>
      </c>
      <c r="L3940" t="s">
        <v>11734</v>
      </c>
      <c r="O3940" t="s">
        <v>11735</v>
      </c>
    </row>
    <row r="3941" spans="1:15" x14ac:dyDescent="0.25">
      <c r="A3941" t="s">
        <v>18</v>
      </c>
      <c r="B3941" t="s">
        <v>11734</v>
      </c>
      <c r="C3941" t="s">
        <v>11736</v>
      </c>
      <c r="D3941" t="s">
        <v>20</v>
      </c>
      <c r="E3941" t="s">
        <v>11</v>
      </c>
      <c r="F3941">
        <v>2480.4120000000003</v>
      </c>
      <c r="G3941">
        <v>18</v>
      </c>
      <c r="L3941" t="s">
        <v>11737</v>
      </c>
      <c r="O3941" t="s">
        <v>11738</v>
      </c>
    </row>
    <row r="3942" spans="1:15" x14ac:dyDescent="0.25">
      <c r="A3942" t="s">
        <v>18</v>
      </c>
      <c r="B3942" t="s">
        <v>11737</v>
      </c>
      <c r="C3942" t="s">
        <v>11739</v>
      </c>
      <c r="D3942" t="s">
        <v>20</v>
      </c>
      <c r="E3942" t="s">
        <v>11</v>
      </c>
      <c r="F3942">
        <v>587.4659999999999</v>
      </c>
      <c r="G3942">
        <v>18</v>
      </c>
      <c r="L3942" t="s">
        <v>11740</v>
      </c>
      <c r="O3942" t="s">
        <v>11741</v>
      </c>
    </row>
    <row r="3943" spans="1:15" x14ac:dyDescent="0.25">
      <c r="A3943" t="s">
        <v>18</v>
      </c>
      <c r="B3943" t="s">
        <v>11740</v>
      </c>
      <c r="C3943" t="s">
        <v>11742</v>
      </c>
      <c r="D3943" t="s">
        <v>20</v>
      </c>
      <c r="E3943" t="s">
        <v>11</v>
      </c>
      <c r="F3943">
        <v>391.64399999999995</v>
      </c>
      <c r="G3943">
        <v>18</v>
      </c>
      <c r="L3943" t="s">
        <v>11743</v>
      </c>
      <c r="O3943" t="s">
        <v>11744</v>
      </c>
    </row>
    <row r="3944" spans="1:15" x14ac:dyDescent="0.25">
      <c r="A3944" t="s">
        <v>18</v>
      </c>
      <c r="B3944" t="s">
        <v>11743</v>
      </c>
      <c r="C3944" t="s">
        <v>11745</v>
      </c>
      <c r="D3944" t="s">
        <v>20</v>
      </c>
      <c r="E3944" t="s">
        <v>11</v>
      </c>
      <c r="F3944">
        <v>1109.658</v>
      </c>
      <c r="G3944">
        <v>18</v>
      </c>
      <c r="L3944" t="s">
        <v>11746</v>
      </c>
      <c r="O3944" t="s">
        <v>11747</v>
      </c>
    </row>
    <row r="3945" spans="1:15" x14ac:dyDescent="0.25">
      <c r="A3945" t="s">
        <v>18</v>
      </c>
      <c r="B3945" t="s">
        <v>11746</v>
      </c>
      <c r="C3945" t="s">
        <v>11748</v>
      </c>
      <c r="D3945" t="s">
        <v>20</v>
      </c>
      <c r="E3945" t="s">
        <v>11</v>
      </c>
      <c r="F3945">
        <v>1109.658</v>
      </c>
      <c r="G3945">
        <v>18</v>
      </c>
      <c r="L3945" t="s">
        <v>11749</v>
      </c>
      <c r="O3945" t="s">
        <v>11750</v>
      </c>
    </row>
    <row r="3946" spans="1:15" x14ac:dyDescent="0.25">
      <c r="A3946" t="s">
        <v>18</v>
      </c>
      <c r="B3946" t="s">
        <v>11749</v>
      </c>
      <c r="C3946" t="s">
        <v>11751</v>
      </c>
      <c r="D3946" t="s">
        <v>20</v>
      </c>
      <c r="E3946" t="s">
        <v>11</v>
      </c>
      <c r="F3946">
        <v>2154.042</v>
      </c>
      <c r="G3946">
        <v>18</v>
      </c>
      <c r="L3946" t="s">
        <v>11752</v>
      </c>
      <c r="O3946" t="s">
        <v>11753</v>
      </c>
    </row>
    <row r="3947" spans="1:15" x14ac:dyDescent="0.25">
      <c r="A3947" t="s">
        <v>18</v>
      </c>
      <c r="B3947" t="s">
        <v>11752</v>
      </c>
      <c r="C3947" t="s">
        <v>11754</v>
      </c>
      <c r="D3947" t="s">
        <v>20</v>
      </c>
      <c r="E3947" t="s">
        <v>11</v>
      </c>
      <c r="F3947">
        <v>5809.3859999999995</v>
      </c>
      <c r="G3947">
        <v>18</v>
      </c>
      <c r="L3947" t="s">
        <v>11755</v>
      </c>
      <c r="O3947" t="s">
        <v>11756</v>
      </c>
    </row>
    <row r="3948" spans="1:15" x14ac:dyDescent="0.25">
      <c r="A3948" t="s">
        <v>18</v>
      </c>
      <c r="B3948" t="s">
        <v>11755</v>
      </c>
      <c r="C3948" t="s">
        <v>11757</v>
      </c>
      <c r="D3948" t="s">
        <v>20</v>
      </c>
      <c r="E3948" t="s">
        <v>11</v>
      </c>
      <c r="F3948">
        <v>2545.6859999999997</v>
      </c>
      <c r="G3948">
        <v>18</v>
      </c>
      <c r="L3948" t="s">
        <v>11758</v>
      </c>
      <c r="O3948" t="s">
        <v>11759</v>
      </c>
    </row>
    <row r="3949" spans="1:15" x14ac:dyDescent="0.25">
      <c r="A3949" t="s">
        <v>18</v>
      </c>
      <c r="B3949" t="s">
        <v>11758</v>
      </c>
      <c r="C3949" t="s">
        <v>11760</v>
      </c>
      <c r="D3949" t="s">
        <v>20</v>
      </c>
      <c r="E3949" t="s">
        <v>11</v>
      </c>
      <c r="F3949">
        <v>783.2879999999999</v>
      </c>
      <c r="G3949">
        <v>18</v>
      </c>
      <c r="L3949" t="s">
        <v>11761</v>
      </c>
      <c r="O3949" t="s">
        <v>11762</v>
      </c>
    </row>
    <row r="3950" spans="1:15" x14ac:dyDescent="0.25">
      <c r="A3950" t="s">
        <v>18</v>
      </c>
      <c r="B3950" t="s">
        <v>11761</v>
      </c>
      <c r="C3950" t="s">
        <v>11763</v>
      </c>
      <c r="D3950" t="s">
        <v>20</v>
      </c>
      <c r="E3950" t="s">
        <v>11</v>
      </c>
      <c r="F3950">
        <v>783.2879999999999</v>
      </c>
      <c r="G3950">
        <v>18</v>
      </c>
      <c r="L3950" t="s">
        <v>11764</v>
      </c>
      <c r="O3950" t="s">
        <v>11765</v>
      </c>
    </row>
    <row r="3951" spans="1:15" x14ac:dyDescent="0.25">
      <c r="A3951" t="s">
        <v>18</v>
      </c>
      <c r="B3951" t="s">
        <v>11764</v>
      </c>
      <c r="C3951" t="s">
        <v>11766</v>
      </c>
      <c r="D3951" t="s">
        <v>20</v>
      </c>
      <c r="E3951" t="s">
        <v>11</v>
      </c>
      <c r="F3951">
        <v>522.192</v>
      </c>
      <c r="G3951">
        <v>18</v>
      </c>
      <c r="L3951" t="s">
        <v>11767</v>
      </c>
      <c r="O3951" t="s">
        <v>11768</v>
      </c>
    </row>
    <row r="3952" spans="1:15" x14ac:dyDescent="0.25">
      <c r="A3952" t="s">
        <v>18</v>
      </c>
      <c r="B3952" t="s">
        <v>11767</v>
      </c>
      <c r="C3952" t="s">
        <v>11769</v>
      </c>
      <c r="D3952" t="s">
        <v>20</v>
      </c>
      <c r="E3952" t="s">
        <v>11</v>
      </c>
      <c r="F3952">
        <v>522.192</v>
      </c>
      <c r="G3952">
        <v>18</v>
      </c>
      <c r="L3952" t="s">
        <v>11770</v>
      </c>
      <c r="O3952" t="s">
        <v>11771</v>
      </c>
    </row>
    <row r="3953" spans="1:15" x14ac:dyDescent="0.25">
      <c r="A3953" t="s">
        <v>18</v>
      </c>
      <c r="B3953" t="s">
        <v>11770</v>
      </c>
      <c r="C3953" t="s">
        <v>11772</v>
      </c>
      <c r="D3953" t="s">
        <v>20</v>
      </c>
      <c r="E3953" t="s">
        <v>11</v>
      </c>
      <c r="F3953">
        <v>391.64399999999995</v>
      </c>
      <c r="G3953">
        <v>18</v>
      </c>
      <c r="L3953" t="s">
        <v>11773</v>
      </c>
      <c r="O3953" t="s">
        <v>11774</v>
      </c>
    </row>
    <row r="3954" spans="1:15" x14ac:dyDescent="0.25">
      <c r="A3954" t="s">
        <v>18</v>
      </c>
      <c r="B3954" t="s">
        <v>11773</v>
      </c>
      <c r="C3954" t="s">
        <v>11775</v>
      </c>
      <c r="D3954" t="s">
        <v>20</v>
      </c>
      <c r="E3954" t="s">
        <v>11</v>
      </c>
      <c r="F3954">
        <v>261.096</v>
      </c>
      <c r="G3954">
        <v>18</v>
      </c>
      <c r="L3954" t="s">
        <v>11776</v>
      </c>
      <c r="O3954" t="s">
        <v>11777</v>
      </c>
    </row>
    <row r="3955" spans="1:15" x14ac:dyDescent="0.25">
      <c r="A3955" t="s">
        <v>18</v>
      </c>
      <c r="B3955" t="s">
        <v>11776</v>
      </c>
      <c r="C3955" t="s">
        <v>11778</v>
      </c>
      <c r="D3955" t="s">
        <v>20</v>
      </c>
      <c r="E3955" t="s">
        <v>11</v>
      </c>
      <c r="F3955">
        <v>522.192</v>
      </c>
      <c r="G3955">
        <v>18</v>
      </c>
      <c r="L3955" t="s">
        <v>11779</v>
      </c>
      <c r="O3955" t="s">
        <v>11780</v>
      </c>
    </row>
    <row r="3956" spans="1:15" x14ac:dyDescent="0.25">
      <c r="A3956" t="s">
        <v>18</v>
      </c>
      <c r="B3956" t="s">
        <v>11779</v>
      </c>
      <c r="C3956" t="s">
        <v>11781</v>
      </c>
      <c r="D3956" t="s">
        <v>20</v>
      </c>
      <c r="E3956" t="s">
        <v>11</v>
      </c>
      <c r="F3956">
        <v>1109.658</v>
      </c>
      <c r="G3956">
        <v>18</v>
      </c>
      <c r="L3956" t="s">
        <v>11782</v>
      </c>
      <c r="O3956" t="s">
        <v>11783</v>
      </c>
    </row>
    <row r="3957" spans="1:15" x14ac:dyDescent="0.25">
      <c r="A3957" t="s">
        <v>18</v>
      </c>
      <c r="B3957" t="s">
        <v>11782</v>
      </c>
      <c r="C3957" t="s">
        <v>11784</v>
      </c>
      <c r="D3957" t="s">
        <v>20</v>
      </c>
      <c r="E3957" t="s">
        <v>11</v>
      </c>
      <c r="F3957">
        <v>979.11</v>
      </c>
      <c r="G3957">
        <v>18</v>
      </c>
      <c r="L3957" t="s">
        <v>11785</v>
      </c>
      <c r="O3957" t="s">
        <v>11786</v>
      </c>
    </row>
    <row r="3958" spans="1:15" x14ac:dyDescent="0.25">
      <c r="A3958" t="s">
        <v>18</v>
      </c>
      <c r="B3958" t="s">
        <v>11785</v>
      </c>
      <c r="C3958" t="s">
        <v>11787</v>
      </c>
      <c r="D3958" t="s">
        <v>20</v>
      </c>
      <c r="E3958" t="s">
        <v>11</v>
      </c>
      <c r="F3958">
        <v>2610.96</v>
      </c>
      <c r="G3958">
        <v>18</v>
      </c>
      <c r="L3958" t="s">
        <v>11788</v>
      </c>
      <c r="O3958" t="s">
        <v>11789</v>
      </c>
    </row>
    <row r="3959" spans="1:15" x14ac:dyDescent="0.25">
      <c r="A3959" t="s">
        <v>18</v>
      </c>
      <c r="B3959" t="s">
        <v>11788</v>
      </c>
      <c r="C3959" t="s">
        <v>11790</v>
      </c>
      <c r="D3959" t="s">
        <v>20</v>
      </c>
      <c r="E3959" t="s">
        <v>11</v>
      </c>
      <c r="F3959">
        <v>522.192</v>
      </c>
      <c r="G3959">
        <v>18</v>
      </c>
      <c r="L3959" t="s">
        <v>11791</v>
      </c>
      <c r="O3959" t="s">
        <v>11792</v>
      </c>
    </row>
    <row r="3960" spans="1:15" x14ac:dyDescent="0.25">
      <c r="A3960" t="s">
        <v>18</v>
      </c>
      <c r="B3960" t="s">
        <v>11791</v>
      </c>
      <c r="C3960" t="s">
        <v>11793</v>
      </c>
      <c r="D3960" t="s">
        <v>20</v>
      </c>
      <c r="E3960" t="s">
        <v>11</v>
      </c>
      <c r="F3960">
        <v>391.64399999999995</v>
      </c>
      <c r="G3960">
        <v>18</v>
      </c>
      <c r="L3960" t="s">
        <v>11794</v>
      </c>
      <c r="O3960" t="s">
        <v>11795</v>
      </c>
    </row>
    <row r="3961" spans="1:15" x14ac:dyDescent="0.25">
      <c r="A3961" t="s">
        <v>18</v>
      </c>
      <c r="B3961" t="s">
        <v>11794</v>
      </c>
      <c r="C3961" t="s">
        <v>11796</v>
      </c>
      <c r="D3961" t="s">
        <v>20</v>
      </c>
      <c r="E3961" t="s">
        <v>11</v>
      </c>
      <c r="F3961">
        <v>587.4659999999999</v>
      </c>
      <c r="G3961">
        <v>18</v>
      </c>
      <c r="L3961" t="s">
        <v>11797</v>
      </c>
      <c r="O3961" t="s">
        <v>11798</v>
      </c>
    </row>
    <row r="3962" spans="1:15" x14ac:dyDescent="0.25">
      <c r="A3962" t="s">
        <v>18</v>
      </c>
      <c r="B3962" t="s">
        <v>11797</v>
      </c>
      <c r="C3962" t="s">
        <v>11799</v>
      </c>
      <c r="D3962" t="s">
        <v>20</v>
      </c>
      <c r="E3962" t="s">
        <v>11</v>
      </c>
      <c r="F3962">
        <v>522.192</v>
      </c>
      <c r="G3962">
        <v>18</v>
      </c>
      <c r="L3962" t="s">
        <v>11800</v>
      </c>
      <c r="O3962" t="s">
        <v>11801</v>
      </c>
    </row>
    <row r="3963" spans="1:15" x14ac:dyDescent="0.25">
      <c r="A3963" t="s">
        <v>18</v>
      </c>
      <c r="B3963" t="s">
        <v>11800</v>
      </c>
      <c r="C3963" t="s">
        <v>11802</v>
      </c>
      <c r="D3963" t="s">
        <v>20</v>
      </c>
      <c r="E3963" t="s">
        <v>11</v>
      </c>
      <c r="F3963">
        <v>979.11</v>
      </c>
      <c r="G3963">
        <v>18</v>
      </c>
      <c r="L3963" t="s">
        <v>11803</v>
      </c>
      <c r="O3963" t="s">
        <v>11804</v>
      </c>
    </row>
    <row r="3964" spans="1:15" x14ac:dyDescent="0.25">
      <c r="A3964" t="s">
        <v>18</v>
      </c>
      <c r="B3964" t="s">
        <v>11803</v>
      </c>
      <c r="C3964" t="s">
        <v>11805</v>
      </c>
      <c r="D3964" t="s">
        <v>20</v>
      </c>
      <c r="E3964" t="s">
        <v>11</v>
      </c>
      <c r="F3964">
        <v>1240.2060000000001</v>
      </c>
      <c r="G3964">
        <v>18</v>
      </c>
      <c r="L3964" t="s">
        <v>11806</v>
      </c>
      <c r="O3964" t="s">
        <v>11807</v>
      </c>
    </row>
    <row r="3965" spans="1:15" x14ac:dyDescent="0.25">
      <c r="A3965" t="s">
        <v>18</v>
      </c>
      <c r="B3965" t="s">
        <v>11806</v>
      </c>
      <c r="C3965" t="s">
        <v>11808</v>
      </c>
      <c r="D3965" t="s">
        <v>20</v>
      </c>
      <c r="E3965" t="s">
        <v>11</v>
      </c>
      <c r="F3965">
        <v>1436.028</v>
      </c>
      <c r="G3965">
        <v>18</v>
      </c>
      <c r="L3965" t="s">
        <v>11809</v>
      </c>
      <c r="O3965" t="s">
        <v>11810</v>
      </c>
    </row>
    <row r="3966" spans="1:15" x14ac:dyDescent="0.25">
      <c r="A3966" t="s">
        <v>18</v>
      </c>
      <c r="B3966" t="s">
        <v>11809</v>
      </c>
      <c r="C3966" t="s">
        <v>11811</v>
      </c>
      <c r="D3966" t="s">
        <v>20</v>
      </c>
      <c r="E3966" t="s">
        <v>11</v>
      </c>
      <c r="F3966">
        <v>261.096</v>
      </c>
      <c r="G3966">
        <v>18</v>
      </c>
      <c r="L3966" t="s">
        <v>11812</v>
      </c>
      <c r="O3966" t="s">
        <v>11813</v>
      </c>
    </row>
    <row r="3967" spans="1:15" x14ac:dyDescent="0.25">
      <c r="A3967" t="s">
        <v>18</v>
      </c>
      <c r="B3967" t="s">
        <v>11812</v>
      </c>
      <c r="C3967" t="s">
        <v>11814</v>
      </c>
      <c r="D3967" t="s">
        <v>20</v>
      </c>
      <c r="E3967" t="s">
        <v>11</v>
      </c>
      <c r="F3967">
        <v>652.74</v>
      </c>
      <c r="G3967">
        <v>18</v>
      </c>
      <c r="L3967" t="s">
        <v>11815</v>
      </c>
      <c r="O3967" t="s">
        <v>11816</v>
      </c>
    </row>
    <row r="3968" spans="1:15" x14ac:dyDescent="0.25">
      <c r="A3968" t="s">
        <v>18</v>
      </c>
      <c r="B3968" t="s">
        <v>11815</v>
      </c>
      <c r="C3968" t="s">
        <v>11817</v>
      </c>
      <c r="D3968" t="s">
        <v>20</v>
      </c>
      <c r="E3968" t="s">
        <v>11</v>
      </c>
      <c r="F3968">
        <v>1109.658</v>
      </c>
      <c r="G3968">
        <v>18</v>
      </c>
      <c r="L3968" t="s">
        <v>11818</v>
      </c>
      <c r="O3968" t="s">
        <v>11819</v>
      </c>
    </row>
    <row r="3969" spans="1:15" x14ac:dyDescent="0.25">
      <c r="A3969" t="s">
        <v>18</v>
      </c>
      <c r="B3969" t="s">
        <v>11818</v>
      </c>
      <c r="C3969" t="s">
        <v>11820</v>
      </c>
      <c r="D3969" t="s">
        <v>20</v>
      </c>
      <c r="E3969" t="s">
        <v>11</v>
      </c>
      <c r="F3969">
        <v>456.918</v>
      </c>
      <c r="G3969">
        <v>18</v>
      </c>
      <c r="L3969" t="s">
        <v>11821</v>
      </c>
      <c r="O3969" t="s">
        <v>11822</v>
      </c>
    </row>
    <row r="3970" spans="1:15" x14ac:dyDescent="0.25">
      <c r="A3970" t="s">
        <v>18</v>
      </c>
      <c r="B3970" t="s">
        <v>11821</v>
      </c>
      <c r="C3970" t="s">
        <v>11823</v>
      </c>
      <c r="D3970" t="s">
        <v>20</v>
      </c>
      <c r="E3970" t="s">
        <v>11</v>
      </c>
      <c r="F3970">
        <v>391.64399999999995</v>
      </c>
      <c r="G3970">
        <v>18</v>
      </c>
      <c r="L3970" t="s">
        <v>11824</v>
      </c>
      <c r="O3970" t="s">
        <v>11825</v>
      </c>
    </row>
    <row r="3971" spans="1:15" x14ac:dyDescent="0.25">
      <c r="A3971" t="s">
        <v>18</v>
      </c>
      <c r="B3971" t="s">
        <v>11824</v>
      </c>
      <c r="C3971" t="s">
        <v>11826</v>
      </c>
      <c r="D3971" t="s">
        <v>20</v>
      </c>
      <c r="E3971" t="s">
        <v>11</v>
      </c>
      <c r="F3971">
        <v>3981.714</v>
      </c>
      <c r="G3971">
        <v>18</v>
      </c>
      <c r="L3971" t="s">
        <v>11827</v>
      </c>
      <c r="O3971" t="s">
        <v>11828</v>
      </c>
    </row>
    <row r="3972" spans="1:15" x14ac:dyDescent="0.25">
      <c r="A3972" t="s">
        <v>18</v>
      </c>
      <c r="B3972" t="s">
        <v>11827</v>
      </c>
      <c r="C3972" t="s">
        <v>11829</v>
      </c>
      <c r="D3972" t="s">
        <v>20</v>
      </c>
      <c r="E3972" t="s">
        <v>11</v>
      </c>
      <c r="F3972">
        <v>2349.8639999999996</v>
      </c>
      <c r="G3972">
        <v>18</v>
      </c>
      <c r="L3972" t="s">
        <v>11830</v>
      </c>
      <c r="O3972" t="s">
        <v>11831</v>
      </c>
    </row>
    <row r="3973" spans="1:15" x14ac:dyDescent="0.25">
      <c r="A3973" t="s">
        <v>18</v>
      </c>
      <c r="B3973" t="s">
        <v>11830</v>
      </c>
      <c r="C3973" t="s">
        <v>11832</v>
      </c>
      <c r="D3973" t="s">
        <v>20</v>
      </c>
      <c r="E3973" t="s">
        <v>11</v>
      </c>
      <c r="F3973">
        <v>391.64399999999995</v>
      </c>
      <c r="G3973">
        <v>18</v>
      </c>
      <c r="L3973" t="s">
        <v>11833</v>
      </c>
      <c r="O3973" t="s">
        <v>11834</v>
      </c>
    </row>
    <row r="3974" spans="1:15" x14ac:dyDescent="0.25">
      <c r="A3974" t="s">
        <v>18</v>
      </c>
      <c r="B3974" t="s">
        <v>11833</v>
      </c>
      <c r="C3974" t="s">
        <v>11835</v>
      </c>
      <c r="D3974" t="s">
        <v>20</v>
      </c>
      <c r="E3974" t="s">
        <v>11</v>
      </c>
      <c r="F3974">
        <v>261.096</v>
      </c>
      <c r="G3974">
        <v>18</v>
      </c>
      <c r="L3974" t="s">
        <v>11836</v>
      </c>
      <c r="O3974" t="s">
        <v>11837</v>
      </c>
    </row>
    <row r="3975" spans="1:15" x14ac:dyDescent="0.25">
      <c r="A3975" t="s">
        <v>18</v>
      </c>
      <c r="B3975" t="s">
        <v>11836</v>
      </c>
      <c r="C3975" t="s">
        <v>11838</v>
      </c>
      <c r="D3975" t="s">
        <v>20</v>
      </c>
      <c r="E3975" t="s">
        <v>11</v>
      </c>
      <c r="F3975">
        <v>391.64399999999995</v>
      </c>
      <c r="G3975">
        <v>18</v>
      </c>
      <c r="L3975" t="s">
        <v>11839</v>
      </c>
      <c r="O3975" t="s">
        <v>11840</v>
      </c>
    </row>
    <row r="3976" spans="1:15" x14ac:dyDescent="0.25">
      <c r="A3976" t="s">
        <v>18</v>
      </c>
      <c r="B3976" t="s">
        <v>11839</v>
      </c>
      <c r="C3976" t="s">
        <v>11841</v>
      </c>
      <c r="D3976" t="s">
        <v>20</v>
      </c>
      <c r="E3976" t="s">
        <v>11</v>
      </c>
      <c r="F3976">
        <v>456.918</v>
      </c>
      <c r="G3976">
        <v>18</v>
      </c>
      <c r="L3976" t="s">
        <v>11842</v>
      </c>
      <c r="O3976" t="s">
        <v>11843</v>
      </c>
    </row>
    <row r="3977" spans="1:15" x14ac:dyDescent="0.25">
      <c r="A3977" t="s">
        <v>18</v>
      </c>
      <c r="B3977" t="s">
        <v>11842</v>
      </c>
      <c r="C3977" t="s">
        <v>11844</v>
      </c>
      <c r="D3977" t="s">
        <v>20</v>
      </c>
      <c r="E3977" t="s">
        <v>11</v>
      </c>
      <c r="F3977">
        <v>456.918</v>
      </c>
      <c r="G3977">
        <v>18</v>
      </c>
      <c r="L3977" t="s">
        <v>11845</v>
      </c>
      <c r="O3977" t="s">
        <v>11846</v>
      </c>
    </row>
    <row r="3978" spans="1:15" x14ac:dyDescent="0.25">
      <c r="A3978" t="s">
        <v>18</v>
      </c>
      <c r="B3978" t="s">
        <v>11845</v>
      </c>
      <c r="C3978" t="s">
        <v>11847</v>
      </c>
      <c r="D3978" t="s">
        <v>20</v>
      </c>
      <c r="E3978" t="s">
        <v>11</v>
      </c>
      <c r="F3978">
        <v>1109.658</v>
      </c>
      <c r="G3978">
        <v>18</v>
      </c>
      <c r="L3978" t="s">
        <v>11848</v>
      </c>
      <c r="O3978" t="s">
        <v>11849</v>
      </c>
    </row>
    <row r="3979" spans="1:15" x14ac:dyDescent="0.25">
      <c r="A3979" t="s">
        <v>18</v>
      </c>
      <c r="B3979" t="s">
        <v>11848</v>
      </c>
      <c r="C3979" t="s">
        <v>11850</v>
      </c>
      <c r="D3979" t="s">
        <v>20</v>
      </c>
      <c r="E3979" t="s">
        <v>11</v>
      </c>
      <c r="F3979">
        <v>391.64399999999995</v>
      </c>
      <c r="G3979">
        <v>18</v>
      </c>
      <c r="L3979" t="s">
        <v>11851</v>
      </c>
      <c r="O3979" t="s">
        <v>11852</v>
      </c>
    </row>
    <row r="3980" spans="1:15" x14ac:dyDescent="0.25">
      <c r="A3980" t="s">
        <v>18</v>
      </c>
      <c r="B3980" t="s">
        <v>11851</v>
      </c>
      <c r="C3980" t="s">
        <v>11853</v>
      </c>
      <c r="D3980" t="s">
        <v>20</v>
      </c>
      <c r="E3980" t="s">
        <v>11</v>
      </c>
      <c r="F3980">
        <v>261.096</v>
      </c>
      <c r="G3980">
        <v>18</v>
      </c>
      <c r="L3980" t="s">
        <v>11854</v>
      </c>
      <c r="O3980" t="s">
        <v>11855</v>
      </c>
    </row>
    <row r="3981" spans="1:15" x14ac:dyDescent="0.25">
      <c r="A3981" t="s">
        <v>18</v>
      </c>
      <c r="B3981" t="s">
        <v>11854</v>
      </c>
      <c r="C3981" t="s">
        <v>11856</v>
      </c>
      <c r="D3981" t="s">
        <v>20</v>
      </c>
      <c r="E3981" t="s">
        <v>11</v>
      </c>
      <c r="F3981">
        <v>326.37</v>
      </c>
      <c r="G3981">
        <v>18</v>
      </c>
      <c r="L3981" t="s">
        <v>11857</v>
      </c>
      <c r="O3981" t="s">
        <v>11858</v>
      </c>
    </row>
    <row r="3982" spans="1:15" x14ac:dyDescent="0.25">
      <c r="A3982" t="s">
        <v>18</v>
      </c>
      <c r="B3982" t="s">
        <v>11857</v>
      </c>
      <c r="C3982" t="s">
        <v>11859</v>
      </c>
      <c r="D3982" t="s">
        <v>20</v>
      </c>
      <c r="E3982" t="s">
        <v>11</v>
      </c>
      <c r="F3982">
        <v>326.37</v>
      </c>
      <c r="G3982">
        <v>18</v>
      </c>
      <c r="L3982" t="s">
        <v>11860</v>
      </c>
      <c r="O3982" t="s">
        <v>11861</v>
      </c>
    </row>
    <row r="3983" spans="1:15" x14ac:dyDescent="0.25">
      <c r="A3983" t="s">
        <v>18</v>
      </c>
      <c r="B3983" t="s">
        <v>11860</v>
      </c>
      <c r="C3983" t="s">
        <v>11862</v>
      </c>
      <c r="D3983" t="s">
        <v>20</v>
      </c>
      <c r="E3983" t="s">
        <v>11</v>
      </c>
      <c r="F3983">
        <v>783.2879999999999</v>
      </c>
      <c r="G3983">
        <v>18</v>
      </c>
      <c r="L3983" t="s">
        <v>11863</v>
      </c>
      <c r="O3983" t="s">
        <v>11864</v>
      </c>
    </row>
    <row r="3984" spans="1:15" x14ac:dyDescent="0.25">
      <c r="A3984" t="s">
        <v>18</v>
      </c>
      <c r="B3984" t="s">
        <v>11863</v>
      </c>
      <c r="C3984" t="s">
        <v>11865</v>
      </c>
      <c r="D3984" t="s">
        <v>20</v>
      </c>
      <c r="E3984" t="s">
        <v>11</v>
      </c>
      <c r="F3984">
        <v>848.5619999999999</v>
      </c>
      <c r="G3984">
        <v>18</v>
      </c>
      <c r="L3984" t="s">
        <v>11866</v>
      </c>
      <c r="O3984" t="s">
        <v>11867</v>
      </c>
    </row>
    <row r="3985" spans="1:15" x14ac:dyDescent="0.25">
      <c r="A3985" t="s">
        <v>18</v>
      </c>
      <c r="B3985" t="s">
        <v>11866</v>
      </c>
      <c r="C3985" t="s">
        <v>11868</v>
      </c>
      <c r="D3985" t="s">
        <v>20</v>
      </c>
      <c r="E3985" t="s">
        <v>11</v>
      </c>
      <c r="F3985">
        <v>2219.316</v>
      </c>
      <c r="G3985">
        <v>18</v>
      </c>
      <c r="L3985" t="s">
        <v>11869</v>
      </c>
      <c r="O3985" t="s">
        <v>11870</v>
      </c>
    </row>
    <row r="3986" spans="1:15" x14ac:dyDescent="0.25">
      <c r="A3986" t="s">
        <v>18</v>
      </c>
      <c r="B3986" t="s">
        <v>11869</v>
      </c>
      <c r="C3986" t="s">
        <v>11871</v>
      </c>
      <c r="D3986" t="s">
        <v>20</v>
      </c>
      <c r="E3986" t="s">
        <v>11</v>
      </c>
      <c r="F3986">
        <v>2219.316</v>
      </c>
      <c r="G3986">
        <v>18</v>
      </c>
      <c r="L3986" t="s">
        <v>11872</v>
      </c>
      <c r="O3986" t="s">
        <v>11873</v>
      </c>
    </row>
    <row r="3987" spans="1:15" x14ac:dyDescent="0.25">
      <c r="A3987" t="s">
        <v>18</v>
      </c>
      <c r="B3987" t="s">
        <v>11872</v>
      </c>
      <c r="C3987" t="s">
        <v>11874</v>
      </c>
      <c r="D3987" t="s">
        <v>20</v>
      </c>
      <c r="E3987" t="s">
        <v>11</v>
      </c>
      <c r="F3987">
        <v>326.37</v>
      </c>
      <c r="G3987">
        <v>18</v>
      </c>
      <c r="L3987" t="s">
        <v>11875</v>
      </c>
      <c r="O3987" t="s">
        <v>11876</v>
      </c>
    </row>
    <row r="3988" spans="1:15" x14ac:dyDescent="0.25">
      <c r="A3988" t="s">
        <v>18</v>
      </c>
      <c r="B3988" t="s">
        <v>11875</v>
      </c>
      <c r="C3988" t="s">
        <v>11877</v>
      </c>
      <c r="D3988" t="s">
        <v>20</v>
      </c>
      <c r="E3988" t="s">
        <v>11</v>
      </c>
      <c r="F3988">
        <v>130.548</v>
      </c>
      <c r="G3988">
        <v>18</v>
      </c>
      <c r="L3988" t="s">
        <v>11878</v>
      </c>
      <c r="O3988" t="s">
        <v>11879</v>
      </c>
    </row>
    <row r="3989" spans="1:15" x14ac:dyDescent="0.25">
      <c r="A3989" t="s">
        <v>18</v>
      </c>
      <c r="B3989" t="s">
        <v>11878</v>
      </c>
      <c r="C3989" t="s">
        <v>11880</v>
      </c>
      <c r="D3989" t="s">
        <v>20</v>
      </c>
      <c r="E3989" t="s">
        <v>11</v>
      </c>
      <c r="F3989">
        <v>195.82199999999997</v>
      </c>
      <c r="G3989">
        <v>18</v>
      </c>
      <c r="L3989" t="s">
        <v>11881</v>
      </c>
      <c r="O3989" t="s">
        <v>11882</v>
      </c>
    </row>
    <row r="3990" spans="1:15" x14ac:dyDescent="0.25">
      <c r="A3990" t="s">
        <v>18</v>
      </c>
      <c r="B3990" t="s">
        <v>11881</v>
      </c>
      <c r="C3990" t="s">
        <v>11883</v>
      </c>
      <c r="D3990" t="s">
        <v>20</v>
      </c>
      <c r="E3990" t="s">
        <v>11</v>
      </c>
      <c r="F3990">
        <v>391.64399999999995</v>
      </c>
      <c r="G3990">
        <v>18</v>
      </c>
      <c r="L3990" t="s">
        <v>11884</v>
      </c>
      <c r="O3990" t="s">
        <v>11885</v>
      </c>
    </row>
    <row r="3991" spans="1:15" x14ac:dyDescent="0.25">
      <c r="A3991" t="s">
        <v>18</v>
      </c>
      <c r="B3991" t="s">
        <v>11884</v>
      </c>
      <c r="C3991" t="s">
        <v>11886</v>
      </c>
      <c r="D3991" t="s">
        <v>20</v>
      </c>
      <c r="E3991" t="s">
        <v>11</v>
      </c>
      <c r="F3991">
        <v>2545.6859999999997</v>
      </c>
      <c r="G3991">
        <v>18</v>
      </c>
      <c r="L3991" t="s">
        <v>11887</v>
      </c>
      <c r="O3991" t="s">
        <v>11888</v>
      </c>
    </row>
    <row r="3992" spans="1:15" x14ac:dyDescent="0.25">
      <c r="A3992" t="s">
        <v>18</v>
      </c>
      <c r="B3992" t="s">
        <v>11887</v>
      </c>
      <c r="C3992" t="s">
        <v>11889</v>
      </c>
      <c r="D3992" t="s">
        <v>20</v>
      </c>
      <c r="E3992" t="s">
        <v>11</v>
      </c>
      <c r="F3992">
        <v>326.37</v>
      </c>
      <c r="G3992">
        <v>18</v>
      </c>
      <c r="L3992" t="s">
        <v>11890</v>
      </c>
      <c r="O3992" t="s">
        <v>11891</v>
      </c>
    </row>
    <row r="3993" spans="1:15" x14ac:dyDescent="0.25">
      <c r="A3993" t="s">
        <v>18</v>
      </c>
      <c r="B3993" t="s">
        <v>11890</v>
      </c>
      <c r="C3993" t="s">
        <v>11892</v>
      </c>
      <c r="D3993" t="s">
        <v>20</v>
      </c>
      <c r="E3993" t="s">
        <v>11</v>
      </c>
      <c r="F3993">
        <v>8224.524</v>
      </c>
      <c r="G3993">
        <v>18</v>
      </c>
      <c r="L3993" t="s">
        <v>11893</v>
      </c>
      <c r="O3993" t="s">
        <v>11894</v>
      </c>
    </row>
    <row r="3994" spans="1:15" x14ac:dyDescent="0.25">
      <c r="A3994" t="s">
        <v>18</v>
      </c>
      <c r="B3994" t="s">
        <v>11893</v>
      </c>
      <c r="C3994" t="s">
        <v>11895</v>
      </c>
      <c r="D3994" t="s">
        <v>20</v>
      </c>
      <c r="E3994" t="s">
        <v>11</v>
      </c>
      <c r="F3994">
        <v>4242.8099999999995</v>
      </c>
      <c r="G3994">
        <v>18</v>
      </c>
      <c r="L3994" t="s">
        <v>11896</v>
      </c>
      <c r="O3994" t="s">
        <v>11897</v>
      </c>
    </row>
    <row r="3995" spans="1:15" x14ac:dyDescent="0.25">
      <c r="A3995" t="s">
        <v>18</v>
      </c>
      <c r="B3995" t="s">
        <v>11896</v>
      </c>
      <c r="C3995" t="s">
        <v>11898</v>
      </c>
      <c r="D3995" t="s">
        <v>20</v>
      </c>
      <c r="E3995" t="s">
        <v>11</v>
      </c>
      <c r="F3995">
        <v>979.11</v>
      </c>
      <c r="G3995">
        <v>18</v>
      </c>
      <c r="L3995" t="s">
        <v>11899</v>
      </c>
      <c r="O3995" t="s">
        <v>11900</v>
      </c>
    </row>
    <row r="3996" spans="1:15" x14ac:dyDescent="0.25">
      <c r="A3996" t="s">
        <v>18</v>
      </c>
      <c r="B3996" t="s">
        <v>11899</v>
      </c>
      <c r="C3996" t="s">
        <v>11901</v>
      </c>
      <c r="D3996" t="s">
        <v>20</v>
      </c>
      <c r="E3996" t="s">
        <v>11</v>
      </c>
      <c r="F3996">
        <v>1109.658</v>
      </c>
      <c r="G3996">
        <v>18</v>
      </c>
      <c r="L3996" t="s">
        <v>11902</v>
      </c>
      <c r="O3996" t="s">
        <v>11903</v>
      </c>
    </row>
    <row r="3997" spans="1:15" x14ac:dyDescent="0.25">
      <c r="A3997" t="s">
        <v>18</v>
      </c>
      <c r="B3997" t="s">
        <v>11902</v>
      </c>
      <c r="C3997" t="s">
        <v>11904</v>
      </c>
      <c r="D3997" t="s">
        <v>20</v>
      </c>
      <c r="E3997" t="s">
        <v>11</v>
      </c>
      <c r="F3997">
        <v>979.11</v>
      </c>
      <c r="G3997">
        <v>18</v>
      </c>
      <c r="L3997" t="s">
        <v>11905</v>
      </c>
      <c r="O3997" t="s">
        <v>11906</v>
      </c>
    </row>
    <row r="3998" spans="1:15" x14ac:dyDescent="0.25">
      <c r="A3998" t="s">
        <v>18</v>
      </c>
      <c r="B3998" t="s">
        <v>11905</v>
      </c>
      <c r="C3998" t="s">
        <v>11907</v>
      </c>
      <c r="D3998" t="s">
        <v>20</v>
      </c>
      <c r="E3998" t="s">
        <v>11</v>
      </c>
      <c r="F3998">
        <v>195.82199999999997</v>
      </c>
      <c r="G3998">
        <v>18</v>
      </c>
      <c r="L3998" t="s">
        <v>11908</v>
      </c>
      <c r="O3998" t="s">
        <v>11909</v>
      </c>
    </row>
    <row r="3999" spans="1:15" x14ac:dyDescent="0.25">
      <c r="A3999" t="s">
        <v>18</v>
      </c>
      <c r="B3999" t="s">
        <v>11908</v>
      </c>
      <c r="C3999" t="s">
        <v>11910</v>
      </c>
      <c r="D3999" t="s">
        <v>20</v>
      </c>
      <c r="E3999" t="s">
        <v>11</v>
      </c>
      <c r="F3999">
        <v>3067.8779999999997</v>
      </c>
      <c r="G3999">
        <v>18</v>
      </c>
      <c r="L3999" t="s">
        <v>11911</v>
      </c>
      <c r="O3999" t="s">
        <v>11912</v>
      </c>
    </row>
    <row r="4000" spans="1:15" x14ac:dyDescent="0.25">
      <c r="A4000" t="s">
        <v>18</v>
      </c>
      <c r="B4000" t="s">
        <v>11911</v>
      </c>
      <c r="C4000" t="s">
        <v>11913</v>
      </c>
      <c r="D4000" t="s">
        <v>20</v>
      </c>
      <c r="E4000" t="s">
        <v>11</v>
      </c>
      <c r="F4000">
        <v>2872.056</v>
      </c>
      <c r="G4000">
        <v>18</v>
      </c>
      <c r="L4000" t="s">
        <v>11914</v>
      </c>
      <c r="O4000" t="s">
        <v>11915</v>
      </c>
    </row>
    <row r="4001" spans="1:15" x14ac:dyDescent="0.25">
      <c r="A4001" t="s">
        <v>18</v>
      </c>
      <c r="B4001" t="s">
        <v>11914</v>
      </c>
      <c r="C4001" t="s">
        <v>11916</v>
      </c>
      <c r="D4001" t="s">
        <v>20</v>
      </c>
      <c r="E4001" t="s">
        <v>11</v>
      </c>
      <c r="F4001">
        <v>6919.043999999999</v>
      </c>
      <c r="G4001">
        <v>18</v>
      </c>
      <c r="L4001" t="s">
        <v>11917</v>
      </c>
      <c r="O4001" t="s">
        <v>11918</v>
      </c>
    </row>
    <row r="4002" spans="1:15" x14ac:dyDescent="0.25">
      <c r="A4002" t="s">
        <v>18</v>
      </c>
      <c r="B4002" t="s">
        <v>11917</v>
      </c>
      <c r="C4002" t="s">
        <v>11919</v>
      </c>
      <c r="D4002" t="s">
        <v>20</v>
      </c>
      <c r="E4002" t="s">
        <v>11</v>
      </c>
      <c r="F4002">
        <v>3720.6179999999995</v>
      </c>
      <c r="G4002">
        <v>18</v>
      </c>
      <c r="L4002" t="s">
        <v>11920</v>
      </c>
      <c r="O4002" t="s">
        <v>11921</v>
      </c>
    </row>
    <row r="4003" spans="1:15" x14ac:dyDescent="0.25">
      <c r="A4003" t="s">
        <v>18</v>
      </c>
      <c r="B4003" t="s">
        <v>11920</v>
      </c>
      <c r="C4003" t="s">
        <v>11922</v>
      </c>
      <c r="D4003" t="s">
        <v>20</v>
      </c>
      <c r="E4003" t="s">
        <v>11</v>
      </c>
      <c r="F4003">
        <v>1109.658</v>
      </c>
      <c r="G4003">
        <v>18</v>
      </c>
      <c r="L4003" t="s">
        <v>11923</v>
      </c>
      <c r="O4003" t="s">
        <v>11924</v>
      </c>
    </row>
    <row r="4004" spans="1:15" x14ac:dyDescent="0.25">
      <c r="A4004" t="s">
        <v>18</v>
      </c>
      <c r="B4004" t="s">
        <v>11923</v>
      </c>
      <c r="C4004" t="s">
        <v>11925</v>
      </c>
      <c r="D4004" t="s">
        <v>20</v>
      </c>
      <c r="E4004" t="s">
        <v>11</v>
      </c>
      <c r="F4004">
        <v>1827.672</v>
      </c>
      <c r="G4004">
        <v>18</v>
      </c>
      <c r="L4004" t="s">
        <v>11926</v>
      </c>
      <c r="O4004" t="s">
        <v>11927</v>
      </c>
    </row>
    <row r="4005" spans="1:15" x14ac:dyDescent="0.25">
      <c r="A4005" t="s">
        <v>18</v>
      </c>
      <c r="B4005" t="s">
        <v>11926</v>
      </c>
      <c r="C4005" t="s">
        <v>11928</v>
      </c>
      <c r="D4005" t="s">
        <v>20</v>
      </c>
      <c r="E4005" t="s">
        <v>11</v>
      </c>
      <c r="F4005">
        <v>1631.85</v>
      </c>
      <c r="G4005">
        <v>18</v>
      </c>
      <c r="L4005" t="s">
        <v>11929</v>
      </c>
      <c r="O4005" t="s">
        <v>11930</v>
      </c>
    </row>
    <row r="4006" spans="1:15" x14ac:dyDescent="0.25">
      <c r="A4006" t="s">
        <v>18</v>
      </c>
      <c r="B4006" t="s">
        <v>11929</v>
      </c>
      <c r="C4006" t="s">
        <v>11931</v>
      </c>
      <c r="D4006" t="s">
        <v>20</v>
      </c>
      <c r="E4006" t="s">
        <v>11</v>
      </c>
      <c r="F4006">
        <v>522.192</v>
      </c>
      <c r="G4006">
        <v>18</v>
      </c>
      <c r="L4006" t="s">
        <v>11932</v>
      </c>
      <c r="O4006" t="s">
        <v>11933</v>
      </c>
    </row>
    <row r="4007" spans="1:15" x14ac:dyDescent="0.25">
      <c r="A4007" t="s">
        <v>18</v>
      </c>
      <c r="B4007" t="s">
        <v>11932</v>
      </c>
      <c r="C4007" t="s">
        <v>11934</v>
      </c>
      <c r="D4007" t="s">
        <v>20</v>
      </c>
      <c r="E4007" t="s">
        <v>11</v>
      </c>
      <c r="F4007">
        <v>979.11</v>
      </c>
      <c r="G4007">
        <v>18</v>
      </c>
      <c r="L4007" t="s">
        <v>11935</v>
      </c>
      <c r="O4007" t="s">
        <v>11936</v>
      </c>
    </row>
    <row r="4008" spans="1:15" x14ac:dyDescent="0.25">
      <c r="A4008" t="s">
        <v>18</v>
      </c>
      <c r="B4008" t="s">
        <v>11935</v>
      </c>
      <c r="C4008" t="s">
        <v>11937</v>
      </c>
      <c r="D4008" t="s">
        <v>20</v>
      </c>
      <c r="E4008" t="s">
        <v>11</v>
      </c>
      <c r="F4008">
        <v>3590.0699999999997</v>
      </c>
      <c r="G4008">
        <v>18</v>
      </c>
      <c r="L4008" t="s">
        <v>11938</v>
      </c>
      <c r="O4008" t="s">
        <v>11939</v>
      </c>
    </row>
    <row r="4009" spans="1:15" x14ac:dyDescent="0.25">
      <c r="A4009" t="s">
        <v>18</v>
      </c>
      <c r="B4009" t="s">
        <v>11938</v>
      </c>
      <c r="C4009" t="s">
        <v>11940</v>
      </c>
      <c r="D4009" t="s">
        <v>20</v>
      </c>
      <c r="E4009" t="s">
        <v>11</v>
      </c>
      <c r="F4009">
        <v>2872.056</v>
      </c>
      <c r="G4009">
        <v>18</v>
      </c>
      <c r="L4009" t="s">
        <v>11941</v>
      </c>
      <c r="O4009" t="s">
        <v>11942</v>
      </c>
    </row>
    <row r="4010" spans="1:15" x14ac:dyDescent="0.25">
      <c r="A4010" t="s">
        <v>18</v>
      </c>
      <c r="B4010" t="s">
        <v>11941</v>
      </c>
      <c r="C4010" t="s">
        <v>11943</v>
      </c>
      <c r="D4010" t="s">
        <v>20</v>
      </c>
      <c r="E4010" t="s">
        <v>11</v>
      </c>
      <c r="F4010">
        <v>3394.2479999999996</v>
      </c>
      <c r="G4010">
        <v>18</v>
      </c>
      <c r="L4010" t="s">
        <v>11944</v>
      </c>
      <c r="O4010" t="s">
        <v>11945</v>
      </c>
    </row>
    <row r="4011" spans="1:15" x14ac:dyDescent="0.25">
      <c r="A4011" t="s">
        <v>18</v>
      </c>
      <c r="B4011" t="s">
        <v>11944</v>
      </c>
      <c r="C4011" t="s">
        <v>11946</v>
      </c>
      <c r="D4011" t="s">
        <v>20</v>
      </c>
      <c r="E4011" t="s">
        <v>11</v>
      </c>
      <c r="F4011">
        <v>2741.508</v>
      </c>
      <c r="G4011">
        <v>18</v>
      </c>
      <c r="L4011" t="s">
        <v>11947</v>
      </c>
      <c r="O4011" t="s">
        <v>11948</v>
      </c>
    </row>
    <row r="4012" spans="1:15" x14ac:dyDescent="0.25">
      <c r="A4012" t="s">
        <v>18</v>
      </c>
      <c r="B4012" t="s">
        <v>11947</v>
      </c>
      <c r="C4012" t="s">
        <v>11949</v>
      </c>
      <c r="D4012" t="s">
        <v>20</v>
      </c>
      <c r="E4012" t="s">
        <v>11</v>
      </c>
      <c r="F4012">
        <v>1044.384</v>
      </c>
      <c r="G4012">
        <v>18</v>
      </c>
      <c r="L4012" t="s">
        <v>11950</v>
      </c>
      <c r="O4012" t="s">
        <v>11951</v>
      </c>
    </row>
    <row r="4013" spans="1:15" x14ac:dyDescent="0.25">
      <c r="A4013" t="s">
        <v>18</v>
      </c>
      <c r="B4013" t="s">
        <v>11950</v>
      </c>
      <c r="C4013" t="s">
        <v>11952</v>
      </c>
      <c r="D4013" t="s">
        <v>20</v>
      </c>
      <c r="E4013" t="s">
        <v>11</v>
      </c>
      <c r="F4013">
        <v>2741.508</v>
      </c>
      <c r="G4013">
        <v>18</v>
      </c>
      <c r="L4013" t="s">
        <v>11953</v>
      </c>
      <c r="O4013" t="s">
        <v>11954</v>
      </c>
    </row>
    <row r="4014" spans="1:15" x14ac:dyDescent="0.25">
      <c r="A4014" t="s">
        <v>18</v>
      </c>
      <c r="B4014" t="s">
        <v>11953</v>
      </c>
      <c r="C4014" t="s">
        <v>11955</v>
      </c>
      <c r="D4014" t="s">
        <v>20</v>
      </c>
      <c r="E4014" t="s">
        <v>11</v>
      </c>
      <c r="F4014">
        <v>2545.6859999999997</v>
      </c>
      <c r="G4014">
        <v>18</v>
      </c>
      <c r="L4014" t="s">
        <v>11956</v>
      </c>
      <c r="O4014" t="s">
        <v>11957</v>
      </c>
    </row>
    <row r="4015" spans="1:15" x14ac:dyDescent="0.25">
      <c r="A4015" t="s">
        <v>18</v>
      </c>
      <c r="B4015" t="s">
        <v>11956</v>
      </c>
      <c r="C4015" t="s">
        <v>11958</v>
      </c>
      <c r="D4015" t="s">
        <v>20</v>
      </c>
      <c r="E4015" t="s">
        <v>11</v>
      </c>
      <c r="F4015">
        <v>261.096</v>
      </c>
      <c r="G4015">
        <v>18</v>
      </c>
      <c r="L4015" t="s">
        <v>11959</v>
      </c>
      <c r="O4015" t="s">
        <v>11960</v>
      </c>
    </row>
    <row r="4016" spans="1:15" x14ac:dyDescent="0.25">
      <c r="A4016" t="s">
        <v>18</v>
      </c>
      <c r="B4016" t="s">
        <v>11959</v>
      </c>
      <c r="C4016" t="s">
        <v>11961</v>
      </c>
      <c r="D4016" t="s">
        <v>20</v>
      </c>
      <c r="E4016" t="s">
        <v>11</v>
      </c>
      <c r="F4016">
        <v>326.37</v>
      </c>
      <c r="G4016">
        <v>18</v>
      </c>
      <c r="L4016" t="s">
        <v>11962</v>
      </c>
      <c r="O4016" t="s">
        <v>11963</v>
      </c>
    </row>
    <row r="4017" spans="1:15" x14ac:dyDescent="0.25">
      <c r="A4017" t="s">
        <v>18</v>
      </c>
      <c r="B4017" t="s">
        <v>11962</v>
      </c>
      <c r="C4017" t="s">
        <v>11964</v>
      </c>
      <c r="D4017" t="s">
        <v>20</v>
      </c>
      <c r="E4017" t="s">
        <v>11</v>
      </c>
      <c r="F4017">
        <v>23759.735999999997</v>
      </c>
      <c r="G4017">
        <v>18</v>
      </c>
      <c r="L4017" t="s">
        <v>11965</v>
      </c>
      <c r="O4017" t="s">
        <v>11966</v>
      </c>
    </row>
    <row r="4018" spans="1:15" x14ac:dyDescent="0.25">
      <c r="A4018" t="s">
        <v>18</v>
      </c>
      <c r="B4018" t="s">
        <v>11965</v>
      </c>
      <c r="C4018" t="s">
        <v>11967</v>
      </c>
      <c r="D4018" t="s">
        <v>20</v>
      </c>
      <c r="E4018" t="s">
        <v>11</v>
      </c>
      <c r="F4018">
        <v>2610.96</v>
      </c>
      <c r="G4018">
        <v>18</v>
      </c>
      <c r="L4018" t="s">
        <v>11968</v>
      </c>
      <c r="O4018" t="s">
        <v>11969</v>
      </c>
    </row>
    <row r="4019" spans="1:15" x14ac:dyDescent="0.25">
      <c r="A4019" t="s">
        <v>18</v>
      </c>
      <c r="B4019" t="s">
        <v>11968</v>
      </c>
      <c r="C4019" t="s">
        <v>11970</v>
      </c>
      <c r="D4019" t="s">
        <v>20</v>
      </c>
      <c r="E4019" t="s">
        <v>11</v>
      </c>
      <c r="F4019">
        <v>979.11</v>
      </c>
      <c r="G4019">
        <v>18</v>
      </c>
      <c r="L4019" t="s">
        <v>11971</v>
      </c>
      <c r="O4019" t="s">
        <v>11972</v>
      </c>
    </row>
    <row r="4020" spans="1:15" x14ac:dyDescent="0.25">
      <c r="A4020" t="s">
        <v>18</v>
      </c>
      <c r="B4020" t="s">
        <v>11971</v>
      </c>
      <c r="C4020" t="s">
        <v>11973</v>
      </c>
      <c r="D4020" t="s">
        <v>20</v>
      </c>
      <c r="E4020" t="s">
        <v>11</v>
      </c>
      <c r="F4020">
        <v>1370.754</v>
      </c>
      <c r="G4020">
        <v>18</v>
      </c>
      <c r="L4020" t="s">
        <v>11974</v>
      </c>
      <c r="O4020" t="s">
        <v>11975</v>
      </c>
    </row>
    <row r="4021" spans="1:15" x14ac:dyDescent="0.25">
      <c r="A4021" t="s">
        <v>18</v>
      </c>
      <c r="B4021" t="s">
        <v>11974</v>
      </c>
      <c r="C4021" t="s">
        <v>11976</v>
      </c>
      <c r="D4021" t="s">
        <v>20</v>
      </c>
      <c r="E4021" t="s">
        <v>11</v>
      </c>
      <c r="F4021">
        <v>1631.85</v>
      </c>
      <c r="G4021">
        <v>18</v>
      </c>
      <c r="L4021" t="s">
        <v>11977</v>
      </c>
      <c r="O4021" t="s">
        <v>11978</v>
      </c>
    </row>
    <row r="4022" spans="1:15" x14ac:dyDescent="0.25">
      <c r="A4022" t="s">
        <v>18</v>
      </c>
      <c r="B4022" t="s">
        <v>11977</v>
      </c>
      <c r="C4022" t="s">
        <v>11979</v>
      </c>
      <c r="D4022" t="s">
        <v>20</v>
      </c>
      <c r="E4022" t="s">
        <v>11</v>
      </c>
      <c r="F4022">
        <v>1892.946</v>
      </c>
      <c r="G4022">
        <v>18</v>
      </c>
      <c r="L4022" t="s">
        <v>11980</v>
      </c>
      <c r="O4022" t="s">
        <v>11981</v>
      </c>
    </row>
    <row r="4023" spans="1:15" x14ac:dyDescent="0.25">
      <c r="A4023" t="s">
        <v>18</v>
      </c>
      <c r="B4023" t="s">
        <v>11980</v>
      </c>
      <c r="C4023" t="s">
        <v>11982</v>
      </c>
      <c r="D4023" t="s">
        <v>20</v>
      </c>
      <c r="E4023" t="s">
        <v>11</v>
      </c>
      <c r="F4023">
        <v>3785.892</v>
      </c>
      <c r="G4023">
        <v>18</v>
      </c>
      <c r="L4023" t="s">
        <v>11983</v>
      </c>
      <c r="O4023" t="s">
        <v>11984</v>
      </c>
    </row>
    <row r="4024" spans="1:15" x14ac:dyDescent="0.25">
      <c r="A4024" t="s">
        <v>18</v>
      </c>
      <c r="B4024" t="s">
        <v>11983</v>
      </c>
      <c r="C4024" t="s">
        <v>11985</v>
      </c>
      <c r="D4024" t="s">
        <v>20</v>
      </c>
      <c r="E4024" t="s">
        <v>11</v>
      </c>
      <c r="F4024">
        <v>979.11</v>
      </c>
      <c r="G4024">
        <v>18</v>
      </c>
      <c r="L4024" t="s">
        <v>11986</v>
      </c>
      <c r="O4024" t="s">
        <v>11987</v>
      </c>
    </row>
    <row r="4025" spans="1:15" x14ac:dyDescent="0.25">
      <c r="A4025" t="s">
        <v>18</v>
      </c>
      <c r="B4025" t="s">
        <v>11986</v>
      </c>
      <c r="C4025" t="s">
        <v>11988</v>
      </c>
      <c r="D4025" t="s">
        <v>20</v>
      </c>
      <c r="E4025" t="s">
        <v>11</v>
      </c>
      <c r="F4025">
        <v>130.548</v>
      </c>
      <c r="G4025">
        <v>18</v>
      </c>
      <c r="L4025" t="s">
        <v>11989</v>
      </c>
      <c r="O4025" t="s">
        <v>11990</v>
      </c>
    </row>
    <row r="4026" spans="1:15" x14ac:dyDescent="0.25">
      <c r="A4026" t="s">
        <v>18</v>
      </c>
      <c r="B4026" t="s">
        <v>11989</v>
      </c>
      <c r="C4026" t="s">
        <v>11991</v>
      </c>
      <c r="D4026" t="s">
        <v>20</v>
      </c>
      <c r="E4026" t="s">
        <v>11</v>
      </c>
      <c r="F4026">
        <v>130.548</v>
      </c>
      <c r="G4026">
        <v>18</v>
      </c>
      <c r="L4026" t="s">
        <v>11992</v>
      </c>
      <c r="O4026" t="s">
        <v>11993</v>
      </c>
    </row>
    <row r="4027" spans="1:15" x14ac:dyDescent="0.25">
      <c r="A4027" t="s">
        <v>18</v>
      </c>
      <c r="B4027" t="s">
        <v>11992</v>
      </c>
      <c r="C4027" t="s">
        <v>11994</v>
      </c>
      <c r="D4027" t="s">
        <v>20</v>
      </c>
      <c r="E4027" t="s">
        <v>11</v>
      </c>
      <c r="F4027">
        <v>7571.784</v>
      </c>
      <c r="G4027">
        <v>18</v>
      </c>
      <c r="L4027" t="s">
        <v>11995</v>
      </c>
      <c r="O4027" t="s">
        <v>11996</v>
      </c>
    </row>
    <row r="4028" spans="1:15" x14ac:dyDescent="0.25">
      <c r="A4028" t="s">
        <v>18</v>
      </c>
      <c r="B4028" t="s">
        <v>11995</v>
      </c>
      <c r="C4028" t="s">
        <v>11997</v>
      </c>
      <c r="D4028" t="s">
        <v>20</v>
      </c>
      <c r="E4028" t="s">
        <v>11</v>
      </c>
      <c r="F4028">
        <v>20626.584</v>
      </c>
      <c r="G4028">
        <v>18</v>
      </c>
      <c r="L4028" t="s">
        <v>11998</v>
      </c>
      <c r="O4028" t="s">
        <v>11999</v>
      </c>
    </row>
    <row r="4029" spans="1:15" x14ac:dyDescent="0.25">
      <c r="A4029" t="s">
        <v>18</v>
      </c>
      <c r="B4029" t="s">
        <v>11998</v>
      </c>
      <c r="C4029" t="s">
        <v>12000</v>
      </c>
      <c r="D4029" t="s">
        <v>20</v>
      </c>
      <c r="E4029" t="s">
        <v>11</v>
      </c>
      <c r="F4029">
        <v>28459.464</v>
      </c>
      <c r="G4029">
        <v>18</v>
      </c>
      <c r="L4029" t="s">
        <v>12001</v>
      </c>
      <c r="O4029" t="s">
        <v>12002</v>
      </c>
    </row>
    <row r="4030" spans="1:15" x14ac:dyDescent="0.25">
      <c r="A4030" t="s">
        <v>18</v>
      </c>
      <c r="B4030" t="s">
        <v>12001</v>
      </c>
      <c r="C4030" t="s">
        <v>12003</v>
      </c>
      <c r="D4030" t="s">
        <v>20</v>
      </c>
      <c r="E4030" t="s">
        <v>11</v>
      </c>
      <c r="F4030">
        <v>37402.002</v>
      </c>
      <c r="G4030">
        <v>18</v>
      </c>
      <c r="L4030" t="s">
        <v>12004</v>
      </c>
      <c r="O4030" t="s">
        <v>12005</v>
      </c>
    </row>
    <row r="4031" spans="1:15" x14ac:dyDescent="0.25">
      <c r="A4031" t="s">
        <v>18</v>
      </c>
      <c r="B4031" t="s">
        <v>12004</v>
      </c>
      <c r="C4031" t="s">
        <v>12006</v>
      </c>
      <c r="D4031" t="s">
        <v>20</v>
      </c>
      <c r="E4031" t="s">
        <v>11</v>
      </c>
      <c r="F4031">
        <v>37402.002</v>
      </c>
      <c r="G4031">
        <v>18</v>
      </c>
      <c r="L4031" t="s">
        <v>12007</v>
      </c>
      <c r="O4031" t="s">
        <v>12008</v>
      </c>
    </row>
    <row r="4032" spans="1:15" x14ac:dyDescent="0.25">
      <c r="A4032" t="s">
        <v>18</v>
      </c>
      <c r="B4032" t="s">
        <v>12007</v>
      </c>
      <c r="C4032" t="s">
        <v>12009</v>
      </c>
      <c r="D4032" t="s">
        <v>20</v>
      </c>
      <c r="E4032" t="s">
        <v>11</v>
      </c>
      <c r="F4032">
        <v>25261.038</v>
      </c>
      <c r="G4032">
        <v>18</v>
      </c>
      <c r="L4032" t="s">
        <v>12010</v>
      </c>
      <c r="O4032" t="s">
        <v>12011</v>
      </c>
    </row>
    <row r="4033" spans="1:15" x14ac:dyDescent="0.25">
      <c r="A4033" t="s">
        <v>18</v>
      </c>
      <c r="B4033" t="s">
        <v>12010</v>
      </c>
      <c r="C4033" t="s">
        <v>12012</v>
      </c>
      <c r="D4033" t="s">
        <v>20</v>
      </c>
      <c r="E4033" t="s">
        <v>11</v>
      </c>
      <c r="F4033">
        <v>25261.038</v>
      </c>
      <c r="G4033">
        <v>18</v>
      </c>
      <c r="L4033" t="s">
        <v>12013</v>
      </c>
      <c r="O4033" t="s">
        <v>12014</v>
      </c>
    </row>
    <row r="4034" spans="1:15" x14ac:dyDescent="0.25">
      <c r="A4034" t="s">
        <v>18</v>
      </c>
      <c r="B4034" t="s">
        <v>12013</v>
      </c>
      <c r="C4034" t="s">
        <v>12015</v>
      </c>
      <c r="D4034" t="s">
        <v>20</v>
      </c>
      <c r="E4034" t="s">
        <v>11</v>
      </c>
      <c r="F4034">
        <v>5221.92</v>
      </c>
      <c r="G4034">
        <v>18</v>
      </c>
      <c r="L4034" t="s">
        <v>12016</v>
      </c>
      <c r="O4034" t="s">
        <v>12017</v>
      </c>
    </row>
    <row r="4035" spans="1:15" x14ac:dyDescent="0.25">
      <c r="A4035" t="s">
        <v>18</v>
      </c>
      <c r="B4035" t="s">
        <v>12016</v>
      </c>
      <c r="C4035" t="s">
        <v>12018</v>
      </c>
      <c r="D4035" t="s">
        <v>20</v>
      </c>
      <c r="E4035" t="s">
        <v>11</v>
      </c>
      <c r="F4035">
        <v>12467.334</v>
      </c>
      <c r="G4035">
        <v>18</v>
      </c>
      <c r="L4035" t="s">
        <v>12019</v>
      </c>
      <c r="O4035" t="s">
        <v>12020</v>
      </c>
    </row>
    <row r="4036" spans="1:15" x14ac:dyDescent="0.25">
      <c r="A4036" t="s">
        <v>18</v>
      </c>
      <c r="B4036" t="s">
        <v>12019</v>
      </c>
      <c r="C4036" t="s">
        <v>12021</v>
      </c>
      <c r="D4036" t="s">
        <v>20</v>
      </c>
      <c r="E4036" t="s">
        <v>11</v>
      </c>
      <c r="F4036">
        <v>12467.334</v>
      </c>
      <c r="G4036">
        <v>18</v>
      </c>
      <c r="L4036" t="s">
        <v>12022</v>
      </c>
      <c r="O4036" t="s">
        <v>12023</v>
      </c>
    </row>
    <row r="4037" spans="1:15" x14ac:dyDescent="0.25">
      <c r="A4037" t="s">
        <v>18</v>
      </c>
      <c r="B4037" t="s">
        <v>12022</v>
      </c>
      <c r="C4037" t="s">
        <v>12024</v>
      </c>
      <c r="D4037" t="s">
        <v>20</v>
      </c>
      <c r="E4037" t="s">
        <v>11</v>
      </c>
      <c r="F4037">
        <v>12467.334</v>
      </c>
      <c r="G4037">
        <v>18</v>
      </c>
      <c r="L4037" t="s">
        <v>12025</v>
      </c>
      <c r="O4037" t="s">
        <v>12026</v>
      </c>
    </row>
    <row r="4038" spans="1:15" x14ac:dyDescent="0.25">
      <c r="A4038" t="s">
        <v>18</v>
      </c>
      <c r="B4038" t="s">
        <v>12025</v>
      </c>
      <c r="C4038" t="s">
        <v>12027</v>
      </c>
      <c r="D4038" t="s">
        <v>20</v>
      </c>
      <c r="E4038" t="s">
        <v>11</v>
      </c>
      <c r="F4038">
        <v>12467.334</v>
      </c>
      <c r="G4038">
        <v>18</v>
      </c>
      <c r="L4038" t="s">
        <v>12028</v>
      </c>
      <c r="O4038" t="s">
        <v>12029</v>
      </c>
    </row>
    <row r="4039" spans="1:15" x14ac:dyDescent="0.25">
      <c r="A4039" t="s">
        <v>18</v>
      </c>
      <c r="B4039" t="s">
        <v>12028</v>
      </c>
      <c r="C4039" t="s">
        <v>12030</v>
      </c>
      <c r="D4039" t="s">
        <v>20</v>
      </c>
      <c r="E4039" t="s">
        <v>11</v>
      </c>
      <c r="F4039">
        <v>15143.568</v>
      </c>
      <c r="G4039">
        <v>18</v>
      </c>
      <c r="L4039" t="s">
        <v>12031</v>
      </c>
      <c r="O4039" t="s">
        <v>12032</v>
      </c>
    </row>
    <row r="4040" spans="1:15" x14ac:dyDescent="0.25">
      <c r="A4040" t="s">
        <v>18</v>
      </c>
      <c r="B4040" t="s">
        <v>12031</v>
      </c>
      <c r="C4040" t="s">
        <v>12033</v>
      </c>
      <c r="D4040" t="s">
        <v>20</v>
      </c>
      <c r="E4040" t="s">
        <v>11</v>
      </c>
      <c r="F4040">
        <v>15143.568</v>
      </c>
      <c r="G4040">
        <v>18</v>
      </c>
      <c r="L4040" t="s">
        <v>12034</v>
      </c>
      <c r="O4040" t="s">
        <v>12035</v>
      </c>
    </row>
    <row r="4041" spans="1:15" x14ac:dyDescent="0.25">
      <c r="A4041" t="s">
        <v>18</v>
      </c>
      <c r="B4041" t="s">
        <v>12034</v>
      </c>
      <c r="C4041" t="s">
        <v>12036</v>
      </c>
      <c r="D4041" t="s">
        <v>20</v>
      </c>
      <c r="E4041" t="s">
        <v>11</v>
      </c>
      <c r="F4041">
        <v>15143.568</v>
      </c>
      <c r="G4041">
        <v>18</v>
      </c>
      <c r="L4041" t="s">
        <v>12037</v>
      </c>
      <c r="O4041" t="s">
        <v>12038</v>
      </c>
    </row>
    <row r="4042" spans="1:15" x14ac:dyDescent="0.25">
      <c r="A4042" t="s">
        <v>18</v>
      </c>
      <c r="B4042" t="s">
        <v>12037</v>
      </c>
      <c r="C4042" t="s">
        <v>12039</v>
      </c>
      <c r="D4042" t="s">
        <v>20</v>
      </c>
      <c r="E4042" t="s">
        <v>11</v>
      </c>
      <c r="F4042">
        <v>15143.568</v>
      </c>
      <c r="G4042">
        <v>18</v>
      </c>
      <c r="L4042" t="s">
        <v>12040</v>
      </c>
      <c r="O4042" t="s">
        <v>12041</v>
      </c>
    </row>
    <row r="4043" spans="1:15" x14ac:dyDescent="0.25">
      <c r="A4043" t="s">
        <v>18</v>
      </c>
      <c r="B4043" t="s">
        <v>12040</v>
      </c>
      <c r="C4043" t="s">
        <v>12042</v>
      </c>
      <c r="D4043" t="s">
        <v>20</v>
      </c>
      <c r="E4043" t="s">
        <v>11</v>
      </c>
      <c r="F4043">
        <v>15143.568</v>
      </c>
      <c r="G4043">
        <v>18</v>
      </c>
      <c r="L4043" t="s">
        <v>12043</v>
      </c>
      <c r="O4043" t="s">
        <v>12044</v>
      </c>
    </row>
    <row r="4044" spans="1:15" x14ac:dyDescent="0.25">
      <c r="A4044" t="s">
        <v>18</v>
      </c>
      <c r="B4044" t="s">
        <v>12043</v>
      </c>
      <c r="C4044" t="s">
        <v>12045</v>
      </c>
      <c r="D4044" t="s">
        <v>20</v>
      </c>
      <c r="E4044" t="s">
        <v>11</v>
      </c>
      <c r="F4044">
        <v>16187.952</v>
      </c>
      <c r="G4044">
        <v>18</v>
      </c>
      <c r="L4044" t="s">
        <v>12046</v>
      </c>
      <c r="O4044" t="s">
        <v>12047</v>
      </c>
    </row>
    <row r="4045" spans="1:15" x14ac:dyDescent="0.25">
      <c r="A4045" t="s">
        <v>18</v>
      </c>
      <c r="B4045" t="s">
        <v>12046</v>
      </c>
      <c r="C4045" t="s">
        <v>12048</v>
      </c>
      <c r="D4045" t="s">
        <v>20</v>
      </c>
      <c r="E4045" t="s">
        <v>11</v>
      </c>
      <c r="F4045">
        <v>16187.952</v>
      </c>
      <c r="G4045">
        <v>18</v>
      </c>
      <c r="L4045" t="s">
        <v>12049</v>
      </c>
      <c r="O4045" t="s">
        <v>12050</v>
      </c>
    </row>
    <row r="4046" spans="1:15" x14ac:dyDescent="0.25">
      <c r="A4046" t="s">
        <v>18</v>
      </c>
      <c r="B4046" t="s">
        <v>12049</v>
      </c>
      <c r="C4046" t="s">
        <v>12051</v>
      </c>
      <c r="D4046" t="s">
        <v>20</v>
      </c>
      <c r="E4046" t="s">
        <v>11</v>
      </c>
      <c r="F4046">
        <v>16187.952</v>
      </c>
      <c r="G4046">
        <v>18</v>
      </c>
      <c r="L4046" t="s">
        <v>12052</v>
      </c>
      <c r="O4046" t="s">
        <v>12053</v>
      </c>
    </row>
    <row r="4047" spans="1:15" x14ac:dyDescent="0.25">
      <c r="A4047" t="s">
        <v>18</v>
      </c>
      <c r="B4047" t="s">
        <v>12052</v>
      </c>
      <c r="C4047" t="s">
        <v>12054</v>
      </c>
      <c r="D4047" t="s">
        <v>20</v>
      </c>
      <c r="E4047" t="s">
        <v>11</v>
      </c>
      <c r="F4047">
        <v>18146.172</v>
      </c>
      <c r="G4047">
        <v>18</v>
      </c>
      <c r="L4047" t="s">
        <v>12055</v>
      </c>
      <c r="O4047" t="s">
        <v>12056</v>
      </c>
    </row>
    <row r="4048" spans="1:15" x14ac:dyDescent="0.25">
      <c r="A4048" t="s">
        <v>18</v>
      </c>
      <c r="B4048" t="s">
        <v>12055</v>
      </c>
      <c r="C4048" t="s">
        <v>12057</v>
      </c>
      <c r="D4048" t="s">
        <v>20</v>
      </c>
      <c r="E4048" t="s">
        <v>11</v>
      </c>
      <c r="F4048">
        <v>18146.172</v>
      </c>
      <c r="G4048">
        <v>18</v>
      </c>
      <c r="L4048" t="s">
        <v>12058</v>
      </c>
      <c r="O4048" t="s">
        <v>12059</v>
      </c>
    </row>
    <row r="4049" spans="1:15" x14ac:dyDescent="0.25">
      <c r="A4049" t="s">
        <v>18</v>
      </c>
      <c r="B4049" t="s">
        <v>12058</v>
      </c>
      <c r="C4049" t="s">
        <v>12060</v>
      </c>
      <c r="D4049" t="s">
        <v>20</v>
      </c>
      <c r="E4049" t="s">
        <v>11</v>
      </c>
      <c r="F4049">
        <v>18146.172</v>
      </c>
      <c r="G4049">
        <v>18</v>
      </c>
      <c r="L4049" t="s">
        <v>12061</v>
      </c>
      <c r="O4049" t="s">
        <v>12062</v>
      </c>
    </row>
    <row r="4050" spans="1:15" x14ac:dyDescent="0.25">
      <c r="A4050" t="s">
        <v>18</v>
      </c>
      <c r="B4050" t="s">
        <v>12061</v>
      </c>
      <c r="C4050" t="s">
        <v>12063</v>
      </c>
      <c r="D4050" t="s">
        <v>20</v>
      </c>
      <c r="E4050" t="s">
        <v>11</v>
      </c>
      <c r="F4050">
        <v>18146.172</v>
      </c>
      <c r="G4050">
        <v>18</v>
      </c>
      <c r="L4050" t="s">
        <v>12064</v>
      </c>
      <c r="O4050" t="s">
        <v>12065</v>
      </c>
    </row>
    <row r="4051" spans="1:15" x14ac:dyDescent="0.25">
      <c r="A4051" t="s">
        <v>18</v>
      </c>
      <c r="B4051" t="s">
        <v>12064</v>
      </c>
      <c r="C4051" t="s">
        <v>12066</v>
      </c>
      <c r="D4051" t="s">
        <v>20</v>
      </c>
      <c r="E4051" t="s">
        <v>11</v>
      </c>
      <c r="F4051">
        <v>6331.5779999999995</v>
      </c>
      <c r="G4051">
        <v>18</v>
      </c>
      <c r="L4051" t="s">
        <v>12067</v>
      </c>
      <c r="O4051" t="s">
        <v>12068</v>
      </c>
    </row>
    <row r="4052" spans="1:15" x14ac:dyDescent="0.25">
      <c r="A4052" t="s">
        <v>18</v>
      </c>
      <c r="B4052" t="s">
        <v>12067</v>
      </c>
      <c r="C4052" t="s">
        <v>12069</v>
      </c>
      <c r="D4052" t="s">
        <v>20</v>
      </c>
      <c r="E4052" t="s">
        <v>11</v>
      </c>
      <c r="F4052">
        <v>18603.09</v>
      </c>
      <c r="G4052">
        <v>18</v>
      </c>
      <c r="L4052" t="s">
        <v>12070</v>
      </c>
      <c r="O4052" t="s">
        <v>12071</v>
      </c>
    </row>
    <row r="4053" spans="1:15" x14ac:dyDescent="0.25">
      <c r="A4053" t="s">
        <v>18</v>
      </c>
      <c r="B4053" t="s">
        <v>12070</v>
      </c>
      <c r="C4053" t="s">
        <v>12072</v>
      </c>
      <c r="D4053" t="s">
        <v>20</v>
      </c>
      <c r="E4053" t="s">
        <v>11</v>
      </c>
      <c r="F4053">
        <v>18603.09</v>
      </c>
      <c r="G4053">
        <v>18</v>
      </c>
      <c r="L4053" t="s">
        <v>12073</v>
      </c>
      <c r="O4053" t="s">
        <v>12074</v>
      </c>
    </row>
    <row r="4054" spans="1:15" x14ac:dyDescent="0.25">
      <c r="A4054" t="s">
        <v>18</v>
      </c>
      <c r="B4054" t="s">
        <v>12073</v>
      </c>
      <c r="C4054" t="s">
        <v>12075</v>
      </c>
      <c r="D4054" t="s">
        <v>20</v>
      </c>
      <c r="E4054" t="s">
        <v>11</v>
      </c>
      <c r="F4054">
        <v>18603.09</v>
      </c>
      <c r="G4054">
        <v>18</v>
      </c>
      <c r="L4054" t="s">
        <v>12076</v>
      </c>
      <c r="O4054" t="s">
        <v>12077</v>
      </c>
    </row>
    <row r="4055" spans="1:15" x14ac:dyDescent="0.25">
      <c r="A4055" t="s">
        <v>18</v>
      </c>
      <c r="B4055" t="s">
        <v>12076</v>
      </c>
      <c r="C4055" t="s">
        <v>12078</v>
      </c>
      <c r="D4055" t="s">
        <v>20</v>
      </c>
      <c r="E4055" t="s">
        <v>11</v>
      </c>
      <c r="F4055">
        <v>18603.09</v>
      </c>
      <c r="G4055">
        <v>18</v>
      </c>
      <c r="L4055" t="s">
        <v>12079</v>
      </c>
      <c r="O4055" t="s">
        <v>12080</v>
      </c>
    </row>
    <row r="4056" spans="1:15" x14ac:dyDescent="0.25">
      <c r="A4056" t="s">
        <v>18</v>
      </c>
      <c r="B4056" t="s">
        <v>12079</v>
      </c>
      <c r="C4056" t="s">
        <v>12081</v>
      </c>
      <c r="D4056" t="s">
        <v>20</v>
      </c>
      <c r="E4056" t="s">
        <v>11</v>
      </c>
      <c r="F4056">
        <v>19255.829999999998</v>
      </c>
      <c r="G4056">
        <v>18</v>
      </c>
      <c r="L4056" t="s">
        <v>12082</v>
      </c>
      <c r="O4056" t="s">
        <v>12083</v>
      </c>
    </row>
    <row r="4057" spans="1:15" x14ac:dyDescent="0.25">
      <c r="A4057" t="s">
        <v>18</v>
      </c>
      <c r="B4057" t="s">
        <v>12082</v>
      </c>
      <c r="C4057" t="s">
        <v>12084</v>
      </c>
      <c r="D4057" t="s">
        <v>20</v>
      </c>
      <c r="E4057" t="s">
        <v>11</v>
      </c>
      <c r="F4057">
        <v>6331.5779999999995</v>
      </c>
      <c r="G4057">
        <v>18</v>
      </c>
      <c r="L4057" t="s">
        <v>12085</v>
      </c>
      <c r="O4057" t="s">
        <v>12086</v>
      </c>
    </row>
    <row r="4058" spans="1:15" x14ac:dyDescent="0.25">
      <c r="A4058" t="s">
        <v>18</v>
      </c>
      <c r="B4058" t="s">
        <v>12085</v>
      </c>
      <c r="C4058" t="s">
        <v>12087</v>
      </c>
      <c r="D4058" t="s">
        <v>20</v>
      </c>
      <c r="E4058" t="s">
        <v>11</v>
      </c>
      <c r="F4058">
        <v>6331.5779999999995</v>
      </c>
      <c r="G4058">
        <v>18</v>
      </c>
      <c r="L4058" t="s">
        <v>12088</v>
      </c>
      <c r="O4058" t="s">
        <v>12089</v>
      </c>
    </row>
    <row r="4059" spans="1:15" x14ac:dyDescent="0.25">
      <c r="A4059" t="s">
        <v>18</v>
      </c>
      <c r="B4059" t="s">
        <v>12088</v>
      </c>
      <c r="C4059" t="s">
        <v>12090</v>
      </c>
      <c r="D4059" t="s">
        <v>20</v>
      </c>
      <c r="E4059" t="s">
        <v>11</v>
      </c>
      <c r="F4059">
        <v>11227.127999999999</v>
      </c>
      <c r="G4059">
        <v>18</v>
      </c>
      <c r="L4059" t="s">
        <v>12091</v>
      </c>
      <c r="O4059" t="s">
        <v>12092</v>
      </c>
    </row>
    <row r="4060" spans="1:15" x14ac:dyDescent="0.25">
      <c r="A4060" t="s">
        <v>18</v>
      </c>
      <c r="B4060" t="s">
        <v>12091</v>
      </c>
      <c r="C4060" t="s">
        <v>12093</v>
      </c>
      <c r="D4060" t="s">
        <v>20</v>
      </c>
      <c r="E4060" t="s">
        <v>11</v>
      </c>
      <c r="F4060">
        <v>11227.127999999999</v>
      </c>
      <c r="G4060">
        <v>18</v>
      </c>
      <c r="L4060" t="s">
        <v>12094</v>
      </c>
      <c r="O4060" t="s">
        <v>12095</v>
      </c>
    </row>
    <row r="4061" spans="1:15" x14ac:dyDescent="0.25">
      <c r="A4061" t="s">
        <v>18</v>
      </c>
      <c r="B4061" t="s">
        <v>12094</v>
      </c>
      <c r="C4061" t="s">
        <v>12096</v>
      </c>
      <c r="D4061" t="s">
        <v>20</v>
      </c>
      <c r="E4061" t="s">
        <v>11</v>
      </c>
      <c r="F4061">
        <v>6331.5779999999995</v>
      </c>
      <c r="G4061">
        <v>18</v>
      </c>
      <c r="L4061" t="s">
        <v>12097</v>
      </c>
      <c r="O4061" t="s">
        <v>12098</v>
      </c>
    </row>
    <row r="4062" spans="1:15" x14ac:dyDescent="0.25">
      <c r="A4062" t="s">
        <v>18</v>
      </c>
      <c r="B4062" t="s">
        <v>12097</v>
      </c>
      <c r="C4062" t="s">
        <v>12096</v>
      </c>
      <c r="D4062" t="s">
        <v>20</v>
      </c>
      <c r="E4062" t="s">
        <v>11</v>
      </c>
      <c r="F4062">
        <v>8681.442000000001</v>
      </c>
      <c r="G4062">
        <v>18</v>
      </c>
      <c r="L4062" t="s">
        <v>12099</v>
      </c>
      <c r="O4062" t="s">
        <v>12100</v>
      </c>
    </row>
    <row r="4063" spans="1:15" x14ac:dyDescent="0.25">
      <c r="A4063" t="s">
        <v>18</v>
      </c>
      <c r="B4063" t="s">
        <v>12099</v>
      </c>
      <c r="C4063" t="s">
        <v>12101</v>
      </c>
      <c r="D4063" t="s">
        <v>20</v>
      </c>
      <c r="E4063" t="s">
        <v>11</v>
      </c>
      <c r="F4063">
        <v>7245.414</v>
      </c>
      <c r="G4063">
        <v>18</v>
      </c>
      <c r="L4063" t="s">
        <v>12102</v>
      </c>
      <c r="O4063" t="s">
        <v>12103</v>
      </c>
    </row>
    <row r="4064" spans="1:15" x14ac:dyDescent="0.25">
      <c r="A4064" t="s">
        <v>18</v>
      </c>
      <c r="B4064" t="s">
        <v>12102</v>
      </c>
      <c r="C4064" t="s">
        <v>12104</v>
      </c>
      <c r="D4064" t="s">
        <v>20</v>
      </c>
      <c r="E4064" t="s">
        <v>11</v>
      </c>
      <c r="F4064">
        <v>7637.058</v>
      </c>
      <c r="G4064">
        <v>18</v>
      </c>
      <c r="L4064" t="s">
        <v>12105</v>
      </c>
      <c r="O4064" t="s">
        <v>12106</v>
      </c>
    </row>
    <row r="4065" spans="1:15" x14ac:dyDescent="0.25">
      <c r="A4065" t="s">
        <v>18</v>
      </c>
      <c r="B4065" t="s">
        <v>12105</v>
      </c>
      <c r="C4065" t="s">
        <v>12107</v>
      </c>
      <c r="D4065" t="s">
        <v>20</v>
      </c>
      <c r="E4065" t="s">
        <v>11</v>
      </c>
      <c r="F4065">
        <v>7898.1539999999995</v>
      </c>
      <c r="G4065">
        <v>18</v>
      </c>
      <c r="L4065" t="s">
        <v>12108</v>
      </c>
      <c r="O4065" t="s">
        <v>12109</v>
      </c>
    </row>
    <row r="4066" spans="1:15" x14ac:dyDescent="0.25">
      <c r="A4066" t="s">
        <v>18</v>
      </c>
      <c r="B4066" t="s">
        <v>12108</v>
      </c>
      <c r="C4066" t="s">
        <v>12110</v>
      </c>
      <c r="D4066" t="s">
        <v>20</v>
      </c>
      <c r="E4066" t="s">
        <v>11</v>
      </c>
      <c r="F4066">
        <v>9334.181999999999</v>
      </c>
      <c r="G4066">
        <v>18</v>
      </c>
      <c r="L4066" t="s">
        <v>12111</v>
      </c>
      <c r="O4066" t="s">
        <v>12112</v>
      </c>
    </row>
    <row r="4067" spans="1:15" x14ac:dyDescent="0.25">
      <c r="A4067" t="s">
        <v>18</v>
      </c>
      <c r="B4067" t="s">
        <v>12111</v>
      </c>
      <c r="C4067" t="s">
        <v>12113</v>
      </c>
      <c r="D4067" t="s">
        <v>20</v>
      </c>
      <c r="E4067" t="s">
        <v>11</v>
      </c>
      <c r="F4067">
        <v>7898.1539999999995</v>
      </c>
      <c r="G4067">
        <v>18</v>
      </c>
      <c r="L4067" t="s">
        <v>12114</v>
      </c>
      <c r="O4067" t="s">
        <v>12115</v>
      </c>
    </row>
    <row r="4068" spans="1:15" x14ac:dyDescent="0.25">
      <c r="A4068" t="s">
        <v>18</v>
      </c>
      <c r="B4068" t="s">
        <v>12114</v>
      </c>
      <c r="C4068" t="s">
        <v>12116</v>
      </c>
      <c r="D4068" t="s">
        <v>20</v>
      </c>
      <c r="E4068" t="s">
        <v>11</v>
      </c>
      <c r="F4068">
        <v>9007.812</v>
      </c>
      <c r="G4068">
        <v>18</v>
      </c>
      <c r="L4068" t="s">
        <v>12117</v>
      </c>
      <c r="O4068" t="s">
        <v>12118</v>
      </c>
    </row>
    <row r="4069" spans="1:15" x14ac:dyDescent="0.25">
      <c r="A4069" t="s">
        <v>18</v>
      </c>
      <c r="B4069" t="s">
        <v>12117</v>
      </c>
      <c r="C4069" t="s">
        <v>12119</v>
      </c>
      <c r="D4069" t="s">
        <v>20</v>
      </c>
      <c r="E4069" t="s">
        <v>11</v>
      </c>
      <c r="F4069">
        <v>12989.526</v>
      </c>
      <c r="G4069">
        <v>18</v>
      </c>
      <c r="L4069" t="s">
        <v>12120</v>
      </c>
      <c r="O4069" t="s">
        <v>12121</v>
      </c>
    </row>
    <row r="4070" spans="1:15" x14ac:dyDescent="0.25">
      <c r="A4070" t="s">
        <v>18</v>
      </c>
      <c r="B4070" t="s">
        <v>12120</v>
      </c>
      <c r="C4070" t="s">
        <v>12122</v>
      </c>
      <c r="D4070" t="s">
        <v>20</v>
      </c>
      <c r="E4070" t="s">
        <v>11</v>
      </c>
      <c r="F4070">
        <v>6527.4</v>
      </c>
      <c r="G4070">
        <v>18</v>
      </c>
      <c r="L4070" t="s">
        <v>12123</v>
      </c>
      <c r="O4070" t="s">
        <v>12124</v>
      </c>
    </row>
    <row r="4071" spans="1:15" x14ac:dyDescent="0.25">
      <c r="A4071" t="s">
        <v>18</v>
      </c>
      <c r="B4071" t="s">
        <v>12123</v>
      </c>
      <c r="C4071" t="s">
        <v>12125</v>
      </c>
      <c r="D4071" t="s">
        <v>20</v>
      </c>
      <c r="E4071" t="s">
        <v>11</v>
      </c>
      <c r="F4071">
        <v>7245.414</v>
      </c>
      <c r="G4071">
        <v>18</v>
      </c>
      <c r="L4071" t="s">
        <v>12126</v>
      </c>
      <c r="O4071" t="s">
        <v>12127</v>
      </c>
    </row>
    <row r="4072" spans="1:15" x14ac:dyDescent="0.25">
      <c r="A4072" t="s">
        <v>18</v>
      </c>
      <c r="B4072" t="s">
        <v>12126</v>
      </c>
      <c r="C4072" t="s">
        <v>12128</v>
      </c>
      <c r="D4072" t="s">
        <v>20</v>
      </c>
      <c r="E4072" t="s">
        <v>11</v>
      </c>
      <c r="F4072">
        <v>11227.127999999999</v>
      </c>
      <c r="G4072">
        <v>18</v>
      </c>
      <c r="L4072" t="s">
        <v>12129</v>
      </c>
      <c r="O4072" t="s">
        <v>12130</v>
      </c>
    </row>
    <row r="4073" spans="1:15" x14ac:dyDescent="0.25">
      <c r="A4073" t="s">
        <v>18</v>
      </c>
      <c r="B4073" t="s">
        <v>12129</v>
      </c>
      <c r="C4073" t="s">
        <v>12110</v>
      </c>
      <c r="D4073" t="s">
        <v>20</v>
      </c>
      <c r="E4073" t="s">
        <v>11</v>
      </c>
      <c r="F4073">
        <v>7245.414</v>
      </c>
      <c r="G4073">
        <v>18</v>
      </c>
      <c r="L4073" t="s">
        <v>12131</v>
      </c>
      <c r="O4073" t="s">
        <v>12132</v>
      </c>
    </row>
    <row r="4074" spans="1:15" x14ac:dyDescent="0.25">
      <c r="A4074" t="s">
        <v>18</v>
      </c>
      <c r="B4074" t="s">
        <v>12131</v>
      </c>
      <c r="C4074" t="s">
        <v>12133</v>
      </c>
      <c r="D4074" t="s">
        <v>20</v>
      </c>
      <c r="E4074" t="s">
        <v>11</v>
      </c>
      <c r="F4074">
        <v>7245.414</v>
      </c>
      <c r="G4074">
        <v>18</v>
      </c>
      <c r="L4074" t="s">
        <v>12134</v>
      </c>
      <c r="O4074" t="s">
        <v>12135</v>
      </c>
    </row>
    <row r="4075" spans="1:15" x14ac:dyDescent="0.25">
      <c r="A4075" t="s">
        <v>18</v>
      </c>
      <c r="B4075" t="s">
        <v>12134</v>
      </c>
      <c r="C4075" t="s">
        <v>12136</v>
      </c>
      <c r="D4075" t="s">
        <v>20</v>
      </c>
      <c r="E4075" t="s">
        <v>11</v>
      </c>
      <c r="F4075">
        <v>9203.633999999998</v>
      </c>
      <c r="G4075">
        <v>18</v>
      </c>
      <c r="L4075" t="s">
        <v>12137</v>
      </c>
      <c r="O4075" t="s">
        <v>12138</v>
      </c>
    </row>
    <row r="4076" spans="1:15" x14ac:dyDescent="0.25">
      <c r="A4076" t="s">
        <v>18</v>
      </c>
      <c r="B4076" t="s">
        <v>12137</v>
      </c>
      <c r="C4076" t="s">
        <v>12139</v>
      </c>
      <c r="D4076" t="s">
        <v>20</v>
      </c>
      <c r="E4076" t="s">
        <v>11</v>
      </c>
      <c r="F4076">
        <v>11488.224</v>
      </c>
      <c r="G4076">
        <v>18</v>
      </c>
      <c r="L4076" t="s">
        <v>12140</v>
      </c>
      <c r="O4076" t="s">
        <v>12141</v>
      </c>
    </row>
    <row r="4077" spans="1:15" x14ac:dyDescent="0.25">
      <c r="A4077" t="s">
        <v>18</v>
      </c>
      <c r="B4077" t="s">
        <v>12140</v>
      </c>
      <c r="C4077" t="s">
        <v>12142</v>
      </c>
      <c r="D4077" t="s">
        <v>20</v>
      </c>
      <c r="E4077" t="s">
        <v>11</v>
      </c>
      <c r="F4077">
        <v>8746.716</v>
      </c>
      <c r="G4077">
        <v>18</v>
      </c>
      <c r="L4077" t="s">
        <v>12143</v>
      </c>
      <c r="O4077" t="s">
        <v>12144</v>
      </c>
    </row>
    <row r="4078" spans="1:15" x14ac:dyDescent="0.25">
      <c r="A4078" t="s">
        <v>18</v>
      </c>
      <c r="B4078" t="s">
        <v>12143</v>
      </c>
      <c r="C4078" t="s">
        <v>12145</v>
      </c>
      <c r="D4078" t="s">
        <v>20</v>
      </c>
      <c r="E4078" t="s">
        <v>11</v>
      </c>
      <c r="F4078">
        <v>10313.292</v>
      </c>
      <c r="G4078">
        <v>18</v>
      </c>
      <c r="L4078" t="s">
        <v>12146</v>
      </c>
      <c r="O4078" t="s">
        <v>12147</v>
      </c>
    </row>
    <row r="4079" spans="1:15" x14ac:dyDescent="0.25">
      <c r="A4079" t="s">
        <v>18</v>
      </c>
      <c r="B4079" t="s">
        <v>12146</v>
      </c>
      <c r="C4079" t="s">
        <v>12148</v>
      </c>
      <c r="D4079" t="s">
        <v>20</v>
      </c>
      <c r="E4079" t="s">
        <v>11</v>
      </c>
      <c r="F4079">
        <v>13838.087999999998</v>
      </c>
      <c r="G4079">
        <v>18</v>
      </c>
      <c r="L4079" t="s">
        <v>12149</v>
      </c>
      <c r="O4079" t="s">
        <v>12150</v>
      </c>
    </row>
    <row r="4080" spans="1:15" x14ac:dyDescent="0.25">
      <c r="A4080" t="s">
        <v>18</v>
      </c>
      <c r="B4080" t="s">
        <v>12149</v>
      </c>
      <c r="C4080" t="s">
        <v>12151</v>
      </c>
      <c r="D4080" t="s">
        <v>20</v>
      </c>
      <c r="E4080" t="s">
        <v>11</v>
      </c>
      <c r="F4080">
        <v>13838.087999999998</v>
      </c>
      <c r="G4080">
        <v>18</v>
      </c>
      <c r="L4080" t="s">
        <v>12152</v>
      </c>
      <c r="O4080" t="s">
        <v>12153</v>
      </c>
    </row>
    <row r="4081" spans="1:15" x14ac:dyDescent="0.25">
      <c r="A4081" t="s">
        <v>18</v>
      </c>
      <c r="B4081" t="s">
        <v>12152</v>
      </c>
      <c r="C4081" t="s">
        <v>12154</v>
      </c>
      <c r="D4081" t="s">
        <v>20</v>
      </c>
      <c r="E4081" t="s">
        <v>11</v>
      </c>
      <c r="F4081">
        <v>11227.127999999999</v>
      </c>
      <c r="G4081">
        <v>18</v>
      </c>
      <c r="L4081" t="s">
        <v>12155</v>
      </c>
      <c r="O4081" t="s">
        <v>12156</v>
      </c>
    </row>
    <row r="4082" spans="1:15" x14ac:dyDescent="0.25">
      <c r="A4082" t="s">
        <v>18</v>
      </c>
      <c r="B4082" t="s">
        <v>12155</v>
      </c>
      <c r="C4082" t="s">
        <v>12157</v>
      </c>
      <c r="D4082" t="s">
        <v>20</v>
      </c>
      <c r="E4082" t="s">
        <v>11</v>
      </c>
      <c r="F4082">
        <v>16187.952</v>
      </c>
      <c r="G4082">
        <v>18</v>
      </c>
      <c r="L4082" t="s">
        <v>12158</v>
      </c>
      <c r="O4082" t="s">
        <v>12159</v>
      </c>
    </row>
    <row r="4083" spans="1:15" x14ac:dyDescent="0.25">
      <c r="A4083" t="s">
        <v>18</v>
      </c>
      <c r="B4083" t="s">
        <v>12158</v>
      </c>
      <c r="C4083" t="s">
        <v>12160</v>
      </c>
      <c r="D4083" t="s">
        <v>20</v>
      </c>
      <c r="E4083" t="s">
        <v>11</v>
      </c>
      <c r="F4083">
        <v>9334.181999999999</v>
      </c>
      <c r="G4083">
        <v>18</v>
      </c>
      <c r="L4083" t="s">
        <v>12161</v>
      </c>
      <c r="O4083" t="s">
        <v>12162</v>
      </c>
    </row>
    <row r="4084" spans="1:15" x14ac:dyDescent="0.25">
      <c r="A4084" t="s">
        <v>18</v>
      </c>
      <c r="B4084" t="s">
        <v>12161</v>
      </c>
      <c r="C4084" t="s">
        <v>12163</v>
      </c>
      <c r="D4084" t="s">
        <v>20</v>
      </c>
      <c r="E4084" t="s">
        <v>11</v>
      </c>
      <c r="F4084">
        <v>11553.497999999998</v>
      </c>
      <c r="G4084">
        <v>18</v>
      </c>
      <c r="L4084" t="s">
        <v>12164</v>
      </c>
      <c r="O4084" t="s">
        <v>12165</v>
      </c>
    </row>
    <row r="4085" spans="1:15" x14ac:dyDescent="0.25">
      <c r="A4085" t="s">
        <v>18</v>
      </c>
      <c r="B4085" t="s">
        <v>12164</v>
      </c>
      <c r="C4085" t="s">
        <v>12166</v>
      </c>
      <c r="D4085" t="s">
        <v>20</v>
      </c>
      <c r="E4085" t="s">
        <v>11</v>
      </c>
      <c r="F4085">
        <v>9660.552</v>
      </c>
      <c r="G4085">
        <v>18</v>
      </c>
      <c r="L4085" t="s">
        <v>12167</v>
      </c>
      <c r="O4085" t="s">
        <v>12168</v>
      </c>
    </row>
    <row r="4086" spans="1:15" x14ac:dyDescent="0.25">
      <c r="A4086" t="s">
        <v>18</v>
      </c>
      <c r="B4086" t="s">
        <v>12167</v>
      </c>
      <c r="C4086" t="s">
        <v>12169</v>
      </c>
      <c r="D4086" t="s">
        <v>20</v>
      </c>
      <c r="E4086" t="s">
        <v>11</v>
      </c>
      <c r="F4086">
        <v>9399.455999999998</v>
      </c>
      <c r="G4086">
        <v>18</v>
      </c>
      <c r="L4086" t="s">
        <v>12170</v>
      </c>
      <c r="O4086" t="s">
        <v>12171</v>
      </c>
    </row>
    <row r="4087" spans="1:15" x14ac:dyDescent="0.25">
      <c r="A4087" t="s">
        <v>18</v>
      </c>
      <c r="B4087" t="s">
        <v>12170</v>
      </c>
      <c r="C4087" t="s">
        <v>12172</v>
      </c>
      <c r="D4087" t="s">
        <v>20</v>
      </c>
      <c r="E4087" t="s">
        <v>11</v>
      </c>
      <c r="F4087">
        <v>11096.58</v>
      </c>
      <c r="G4087">
        <v>18</v>
      </c>
      <c r="L4087" t="s">
        <v>12173</v>
      </c>
      <c r="O4087" t="s">
        <v>12174</v>
      </c>
    </row>
    <row r="4088" spans="1:15" x14ac:dyDescent="0.25">
      <c r="A4088" t="s">
        <v>18</v>
      </c>
      <c r="B4088" t="s">
        <v>12173</v>
      </c>
      <c r="C4088" t="s">
        <v>12175</v>
      </c>
      <c r="D4088" t="s">
        <v>20</v>
      </c>
      <c r="E4088" t="s">
        <v>11</v>
      </c>
      <c r="F4088">
        <v>11227.127999999999</v>
      </c>
      <c r="G4088">
        <v>18</v>
      </c>
      <c r="L4088" t="s">
        <v>12176</v>
      </c>
      <c r="O4088" t="s">
        <v>12177</v>
      </c>
    </row>
    <row r="4089" spans="1:15" x14ac:dyDescent="0.25">
      <c r="A4089" t="s">
        <v>18</v>
      </c>
      <c r="B4089" t="s">
        <v>12176</v>
      </c>
      <c r="C4089" t="s">
        <v>12178</v>
      </c>
      <c r="D4089" t="s">
        <v>20</v>
      </c>
      <c r="E4089" t="s">
        <v>11</v>
      </c>
      <c r="F4089">
        <v>11227.127999999999</v>
      </c>
      <c r="G4089">
        <v>18</v>
      </c>
      <c r="L4089" t="s">
        <v>12179</v>
      </c>
      <c r="O4089" t="s">
        <v>12180</v>
      </c>
    </row>
    <row r="4090" spans="1:15" x14ac:dyDescent="0.25">
      <c r="A4090" t="s">
        <v>18</v>
      </c>
      <c r="B4090" t="s">
        <v>12179</v>
      </c>
      <c r="C4090" t="s">
        <v>12181</v>
      </c>
      <c r="D4090" t="s">
        <v>20</v>
      </c>
      <c r="E4090" t="s">
        <v>11</v>
      </c>
      <c r="F4090">
        <v>9791.1</v>
      </c>
      <c r="G4090">
        <v>18</v>
      </c>
      <c r="L4090" t="s">
        <v>12182</v>
      </c>
      <c r="O4090" t="s">
        <v>12183</v>
      </c>
    </row>
    <row r="4091" spans="1:15" x14ac:dyDescent="0.25">
      <c r="A4091" t="s">
        <v>18</v>
      </c>
      <c r="B4091" t="s">
        <v>12182</v>
      </c>
      <c r="C4091" t="s">
        <v>12184</v>
      </c>
      <c r="D4091" t="s">
        <v>20</v>
      </c>
      <c r="E4091" t="s">
        <v>11</v>
      </c>
      <c r="F4091">
        <v>11227.127999999999</v>
      </c>
      <c r="G4091">
        <v>18</v>
      </c>
      <c r="L4091" t="s">
        <v>12185</v>
      </c>
      <c r="O4091" t="s">
        <v>12186</v>
      </c>
    </row>
    <row r="4092" spans="1:15" x14ac:dyDescent="0.25">
      <c r="A4092" t="s">
        <v>18</v>
      </c>
      <c r="B4092" t="s">
        <v>12185</v>
      </c>
      <c r="C4092" t="s">
        <v>12187</v>
      </c>
      <c r="D4092" t="s">
        <v>20</v>
      </c>
      <c r="E4092" t="s">
        <v>11</v>
      </c>
      <c r="F4092">
        <v>10443.84</v>
      </c>
      <c r="G4092">
        <v>18</v>
      </c>
      <c r="L4092" t="s">
        <v>12188</v>
      </c>
      <c r="O4092" t="s">
        <v>12189</v>
      </c>
    </row>
    <row r="4093" spans="1:15" x14ac:dyDescent="0.25">
      <c r="A4093" t="s">
        <v>18</v>
      </c>
      <c r="B4093" t="s">
        <v>12188</v>
      </c>
      <c r="C4093" t="s">
        <v>12190</v>
      </c>
      <c r="D4093" t="s">
        <v>20</v>
      </c>
      <c r="E4093" t="s">
        <v>11</v>
      </c>
      <c r="F4093">
        <v>10182.743999999999</v>
      </c>
      <c r="G4093">
        <v>18</v>
      </c>
      <c r="L4093" t="s">
        <v>12191</v>
      </c>
      <c r="O4093" t="s">
        <v>12192</v>
      </c>
    </row>
    <row r="4094" spans="1:15" x14ac:dyDescent="0.25">
      <c r="A4094" t="s">
        <v>18</v>
      </c>
      <c r="B4094" t="s">
        <v>12191</v>
      </c>
      <c r="C4094" t="s">
        <v>12193</v>
      </c>
      <c r="D4094" t="s">
        <v>20</v>
      </c>
      <c r="E4094" t="s">
        <v>11</v>
      </c>
      <c r="F4094">
        <v>12336.786</v>
      </c>
      <c r="G4094">
        <v>18</v>
      </c>
      <c r="L4094" t="s">
        <v>12194</v>
      </c>
      <c r="O4094" t="s">
        <v>12195</v>
      </c>
    </row>
    <row r="4095" spans="1:15" x14ac:dyDescent="0.25">
      <c r="A4095" t="s">
        <v>18</v>
      </c>
      <c r="B4095" t="s">
        <v>12194</v>
      </c>
      <c r="C4095" t="s">
        <v>12196</v>
      </c>
      <c r="D4095" t="s">
        <v>20</v>
      </c>
      <c r="E4095" t="s">
        <v>11</v>
      </c>
      <c r="F4095">
        <v>9986.921999999999</v>
      </c>
      <c r="G4095">
        <v>18</v>
      </c>
      <c r="L4095" t="s">
        <v>12197</v>
      </c>
      <c r="O4095" t="s">
        <v>12198</v>
      </c>
    </row>
    <row r="4096" spans="1:15" x14ac:dyDescent="0.25">
      <c r="A4096" t="s">
        <v>18</v>
      </c>
      <c r="B4096" t="s">
        <v>12197</v>
      </c>
      <c r="C4096" t="s">
        <v>12199</v>
      </c>
      <c r="D4096" t="s">
        <v>20</v>
      </c>
      <c r="E4096" t="s">
        <v>11</v>
      </c>
      <c r="F4096">
        <v>10182.743999999999</v>
      </c>
      <c r="G4096">
        <v>18</v>
      </c>
      <c r="L4096" t="s">
        <v>12200</v>
      </c>
      <c r="O4096" t="s">
        <v>12201</v>
      </c>
    </row>
    <row r="4097" spans="1:15" x14ac:dyDescent="0.25">
      <c r="A4097" t="s">
        <v>18</v>
      </c>
      <c r="B4097" t="s">
        <v>12200</v>
      </c>
      <c r="C4097" t="s">
        <v>12202</v>
      </c>
      <c r="D4097" t="s">
        <v>20</v>
      </c>
      <c r="E4097" t="s">
        <v>11</v>
      </c>
      <c r="F4097">
        <v>12336.786</v>
      </c>
      <c r="G4097">
        <v>18</v>
      </c>
      <c r="L4097" t="s">
        <v>12203</v>
      </c>
      <c r="O4097" t="s">
        <v>12204</v>
      </c>
    </row>
    <row r="4098" spans="1:15" x14ac:dyDescent="0.25">
      <c r="A4098" t="s">
        <v>18</v>
      </c>
      <c r="B4098" t="s">
        <v>12203</v>
      </c>
      <c r="C4098" t="s">
        <v>12205</v>
      </c>
      <c r="D4098" t="s">
        <v>20</v>
      </c>
      <c r="E4098" t="s">
        <v>11</v>
      </c>
      <c r="F4098">
        <v>12336.786</v>
      </c>
      <c r="G4098">
        <v>18</v>
      </c>
      <c r="L4098" t="s">
        <v>12206</v>
      </c>
      <c r="O4098" t="s">
        <v>12207</v>
      </c>
    </row>
    <row r="4099" spans="1:15" x14ac:dyDescent="0.25">
      <c r="A4099" t="s">
        <v>18</v>
      </c>
      <c r="B4099" t="s">
        <v>12206</v>
      </c>
      <c r="C4099" t="s">
        <v>12208</v>
      </c>
      <c r="D4099" t="s">
        <v>20</v>
      </c>
      <c r="E4099" t="s">
        <v>11</v>
      </c>
      <c r="F4099">
        <v>15404.664</v>
      </c>
      <c r="G4099">
        <v>18</v>
      </c>
      <c r="L4099" t="s">
        <v>12209</v>
      </c>
      <c r="O4099" t="s">
        <v>12210</v>
      </c>
    </row>
    <row r="4100" spans="1:15" x14ac:dyDescent="0.25">
      <c r="A4100" t="s">
        <v>18</v>
      </c>
      <c r="B4100" t="s">
        <v>12209</v>
      </c>
      <c r="C4100" t="s">
        <v>12211</v>
      </c>
      <c r="D4100" t="s">
        <v>20</v>
      </c>
      <c r="E4100" t="s">
        <v>11</v>
      </c>
      <c r="F4100">
        <v>15404.664</v>
      </c>
      <c r="G4100">
        <v>18</v>
      </c>
      <c r="L4100" t="s">
        <v>12212</v>
      </c>
      <c r="O4100" t="s">
        <v>12213</v>
      </c>
    </row>
    <row r="4101" spans="1:15" x14ac:dyDescent="0.25">
      <c r="A4101" t="s">
        <v>18</v>
      </c>
      <c r="B4101" t="s">
        <v>12212</v>
      </c>
      <c r="C4101" t="s">
        <v>12214</v>
      </c>
      <c r="D4101" t="s">
        <v>20</v>
      </c>
      <c r="E4101" t="s">
        <v>11</v>
      </c>
      <c r="F4101">
        <v>15404.664</v>
      </c>
      <c r="G4101">
        <v>18</v>
      </c>
      <c r="L4101" t="s">
        <v>12215</v>
      </c>
      <c r="O4101" t="s">
        <v>12216</v>
      </c>
    </row>
    <row r="4102" spans="1:15" x14ac:dyDescent="0.25">
      <c r="A4102" t="s">
        <v>18</v>
      </c>
      <c r="B4102" t="s">
        <v>12215</v>
      </c>
      <c r="C4102" t="s">
        <v>12217</v>
      </c>
      <c r="D4102" t="s">
        <v>20</v>
      </c>
      <c r="E4102" t="s">
        <v>11</v>
      </c>
      <c r="F4102">
        <v>12010.416</v>
      </c>
      <c r="G4102">
        <v>18</v>
      </c>
      <c r="L4102" t="s">
        <v>12218</v>
      </c>
      <c r="O4102" t="s">
        <v>12219</v>
      </c>
    </row>
    <row r="4103" spans="1:15" x14ac:dyDescent="0.25">
      <c r="A4103" t="s">
        <v>18</v>
      </c>
      <c r="B4103" t="s">
        <v>12218</v>
      </c>
      <c r="C4103" t="s">
        <v>12220</v>
      </c>
      <c r="D4103" t="s">
        <v>20</v>
      </c>
      <c r="E4103" t="s">
        <v>11</v>
      </c>
      <c r="F4103">
        <v>15404.664</v>
      </c>
      <c r="G4103">
        <v>18</v>
      </c>
      <c r="L4103" t="s">
        <v>12221</v>
      </c>
      <c r="O4103" t="s">
        <v>12222</v>
      </c>
    </row>
    <row r="4104" spans="1:15" x14ac:dyDescent="0.25">
      <c r="A4104" t="s">
        <v>18</v>
      </c>
      <c r="B4104" t="s">
        <v>12221</v>
      </c>
      <c r="C4104" t="s">
        <v>12223</v>
      </c>
      <c r="D4104" t="s">
        <v>20</v>
      </c>
      <c r="E4104" t="s">
        <v>11</v>
      </c>
      <c r="F4104">
        <v>12075.689999999999</v>
      </c>
      <c r="G4104">
        <v>18</v>
      </c>
      <c r="L4104" t="s">
        <v>12224</v>
      </c>
      <c r="O4104" t="s">
        <v>12225</v>
      </c>
    </row>
    <row r="4105" spans="1:15" x14ac:dyDescent="0.25">
      <c r="A4105" t="s">
        <v>18</v>
      </c>
      <c r="B4105" t="s">
        <v>12224</v>
      </c>
      <c r="C4105" t="s">
        <v>12226</v>
      </c>
      <c r="D4105" t="s">
        <v>20</v>
      </c>
      <c r="E4105" t="s">
        <v>11</v>
      </c>
      <c r="F4105">
        <v>13185.347999999998</v>
      </c>
      <c r="G4105">
        <v>18</v>
      </c>
      <c r="L4105" t="s">
        <v>12227</v>
      </c>
      <c r="O4105" t="s">
        <v>12228</v>
      </c>
    </row>
    <row r="4106" spans="1:15" x14ac:dyDescent="0.25">
      <c r="A4106" t="s">
        <v>18</v>
      </c>
      <c r="B4106" t="s">
        <v>12227</v>
      </c>
      <c r="C4106" t="s">
        <v>12229</v>
      </c>
      <c r="D4106" t="s">
        <v>20</v>
      </c>
      <c r="E4106" t="s">
        <v>11</v>
      </c>
      <c r="F4106">
        <v>15013.02</v>
      </c>
      <c r="G4106">
        <v>18</v>
      </c>
      <c r="L4106" t="s">
        <v>12230</v>
      </c>
      <c r="O4106" t="s">
        <v>12231</v>
      </c>
    </row>
    <row r="4107" spans="1:15" x14ac:dyDescent="0.25">
      <c r="A4107" t="s">
        <v>18</v>
      </c>
      <c r="B4107" t="s">
        <v>12230</v>
      </c>
      <c r="C4107" t="s">
        <v>12232</v>
      </c>
      <c r="D4107" t="s">
        <v>20</v>
      </c>
      <c r="E4107" t="s">
        <v>11</v>
      </c>
      <c r="F4107">
        <v>17297.61</v>
      </c>
      <c r="G4107">
        <v>18</v>
      </c>
      <c r="L4107" t="s">
        <v>12233</v>
      </c>
      <c r="O4107" t="s">
        <v>12234</v>
      </c>
    </row>
    <row r="4108" spans="1:15" x14ac:dyDescent="0.25">
      <c r="A4108" t="s">
        <v>18</v>
      </c>
      <c r="B4108" t="s">
        <v>12233</v>
      </c>
      <c r="C4108" t="s">
        <v>12235</v>
      </c>
      <c r="D4108" t="s">
        <v>20</v>
      </c>
      <c r="E4108" t="s">
        <v>11</v>
      </c>
      <c r="F4108">
        <v>15013.02</v>
      </c>
      <c r="G4108">
        <v>18</v>
      </c>
      <c r="L4108" t="s">
        <v>12236</v>
      </c>
      <c r="O4108" t="s">
        <v>12237</v>
      </c>
    </row>
    <row r="4109" spans="1:15" x14ac:dyDescent="0.25">
      <c r="A4109" t="s">
        <v>18</v>
      </c>
      <c r="B4109" t="s">
        <v>12236</v>
      </c>
      <c r="C4109" t="s">
        <v>12238</v>
      </c>
      <c r="D4109" t="s">
        <v>20</v>
      </c>
      <c r="E4109" t="s">
        <v>11</v>
      </c>
      <c r="F4109">
        <v>12336.786</v>
      </c>
      <c r="G4109">
        <v>18</v>
      </c>
      <c r="L4109" t="s">
        <v>12239</v>
      </c>
      <c r="O4109" t="s">
        <v>12240</v>
      </c>
    </row>
    <row r="4110" spans="1:15" x14ac:dyDescent="0.25">
      <c r="A4110" t="s">
        <v>18</v>
      </c>
      <c r="B4110" t="s">
        <v>12239</v>
      </c>
      <c r="C4110" t="s">
        <v>12241</v>
      </c>
      <c r="D4110" t="s">
        <v>20</v>
      </c>
      <c r="E4110" t="s">
        <v>11</v>
      </c>
      <c r="F4110">
        <v>12206.237999999998</v>
      </c>
      <c r="G4110">
        <v>18</v>
      </c>
      <c r="L4110" t="s">
        <v>12242</v>
      </c>
      <c r="O4110" t="s">
        <v>12243</v>
      </c>
    </row>
    <row r="4111" spans="1:15" x14ac:dyDescent="0.25">
      <c r="A4111" t="s">
        <v>18</v>
      </c>
      <c r="B4111" t="s">
        <v>12242</v>
      </c>
      <c r="C4111" t="s">
        <v>12244</v>
      </c>
      <c r="D4111" t="s">
        <v>20</v>
      </c>
      <c r="E4111" t="s">
        <v>11</v>
      </c>
      <c r="F4111">
        <v>20691.858</v>
      </c>
      <c r="G4111">
        <v>18</v>
      </c>
      <c r="L4111" t="s">
        <v>12245</v>
      </c>
      <c r="O4111" t="s">
        <v>12246</v>
      </c>
    </row>
    <row r="4112" spans="1:15" x14ac:dyDescent="0.25">
      <c r="A4112" t="s">
        <v>18</v>
      </c>
      <c r="B4112" t="s">
        <v>12245</v>
      </c>
      <c r="C4112" t="s">
        <v>12247</v>
      </c>
      <c r="D4112" t="s">
        <v>20</v>
      </c>
      <c r="E4112" t="s">
        <v>11</v>
      </c>
      <c r="F4112">
        <v>17297.61</v>
      </c>
      <c r="G4112">
        <v>18</v>
      </c>
      <c r="L4112" t="s">
        <v>12248</v>
      </c>
      <c r="O4112" t="s">
        <v>12249</v>
      </c>
    </row>
    <row r="4113" spans="1:15" x14ac:dyDescent="0.25">
      <c r="A4113" t="s">
        <v>18</v>
      </c>
      <c r="B4113" t="s">
        <v>12248</v>
      </c>
      <c r="C4113" t="s">
        <v>12250</v>
      </c>
      <c r="D4113" t="s">
        <v>20</v>
      </c>
      <c r="E4113" t="s">
        <v>11</v>
      </c>
      <c r="F4113">
        <v>20039.118</v>
      </c>
      <c r="G4113">
        <v>18</v>
      </c>
      <c r="L4113" t="s">
        <v>12251</v>
      </c>
      <c r="O4113" t="s">
        <v>12252</v>
      </c>
    </row>
    <row r="4114" spans="1:15" x14ac:dyDescent="0.25">
      <c r="A4114" t="s">
        <v>18</v>
      </c>
      <c r="B4114" t="s">
        <v>12251</v>
      </c>
      <c r="C4114" t="s">
        <v>12253</v>
      </c>
      <c r="D4114" t="s">
        <v>20</v>
      </c>
      <c r="E4114" t="s">
        <v>11</v>
      </c>
      <c r="F4114">
        <v>17558.706</v>
      </c>
      <c r="G4114">
        <v>18</v>
      </c>
      <c r="L4114" t="s">
        <v>12254</v>
      </c>
      <c r="O4114" t="s">
        <v>12255</v>
      </c>
    </row>
    <row r="4115" spans="1:15" x14ac:dyDescent="0.25">
      <c r="A4115" t="s">
        <v>18</v>
      </c>
      <c r="B4115" t="s">
        <v>12254</v>
      </c>
      <c r="C4115" t="s">
        <v>12256</v>
      </c>
      <c r="D4115" t="s">
        <v>20</v>
      </c>
      <c r="E4115" t="s">
        <v>11</v>
      </c>
      <c r="F4115">
        <v>23694.462</v>
      </c>
      <c r="G4115">
        <v>18</v>
      </c>
      <c r="L4115" t="s">
        <v>12257</v>
      </c>
      <c r="O4115" t="s">
        <v>12258</v>
      </c>
    </row>
    <row r="4116" spans="1:15" x14ac:dyDescent="0.25">
      <c r="A4116" t="s">
        <v>18</v>
      </c>
      <c r="B4116" t="s">
        <v>12257</v>
      </c>
      <c r="C4116" t="s">
        <v>12259</v>
      </c>
      <c r="D4116" t="s">
        <v>20</v>
      </c>
      <c r="E4116" t="s">
        <v>11</v>
      </c>
      <c r="F4116">
        <v>20691.858</v>
      </c>
      <c r="G4116">
        <v>18</v>
      </c>
      <c r="L4116" t="s">
        <v>12260</v>
      </c>
      <c r="O4116" t="s">
        <v>12261</v>
      </c>
    </row>
    <row r="4117" spans="1:15" x14ac:dyDescent="0.25">
      <c r="A4117" t="s">
        <v>18</v>
      </c>
      <c r="B4117" t="s">
        <v>12260</v>
      </c>
      <c r="C4117" t="s">
        <v>12262</v>
      </c>
      <c r="D4117" t="s">
        <v>20</v>
      </c>
      <c r="E4117" t="s">
        <v>11</v>
      </c>
      <c r="F4117">
        <v>20691.858</v>
      </c>
      <c r="G4117">
        <v>18</v>
      </c>
      <c r="L4117" t="s">
        <v>12263</v>
      </c>
      <c r="O4117" t="s">
        <v>12264</v>
      </c>
    </row>
    <row r="4118" spans="1:15" x14ac:dyDescent="0.25">
      <c r="A4118" t="s">
        <v>18</v>
      </c>
      <c r="B4118" t="s">
        <v>12263</v>
      </c>
      <c r="C4118" t="s">
        <v>12265</v>
      </c>
      <c r="D4118" t="s">
        <v>20</v>
      </c>
      <c r="E4118" t="s">
        <v>11</v>
      </c>
      <c r="F4118">
        <v>20039.118</v>
      </c>
      <c r="G4118">
        <v>18</v>
      </c>
      <c r="L4118" t="s">
        <v>12266</v>
      </c>
      <c r="O4118" t="s">
        <v>12267</v>
      </c>
    </row>
    <row r="4119" spans="1:15" x14ac:dyDescent="0.25">
      <c r="A4119" t="s">
        <v>18</v>
      </c>
      <c r="B4119" t="s">
        <v>12266</v>
      </c>
      <c r="C4119" t="s">
        <v>12268</v>
      </c>
      <c r="D4119" t="s">
        <v>20</v>
      </c>
      <c r="E4119" t="s">
        <v>11</v>
      </c>
      <c r="F4119">
        <v>23694.462</v>
      </c>
      <c r="G4119">
        <v>18</v>
      </c>
      <c r="L4119" t="s">
        <v>12269</v>
      </c>
      <c r="O4119" t="s">
        <v>12270</v>
      </c>
    </row>
    <row r="4120" spans="1:15" x14ac:dyDescent="0.25">
      <c r="A4120" t="s">
        <v>18</v>
      </c>
      <c r="B4120" t="s">
        <v>12269</v>
      </c>
      <c r="C4120" t="s">
        <v>12271</v>
      </c>
      <c r="D4120" t="s">
        <v>20</v>
      </c>
      <c r="E4120" t="s">
        <v>11</v>
      </c>
      <c r="F4120">
        <v>24738.845999999998</v>
      </c>
      <c r="G4120">
        <v>18</v>
      </c>
      <c r="L4120" t="s">
        <v>12272</v>
      </c>
      <c r="O4120" t="s">
        <v>12273</v>
      </c>
    </row>
    <row r="4121" spans="1:15" x14ac:dyDescent="0.25">
      <c r="A4121" t="s">
        <v>18</v>
      </c>
      <c r="B4121" t="s">
        <v>12272</v>
      </c>
      <c r="C4121" t="s">
        <v>12274</v>
      </c>
      <c r="D4121" t="s">
        <v>20</v>
      </c>
      <c r="E4121" t="s">
        <v>11</v>
      </c>
      <c r="F4121">
        <v>7571.784</v>
      </c>
      <c r="G4121">
        <v>18</v>
      </c>
      <c r="L4121" t="s">
        <v>12275</v>
      </c>
      <c r="O4121" t="s">
        <v>12276</v>
      </c>
    </row>
    <row r="4122" spans="1:15" x14ac:dyDescent="0.25">
      <c r="A4122" t="s">
        <v>18</v>
      </c>
      <c r="B4122" t="s">
        <v>12275</v>
      </c>
      <c r="C4122" t="s">
        <v>12277</v>
      </c>
      <c r="D4122" t="s">
        <v>20</v>
      </c>
      <c r="E4122" t="s">
        <v>11</v>
      </c>
      <c r="F4122">
        <v>10182.743999999999</v>
      </c>
      <c r="G4122">
        <v>18</v>
      </c>
      <c r="L4122" t="s">
        <v>12278</v>
      </c>
      <c r="O4122" t="s">
        <v>12279</v>
      </c>
    </row>
    <row r="4123" spans="1:15" x14ac:dyDescent="0.25">
      <c r="A4123" t="s">
        <v>18</v>
      </c>
      <c r="B4123" t="s">
        <v>12278</v>
      </c>
      <c r="C4123" t="s">
        <v>12280</v>
      </c>
      <c r="D4123" t="s">
        <v>20</v>
      </c>
      <c r="E4123" t="s">
        <v>11</v>
      </c>
      <c r="F4123">
        <v>8224.524</v>
      </c>
      <c r="G4123">
        <v>18</v>
      </c>
      <c r="L4123" t="s">
        <v>12281</v>
      </c>
      <c r="O4123" t="s">
        <v>12282</v>
      </c>
    </row>
    <row r="4124" spans="1:15" x14ac:dyDescent="0.25">
      <c r="A4124" t="s">
        <v>18</v>
      </c>
      <c r="B4124" t="s">
        <v>12281</v>
      </c>
      <c r="C4124" t="s">
        <v>12283</v>
      </c>
      <c r="D4124" t="s">
        <v>20</v>
      </c>
      <c r="E4124" t="s">
        <v>11</v>
      </c>
      <c r="F4124">
        <v>7571.784</v>
      </c>
      <c r="G4124">
        <v>18</v>
      </c>
      <c r="L4124" t="s">
        <v>12284</v>
      </c>
      <c r="O4124" t="s">
        <v>12285</v>
      </c>
    </row>
    <row r="4125" spans="1:15" x14ac:dyDescent="0.25">
      <c r="A4125" t="s">
        <v>18</v>
      </c>
      <c r="B4125" t="s">
        <v>12284</v>
      </c>
      <c r="C4125" t="s">
        <v>12286</v>
      </c>
      <c r="D4125" t="s">
        <v>20</v>
      </c>
      <c r="E4125" t="s">
        <v>11</v>
      </c>
      <c r="F4125">
        <v>11422.95</v>
      </c>
      <c r="G4125">
        <v>18</v>
      </c>
      <c r="L4125" t="s">
        <v>12287</v>
      </c>
      <c r="O4125" t="s">
        <v>12288</v>
      </c>
    </row>
    <row r="4126" spans="1:15" x14ac:dyDescent="0.25">
      <c r="A4126" t="s">
        <v>18</v>
      </c>
      <c r="B4126" t="s">
        <v>12287</v>
      </c>
      <c r="C4126" t="s">
        <v>12289</v>
      </c>
      <c r="D4126" t="s">
        <v>20</v>
      </c>
      <c r="E4126" t="s">
        <v>11</v>
      </c>
      <c r="F4126">
        <v>11227.127999999999</v>
      </c>
      <c r="G4126">
        <v>18</v>
      </c>
      <c r="L4126" t="s">
        <v>12290</v>
      </c>
      <c r="O4126" t="s">
        <v>12291</v>
      </c>
    </row>
    <row r="4127" spans="1:15" x14ac:dyDescent="0.25">
      <c r="A4127" t="s">
        <v>18</v>
      </c>
      <c r="B4127" t="s">
        <v>12290</v>
      </c>
      <c r="C4127" t="s">
        <v>12292</v>
      </c>
      <c r="D4127" t="s">
        <v>20</v>
      </c>
      <c r="E4127" t="s">
        <v>11</v>
      </c>
      <c r="F4127">
        <v>14099.184000000001</v>
      </c>
      <c r="G4127">
        <v>18</v>
      </c>
      <c r="L4127" t="s">
        <v>12293</v>
      </c>
      <c r="O4127" t="s">
        <v>12294</v>
      </c>
    </row>
    <row r="4128" spans="1:15" x14ac:dyDescent="0.25">
      <c r="A4128" t="s">
        <v>18</v>
      </c>
      <c r="B4128" t="s">
        <v>12293</v>
      </c>
      <c r="C4128" t="s">
        <v>12295</v>
      </c>
      <c r="D4128" t="s">
        <v>20</v>
      </c>
      <c r="E4128" t="s">
        <v>11</v>
      </c>
      <c r="F4128">
        <v>13968.636</v>
      </c>
      <c r="G4128">
        <v>18</v>
      </c>
      <c r="L4128" t="s">
        <v>12296</v>
      </c>
      <c r="O4128" t="s">
        <v>12297</v>
      </c>
    </row>
    <row r="4129" spans="1:15" x14ac:dyDescent="0.25">
      <c r="A4129" t="s">
        <v>18</v>
      </c>
      <c r="B4129" t="s">
        <v>12296</v>
      </c>
      <c r="C4129" t="s">
        <v>12298</v>
      </c>
      <c r="D4129" t="s">
        <v>20</v>
      </c>
      <c r="E4129" t="s">
        <v>11</v>
      </c>
      <c r="F4129">
        <v>10639.661999999998</v>
      </c>
      <c r="G4129">
        <v>18</v>
      </c>
      <c r="L4129" t="s">
        <v>12299</v>
      </c>
      <c r="O4129" t="s">
        <v>12300</v>
      </c>
    </row>
    <row r="4130" spans="1:15" x14ac:dyDescent="0.25">
      <c r="A4130" t="s">
        <v>18</v>
      </c>
      <c r="B4130" t="s">
        <v>12299</v>
      </c>
      <c r="C4130" t="s">
        <v>12301</v>
      </c>
      <c r="D4130" t="s">
        <v>20</v>
      </c>
      <c r="E4130" t="s">
        <v>11</v>
      </c>
      <c r="F4130">
        <v>10639.661999999998</v>
      </c>
      <c r="G4130">
        <v>18</v>
      </c>
      <c r="L4130" t="s">
        <v>12302</v>
      </c>
      <c r="O4130" t="s">
        <v>12303</v>
      </c>
    </row>
    <row r="4131" spans="1:15" x14ac:dyDescent="0.25">
      <c r="A4131" t="s">
        <v>18</v>
      </c>
      <c r="B4131" t="s">
        <v>12302</v>
      </c>
      <c r="C4131" t="s">
        <v>12304</v>
      </c>
      <c r="D4131" t="s">
        <v>20</v>
      </c>
      <c r="E4131" t="s">
        <v>11</v>
      </c>
      <c r="F4131">
        <v>11684.045999999998</v>
      </c>
      <c r="G4131">
        <v>18</v>
      </c>
      <c r="L4131" t="s">
        <v>12305</v>
      </c>
      <c r="O4131" t="s">
        <v>12306</v>
      </c>
    </row>
    <row r="4132" spans="1:15" x14ac:dyDescent="0.25">
      <c r="A4132" t="s">
        <v>18</v>
      </c>
      <c r="B4132" t="s">
        <v>12305</v>
      </c>
      <c r="C4132" t="s">
        <v>12307</v>
      </c>
      <c r="D4132" t="s">
        <v>20</v>
      </c>
      <c r="E4132" t="s">
        <v>11</v>
      </c>
      <c r="F4132">
        <v>11684.045999999998</v>
      </c>
      <c r="G4132">
        <v>18</v>
      </c>
      <c r="L4132" t="s">
        <v>12308</v>
      </c>
      <c r="O4132" t="s">
        <v>12309</v>
      </c>
    </row>
    <row r="4133" spans="1:15" x14ac:dyDescent="0.25">
      <c r="A4133" t="s">
        <v>18</v>
      </c>
      <c r="B4133" t="s">
        <v>12308</v>
      </c>
      <c r="C4133" t="s">
        <v>12310</v>
      </c>
      <c r="D4133" t="s">
        <v>20</v>
      </c>
      <c r="E4133" t="s">
        <v>11</v>
      </c>
      <c r="F4133">
        <v>13381.17</v>
      </c>
      <c r="G4133">
        <v>18</v>
      </c>
      <c r="L4133" t="s">
        <v>12311</v>
      </c>
      <c r="O4133" t="s">
        <v>12312</v>
      </c>
    </row>
    <row r="4134" spans="1:15" x14ac:dyDescent="0.25">
      <c r="A4134" t="s">
        <v>18</v>
      </c>
      <c r="B4134" t="s">
        <v>12311</v>
      </c>
      <c r="C4134" t="s">
        <v>12313</v>
      </c>
      <c r="D4134" t="s">
        <v>20</v>
      </c>
      <c r="E4134" t="s">
        <v>11</v>
      </c>
      <c r="F4134">
        <v>13381.17</v>
      </c>
      <c r="G4134">
        <v>18</v>
      </c>
      <c r="L4134" t="s">
        <v>12314</v>
      </c>
      <c r="O4134" t="s">
        <v>12315</v>
      </c>
    </row>
    <row r="4135" spans="1:15" x14ac:dyDescent="0.25">
      <c r="A4135" t="s">
        <v>18</v>
      </c>
      <c r="B4135" t="s">
        <v>12314</v>
      </c>
      <c r="C4135" t="s">
        <v>12316</v>
      </c>
      <c r="D4135" t="s">
        <v>20</v>
      </c>
      <c r="E4135" t="s">
        <v>11</v>
      </c>
      <c r="F4135">
        <v>9856.374</v>
      </c>
      <c r="G4135">
        <v>18</v>
      </c>
      <c r="L4135" t="s">
        <v>12317</v>
      </c>
      <c r="O4135" t="s">
        <v>12318</v>
      </c>
    </row>
    <row r="4136" spans="1:15" x14ac:dyDescent="0.25">
      <c r="A4136" t="s">
        <v>18</v>
      </c>
      <c r="B4136" t="s">
        <v>12317</v>
      </c>
      <c r="C4136" t="s">
        <v>12319</v>
      </c>
      <c r="D4136" t="s">
        <v>20</v>
      </c>
      <c r="E4136" t="s">
        <v>11</v>
      </c>
      <c r="F4136">
        <v>9856.374</v>
      </c>
      <c r="G4136">
        <v>18</v>
      </c>
      <c r="L4136" t="s">
        <v>12320</v>
      </c>
      <c r="O4136" t="s">
        <v>12321</v>
      </c>
    </row>
    <row r="4137" spans="1:15" x14ac:dyDescent="0.25">
      <c r="A4137" t="s">
        <v>18</v>
      </c>
      <c r="B4137" t="s">
        <v>12320</v>
      </c>
      <c r="C4137" t="s">
        <v>12322</v>
      </c>
      <c r="D4137" t="s">
        <v>20</v>
      </c>
      <c r="E4137" t="s">
        <v>11</v>
      </c>
      <c r="F4137">
        <v>10770.210000000001</v>
      </c>
      <c r="G4137">
        <v>18</v>
      </c>
      <c r="L4137" t="s">
        <v>12323</v>
      </c>
      <c r="O4137" t="s">
        <v>12324</v>
      </c>
    </row>
    <row r="4138" spans="1:15" x14ac:dyDescent="0.25">
      <c r="A4138" t="s">
        <v>18</v>
      </c>
      <c r="B4138" t="s">
        <v>12323</v>
      </c>
      <c r="C4138" t="s">
        <v>12325</v>
      </c>
      <c r="D4138" t="s">
        <v>20</v>
      </c>
      <c r="E4138" t="s">
        <v>11</v>
      </c>
      <c r="F4138">
        <v>10770.210000000001</v>
      </c>
      <c r="G4138">
        <v>18</v>
      </c>
      <c r="L4138" t="s">
        <v>12326</v>
      </c>
      <c r="O4138" t="s">
        <v>12327</v>
      </c>
    </row>
    <row r="4139" spans="1:15" x14ac:dyDescent="0.25">
      <c r="A4139" t="s">
        <v>18</v>
      </c>
      <c r="B4139" t="s">
        <v>12326</v>
      </c>
      <c r="C4139" t="s">
        <v>12328</v>
      </c>
      <c r="D4139" t="s">
        <v>20</v>
      </c>
      <c r="E4139" t="s">
        <v>11</v>
      </c>
      <c r="F4139">
        <v>11422.95</v>
      </c>
      <c r="G4139">
        <v>18</v>
      </c>
      <c r="L4139" t="s">
        <v>12329</v>
      </c>
      <c r="O4139" t="s">
        <v>12330</v>
      </c>
    </row>
    <row r="4140" spans="1:15" x14ac:dyDescent="0.25">
      <c r="A4140" t="s">
        <v>18</v>
      </c>
      <c r="B4140" t="s">
        <v>12329</v>
      </c>
      <c r="C4140" t="s">
        <v>12331</v>
      </c>
      <c r="D4140" t="s">
        <v>20</v>
      </c>
      <c r="E4140" t="s">
        <v>11</v>
      </c>
      <c r="F4140">
        <v>11422.95</v>
      </c>
      <c r="G4140">
        <v>18</v>
      </c>
      <c r="L4140" t="s">
        <v>12332</v>
      </c>
      <c r="O4140" t="s">
        <v>12333</v>
      </c>
    </row>
    <row r="4141" spans="1:15" x14ac:dyDescent="0.25">
      <c r="A4141" t="s">
        <v>18</v>
      </c>
      <c r="B4141" t="s">
        <v>12332</v>
      </c>
      <c r="C4141" t="s">
        <v>12334</v>
      </c>
      <c r="D4141" t="s">
        <v>20</v>
      </c>
      <c r="E4141" t="s">
        <v>11</v>
      </c>
      <c r="F4141">
        <v>34464.672</v>
      </c>
      <c r="G4141">
        <v>18</v>
      </c>
      <c r="L4141" t="s">
        <v>12335</v>
      </c>
      <c r="O4141" t="s">
        <v>12336</v>
      </c>
    </row>
    <row r="4142" spans="1:15" x14ac:dyDescent="0.25">
      <c r="A4142" t="s">
        <v>18</v>
      </c>
      <c r="B4142" t="s">
        <v>12335</v>
      </c>
      <c r="C4142" t="s">
        <v>12337</v>
      </c>
      <c r="D4142" t="s">
        <v>20</v>
      </c>
      <c r="E4142" t="s">
        <v>11</v>
      </c>
      <c r="F4142">
        <v>34464.672</v>
      </c>
      <c r="G4142">
        <v>18</v>
      </c>
      <c r="L4142" t="s">
        <v>12338</v>
      </c>
      <c r="O4142" t="s">
        <v>12339</v>
      </c>
    </row>
    <row r="4143" spans="1:15" x14ac:dyDescent="0.25">
      <c r="A4143" t="s">
        <v>18</v>
      </c>
      <c r="B4143" t="s">
        <v>12338</v>
      </c>
      <c r="C4143" t="s">
        <v>12340</v>
      </c>
      <c r="D4143" t="s">
        <v>20</v>
      </c>
      <c r="E4143" t="s">
        <v>11</v>
      </c>
      <c r="F4143">
        <v>35247.96</v>
      </c>
      <c r="G4143">
        <v>18</v>
      </c>
      <c r="L4143" t="s">
        <v>12341</v>
      </c>
      <c r="O4143" t="s">
        <v>12342</v>
      </c>
    </row>
    <row r="4144" spans="1:15" x14ac:dyDescent="0.25">
      <c r="A4144" t="s">
        <v>18</v>
      </c>
      <c r="B4144" t="s">
        <v>12341</v>
      </c>
      <c r="C4144" t="s">
        <v>12343</v>
      </c>
      <c r="D4144" t="s">
        <v>20</v>
      </c>
      <c r="E4144" t="s">
        <v>11</v>
      </c>
      <c r="F4144">
        <v>35247.96</v>
      </c>
      <c r="G4144">
        <v>18</v>
      </c>
      <c r="L4144" t="s">
        <v>12344</v>
      </c>
      <c r="O4144" t="s">
        <v>12345</v>
      </c>
    </row>
    <row r="4145" spans="1:15" x14ac:dyDescent="0.25">
      <c r="A4145" t="s">
        <v>18</v>
      </c>
      <c r="B4145" t="s">
        <v>12344</v>
      </c>
      <c r="C4145" t="s">
        <v>12346</v>
      </c>
      <c r="D4145" t="s">
        <v>20</v>
      </c>
      <c r="E4145" t="s">
        <v>11</v>
      </c>
      <c r="F4145">
        <v>61096.464</v>
      </c>
      <c r="G4145">
        <v>18</v>
      </c>
      <c r="L4145" t="s">
        <v>12347</v>
      </c>
      <c r="O4145" t="s">
        <v>12348</v>
      </c>
    </row>
    <row r="4146" spans="1:15" x14ac:dyDescent="0.25">
      <c r="A4146" t="s">
        <v>18</v>
      </c>
      <c r="B4146" t="s">
        <v>12347</v>
      </c>
      <c r="C4146" t="s">
        <v>12349</v>
      </c>
      <c r="D4146" t="s">
        <v>20</v>
      </c>
      <c r="E4146" t="s">
        <v>11</v>
      </c>
      <c r="F4146">
        <v>61096.464</v>
      </c>
      <c r="G4146">
        <v>18</v>
      </c>
      <c r="L4146" t="s">
        <v>12350</v>
      </c>
      <c r="O4146" t="s">
        <v>12351</v>
      </c>
    </row>
    <row r="4147" spans="1:15" x14ac:dyDescent="0.25">
      <c r="A4147" t="s">
        <v>18</v>
      </c>
      <c r="B4147" t="s">
        <v>12350</v>
      </c>
      <c r="C4147" t="s">
        <v>12352</v>
      </c>
      <c r="D4147" t="s">
        <v>20</v>
      </c>
      <c r="E4147" t="s">
        <v>11</v>
      </c>
      <c r="F4147">
        <v>46605.636</v>
      </c>
      <c r="G4147">
        <v>18</v>
      </c>
      <c r="L4147" t="s">
        <v>12353</v>
      </c>
      <c r="O4147" t="s">
        <v>12354</v>
      </c>
    </row>
    <row r="4148" spans="1:15" x14ac:dyDescent="0.25">
      <c r="A4148" t="s">
        <v>18</v>
      </c>
      <c r="B4148" t="s">
        <v>12353</v>
      </c>
      <c r="C4148" t="s">
        <v>12355</v>
      </c>
      <c r="D4148" t="s">
        <v>20</v>
      </c>
      <c r="E4148" t="s">
        <v>11</v>
      </c>
      <c r="F4148">
        <v>46605.636</v>
      </c>
      <c r="G4148">
        <v>18</v>
      </c>
      <c r="L4148" t="s">
        <v>12356</v>
      </c>
      <c r="O4148" t="s">
        <v>12357</v>
      </c>
    </row>
    <row r="4149" spans="1:15" x14ac:dyDescent="0.25">
      <c r="A4149" t="s">
        <v>18</v>
      </c>
      <c r="B4149" t="s">
        <v>12356</v>
      </c>
      <c r="C4149" t="s">
        <v>12358</v>
      </c>
      <c r="D4149" t="s">
        <v>20</v>
      </c>
      <c r="E4149" t="s">
        <v>11</v>
      </c>
      <c r="F4149">
        <v>48955.5</v>
      </c>
      <c r="G4149">
        <v>18</v>
      </c>
      <c r="L4149" t="s">
        <v>12359</v>
      </c>
      <c r="O4149" t="s">
        <v>12360</v>
      </c>
    </row>
    <row r="4150" spans="1:15" x14ac:dyDescent="0.25">
      <c r="A4150" t="s">
        <v>18</v>
      </c>
      <c r="B4150" t="s">
        <v>12359</v>
      </c>
      <c r="C4150" t="s">
        <v>12361</v>
      </c>
      <c r="D4150" t="s">
        <v>20</v>
      </c>
      <c r="E4150" t="s">
        <v>11</v>
      </c>
      <c r="F4150">
        <v>48955.5</v>
      </c>
      <c r="G4150">
        <v>18</v>
      </c>
      <c r="L4150" t="s">
        <v>12362</v>
      </c>
      <c r="O4150" t="s">
        <v>12363</v>
      </c>
    </row>
    <row r="4151" spans="1:15" x14ac:dyDescent="0.25">
      <c r="A4151" t="s">
        <v>18</v>
      </c>
      <c r="B4151" t="s">
        <v>12362</v>
      </c>
      <c r="C4151" t="s">
        <v>12364</v>
      </c>
      <c r="D4151" t="s">
        <v>20</v>
      </c>
      <c r="E4151" t="s">
        <v>11</v>
      </c>
      <c r="F4151">
        <v>52871.94</v>
      </c>
      <c r="G4151">
        <v>18</v>
      </c>
      <c r="L4151" t="s">
        <v>12365</v>
      </c>
      <c r="O4151" t="s">
        <v>12366</v>
      </c>
    </row>
    <row r="4152" spans="1:15" x14ac:dyDescent="0.25">
      <c r="A4152" t="s">
        <v>18</v>
      </c>
      <c r="B4152" t="s">
        <v>12365</v>
      </c>
      <c r="C4152" t="s">
        <v>12367</v>
      </c>
      <c r="D4152" t="s">
        <v>20</v>
      </c>
      <c r="E4152" t="s">
        <v>11</v>
      </c>
      <c r="F4152">
        <v>52871.94</v>
      </c>
      <c r="G4152">
        <v>18</v>
      </c>
      <c r="L4152" t="s">
        <v>12368</v>
      </c>
      <c r="O4152" t="s">
        <v>12369</v>
      </c>
    </row>
    <row r="4153" spans="1:15" x14ac:dyDescent="0.25">
      <c r="A4153" t="s">
        <v>18</v>
      </c>
      <c r="B4153" t="s">
        <v>12368</v>
      </c>
      <c r="C4153" t="s">
        <v>12370</v>
      </c>
      <c r="D4153" t="s">
        <v>20</v>
      </c>
      <c r="E4153" t="s">
        <v>11</v>
      </c>
      <c r="F4153">
        <v>9986.921999999999</v>
      </c>
      <c r="G4153">
        <v>18</v>
      </c>
      <c r="L4153" t="s">
        <v>12371</v>
      </c>
      <c r="O4153" t="s">
        <v>12372</v>
      </c>
    </row>
    <row r="4154" spans="1:15" x14ac:dyDescent="0.25">
      <c r="A4154" t="s">
        <v>18</v>
      </c>
      <c r="B4154" t="s">
        <v>12371</v>
      </c>
      <c r="C4154" t="s">
        <v>12373</v>
      </c>
      <c r="D4154" t="s">
        <v>20</v>
      </c>
      <c r="E4154" t="s">
        <v>11</v>
      </c>
      <c r="F4154">
        <v>9986.921999999999</v>
      </c>
      <c r="G4154">
        <v>18</v>
      </c>
      <c r="L4154" t="s">
        <v>12374</v>
      </c>
      <c r="O4154" t="s">
        <v>12375</v>
      </c>
    </row>
    <row r="4155" spans="1:15" x14ac:dyDescent="0.25">
      <c r="A4155" t="s">
        <v>18</v>
      </c>
      <c r="B4155" t="s">
        <v>12374</v>
      </c>
      <c r="C4155" t="s">
        <v>12376</v>
      </c>
      <c r="D4155" t="s">
        <v>20</v>
      </c>
      <c r="E4155" t="s">
        <v>11</v>
      </c>
      <c r="F4155">
        <v>11031.305999999999</v>
      </c>
      <c r="G4155">
        <v>18</v>
      </c>
      <c r="L4155" t="s">
        <v>12377</v>
      </c>
      <c r="O4155" t="s">
        <v>12378</v>
      </c>
    </row>
    <row r="4156" spans="1:15" x14ac:dyDescent="0.25">
      <c r="A4156" t="s">
        <v>18</v>
      </c>
      <c r="B4156" t="s">
        <v>12377</v>
      </c>
      <c r="C4156" t="s">
        <v>12379</v>
      </c>
      <c r="D4156" t="s">
        <v>20</v>
      </c>
      <c r="E4156" t="s">
        <v>11</v>
      </c>
      <c r="F4156">
        <v>11031.305999999999</v>
      </c>
      <c r="G4156">
        <v>18</v>
      </c>
      <c r="L4156" t="s">
        <v>12380</v>
      </c>
      <c r="O4156" t="s">
        <v>12381</v>
      </c>
    </row>
    <row r="4157" spans="1:15" x14ac:dyDescent="0.25">
      <c r="A4157" t="s">
        <v>18</v>
      </c>
      <c r="B4157" t="s">
        <v>12380</v>
      </c>
      <c r="C4157" t="s">
        <v>12382</v>
      </c>
      <c r="D4157" t="s">
        <v>20</v>
      </c>
      <c r="E4157" t="s">
        <v>11</v>
      </c>
      <c r="F4157">
        <v>9921.648000000001</v>
      </c>
      <c r="G4157">
        <v>18</v>
      </c>
      <c r="L4157" t="s">
        <v>12383</v>
      </c>
      <c r="O4157" t="s">
        <v>12384</v>
      </c>
    </row>
    <row r="4158" spans="1:15" x14ac:dyDescent="0.25">
      <c r="A4158" t="s">
        <v>18</v>
      </c>
      <c r="B4158" t="s">
        <v>12383</v>
      </c>
      <c r="C4158" t="s">
        <v>12385</v>
      </c>
      <c r="D4158" t="s">
        <v>20</v>
      </c>
      <c r="E4158" t="s">
        <v>11</v>
      </c>
      <c r="F4158">
        <v>9921.648000000001</v>
      </c>
      <c r="G4158">
        <v>18</v>
      </c>
      <c r="L4158" t="s">
        <v>12386</v>
      </c>
      <c r="O4158" t="s">
        <v>12387</v>
      </c>
    </row>
    <row r="4159" spans="1:15" x14ac:dyDescent="0.25">
      <c r="A4159" t="s">
        <v>18</v>
      </c>
      <c r="B4159" t="s">
        <v>12386</v>
      </c>
      <c r="C4159" t="s">
        <v>12388</v>
      </c>
      <c r="D4159" t="s">
        <v>20</v>
      </c>
      <c r="E4159" t="s">
        <v>11</v>
      </c>
      <c r="F4159">
        <v>11096.58</v>
      </c>
      <c r="G4159">
        <v>18</v>
      </c>
      <c r="L4159" t="s">
        <v>12389</v>
      </c>
      <c r="O4159" t="s">
        <v>12390</v>
      </c>
    </row>
    <row r="4160" spans="1:15" x14ac:dyDescent="0.25">
      <c r="A4160" t="s">
        <v>18</v>
      </c>
      <c r="B4160" t="s">
        <v>12389</v>
      </c>
      <c r="C4160" t="s">
        <v>12391</v>
      </c>
      <c r="D4160" t="s">
        <v>20</v>
      </c>
      <c r="E4160" t="s">
        <v>11</v>
      </c>
      <c r="F4160">
        <v>11096.58</v>
      </c>
      <c r="G4160">
        <v>18</v>
      </c>
      <c r="L4160" t="s">
        <v>12392</v>
      </c>
      <c r="O4160" t="s">
        <v>12393</v>
      </c>
    </row>
    <row r="4161" spans="1:15" x14ac:dyDescent="0.25">
      <c r="A4161" t="s">
        <v>18</v>
      </c>
      <c r="B4161" t="s">
        <v>12392</v>
      </c>
      <c r="C4161" t="s">
        <v>12394</v>
      </c>
      <c r="D4161" t="s">
        <v>20</v>
      </c>
      <c r="E4161" t="s">
        <v>11</v>
      </c>
      <c r="F4161">
        <v>22780.625999999997</v>
      </c>
      <c r="G4161">
        <v>18</v>
      </c>
      <c r="L4161" t="s">
        <v>12395</v>
      </c>
      <c r="O4161" t="s">
        <v>12396</v>
      </c>
    </row>
    <row r="4162" spans="1:15" x14ac:dyDescent="0.25">
      <c r="A4162" t="s">
        <v>18</v>
      </c>
      <c r="B4162" t="s">
        <v>12395</v>
      </c>
      <c r="C4162" t="s">
        <v>12397</v>
      </c>
      <c r="D4162" t="s">
        <v>20</v>
      </c>
      <c r="E4162" t="s">
        <v>11</v>
      </c>
      <c r="F4162">
        <v>22780.625999999997</v>
      </c>
      <c r="G4162">
        <v>18</v>
      </c>
      <c r="L4162" t="s">
        <v>12398</v>
      </c>
      <c r="O4162" t="s">
        <v>12399</v>
      </c>
    </row>
    <row r="4163" spans="1:15" x14ac:dyDescent="0.25">
      <c r="A4163" t="s">
        <v>18</v>
      </c>
      <c r="B4163" t="s">
        <v>12398</v>
      </c>
      <c r="C4163" t="s">
        <v>12400</v>
      </c>
      <c r="D4163" t="s">
        <v>20</v>
      </c>
      <c r="E4163" t="s">
        <v>11</v>
      </c>
      <c r="F4163">
        <v>61553.382</v>
      </c>
      <c r="G4163">
        <v>18</v>
      </c>
      <c r="L4163" t="s">
        <v>12401</v>
      </c>
      <c r="O4163" t="s">
        <v>12402</v>
      </c>
    </row>
    <row r="4164" spans="1:15" x14ac:dyDescent="0.25">
      <c r="A4164" t="s">
        <v>18</v>
      </c>
      <c r="B4164" t="s">
        <v>12401</v>
      </c>
      <c r="C4164" t="s">
        <v>12403</v>
      </c>
      <c r="D4164" t="s">
        <v>20</v>
      </c>
      <c r="E4164" t="s">
        <v>11</v>
      </c>
      <c r="F4164">
        <v>61553.382</v>
      </c>
      <c r="G4164">
        <v>18</v>
      </c>
      <c r="L4164" t="s">
        <v>12404</v>
      </c>
      <c r="O4164" t="s">
        <v>12405</v>
      </c>
    </row>
    <row r="4165" spans="1:15" x14ac:dyDescent="0.25">
      <c r="A4165" t="s">
        <v>18</v>
      </c>
      <c r="B4165" t="s">
        <v>12404</v>
      </c>
      <c r="C4165" t="s">
        <v>12406</v>
      </c>
      <c r="D4165" t="s">
        <v>20</v>
      </c>
      <c r="E4165" t="s">
        <v>11</v>
      </c>
      <c r="F4165">
        <v>28198.368000000002</v>
      </c>
      <c r="G4165">
        <v>18</v>
      </c>
      <c r="L4165" t="s">
        <v>12407</v>
      </c>
      <c r="O4165" t="s">
        <v>12408</v>
      </c>
    </row>
    <row r="4166" spans="1:15" x14ac:dyDescent="0.25">
      <c r="A4166" t="s">
        <v>18</v>
      </c>
      <c r="B4166" t="s">
        <v>12407</v>
      </c>
      <c r="C4166" t="s">
        <v>12409</v>
      </c>
      <c r="D4166" t="s">
        <v>20</v>
      </c>
      <c r="E4166" t="s">
        <v>11</v>
      </c>
      <c r="F4166">
        <v>28198.368000000002</v>
      </c>
      <c r="G4166">
        <v>18</v>
      </c>
      <c r="L4166" t="s">
        <v>12410</v>
      </c>
      <c r="O4166" t="s">
        <v>12411</v>
      </c>
    </row>
    <row r="4167" spans="1:15" x14ac:dyDescent="0.25">
      <c r="A4167" t="s">
        <v>18</v>
      </c>
      <c r="B4167" t="s">
        <v>12410</v>
      </c>
      <c r="C4167" t="s">
        <v>12412</v>
      </c>
      <c r="D4167" t="s">
        <v>20</v>
      </c>
      <c r="E4167" t="s">
        <v>11</v>
      </c>
      <c r="F4167">
        <v>35639.604</v>
      </c>
      <c r="G4167">
        <v>18</v>
      </c>
      <c r="L4167" t="s">
        <v>12413</v>
      </c>
      <c r="O4167" t="s">
        <v>12414</v>
      </c>
    </row>
    <row r="4168" spans="1:15" x14ac:dyDescent="0.25">
      <c r="A4168" t="s">
        <v>18</v>
      </c>
      <c r="B4168" t="s">
        <v>12413</v>
      </c>
      <c r="C4168" t="s">
        <v>12415</v>
      </c>
      <c r="D4168" t="s">
        <v>20</v>
      </c>
      <c r="E4168" t="s">
        <v>11</v>
      </c>
      <c r="F4168">
        <v>35639.604</v>
      </c>
      <c r="G4168">
        <v>18</v>
      </c>
      <c r="L4168" t="s">
        <v>12416</v>
      </c>
      <c r="O4168" t="s">
        <v>12417</v>
      </c>
    </row>
    <row r="4169" spans="1:15" x14ac:dyDescent="0.25">
      <c r="A4169" t="s">
        <v>18</v>
      </c>
      <c r="B4169" t="s">
        <v>12416</v>
      </c>
      <c r="C4169" t="s">
        <v>12418</v>
      </c>
      <c r="D4169" t="s">
        <v>20</v>
      </c>
      <c r="E4169" t="s">
        <v>11</v>
      </c>
      <c r="F4169">
        <v>27480.354</v>
      </c>
      <c r="G4169">
        <v>18</v>
      </c>
      <c r="L4169" t="s">
        <v>12419</v>
      </c>
      <c r="O4169" t="s">
        <v>12420</v>
      </c>
    </row>
    <row r="4170" spans="1:15" x14ac:dyDescent="0.25">
      <c r="A4170" t="s">
        <v>18</v>
      </c>
      <c r="B4170" t="s">
        <v>12419</v>
      </c>
      <c r="C4170" t="s">
        <v>12421</v>
      </c>
      <c r="D4170" t="s">
        <v>20</v>
      </c>
      <c r="E4170" t="s">
        <v>11</v>
      </c>
      <c r="F4170">
        <v>27480.354</v>
      </c>
      <c r="G4170">
        <v>18</v>
      </c>
      <c r="L4170" t="s">
        <v>12422</v>
      </c>
      <c r="O4170" t="s">
        <v>12423</v>
      </c>
    </row>
    <row r="4171" spans="1:15" x14ac:dyDescent="0.25">
      <c r="A4171" t="s">
        <v>18</v>
      </c>
      <c r="B4171" t="s">
        <v>12422</v>
      </c>
      <c r="C4171" t="s">
        <v>12424</v>
      </c>
      <c r="D4171" t="s">
        <v>20</v>
      </c>
      <c r="E4171" t="s">
        <v>11</v>
      </c>
      <c r="F4171">
        <v>20691.858</v>
      </c>
      <c r="G4171">
        <v>18</v>
      </c>
      <c r="L4171" t="s">
        <v>12425</v>
      </c>
      <c r="O4171" t="s">
        <v>12426</v>
      </c>
    </row>
    <row r="4172" spans="1:15" x14ac:dyDescent="0.25">
      <c r="A4172" t="s">
        <v>18</v>
      </c>
      <c r="B4172" t="s">
        <v>12425</v>
      </c>
      <c r="C4172" t="s">
        <v>12427</v>
      </c>
      <c r="D4172" t="s">
        <v>20</v>
      </c>
      <c r="E4172" t="s">
        <v>11</v>
      </c>
      <c r="F4172">
        <v>20691.858</v>
      </c>
      <c r="G4172">
        <v>18</v>
      </c>
      <c r="L4172" t="s">
        <v>12428</v>
      </c>
      <c r="O4172" t="s">
        <v>12429</v>
      </c>
    </row>
    <row r="4173" spans="1:15" x14ac:dyDescent="0.25">
      <c r="A4173" t="s">
        <v>18</v>
      </c>
      <c r="B4173" t="s">
        <v>12428</v>
      </c>
      <c r="C4173" t="s">
        <v>12430</v>
      </c>
      <c r="D4173" t="s">
        <v>20</v>
      </c>
      <c r="E4173" t="s">
        <v>11</v>
      </c>
      <c r="F4173">
        <v>42297.55199999999</v>
      </c>
      <c r="G4173">
        <v>18</v>
      </c>
      <c r="L4173" t="s">
        <v>12431</v>
      </c>
      <c r="O4173" t="s">
        <v>12432</v>
      </c>
    </row>
    <row r="4174" spans="1:15" x14ac:dyDescent="0.25">
      <c r="A4174" t="s">
        <v>18</v>
      </c>
      <c r="B4174" t="s">
        <v>12431</v>
      </c>
      <c r="C4174" t="s">
        <v>12433</v>
      </c>
      <c r="D4174" t="s">
        <v>20</v>
      </c>
      <c r="E4174" t="s">
        <v>11</v>
      </c>
      <c r="F4174">
        <v>42297.55199999999</v>
      </c>
      <c r="G4174">
        <v>18</v>
      </c>
      <c r="L4174" t="s">
        <v>12434</v>
      </c>
      <c r="O4174" t="s">
        <v>12435</v>
      </c>
    </row>
    <row r="4175" spans="1:15" x14ac:dyDescent="0.25">
      <c r="A4175" t="s">
        <v>18</v>
      </c>
      <c r="B4175" t="s">
        <v>12434</v>
      </c>
      <c r="C4175" t="s">
        <v>12436</v>
      </c>
      <c r="D4175" t="s">
        <v>20</v>
      </c>
      <c r="E4175" t="s">
        <v>11</v>
      </c>
      <c r="F4175">
        <v>43733.58</v>
      </c>
      <c r="G4175">
        <v>18</v>
      </c>
      <c r="L4175" t="s">
        <v>12437</v>
      </c>
      <c r="O4175" t="s">
        <v>12438</v>
      </c>
    </row>
    <row r="4176" spans="1:15" x14ac:dyDescent="0.25">
      <c r="A4176" t="s">
        <v>18</v>
      </c>
      <c r="B4176" t="s">
        <v>12437</v>
      </c>
      <c r="C4176" t="s">
        <v>12439</v>
      </c>
      <c r="D4176" t="s">
        <v>20</v>
      </c>
      <c r="E4176" t="s">
        <v>11</v>
      </c>
      <c r="F4176">
        <v>3720.6179999999995</v>
      </c>
      <c r="G4176">
        <v>18</v>
      </c>
      <c r="L4176" t="s">
        <v>12440</v>
      </c>
      <c r="O4176" t="s">
        <v>12441</v>
      </c>
    </row>
    <row r="4177" spans="1:15" x14ac:dyDescent="0.25">
      <c r="A4177" t="s">
        <v>18</v>
      </c>
      <c r="B4177" t="s">
        <v>12440</v>
      </c>
      <c r="C4177" t="s">
        <v>12442</v>
      </c>
      <c r="D4177" t="s">
        <v>20</v>
      </c>
      <c r="E4177" t="s">
        <v>11</v>
      </c>
      <c r="F4177">
        <v>3851.166</v>
      </c>
      <c r="G4177">
        <v>18</v>
      </c>
      <c r="L4177" t="s">
        <v>12443</v>
      </c>
      <c r="O4177" t="s">
        <v>12444</v>
      </c>
    </row>
    <row r="4178" spans="1:15" x14ac:dyDescent="0.25">
      <c r="A4178" t="s">
        <v>18</v>
      </c>
      <c r="B4178" t="s">
        <v>12443</v>
      </c>
      <c r="C4178" t="s">
        <v>12445</v>
      </c>
      <c r="D4178" t="s">
        <v>20</v>
      </c>
      <c r="E4178" t="s">
        <v>11</v>
      </c>
      <c r="F4178">
        <v>4112.262</v>
      </c>
      <c r="G4178">
        <v>18</v>
      </c>
      <c r="L4178" t="s">
        <v>12446</v>
      </c>
      <c r="O4178" t="s">
        <v>12447</v>
      </c>
    </row>
    <row r="4179" spans="1:15" x14ac:dyDescent="0.25">
      <c r="A4179" t="s">
        <v>18</v>
      </c>
      <c r="B4179" t="s">
        <v>12446</v>
      </c>
      <c r="C4179" t="s">
        <v>12448</v>
      </c>
      <c r="D4179" t="s">
        <v>20</v>
      </c>
      <c r="E4179" t="s">
        <v>11</v>
      </c>
      <c r="F4179">
        <v>38511.659999999996</v>
      </c>
      <c r="G4179">
        <v>18</v>
      </c>
      <c r="L4179" t="s">
        <v>12449</v>
      </c>
      <c r="O4179" t="s">
        <v>12450</v>
      </c>
    </row>
    <row r="4180" spans="1:15" x14ac:dyDescent="0.25">
      <c r="A4180" t="s">
        <v>18</v>
      </c>
      <c r="B4180" t="s">
        <v>12449</v>
      </c>
      <c r="C4180" t="s">
        <v>12451</v>
      </c>
      <c r="D4180" t="s">
        <v>20</v>
      </c>
      <c r="E4180" t="s">
        <v>11</v>
      </c>
      <c r="F4180">
        <v>43341.936</v>
      </c>
      <c r="G4180">
        <v>18</v>
      </c>
      <c r="L4180" t="s">
        <v>12452</v>
      </c>
      <c r="O4180" t="s">
        <v>12453</v>
      </c>
    </row>
    <row r="4181" spans="1:15" x14ac:dyDescent="0.25">
      <c r="A4181" t="s">
        <v>18</v>
      </c>
      <c r="B4181" t="s">
        <v>12452</v>
      </c>
      <c r="C4181" t="s">
        <v>12454</v>
      </c>
      <c r="D4181" t="s">
        <v>20</v>
      </c>
      <c r="E4181" t="s">
        <v>11</v>
      </c>
      <c r="F4181">
        <v>43341.936</v>
      </c>
      <c r="G4181">
        <v>18</v>
      </c>
      <c r="L4181" t="s">
        <v>12455</v>
      </c>
      <c r="O4181" t="s">
        <v>12456</v>
      </c>
    </row>
    <row r="4182" spans="1:15" x14ac:dyDescent="0.25">
      <c r="A4182" t="s">
        <v>18</v>
      </c>
      <c r="B4182" t="s">
        <v>12455</v>
      </c>
      <c r="C4182" t="s">
        <v>12457</v>
      </c>
      <c r="D4182" t="s">
        <v>20</v>
      </c>
      <c r="E4182" t="s">
        <v>11</v>
      </c>
      <c r="F4182">
        <v>3198.426</v>
      </c>
      <c r="G4182">
        <v>18</v>
      </c>
      <c r="L4182" t="s">
        <v>12458</v>
      </c>
      <c r="O4182" t="s">
        <v>12459</v>
      </c>
    </row>
    <row r="4183" spans="1:15" x14ac:dyDescent="0.25">
      <c r="A4183" t="s">
        <v>18</v>
      </c>
      <c r="B4183" t="s">
        <v>12458</v>
      </c>
      <c r="C4183" t="s">
        <v>12460</v>
      </c>
      <c r="D4183" t="s">
        <v>20</v>
      </c>
      <c r="E4183" t="s">
        <v>11</v>
      </c>
      <c r="F4183">
        <v>15469.937999999998</v>
      </c>
      <c r="G4183">
        <v>18</v>
      </c>
      <c r="L4183" t="s">
        <v>12461</v>
      </c>
      <c r="O4183" t="s">
        <v>12462</v>
      </c>
    </row>
    <row r="4184" spans="1:15" x14ac:dyDescent="0.25">
      <c r="A4184" t="s">
        <v>18</v>
      </c>
      <c r="B4184" t="s">
        <v>12461</v>
      </c>
      <c r="C4184" t="s">
        <v>12463</v>
      </c>
      <c r="D4184" t="s">
        <v>20</v>
      </c>
      <c r="E4184" t="s">
        <v>11</v>
      </c>
      <c r="F4184">
        <v>15469.937999999998</v>
      </c>
      <c r="G4184">
        <v>18</v>
      </c>
      <c r="L4184" t="s">
        <v>12464</v>
      </c>
      <c r="O4184" t="s">
        <v>12465</v>
      </c>
    </row>
    <row r="4185" spans="1:15" x14ac:dyDescent="0.25">
      <c r="A4185" t="s">
        <v>18</v>
      </c>
      <c r="B4185" t="s">
        <v>12464</v>
      </c>
      <c r="C4185" t="s">
        <v>12466</v>
      </c>
      <c r="D4185" t="s">
        <v>20</v>
      </c>
      <c r="E4185" t="s">
        <v>11</v>
      </c>
      <c r="F4185">
        <v>48629.130000000005</v>
      </c>
      <c r="G4185">
        <v>18</v>
      </c>
      <c r="L4185" t="s">
        <v>12467</v>
      </c>
      <c r="O4185" t="s">
        <v>12468</v>
      </c>
    </row>
    <row r="4186" spans="1:15" x14ac:dyDescent="0.25">
      <c r="A4186" t="s">
        <v>18</v>
      </c>
      <c r="B4186" t="s">
        <v>12467</v>
      </c>
      <c r="C4186" t="s">
        <v>12469</v>
      </c>
      <c r="D4186" t="s">
        <v>20</v>
      </c>
      <c r="E4186" t="s">
        <v>11</v>
      </c>
      <c r="F4186">
        <v>48629.130000000005</v>
      </c>
      <c r="G4186">
        <v>18</v>
      </c>
      <c r="L4186" t="s">
        <v>12470</v>
      </c>
      <c r="O4186" t="s">
        <v>12471</v>
      </c>
    </row>
    <row r="4187" spans="1:15" x14ac:dyDescent="0.25">
      <c r="A4187" t="s">
        <v>18</v>
      </c>
      <c r="B4187" t="s">
        <v>12470</v>
      </c>
      <c r="C4187" t="s">
        <v>12472</v>
      </c>
      <c r="D4187" t="s">
        <v>20</v>
      </c>
      <c r="E4187" t="s">
        <v>11</v>
      </c>
      <c r="F4187">
        <v>5613.563999999999</v>
      </c>
      <c r="G4187">
        <v>18</v>
      </c>
      <c r="L4187" t="s">
        <v>12473</v>
      </c>
      <c r="O4187" t="s">
        <v>12474</v>
      </c>
    </row>
    <row r="4188" spans="1:15" x14ac:dyDescent="0.25">
      <c r="A4188" t="s">
        <v>18</v>
      </c>
      <c r="B4188" t="s">
        <v>12473</v>
      </c>
      <c r="C4188" t="s">
        <v>12475</v>
      </c>
      <c r="D4188" t="s">
        <v>20</v>
      </c>
      <c r="E4188" t="s">
        <v>11</v>
      </c>
      <c r="F4188">
        <v>8616.168</v>
      </c>
      <c r="G4188">
        <v>18</v>
      </c>
      <c r="L4188" t="s">
        <v>12476</v>
      </c>
      <c r="O4188" t="s">
        <v>12477</v>
      </c>
    </row>
    <row r="4189" spans="1:15" x14ac:dyDescent="0.25">
      <c r="A4189" t="s">
        <v>18</v>
      </c>
      <c r="B4189" t="s">
        <v>12476</v>
      </c>
      <c r="C4189" t="s">
        <v>12478</v>
      </c>
      <c r="D4189" t="s">
        <v>20</v>
      </c>
      <c r="E4189" t="s">
        <v>11</v>
      </c>
      <c r="F4189">
        <v>35900.7</v>
      </c>
      <c r="G4189">
        <v>18</v>
      </c>
      <c r="L4189" t="s">
        <v>12479</v>
      </c>
      <c r="O4189" t="s">
        <v>12480</v>
      </c>
    </row>
    <row r="4190" spans="1:15" x14ac:dyDescent="0.25">
      <c r="A4190" t="s">
        <v>18</v>
      </c>
      <c r="B4190" t="s">
        <v>12479</v>
      </c>
      <c r="C4190" t="s">
        <v>12481</v>
      </c>
      <c r="D4190" t="s">
        <v>20</v>
      </c>
      <c r="E4190" t="s">
        <v>11</v>
      </c>
      <c r="F4190">
        <v>4895.55</v>
      </c>
      <c r="G4190">
        <v>18</v>
      </c>
      <c r="L4190" t="s">
        <v>12482</v>
      </c>
      <c r="O4190" t="s">
        <v>12483</v>
      </c>
    </row>
    <row r="4191" spans="1:15" x14ac:dyDescent="0.25">
      <c r="A4191" t="s">
        <v>18</v>
      </c>
      <c r="B4191" t="s">
        <v>12482</v>
      </c>
      <c r="C4191" t="s">
        <v>12484</v>
      </c>
      <c r="D4191" t="s">
        <v>20</v>
      </c>
      <c r="E4191" t="s">
        <v>11</v>
      </c>
      <c r="F4191">
        <v>2088.768</v>
      </c>
      <c r="G4191">
        <v>18</v>
      </c>
      <c r="L4191" t="s">
        <v>12485</v>
      </c>
      <c r="O4191" t="s">
        <v>12486</v>
      </c>
    </row>
    <row r="4192" spans="1:15" x14ac:dyDescent="0.25">
      <c r="A4192" t="s">
        <v>18</v>
      </c>
      <c r="B4192" t="s">
        <v>12485</v>
      </c>
      <c r="C4192" t="s">
        <v>12487</v>
      </c>
      <c r="D4192" t="s">
        <v>20</v>
      </c>
      <c r="E4192" t="s">
        <v>11</v>
      </c>
      <c r="F4192">
        <v>3720.6179999999995</v>
      </c>
      <c r="G4192">
        <v>18</v>
      </c>
      <c r="L4192" t="s">
        <v>12488</v>
      </c>
      <c r="O4192" t="s">
        <v>12489</v>
      </c>
    </row>
    <row r="4193" spans="1:15" x14ac:dyDescent="0.25">
      <c r="A4193" t="s">
        <v>18</v>
      </c>
      <c r="B4193" t="s">
        <v>12488</v>
      </c>
      <c r="C4193" t="s">
        <v>12490</v>
      </c>
      <c r="D4193" t="s">
        <v>20</v>
      </c>
      <c r="E4193" t="s">
        <v>11</v>
      </c>
      <c r="F4193">
        <v>34007.754</v>
      </c>
      <c r="G4193">
        <v>18</v>
      </c>
      <c r="L4193" t="s">
        <v>12491</v>
      </c>
      <c r="O4193" t="s">
        <v>12492</v>
      </c>
    </row>
    <row r="4194" spans="1:15" x14ac:dyDescent="0.25">
      <c r="A4194" t="s">
        <v>18</v>
      </c>
      <c r="B4194" t="s">
        <v>12491</v>
      </c>
      <c r="C4194" t="s">
        <v>12493</v>
      </c>
      <c r="D4194" t="s">
        <v>20</v>
      </c>
      <c r="E4194" t="s">
        <v>11</v>
      </c>
      <c r="F4194">
        <v>3785.892</v>
      </c>
      <c r="G4194">
        <v>18</v>
      </c>
      <c r="L4194" t="s">
        <v>12494</v>
      </c>
      <c r="O4194" t="s">
        <v>12495</v>
      </c>
    </row>
    <row r="4195" spans="1:15" x14ac:dyDescent="0.25">
      <c r="A4195" t="s">
        <v>18</v>
      </c>
      <c r="B4195" t="s">
        <v>12494</v>
      </c>
      <c r="C4195" t="s">
        <v>12496</v>
      </c>
      <c r="D4195" t="s">
        <v>20</v>
      </c>
      <c r="E4195" t="s">
        <v>11</v>
      </c>
      <c r="F4195">
        <v>36683.988000000005</v>
      </c>
      <c r="G4195">
        <v>18</v>
      </c>
      <c r="L4195" t="s">
        <v>12497</v>
      </c>
      <c r="O4195" t="s">
        <v>12498</v>
      </c>
    </row>
    <row r="4196" spans="1:15" x14ac:dyDescent="0.25">
      <c r="A4196" t="s">
        <v>18</v>
      </c>
      <c r="B4196" t="s">
        <v>12497</v>
      </c>
      <c r="C4196" t="s">
        <v>12499</v>
      </c>
      <c r="D4196" t="s">
        <v>20</v>
      </c>
      <c r="E4196" t="s">
        <v>11</v>
      </c>
      <c r="F4196">
        <v>36488.166</v>
      </c>
      <c r="G4196">
        <v>18</v>
      </c>
      <c r="L4196" t="s">
        <v>12500</v>
      </c>
      <c r="O4196" t="s">
        <v>12501</v>
      </c>
    </row>
    <row r="4197" spans="1:15" x14ac:dyDescent="0.25">
      <c r="A4197" t="s">
        <v>18</v>
      </c>
      <c r="B4197" t="s">
        <v>12500</v>
      </c>
      <c r="C4197" t="s">
        <v>12502</v>
      </c>
      <c r="D4197" t="s">
        <v>20</v>
      </c>
      <c r="E4197" t="s">
        <v>11</v>
      </c>
      <c r="F4197">
        <v>3720.6179999999995</v>
      </c>
      <c r="G4197">
        <v>18</v>
      </c>
      <c r="L4197" t="s">
        <v>12503</v>
      </c>
      <c r="O4197" t="s">
        <v>12504</v>
      </c>
    </row>
    <row r="4198" spans="1:15" x14ac:dyDescent="0.25">
      <c r="A4198" t="s">
        <v>18</v>
      </c>
      <c r="B4198" t="s">
        <v>12503</v>
      </c>
      <c r="C4198" t="s">
        <v>12505</v>
      </c>
      <c r="D4198" t="s">
        <v>20</v>
      </c>
      <c r="E4198" t="s">
        <v>11</v>
      </c>
      <c r="F4198">
        <v>39556.044</v>
      </c>
      <c r="G4198">
        <v>18</v>
      </c>
      <c r="L4198" t="s">
        <v>12506</v>
      </c>
      <c r="O4198" t="s">
        <v>12507</v>
      </c>
    </row>
    <row r="4199" spans="1:15" x14ac:dyDescent="0.25">
      <c r="A4199" t="s">
        <v>18</v>
      </c>
      <c r="B4199" t="s">
        <v>12506</v>
      </c>
      <c r="C4199" t="s">
        <v>12508</v>
      </c>
      <c r="D4199" t="s">
        <v>20</v>
      </c>
      <c r="E4199" t="s">
        <v>11</v>
      </c>
      <c r="F4199">
        <v>66644.754</v>
      </c>
      <c r="G4199">
        <v>18</v>
      </c>
      <c r="L4199" t="s">
        <v>12509</v>
      </c>
      <c r="O4199" t="s">
        <v>12510</v>
      </c>
    </row>
    <row r="4200" spans="1:15" x14ac:dyDescent="0.25">
      <c r="A4200" t="s">
        <v>18</v>
      </c>
      <c r="B4200" t="s">
        <v>12509</v>
      </c>
      <c r="C4200" t="s">
        <v>12511</v>
      </c>
      <c r="D4200" t="s">
        <v>20</v>
      </c>
      <c r="E4200" t="s">
        <v>11</v>
      </c>
      <c r="F4200">
        <v>62924.136</v>
      </c>
      <c r="G4200">
        <v>18</v>
      </c>
      <c r="L4200" t="s">
        <v>12512</v>
      </c>
      <c r="O4200" t="s">
        <v>12513</v>
      </c>
    </row>
    <row r="4201" spans="1:15" x14ac:dyDescent="0.25">
      <c r="A4201" t="s">
        <v>18</v>
      </c>
      <c r="B4201" t="s">
        <v>12512</v>
      </c>
      <c r="C4201" t="s">
        <v>12514</v>
      </c>
      <c r="D4201" t="s">
        <v>20</v>
      </c>
      <c r="E4201" t="s">
        <v>11</v>
      </c>
      <c r="F4201">
        <v>47193.10199999999</v>
      </c>
      <c r="G4201">
        <v>18</v>
      </c>
      <c r="L4201" t="s">
        <v>12515</v>
      </c>
      <c r="O4201" t="s">
        <v>12516</v>
      </c>
    </row>
    <row r="4202" spans="1:15" x14ac:dyDescent="0.25">
      <c r="A4202" t="s">
        <v>18</v>
      </c>
      <c r="B4202" t="s">
        <v>12515</v>
      </c>
      <c r="C4202" t="s">
        <v>12517</v>
      </c>
      <c r="D4202" t="s">
        <v>20</v>
      </c>
      <c r="E4202" t="s">
        <v>11</v>
      </c>
      <c r="F4202">
        <v>54046.871999999996</v>
      </c>
      <c r="G4202">
        <v>18</v>
      </c>
      <c r="L4202" t="s">
        <v>12518</v>
      </c>
      <c r="O4202" t="s">
        <v>12519</v>
      </c>
    </row>
    <row r="4203" spans="1:15" x14ac:dyDescent="0.25">
      <c r="A4203" t="s">
        <v>18</v>
      </c>
      <c r="B4203" t="s">
        <v>12518</v>
      </c>
      <c r="C4203" t="s">
        <v>12520</v>
      </c>
      <c r="D4203" t="s">
        <v>20</v>
      </c>
      <c r="E4203" t="s">
        <v>11</v>
      </c>
      <c r="F4203">
        <v>4569.18</v>
      </c>
      <c r="G4203">
        <v>18</v>
      </c>
      <c r="L4203" t="s">
        <v>12521</v>
      </c>
      <c r="O4203" t="s">
        <v>12522</v>
      </c>
    </row>
    <row r="4204" spans="1:15" x14ac:dyDescent="0.25">
      <c r="A4204" t="s">
        <v>18</v>
      </c>
      <c r="B4204" t="s">
        <v>12521</v>
      </c>
      <c r="C4204" t="s">
        <v>12523</v>
      </c>
      <c r="D4204" t="s">
        <v>20</v>
      </c>
      <c r="E4204" t="s">
        <v>11</v>
      </c>
      <c r="F4204">
        <v>913.836</v>
      </c>
      <c r="G4204">
        <v>18</v>
      </c>
      <c r="L4204" t="s">
        <v>12524</v>
      </c>
      <c r="O4204" t="s">
        <v>12525</v>
      </c>
    </row>
    <row r="4205" spans="1:15" x14ac:dyDescent="0.25">
      <c r="A4205" t="s">
        <v>18</v>
      </c>
      <c r="B4205" t="s">
        <v>12524</v>
      </c>
      <c r="C4205" t="s">
        <v>12526</v>
      </c>
      <c r="D4205" t="s">
        <v>20</v>
      </c>
      <c r="E4205" t="s">
        <v>11</v>
      </c>
      <c r="F4205">
        <v>1109.658</v>
      </c>
      <c r="G4205">
        <v>18</v>
      </c>
      <c r="L4205" t="s">
        <v>12527</v>
      </c>
      <c r="O4205" t="s">
        <v>12528</v>
      </c>
    </row>
    <row r="4206" spans="1:15" x14ac:dyDescent="0.25">
      <c r="A4206" t="s">
        <v>18</v>
      </c>
      <c r="B4206" t="s">
        <v>12527</v>
      </c>
      <c r="C4206" t="s">
        <v>12529</v>
      </c>
      <c r="D4206" t="s">
        <v>20</v>
      </c>
      <c r="E4206" t="s">
        <v>11</v>
      </c>
      <c r="F4206">
        <v>46932.006</v>
      </c>
      <c r="G4206">
        <v>18</v>
      </c>
      <c r="L4206" t="s">
        <v>12530</v>
      </c>
      <c r="O4206" t="s">
        <v>12531</v>
      </c>
    </row>
    <row r="4207" spans="1:15" x14ac:dyDescent="0.25">
      <c r="A4207" t="s">
        <v>18</v>
      </c>
      <c r="B4207" t="s">
        <v>12530</v>
      </c>
      <c r="C4207" t="s">
        <v>12532</v>
      </c>
      <c r="D4207" t="s">
        <v>20</v>
      </c>
      <c r="E4207" t="s">
        <v>11</v>
      </c>
      <c r="F4207">
        <v>80221.74599999998</v>
      </c>
      <c r="G4207">
        <v>18</v>
      </c>
      <c r="L4207" t="s">
        <v>12533</v>
      </c>
      <c r="O4207" t="s">
        <v>12534</v>
      </c>
    </row>
    <row r="4208" spans="1:15" x14ac:dyDescent="0.25">
      <c r="A4208" t="s">
        <v>18</v>
      </c>
      <c r="B4208" t="s">
        <v>12533</v>
      </c>
      <c r="C4208" t="s">
        <v>12535</v>
      </c>
      <c r="D4208" t="s">
        <v>20</v>
      </c>
      <c r="E4208" t="s">
        <v>11</v>
      </c>
      <c r="F4208">
        <v>3720.6179999999995</v>
      </c>
      <c r="G4208">
        <v>18</v>
      </c>
      <c r="L4208" t="s">
        <v>12536</v>
      </c>
      <c r="O4208" t="s">
        <v>12537</v>
      </c>
    </row>
    <row r="4209" spans="1:15" x14ac:dyDescent="0.25">
      <c r="A4209" t="s">
        <v>18</v>
      </c>
      <c r="B4209" t="s">
        <v>12536</v>
      </c>
      <c r="C4209" t="s">
        <v>12538</v>
      </c>
      <c r="D4209" t="s">
        <v>20</v>
      </c>
      <c r="E4209" t="s">
        <v>11</v>
      </c>
      <c r="F4209">
        <v>87271.338</v>
      </c>
      <c r="G4209">
        <v>18</v>
      </c>
      <c r="L4209" t="s">
        <v>12539</v>
      </c>
      <c r="O4209" t="s">
        <v>12540</v>
      </c>
    </row>
    <row r="4210" spans="1:15" x14ac:dyDescent="0.25">
      <c r="A4210" t="s">
        <v>18</v>
      </c>
      <c r="B4210" t="s">
        <v>12539</v>
      </c>
      <c r="C4210" t="s">
        <v>12541</v>
      </c>
      <c r="D4210" t="s">
        <v>20</v>
      </c>
      <c r="E4210" t="s">
        <v>11</v>
      </c>
      <c r="F4210">
        <v>4960.8240000000005</v>
      </c>
      <c r="G4210">
        <v>18</v>
      </c>
      <c r="L4210" t="s">
        <v>12542</v>
      </c>
      <c r="O4210" t="s">
        <v>12543</v>
      </c>
    </row>
    <row r="4211" spans="1:15" x14ac:dyDescent="0.25">
      <c r="A4211" t="s">
        <v>18</v>
      </c>
      <c r="B4211" t="s">
        <v>12542</v>
      </c>
      <c r="C4211" t="s">
        <v>12544</v>
      </c>
      <c r="D4211" t="s">
        <v>20</v>
      </c>
      <c r="E4211" t="s">
        <v>11</v>
      </c>
      <c r="F4211">
        <v>88054.62599999999</v>
      </c>
      <c r="G4211">
        <v>18</v>
      </c>
      <c r="L4211" t="s">
        <v>12545</v>
      </c>
      <c r="O4211" t="s">
        <v>12546</v>
      </c>
    </row>
    <row r="4212" spans="1:15" x14ac:dyDescent="0.25">
      <c r="A4212" t="s">
        <v>18</v>
      </c>
      <c r="B4212" t="s">
        <v>12545</v>
      </c>
      <c r="C4212" t="s">
        <v>12547</v>
      </c>
      <c r="D4212" t="s">
        <v>20</v>
      </c>
      <c r="E4212" t="s">
        <v>11</v>
      </c>
      <c r="F4212">
        <v>8028.701999999999</v>
      </c>
      <c r="G4212">
        <v>18</v>
      </c>
      <c r="L4212" t="s">
        <v>12548</v>
      </c>
      <c r="O4212" t="s">
        <v>12549</v>
      </c>
    </row>
    <row r="4213" spans="1:15" x14ac:dyDescent="0.25">
      <c r="A4213" t="s">
        <v>18</v>
      </c>
      <c r="B4213" t="s">
        <v>12548</v>
      </c>
      <c r="C4213" t="s">
        <v>12550</v>
      </c>
      <c r="D4213" t="s">
        <v>20</v>
      </c>
      <c r="E4213" t="s">
        <v>11</v>
      </c>
      <c r="F4213">
        <v>8028.701999999999</v>
      </c>
      <c r="G4213">
        <v>18</v>
      </c>
      <c r="L4213" t="s">
        <v>12551</v>
      </c>
      <c r="O4213" t="s">
        <v>12552</v>
      </c>
    </row>
    <row r="4214" spans="1:15" x14ac:dyDescent="0.25">
      <c r="A4214" t="s">
        <v>18</v>
      </c>
      <c r="B4214" t="s">
        <v>12551</v>
      </c>
      <c r="C4214" t="s">
        <v>12553</v>
      </c>
      <c r="D4214" t="s">
        <v>20</v>
      </c>
      <c r="E4214" t="s">
        <v>11</v>
      </c>
      <c r="F4214">
        <v>21409.872</v>
      </c>
      <c r="G4214">
        <v>18</v>
      </c>
      <c r="L4214" t="s">
        <v>12554</v>
      </c>
      <c r="O4214" t="s">
        <v>12555</v>
      </c>
    </row>
    <row r="4215" spans="1:15" x14ac:dyDescent="0.25">
      <c r="A4215" t="s">
        <v>18</v>
      </c>
      <c r="B4215" t="s">
        <v>12554</v>
      </c>
      <c r="C4215" t="s">
        <v>12556</v>
      </c>
      <c r="D4215" t="s">
        <v>20</v>
      </c>
      <c r="E4215" t="s">
        <v>11</v>
      </c>
      <c r="F4215">
        <v>26762.34</v>
      </c>
      <c r="G4215">
        <v>18</v>
      </c>
      <c r="L4215" t="s">
        <v>12557</v>
      </c>
      <c r="O4215" t="s">
        <v>12558</v>
      </c>
    </row>
    <row r="4216" spans="1:15" x14ac:dyDescent="0.25">
      <c r="A4216" t="s">
        <v>18</v>
      </c>
      <c r="B4216" t="s">
        <v>12557</v>
      </c>
      <c r="C4216" t="s">
        <v>12559</v>
      </c>
      <c r="D4216" t="s">
        <v>20</v>
      </c>
      <c r="E4216" t="s">
        <v>11</v>
      </c>
      <c r="F4216">
        <v>40992.072</v>
      </c>
      <c r="G4216">
        <v>18</v>
      </c>
      <c r="L4216" t="s">
        <v>12560</v>
      </c>
      <c r="O4216" t="s">
        <v>12561</v>
      </c>
    </row>
    <row r="4217" spans="1:15" x14ac:dyDescent="0.25">
      <c r="A4217" t="s">
        <v>18</v>
      </c>
      <c r="B4217" t="s">
        <v>12560</v>
      </c>
      <c r="C4217" t="s">
        <v>12562</v>
      </c>
      <c r="D4217" t="s">
        <v>20</v>
      </c>
      <c r="E4217" t="s">
        <v>11</v>
      </c>
      <c r="F4217">
        <v>45561.25199999999</v>
      </c>
      <c r="G4217">
        <v>18</v>
      </c>
      <c r="L4217" t="s">
        <v>12563</v>
      </c>
      <c r="O4217" t="s">
        <v>12564</v>
      </c>
    </row>
    <row r="4218" spans="1:15" x14ac:dyDescent="0.25">
      <c r="A4218" t="s">
        <v>18</v>
      </c>
      <c r="B4218" t="s">
        <v>12563</v>
      </c>
      <c r="C4218" t="s">
        <v>12565</v>
      </c>
      <c r="D4218" t="s">
        <v>20</v>
      </c>
      <c r="E4218" t="s">
        <v>11</v>
      </c>
      <c r="F4218">
        <v>3785.892</v>
      </c>
      <c r="G4218">
        <v>18</v>
      </c>
      <c r="L4218" t="s">
        <v>12566</v>
      </c>
      <c r="O4218" t="s">
        <v>12567</v>
      </c>
    </row>
    <row r="4219" spans="1:15" x14ac:dyDescent="0.25">
      <c r="A4219" t="s">
        <v>18</v>
      </c>
      <c r="B4219" t="s">
        <v>12566</v>
      </c>
      <c r="C4219" t="s">
        <v>12568</v>
      </c>
      <c r="D4219" t="s">
        <v>20</v>
      </c>
      <c r="E4219" t="s">
        <v>11</v>
      </c>
      <c r="F4219">
        <v>41710.086</v>
      </c>
      <c r="G4219">
        <v>18</v>
      </c>
      <c r="L4219" t="s">
        <v>12569</v>
      </c>
      <c r="O4219" t="s">
        <v>12570</v>
      </c>
    </row>
    <row r="4220" spans="1:15" x14ac:dyDescent="0.25">
      <c r="A4220" t="s">
        <v>18</v>
      </c>
      <c r="B4220" t="s">
        <v>12569</v>
      </c>
      <c r="C4220" t="s">
        <v>12571</v>
      </c>
      <c r="D4220" t="s">
        <v>20</v>
      </c>
      <c r="E4220" t="s">
        <v>11</v>
      </c>
      <c r="F4220">
        <v>41710.086</v>
      </c>
      <c r="G4220">
        <v>18</v>
      </c>
      <c r="L4220" t="s">
        <v>12572</v>
      </c>
      <c r="O4220" t="s">
        <v>12573</v>
      </c>
    </row>
    <row r="4221" spans="1:15" x14ac:dyDescent="0.25">
      <c r="A4221" t="s">
        <v>18</v>
      </c>
      <c r="B4221" t="s">
        <v>12572</v>
      </c>
      <c r="C4221" t="s">
        <v>12574</v>
      </c>
      <c r="D4221" t="s">
        <v>20</v>
      </c>
      <c r="E4221" t="s">
        <v>11</v>
      </c>
      <c r="F4221">
        <v>9595.278</v>
      </c>
      <c r="G4221">
        <v>18</v>
      </c>
      <c r="L4221" t="s">
        <v>12575</v>
      </c>
      <c r="O4221" t="s">
        <v>12576</v>
      </c>
    </row>
    <row r="4222" spans="1:15" x14ac:dyDescent="0.25">
      <c r="A4222" t="s">
        <v>18</v>
      </c>
      <c r="B4222" t="s">
        <v>12575</v>
      </c>
      <c r="C4222" t="s">
        <v>12577</v>
      </c>
      <c r="D4222" t="s">
        <v>20</v>
      </c>
      <c r="E4222" t="s">
        <v>11</v>
      </c>
      <c r="F4222">
        <v>10639.661999999998</v>
      </c>
      <c r="G4222">
        <v>18</v>
      </c>
      <c r="L4222" t="s">
        <v>12578</v>
      </c>
      <c r="O4222" t="s">
        <v>12579</v>
      </c>
    </row>
    <row r="4223" spans="1:15" x14ac:dyDescent="0.25">
      <c r="A4223" t="s">
        <v>18</v>
      </c>
      <c r="B4223" t="s">
        <v>12578</v>
      </c>
      <c r="C4223" t="s">
        <v>12580</v>
      </c>
      <c r="D4223" t="s">
        <v>20</v>
      </c>
      <c r="E4223" t="s">
        <v>11</v>
      </c>
      <c r="F4223">
        <v>8942.538</v>
      </c>
      <c r="G4223">
        <v>18</v>
      </c>
      <c r="L4223" t="s">
        <v>12581</v>
      </c>
      <c r="O4223" t="s">
        <v>12582</v>
      </c>
    </row>
    <row r="4224" spans="1:15" x14ac:dyDescent="0.25">
      <c r="A4224" t="s">
        <v>18</v>
      </c>
      <c r="B4224" t="s">
        <v>12581</v>
      </c>
      <c r="C4224" t="s">
        <v>12583</v>
      </c>
      <c r="D4224" t="s">
        <v>20</v>
      </c>
      <c r="E4224" t="s">
        <v>11</v>
      </c>
      <c r="F4224">
        <v>40012.962</v>
      </c>
      <c r="G4224">
        <v>18</v>
      </c>
      <c r="L4224" t="s">
        <v>12584</v>
      </c>
      <c r="O4224" t="s">
        <v>12585</v>
      </c>
    </row>
    <row r="4225" spans="1:15" x14ac:dyDescent="0.25">
      <c r="A4225" t="s">
        <v>18</v>
      </c>
      <c r="B4225" t="s">
        <v>12584</v>
      </c>
      <c r="C4225" t="s">
        <v>12586</v>
      </c>
      <c r="D4225" t="s">
        <v>20</v>
      </c>
      <c r="E4225" t="s">
        <v>11</v>
      </c>
      <c r="F4225">
        <v>24738.845999999998</v>
      </c>
      <c r="G4225">
        <v>18</v>
      </c>
      <c r="L4225" t="s">
        <v>12587</v>
      </c>
      <c r="O4225" t="s">
        <v>12588</v>
      </c>
    </row>
    <row r="4226" spans="1:15" x14ac:dyDescent="0.25">
      <c r="A4226" t="s">
        <v>18</v>
      </c>
      <c r="B4226" t="s">
        <v>12587</v>
      </c>
      <c r="C4226" t="s">
        <v>12589</v>
      </c>
      <c r="D4226" t="s">
        <v>20</v>
      </c>
      <c r="E4226" t="s">
        <v>11</v>
      </c>
      <c r="F4226">
        <v>24738.845999999998</v>
      </c>
      <c r="G4226">
        <v>18</v>
      </c>
      <c r="L4226" t="s">
        <v>12590</v>
      </c>
      <c r="O4226" t="s">
        <v>12591</v>
      </c>
    </row>
    <row r="4227" spans="1:15" x14ac:dyDescent="0.25">
      <c r="A4227" t="s">
        <v>18</v>
      </c>
      <c r="B4227" t="s">
        <v>12590</v>
      </c>
      <c r="C4227" t="s">
        <v>12592</v>
      </c>
      <c r="D4227" t="s">
        <v>20</v>
      </c>
      <c r="E4227" t="s">
        <v>11</v>
      </c>
      <c r="F4227">
        <v>24738.845999999998</v>
      </c>
      <c r="G4227">
        <v>18</v>
      </c>
      <c r="L4227" t="s">
        <v>12593</v>
      </c>
      <c r="O4227" t="s">
        <v>12594</v>
      </c>
    </row>
    <row r="4228" spans="1:15" x14ac:dyDescent="0.25">
      <c r="A4228" t="s">
        <v>18</v>
      </c>
      <c r="B4228" t="s">
        <v>12593</v>
      </c>
      <c r="C4228" t="s">
        <v>12595</v>
      </c>
      <c r="D4228" t="s">
        <v>20</v>
      </c>
      <c r="E4228" t="s">
        <v>11</v>
      </c>
      <c r="F4228">
        <v>24738.845999999998</v>
      </c>
      <c r="G4228">
        <v>18</v>
      </c>
      <c r="L4228" t="s">
        <v>12596</v>
      </c>
      <c r="O4228" t="s">
        <v>12597</v>
      </c>
    </row>
    <row r="4229" spans="1:15" x14ac:dyDescent="0.25">
      <c r="A4229" t="s">
        <v>18</v>
      </c>
      <c r="B4229" t="s">
        <v>12596</v>
      </c>
      <c r="C4229" t="s">
        <v>12598</v>
      </c>
      <c r="D4229" t="s">
        <v>20</v>
      </c>
      <c r="E4229" t="s">
        <v>11</v>
      </c>
      <c r="F4229">
        <v>24738.845999999998</v>
      </c>
      <c r="G4229">
        <v>18</v>
      </c>
      <c r="L4229" t="s">
        <v>12599</v>
      </c>
      <c r="O4229" t="s">
        <v>12600</v>
      </c>
    </row>
    <row r="4230" spans="1:15" x14ac:dyDescent="0.25">
      <c r="A4230" t="s">
        <v>18</v>
      </c>
      <c r="B4230" t="s">
        <v>12599</v>
      </c>
      <c r="C4230" t="s">
        <v>12601</v>
      </c>
      <c r="D4230" t="s">
        <v>20</v>
      </c>
      <c r="E4230" t="s">
        <v>11</v>
      </c>
      <c r="F4230">
        <v>24738.845999999998</v>
      </c>
      <c r="G4230">
        <v>18</v>
      </c>
      <c r="L4230" t="s">
        <v>12602</v>
      </c>
      <c r="O4230" t="s">
        <v>12603</v>
      </c>
    </row>
    <row r="4231" spans="1:15" x14ac:dyDescent="0.25">
      <c r="A4231" t="s">
        <v>18</v>
      </c>
      <c r="B4231" t="s">
        <v>12602</v>
      </c>
      <c r="C4231" t="s">
        <v>12604</v>
      </c>
      <c r="D4231" t="s">
        <v>20</v>
      </c>
      <c r="E4231" t="s">
        <v>11</v>
      </c>
      <c r="F4231">
        <v>24738.845999999998</v>
      </c>
      <c r="G4231">
        <v>18</v>
      </c>
      <c r="L4231" t="s">
        <v>12605</v>
      </c>
      <c r="O4231" t="s">
        <v>12606</v>
      </c>
    </row>
    <row r="4232" spans="1:15" x14ac:dyDescent="0.25">
      <c r="A4232" t="s">
        <v>18</v>
      </c>
      <c r="B4232" t="s">
        <v>12605</v>
      </c>
      <c r="C4232" t="s">
        <v>12607</v>
      </c>
      <c r="D4232" t="s">
        <v>20</v>
      </c>
      <c r="E4232" t="s">
        <v>11</v>
      </c>
      <c r="F4232">
        <v>24738.845999999998</v>
      </c>
      <c r="G4232">
        <v>18</v>
      </c>
      <c r="L4232" t="s">
        <v>12608</v>
      </c>
      <c r="O4232" t="s">
        <v>12609</v>
      </c>
    </row>
    <row r="4233" spans="1:15" x14ac:dyDescent="0.25">
      <c r="A4233" t="s">
        <v>18</v>
      </c>
      <c r="B4233" t="s">
        <v>12608</v>
      </c>
      <c r="C4233" t="s">
        <v>12610</v>
      </c>
      <c r="D4233" t="s">
        <v>20</v>
      </c>
      <c r="E4233" t="s">
        <v>11</v>
      </c>
      <c r="F4233">
        <v>32375.904</v>
      </c>
      <c r="G4233">
        <v>18</v>
      </c>
      <c r="L4233" t="s">
        <v>12611</v>
      </c>
      <c r="O4233" t="s">
        <v>12612</v>
      </c>
    </row>
    <row r="4234" spans="1:15" x14ac:dyDescent="0.25">
      <c r="A4234" t="s">
        <v>18</v>
      </c>
      <c r="B4234" t="s">
        <v>12611</v>
      </c>
      <c r="C4234" t="s">
        <v>12613</v>
      </c>
      <c r="D4234" t="s">
        <v>20</v>
      </c>
      <c r="E4234" t="s">
        <v>11</v>
      </c>
      <c r="F4234">
        <v>32375.904</v>
      </c>
      <c r="G4234">
        <v>18</v>
      </c>
      <c r="L4234" t="s">
        <v>12614</v>
      </c>
      <c r="O4234" t="s">
        <v>12615</v>
      </c>
    </row>
    <row r="4235" spans="1:15" x14ac:dyDescent="0.25">
      <c r="A4235" t="s">
        <v>18</v>
      </c>
      <c r="B4235" t="s">
        <v>12614</v>
      </c>
      <c r="C4235" t="s">
        <v>12616</v>
      </c>
      <c r="D4235" t="s">
        <v>20</v>
      </c>
      <c r="E4235" t="s">
        <v>11</v>
      </c>
      <c r="F4235">
        <v>32375.904</v>
      </c>
      <c r="G4235">
        <v>18</v>
      </c>
      <c r="L4235" t="s">
        <v>12617</v>
      </c>
      <c r="O4235" t="s">
        <v>12618</v>
      </c>
    </row>
    <row r="4236" spans="1:15" x14ac:dyDescent="0.25">
      <c r="A4236" t="s">
        <v>18</v>
      </c>
      <c r="B4236" t="s">
        <v>12617</v>
      </c>
      <c r="C4236" t="s">
        <v>12619</v>
      </c>
      <c r="D4236" t="s">
        <v>20</v>
      </c>
      <c r="E4236" t="s">
        <v>11</v>
      </c>
      <c r="F4236">
        <v>32375.904</v>
      </c>
      <c r="G4236">
        <v>18</v>
      </c>
      <c r="L4236" t="s">
        <v>12620</v>
      </c>
      <c r="O4236" t="s">
        <v>12621</v>
      </c>
    </row>
    <row r="4237" spans="1:15" x14ac:dyDescent="0.25">
      <c r="A4237" t="s">
        <v>18</v>
      </c>
      <c r="B4237" t="s">
        <v>12620</v>
      </c>
      <c r="C4237" t="s">
        <v>12622</v>
      </c>
      <c r="D4237" t="s">
        <v>20</v>
      </c>
      <c r="E4237" t="s">
        <v>11</v>
      </c>
      <c r="F4237">
        <v>32375.904</v>
      </c>
      <c r="G4237">
        <v>18</v>
      </c>
      <c r="L4237" t="s">
        <v>12623</v>
      </c>
      <c r="O4237" t="s">
        <v>12624</v>
      </c>
    </row>
    <row r="4238" spans="1:15" x14ac:dyDescent="0.25">
      <c r="A4238" t="s">
        <v>18</v>
      </c>
      <c r="B4238" t="s">
        <v>12623</v>
      </c>
      <c r="C4238" t="s">
        <v>12625</v>
      </c>
      <c r="D4238" t="s">
        <v>20</v>
      </c>
      <c r="E4238" t="s">
        <v>11</v>
      </c>
      <c r="F4238">
        <v>32375.904</v>
      </c>
      <c r="G4238">
        <v>18</v>
      </c>
      <c r="L4238" t="s">
        <v>12626</v>
      </c>
      <c r="O4238" t="s">
        <v>12627</v>
      </c>
    </row>
    <row r="4239" spans="1:15" x14ac:dyDescent="0.25">
      <c r="A4239" t="s">
        <v>18</v>
      </c>
      <c r="B4239" t="s">
        <v>12626</v>
      </c>
      <c r="C4239" t="s">
        <v>12628</v>
      </c>
      <c r="D4239" t="s">
        <v>20</v>
      </c>
      <c r="E4239" t="s">
        <v>11</v>
      </c>
      <c r="F4239">
        <v>32375.904</v>
      </c>
      <c r="G4239">
        <v>18</v>
      </c>
      <c r="L4239" t="s">
        <v>12629</v>
      </c>
      <c r="O4239" t="s">
        <v>12630</v>
      </c>
    </row>
    <row r="4240" spans="1:15" x14ac:dyDescent="0.25">
      <c r="A4240" t="s">
        <v>18</v>
      </c>
      <c r="B4240" t="s">
        <v>12629</v>
      </c>
      <c r="C4240" t="s">
        <v>12631</v>
      </c>
      <c r="D4240" t="s">
        <v>20</v>
      </c>
      <c r="E4240" t="s">
        <v>11</v>
      </c>
      <c r="F4240">
        <v>32375.904</v>
      </c>
      <c r="G4240">
        <v>18</v>
      </c>
      <c r="L4240" t="s">
        <v>12632</v>
      </c>
      <c r="O4240" t="s">
        <v>12633</v>
      </c>
    </row>
    <row r="4241" spans="1:15" x14ac:dyDescent="0.25">
      <c r="A4241" t="s">
        <v>18</v>
      </c>
      <c r="B4241" t="s">
        <v>12632</v>
      </c>
      <c r="C4241" t="s">
        <v>12634</v>
      </c>
      <c r="D4241" t="s">
        <v>20</v>
      </c>
      <c r="E4241" t="s">
        <v>11</v>
      </c>
      <c r="F4241">
        <v>45300.156</v>
      </c>
      <c r="G4241">
        <v>18</v>
      </c>
      <c r="L4241" t="s">
        <v>12635</v>
      </c>
      <c r="O4241" t="s">
        <v>12636</v>
      </c>
    </row>
    <row r="4242" spans="1:15" x14ac:dyDescent="0.25">
      <c r="A4242" t="s">
        <v>18</v>
      </c>
      <c r="B4242" t="s">
        <v>12635</v>
      </c>
      <c r="C4242" t="s">
        <v>12637</v>
      </c>
      <c r="D4242" t="s">
        <v>20</v>
      </c>
      <c r="E4242" t="s">
        <v>11</v>
      </c>
      <c r="F4242">
        <v>45300.156</v>
      </c>
      <c r="G4242">
        <v>18</v>
      </c>
      <c r="L4242" t="s">
        <v>12638</v>
      </c>
      <c r="O4242" t="s">
        <v>12639</v>
      </c>
    </row>
    <row r="4243" spans="1:15" x14ac:dyDescent="0.25">
      <c r="A4243" t="s">
        <v>18</v>
      </c>
      <c r="B4243" t="s">
        <v>12638</v>
      </c>
      <c r="C4243" t="s">
        <v>12640</v>
      </c>
      <c r="D4243" t="s">
        <v>20</v>
      </c>
      <c r="E4243" t="s">
        <v>11</v>
      </c>
      <c r="F4243">
        <v>45300.156</v>
      </c>
      <c r="G4243">
        <v>18</v>
      </c>
      <c r="L4243" t="s">
        <v>12641</v>
      </c>
      <c r="O4243" t="s">
        <v>12642</v>
      </c>
    </row>
    <row r="4244" spans="1:15" x14ac:dyDescent="0.25">
      <c r="A4244" t="s">
        <v>18</v>
      </c>
      <c r="B4244" t="s">
        <v>12641</v>
      </c>
      <c r="C4244" t="s">
        <v>12643</v>
      </c>
      <c r="D4244" t="s">
        <v>20</v>
      </c>
      <c r="E4244" t="s">
        <v>11</v>
      </c>
      <c r="F4244">
        <v>45300.156</v>
      </c>
      <c r="G4244">
        <v>18</v>
      </c>
      <c r="L4244" t="s">
        <v>12644</v>
      </c>
      <c r="O4244" t="s">
        <v>12645</v>
      </c>
    </row>
    <row r="4245" spans="1:15" x14ac:dyDescent="0.25">
      <c r="A4245" t="s">
        <v>18</v>
      </c>
      <c r="B4245" t="s">
        <v>12644</v>
      </c>
      <c r="C4245" t="s">
        <v>12646</v>
      </c>
      <c r="D4245" t="s">
        <v>20</v>
      </c>
      <c r="E4245" t="s">
        <v>11</v>
      </c>
      <c r="F4245">
        <v>45300.156</v>
      </c>
      <c r="G4245">
        <v>18</v>
      </c>
      <c r="L4245" t="s">
        <v>12647</v>
      </c>
      <c r="O4245" t="s">
        <v>12648</v>
      </c>
    </row>
    <row r="4246" spans="1:15" x14ac:dyDescent="0.25">
      <c r="A4246" t="s">
        <v>18</v>
      </c>
      <c r="B4246" t="s">
        <v>12647</v>
      </c>
      <c r="C4246" t="s">
        <v>12649</v>
      </c>
      <c r="D4246" t="s">
        <v>20</v>
      </c>
      <c r="E4246" t="s">
        <v>11</v>
      </c>
      <c r="F4246">
        <v>45300.156</v>
      </c>
      <c r="G4246">
        <v>18</v>
      </c>
      <c r="L4246" t="s">
        <v>12650</v>
      </c>
      <c r="O4246" t="s">
        <v>12651</v>
      </c>
    </row>
    <row r="4247" spans="1:15" x14ac:dyDescent="0.25">
      <c r="A4247" t="s">
        <v>18</v>
      </c>
      <c r="B4247" t="s">
        <v>12650</v>
      </c>
      <c r="C4247" t="s">
        <v>12652</v>
      </c>
      <c r="D4247" t="s">
        <v>20</v>
      </c>
      <c r="E4247" t="s">
        <v>11</v>
      </c>
      <c r="F4247">
        <v>45300.156</v>
      </c>
      <c r="G4247">
        <v>18</v>
      </c>
      <c r="L4247" t="s">
        <v>12653</v>
      </c>
      <c r="O4247" t="s">
        <v>12654</v>
      </c>
    </row>
    <row r="4248" spans="1:15" x14ac:dyDescent="0.25">
      <c r="A4248" t="s">
        <v>18</v>
      </c>
      <c r="B4248" t="s">
        <v>12653</v>
      </c>
      <c r="C4248" t="s">
        <v>12655</v>
      </c>
      <c r="D4248" t="s">
        <v>20</v>
      </c>
      <c r="E4248" t="s">
        <v>11</v>
      </c>
      <c r="F4248">
        <v>45300.156</v>
      </c>
      <c r="G4248">
        <v>18</v>
      </c>
      <c r="L4248" t="s">
        <v>12656</v>
      </c>
      <c r="O4248" t="s">
        <v>12657</v>
      </c>
    </row>
    <row r="4249" spans="1:15" x14ac:dyDescent="0.25">
      <c r="A4249" t="s">
        <v>18</v>
      </c>
      <c r="B4249" t="s">
        <v>12656</v>
      </c>
      <c r="C4249" t="s">
        <v>12658</v>
      </c>
      <c r="D4249" t="s">
        <v>20</v>
      </c>
      <c r="E4249" t="s">
        <v>11</v>
      </c>
      <c r="F4249">
        <v>5939.933999999999</v>
      </c>
      <c r="G4249">
        <v>18</v>
      </c>
      <c r="L4249" t="s">
        <v>12659</v>
      </c>
      <c r="O4249" t="s">
        <v>12660</v>
      </c>
    </row>
    <row r="4250" spans="1:15" x14ac:dyDescent="0.25">
      <c r="A4250" t="s">
        <v>18</v>
      </c>
      <c r="B4250" t="s">
        <v>12659</v>
      </c>
      <c r="C4250" t="s">
        <v>12661</v>
      </c>
      <c r="D4250" t="s">
        <v>20</v>
      </c>
      <c r="E4250" t="s">
        <v>11</v>
      </c>
      <c r="F4250">
        <v>6201.030000000001</v>
      </c>
      <c r="G4250">
        <v>18</v>
      </c>
      <c r="L4250" t="s">
        <v>12662</v>
      </c>
      <c r="O4250" t="s">
        <v>12663</v>
      </c>
    </row>
    <row r="4251" spans="1:15" x14ac:dyDescent="0.25">
      <c r="A4251" t="s">
        <v>18</v>
      </c>
      <c r="B4251" t="s">
        <v>12662</v>
      </c>
      <c r="C4251" t="s">
        <v>12664</v>
      </c>
      <c r="D4251" t="s">
        <v>20</v>
      </c>
      <c r="E4251" t="s">
        <v>11</v>
      </c>
      <c r="F4251">
        <v>4569.18</v>
      </c>
      <c r="G4251">
        <v>18</v>
      </c>
      <c r="L4251" t="s">
        <v>12665</v>
      </c>
      <c r="O4251" t="s">
        <v>12666</v>
      </c>
    </row>
    <row r="4252" spans="1:15" x14ac:dyDescent="0.25">
      <c r="A4252" t="s">
        <v>18</v>
      </c>
      <c r="B4252" t="s">
        <v>12665</v>
      </c>
      <c r="C4252" t="s">
        <v>12667</v>
      </c>
      <c r="D4252" t="s">
        <v>20</v>
      </c>
      <c r="E4252" t="s">
        <v>11</v>
      </c>
      <c r="F4252">
        <v>4569.18</v>
      </c>
      <c r="G4252">
        <v>18</v>
      </c>
      <c r="L4252" t="s">
        <v>12668</v>
      </c>
      <c r="O4252" t="s">
        <v>12669</v>
      </c>
    </row>
    <row r="4253" spans="1:15" x14ac:dyDescent="0.25">
      <c r="A4253" t="s">
        <v>18</v>
      </c>
      <c r="B4253" t="s">
        <v>12668</v>
      </c>
      <c r="C4253" t="s">
        <v>12670</v>
      </c>
      <c r="D4253" t="s">
        <v>20</v>
      </c>
      <c r="E4253" t="s">
        <v>11</v>
      </c>
      <c r="F4253">
        <v>4569.18</v>
      </c>
      <c r="G4253">
        <v>18</v>
      </c>
      <c r="L4253" t="s">
        <v>12671</v>
      </c>
      <c r="O4253" t="s">
        <v>12672</v>
      </c>
    </row>
    <row r="4254" spans="1:15" x14ac:dyDescent="0.25">
      <c r="A4254" t="s">
        <v>18</v>
      </c>
      <c r="B4254" t="s">
        <v>12671</v>
      </c>
      <c r="C4254" t="s">
        <v>12673</v>
      </c>
      <c r="D4254" t="s">
        <v>20</v>
      </c>
      <c r="E4254" t="s">
        <v>11</v>
      </c>
      <c r="F4254">
        <v>4569.18</v>
      </c>
      <c r="G4254">
        <v>18</v>
      </c>
      <c r="L4254" t="s">
        <v>12674</v>
      </c>
      <c r="O4254" t="s">
        <v>12675</v>
      </c>
    </row>
    <row r="4255" spans="1:15" x14ac:dyDescent="0.25">
      <c r="A4255" t="s">
        <v>18</v>
      </c>
      <c r="B4255" t="s">
        <v>12674</v>
      </c>
      <c r="C4255" t="s">
        <v>12676</v>
      </c>
      <c r="D4255" t="s">
        <v>20</v>
      </c>
      <c r="E4255" t="s">
        <v>11</v>
      </c>
      <c r="F4255">
        <v>4569.18</v>
      </c>
      <c r="G4255">
        <v>18</v>
      </c>
      <c r="L4255" t="s">
        <v>12677</v>
      </c>
      <c r="O4255" t="s">
        <v>12678</v>
      </c>
    </row>
    <row r="4256" spans="1:15" x14ac:dyDescent="0.25">
      <c r="A4256" t="s">
        <v>18</v>
      </c>
      <c r="B4256" t="s">
        <v>12677</v>
      </c>
      <c r="C4256" t="s">
        <v>12679</v>
      </c>
      <c r="D4256" t="s">
        <v>20</v>
      </c>
      <c r="E4256" t="s">
        <v>11</v>
      </c>
      <c r="F4256">
        <v>4569.18</v>
      </c>
      <c r="G4256">
        <v>18</v>
      </c>
      <c r="L4256" t="s">
        <v>12680</v>
      </c>
      <c r="O4256" t="s">
        <v>12681</v>
      </c>
    </row>
    <row r="4257" spans="1:15" x14ac:dyDescent="0.25">
      <c r="A4257" t="s">
        <v>18</v>
      </c>
      <c r="B4257" t="s">
        <v>12680</v>
      </c>
      <c r="C4257" t="s">
        <v>12682</v>
      </c>
      <c r="D4257" t="s">
        <v>20</v>
      </c>
      <c r="E4257" t="s">
        <v>11</v>
      </c>
      <c r="F4257">
        <v>2284.59</v>
      </c>
      <c r="G4257">
        <v>18</v>
      </c>
      <c r="L4257" t="s">
        <v>12683</v>
      </c>
      <c r="O4257" t="s">
        <v>12684</v>
      </c>
    </row>
    <row r="4258" spans="1:15" x14ac:dyDescent="0.25">
      <c r="A4258" t="s">
        <v>18</v>
      </c>
      <c r="B4258" t="s">
        <v>12683</v>
      </c>
      <c r="C4258" t="s">
        <v>12685</v>
      </c>
      <c r="D4258" t="s">
        <v>20</v>
      </c>
      <c r="E4258" t="s">
        <v>11</v>
      </c>
      <c r="F4258">
        <v>2806.7819999999997</v>
      </c>
      <c r="G4258">
        <v>18</v>
      </c>
      <c r="L4258" t="s">
        <v>12686</v>
      </c>
      <c r="O4258" t="s">
        <v>12687</v>
      </c>
    </row>
    <row r="4259" spans="1:15" x14ac:dyDescent="0.25">
      <c r="A4259" t="s">
        <v>18</v>
      </c>
      <c r="B4259" t="s">
        <v>12686</v>
      </c>
      <c r="C4259" t="s">
        <v>12688</v>
      </c>
      <c r="D4259" t="s">
        <v>20</v>
      </c>
      <c r="E4259" t="s">
        <v>11</v>
      </c>
      <c r="F4259">
        <v>5939.933999999999</v>
      </c>
      <c r="G4259">
        <v>18</v>
      </c>
      <c r="L4259" t="s">
        <v>12689</v>
      </c>
      <c r="O4259" t="s">
        <v>12690</v>
      </c>
    </row>
    <row r="4260" spans="1:15" x14ac:dyDescent="0.25">
      <c r="A4260" t="s">
        <v>18</v>
      </c>
      <c r="B4260" t="s">
        <v>12689</v>
      </c>
      <c r="C4260" t="s">
        <v>12691</v>
      </c>
      <c r="D4260" t="s">
        <v>20</v>
      </c>
      <c r="E4260" t="s">
        <v>11</v>
      </c>
      <c r="F4260">
        <v>16253.226</v>
      </c>
      <c r="G4260">
        <v>18</v>
      </c>
      <c r="L4260" t="s">
        <v>12692</v>
      </c>
      <c r="O4260" t="s">
        <v>12693</v>
      </c>
    </row>
    <row r="4261" spans="1:15" x14ac:dyDescent="0.25">
      <c r="A4261" t="s">
        <v>18</v>
      </c>
      <c r="B4261" t="s">
        <v>12692</v>
      </c>
      <c r="C4261" t="s">
        <v>12694</v>
      </c>
      <c r="D4261" t="s">
        <v>20</v>
      </c>
      <c r="E4261" t="s">
        <v>11</v>
      </c>
      <c r="F4261">
        <v>11292.402</v>
      </c>
      <c r="G4261">
        <v>18</v>
      </c>
      <c r="L4261" t="s">
        <v>12695</v>
      </c>
      <c r="O4261" t="s">
        <v>12696</v>
      </c>
    </row>
    <row r="4262" spans="1:15" x14ac:dyDescent="0.25">
      <c r="A4262" t="s">
        <v>18</v>
      </c>
      <c r="B4262" t="s">
        <v>12695</v>
      </c>
      <c r="C4262" t="s">
        <v>12697</v>
      </c>
      <c r="D4262" t="s">
        <v>20</v>
      </c>
      <c r="E4262" t="s">
        <v>11</v>
      </c>
      <c r="F4262">
        <v>1827.672</v>
      </c>
      <c r="G4262">
        <v>18</v>
      </c>
      <c r="L4262" t="s">
        <v>12698</v>
      </c>
      <c r="O4262" t="s">
        <v>12699</v>
      </c>
    </row>
    <row r="4263" spans="1:15" x14ac:dyDescent="0.25">
      <c r="A4263" t="s">
        <v>18</v>
      </c>
      <c r="B4263" t="s">
        <v>12698</v>
      </c>
      <c r="C4263" t="s">
        <v>12700</v>
      </c>
      <c r="D4263" t="s">
        <v>20</v>
      </c>
      <c r="E4263" t="s">
        <v>11</v>
      </c>
      <c r="F4263">
        <v>3263.7</v>
      </c>
      <c r="G4263">
        <v>18</v>
      </c>
      <c r="L4263" t="s">
        <v>12701</v>
      </c>
      <c r="O4263" t="s">
        <v>12702</v>
      </c>
    </row>
    <row r="4264" spans="1:15" x14ac:dyDescent="0.25">
      <c r="A4264" t="s">
        <v>18</v>
      </c>
      <c r="B4264" t="s">
        <v>12701</v>
      </c>
      <c r="C4264" t="s">
        <v>12703</v>
      </c>
      <c r="D4264" t="s">
        <v>20</v>
      </c>
      <c r="E4264" t="s">
        <v>11</v>
      </c>
      <c r="F4264">
        <v>2349.8639999999996</v>
      </c>
      <c r="G4264">
        <v>18</v>
      </c>
      <c r="L4264" t="s">
        <v>12704</v>
      </c>
      <c r="O4264" t="s">
        <v>12705</v>
      </c>
    </row>
    <row r="4265" spans="1:15" x14ac:dyDescent="0.25">
      <c r="A4265" t="s">
        <v>18</v>
      </c>
      <c r="B4265" t="s">
        <v>12704</v>
      </c>
      <c r="C4265" t="s">
        <v>12706</v>
      </c>
      <c r="D4265" t="s">
        <v>20</v>
      </c>
      <c r="E4265" t="s">
        <v>11</v>
      </c>
      <c r="F4265">
        <v>2545.6859999999997</v>
      </c>
      <c r="G4265">
        <v>18</v>
      </c>
      <c r="L4265" t="s">
        <v>12707</v>
      </c>
      <c r="O4265" t="s">
        <v>12708</v>
      </c>
    </row>
    <row r="4266" spans="1:15" x14ac:dyDescent="0.25">
      <c r="A4266" t="s">
        <v>18</v>
      </c>
      <c r="B4266" t="s">
        <v>12707</v>
      </c>
      <c r="C4266" t="s">
        <v>12709</v>
      </c>
      <c r="D4266" t="s">
        <v>20</v>
      </c>
      <c r="E4266" t="s">
        <v>11</v>
      </c>
      <c r="F4266">
        <v>25456.859999999997</v>
      </c>
      <c r="G4266">
        <v>18</v>
      </c>
      <c r="L4266" t="s">
        <v>12710</v>
      </c>
      <c r="O4266" t="s">
        <v>12711</v>
      </c>
    </row>
    <row r="4267" spans="1:15" x14ac:dyDescent="0.25">
      <c r="A4267" t="s">
        <v>18</v>
      </c>
      <c r="B4267" t="s">
        <v>12710</v>
      </c>
      <c r="C4267" t="s">
        <v>12712</v>
      </c>
      <c r="D4267" t="s">
        <v>20</v>
      </c>
      <c r="E4267" t="s">
        <v>11</v>
      </c>
      <c r="F4267">
        <v>2349.8639999999996</v>
      </c>
      <c r="G4267">
        <v>18</v>
      </c>
      <c r="L4267" t="s">
        <v>12713</v>
      </c>
      <c r="O4267" t="s">
        <v>12714</v>
      </c>
    </row>
    <row r="4268" spans="1:15" x14ac:dyDescent="0.25">
      <c r="A4268" t="s">
        <v>18</v>
      </c>
      <c r="B4268" t="s">
        <v>12713</v>
      </c>
      <c r="C4268" t="s">
        <v>12715</v>
      </c>
      <c r="D4268" t="s">
        <v>20</v>
      </c>
      <c r="E4268" t="s">
        <v>11</v>
      </c>
      <c r="F4268">
        <v>2088.768</v>
      </c>
      <c r="G4268">
        <v>18</v>
      </c>
      <c r="L4268" t="s">
        <v>12716</v>
      </c>
      <c r="O4268" t="s">
        <v>12717</v>
      </c>
    </row>
    <row r="4269" spans="1:15" x14ac:dyDescent="0.25">
      <c r="A4269" t="s">
        <v>18</v>
      </c>
      <c r="B4269" t="s">
        <v>12716</v>
      </c>
      <c r="C4269" t="s">
        <v>12718</v>
      </c>
      <c r="D4269" t="s">
        <v>20</v>
      </c>
      <c r="E4269" t="s">
        <v>11</v>
      </c>
      <c r="F4269">
        <v>32114.807999999997</v>
      </c>
      <c r="G4269">
        <v>18</v>
      </c>
      <c r="L4269" t="s">
        <v>12719</v>
      </c>
      <c r="O4269" t="s">
        <v>12720</v>
      </c>
    </row>
    <row r="4270" spans="1:15" x14ac:dyDescent="0.25">
      <c r="A4270" t="s">
        <v>18</v>
      </c>
      <c r="B4270" t="s">
        <v>12719</v>
      </c>
      <c r="C4270" t="s">
        <v>12721</v>
      </c>
      <c r="D4270" t="s">
        <v>20</v>
      </c>
      <c r="E4270" t="s">
        <v>11</v>
      </c>
      <c r="F4270">
        <v>33681.384</v>
      </c>
      <c r="G4270">
        <v>18</v>
      </c>
      <c r="L4270" t="s">
        <v>12722</v>
      </c>
      <c r="O4270" t="s">
        <v>12723</v>
      </c>
    </row>
    <row r="4271" spans="1:15" x14ac:dyDescent="0.25">
      <c r="A4271" t="s">
        <v>18</v>
      </c>
      <c r="B4271" t="s">
        <v>12722</v>
      </c>
      <c r="C4271" t="s">
        <v>12724</v>
      </c>
      <c r="D4271" t="s">
        <v>20</v>
      </c>
      <c r="E4271" t="s">
        <v>11</v>
      </c>
      <c r="F4271">
        <v>5678.838</v>
      </c>
      <c r="G4271">
        <v>18</v>
      </c>
      <c r="L4271" t="s">
        <v>12725</v>
      </c>
      <c r="O4271" t="s">
        <v>12726</v>
      </c>
    </row>
    <row r="4272" spans="1:15" x14ac:dyDescent="0.25">
      <c r="A4272" t="s">
        <v>18</v>
      </c>
      <c r="B4272" t="s">
        <v>12725</v>
      </c>
      <c r="C4272" t="s">
        <v>12727</v>
      </c>
      <c r="D4272" t="s">
        <v>20</v>
      </c>
      <c r="E4272" t="s">
        <v>11</v>
      </c>
      <c r="F4272">
        <v>26370.695999999996</v>
      </c>
      <c r="G4272">
        <v>18</v>
      </c>
      <c r="L4272" t="s">
        <v>12728</v>
      </c>
      <c r="O4272" t="s">
        <v>12729</v>
      </c>
    </row>
    <row r="4273" spans="1:15" x14ac:dyDescent="0.25">
      <c r="A4273" t="s">
        <v>18</v>
      </c>
      <c r="B4273" t="s">
        <v>12728</v>
      </c>
      <c r="C4273" t="s">
        <v>12730</v>
      </c>
      <c r="D4273" t="s">
        <v>20</v>
      </c>
      <c r="E4273" t="s">
        <v>11</v>
      </c>
      <c r="F4273">
        <v>33877.206</v>
      </c>
      <c r="G4273">
        <v>18</v>
      </c>
      <c r="L4273" t="s">
        <v>12731</v>
      </c>
      <c r="O4273" t="s">
        <v>12732</v>
      </c>
    </row>
    <row r="4274" spans="1:15" x14ac:dyDescent="0.25">
      <c r="A4274" t="s">
        <v>18</v>
      </c>
      <c r="B4274" t="s">
        <v>12731</v>
      </c>
      <c r="C4274" t="s">
        <v>12733</v>
      </c>
      <c r="D4274" t="s">
        <v>20</v>
      </c>
      <c r="E4274" t="s">
        <v>11</v>
      </c>
      <c r="F4274">
        <v>34595.22</v>
      </c>
      <c r="G4274">
        <v>18</v>
      </c>
      <c r="L4274" t="s">
        <v>12734</v>
      </c>
      <c r="O4274" t="s">
        <v>12735</v>
      </c>
    </row>
    <row r="4275" spans="1:15" x14ac:dyDescent="0.25">
      <c r="A4275" t="s">
        <v>18</v>
      </c>
      <c r="B4275" t="s">
        <v>12734</v>
      </c>
      <c r="C4275" t="s">
        <v>12736</v>
      </c>
      <c r="D4275" t="s">
        <v>20</v>
      </c>
      <c r="E4275" t="s">
        <v>11</v>
      </c>
      <c r="F4275">
        <v>13838.087999999998</v>
      </c>
      <c r="G4275">
        <v>18</v>
      </c>
      <c r="L4275" t="s">
        <v>12737</v>
      </c>
      <c r="O4275" t="s">
        <v>12738</v>
      </c>
    </row>
    <row r="4276" spans="1:15" x14ac:dyDescent="0.25">
      <c r="A4276" t="s">
        <v>18</v>
      </c>
      <c r="B4276" t="s">
        <v>12737</v>
      </c>
      <c r="C4276" t="s">
        <v>12739</v>
      </c>
      <c r="D4276" t="s">
        <v>20</v>
      </c>
      <c r="E4276" t="s">
        <v>11</v>
      </c>
      <c r="F4276">
        <v>16449.048</v>
      </c>
      <c r="G4276">
        <v>18</v>
      </c>
      <c r="L4276" t="s">
        <v>12740</v>
      </c>
      <c r="O4276" t="s">
        <v>12741</v>
      </c>
    </row>
    <row r="4277" spans="1:15" x14ac:dyDescent="0.25">
      <c r="A4277" t="s">
        <v>18</v>
      </c>
      <c r="B4277" t="s">
        <v>12740</v>
      </c>
      <c r="C4277" t="s">
        <v>12742</v>
      </c>
      <c r="D4277" t="s">
        <v>20</v>
      </c>
      <c r="E4277" t="s">
        <v>11</v>
      </c>
      <c r="F4277">
        <v>52088.651999999995</v>
      </c>
      <c r="G4277">
        <v>18</v>
      </c>
      <c r="L4277" t="s">
        <v>12743</v>
      </c>
      <c r="O4277" t="s">
        <v>12744</v>
      </c>
    </row>
    <row r="4278" spans="1:15" x14ac:dyDescent="0.25">
      <c r="A4278" t="s">
        <v>18</v>
      </c>
      <c r="B4278" t="s">
        <v>12743</v>
      </c>
      <c r="C4278" t="s">
        <v>12745</v>
      </c>
      <c r="D4278" t="s">
        <v>20</v>
      </c>
      <c r="E4278" t="s">
        <v>11</v>
      </c>
      <c r="F4278">
        <v>53394.132</v>
      </c>
      <c r="G4278">
        <v>18</v>
      </c>
      <c r="L4278" t="s">
        <v>12746</v>
      </c>
      <c r="O4278" t="s">
        <v>12747</v>
      </c>
    </row>
    <row r="4279" spans="1:15" x14ac:dyDescent="0.25">
      <c r="A4279" t="s">
        <v>18</v>
      </c>
      <c r="B4279" t="s">
        <v>12746</v>
      </c>
      <c r="C4279" t="s">
        <v>12748</v>
      </c>
      <c r="D4279" t="s">
        <v>20</v>
      </c>
      <c r="E4279" t="s">
        <v>11</v>
      </c>
      <c r="F4279">
        <v>57636.941999999995</v>
      </c>
      <c r="G4279">
        <v>18</v>
      </c>
      <c r="L4279" t="s">
        <v>12749</v>
      </c>
      <c r="O4279" t="s">
        <v>12750</v>
      </c>
    </row>
    <row r="4280" spans="1:15" x14ac:dyDescent="0.25">
      <c r="A4280" t="s">
        <v>18</v>
      </c>
      <c r="B4280" t="s">
        <v>12749</v>
      </c>
      <c r="C4280" t="s">
        <v>12751</v>
      </c>
      <c r="D4280" t="s">
        <v>20</v>
      </c>
      <c r="E4280" t="s">
        <v>11</v>
      </c>
      <c r="F4280">
        <v>59007.696</v>
      </c>
      <c r="G4280">
        <v>18</v>
      </c>
      <c r="L4280" t="s">
        <v>12752</v>
      </c>
      <c r="O4280" t="s">
        <v>12753</v>
      </c>
    </row>
    <row r="4281" spans="1:15" x14ac:dyDescent="0.25">
      <c r="A4281" t="s">
        <v>18</v>
      </c>
      <c r="B4281" t="s">
        <v>12752</v>
      </c>
      <c r="C4281" t="s">
        <v>12754</v>
      </c>
      <c r="D4281" t="s">
        <v>20</v>
      </c>
      <c r="E4281" t="s">
        <v>11</v>
      </c>
      <c r="F4281">
        <v>65469.822</v>
      </c>
      <c r="G4281">
        <v>18</v>
      </c>
      <c r="L4281" t="s">
        <v>12755</v>
      </c>
      <c r="O4281" t="s">
        <v>12756</v>
      </c>
    </row>
    <row r="4282" spans="1:15" x14ac:dyDescent="0.25">
      <c r="A4282" t="s">
        <v>18</v>
      </c>
      <c r="B4282" t="s">
        <v>12755</v>
      </c>
      <c r="C4282" t="s">
        <v>12757</v>
      </c>
      <c r="D4282" t="s">
        <v>20</v>
      </c>
      <c r="E4282" t="s">
        <v>11</v>
      </c>
      <c r="F4282">
        <v>66905.85</v>
      </c>
      <c r="G4282">
        <v>18</v>
      </c>
      <c r="L4282" t="s">
        <v>12758</v>
      </c>
      <c r="O4282" t="s">
        <v>12759</v>
      </c>
    </row>
    <row r="4283" spans="1:15" x14ac:dyDescent="0.25">
      <c r="A4283" t="s">
        <v>18</v>
      </c>
      <c r="B4283" t="s">
        <v>12758</v>
      </c>
      <c r="C4283" t="s">
        <v>12754</v>
      </c>
      <c r="D4283" t="s">
        <v>20</v>
      </c>
      <c r="E4283" t="s">
        <v>11</v>
      </c>
      <c r="F4283">
        <v>93994.56000000001</v>
      </c>
      <c r="G4283">
        <v>18</v>
      </c>
      <c r="L4283" t="s">
        <v>12760</v>
      </c>
      <c r="O4283" t="s">
        <v>12761</v>
      </c>
    </row>
    <row r="4284" spans="1:15" x14ac:dyDescent="0.25">
      <c r="A4284" t="s">
        <v>18</v>
      </c>
      <c r="B4284" t="s">
        <v>12760</v>
      </c>
      <c r="C4284" t="s">
        <v>12762</v>
      </c>
      <c r="D4284" t="s">
        <v>20</v>
      </c>
      <c r="E4284" t="s">
        <v>11</v>
      </c>
      <c r="F4284">
        <v>95822.23199999999</v>
      </c>
      <c r="G4284">
        <v>18</v>
      </c>
      <c r="L4284" t="s">
        <v>12763</v>
      </c>
      <c r="O4284" t="s">
        <v>12764</v>
      </c>
    </row>
    <row r="4285" spans="1:15" x14ac:dyDescent="0.25">
      <c r="A4285" t="s">
        <v>18</v>
      </c>
      <c r="B4285" t="s">
        <v>12763</v>
      </c>
      <c r="C4285" t="s">
        <v>12765</v>
      </c>
      <c r="D4285" t="s">
        <v>20</v>
      </c>
      <c r="E4285" t="s">
        <v>11</v>
      </c>
      <c r="F4285">
        <v>110508.882</v>
      </c>
      <c r="G4285">
        <v>18</v>
      </c>
      <c r="L4285" t="s">
        <v>12766</v>
      </c>
      <c r="O4285" t="s">
        <v>12767</v>
      </c>
    </row>
    <row r="4286" spans="1:15" x14ac:dyDescent="0.25">
      <c r="A4286" t="s">
        <v>18</v>
      </c>
      <c r="B4286" t="s">
        <v>12766</v>
      </c>
      <c r="C4286" t="s">
        <v>12768</v>
      </c>
      <c r="D4286" t="s">
        <v>20</v>
      </c>
      <c r="E4286" t="s">
        <v>11</v>
      </c>
      <c r="F4286">
        <v>112467.10200000001</v>
      </c>
      <c r="G4286">
        <v>18</v>
      </c>
      <c r="L4286" t="s">
        <v>12769</v>
      </c>
      <c r="O4286" t="s">
        <v>12770</v>
      </c>
    </row>
    <row r="4287" spans="1:15" x14ac:dyDescent="0.25">
      <c r="A4287" t="s">
        <v>18</v>
      </c>
      <c r="B4287" t="s">
        <v>12769</v>
      </c>
      <c r="C4287" t="s">
        <v>12771</v>
      </c>
      <c r="D4287" t="s">
        <v>20</v>
      </c>
      <c r="E4287" t="s">
        <v>11</v>
      </c>
      <c r="F4287">
        <v>122910.94200000001</v>
      </c>
      <c r="G4287">
        <v>18</v>
      </c>
      <c r="L4287" t="s">
        <v>12772</v>
      </c>
      <c r="O4287" t="s">
        <v>12773</v>
      </c>
    </row>
    <row r="4288" spans="1:15" x14ac:dyDescent="0.25">
      <c r="A4288" t="s">
        <v>18</v>
      </c>
      <c r="B4288" t="s">
        <v>12772</v>
      </c>
      <c r="C4288" t="s">
        <v>12774</v>
      </c>
      <c r="D4288" t="s">
        <v>20</v>
      </c>
      <c r="E4288" t="s">
        <v>11</v>
      </c>
      <c r="F4288">
        <v>124869.162</v>
      </c>
      <c r="G4288">
        <v>18</v>
      </c>
      <c r="L4288" t="s">
        <v>12775</v>
      </c>
      <c r="O4288" t="s">
        <v>12776</v>
      </c>
    </row>
    <row r="4289" spans="1:15" x14ac:dyDescent="0.25">
      <c r="A4289" t="s">
        <v>18</v>
      </c>
      <c r="B4289" t="s">
        <v>12775</v>
      </c>
      <c r="C4289" t="s">
        <v>12777</v>
      </c>
      <c r="D4289" t="s">
        <v>20</v>
      </c>
      <c r="E4289" t="s">
        <v>11</v>
      </c>
      <c r="F4289">
        <v>52937.214</v>
      </c>
      <c r="G4289">
        <v>18</v>
      </c>
      <c r="L4289" t="s">
        <v>12778</v>
      </c>
      <c r="O4289" t="s">
        <v>12779</v>
      </c>
    </row>
    <row r="4290" spans="1:15" x14ac:dyDescent="0.25">
      <c r="A4290" t="s">
        <v>18</v>
      </c>
      <c r="B4290" t="s">
        <v>12778</v>
      </c>
      <c r="C4290" t="s">
        <v>12780</v>
      </c>
      <c r="D4290" t="s">
        <v>20</v>
      </c>
      <c r="E4290" t="s">
        <v>11</v>
      </c>
      <c r="F4290">
        <v>54177.42</v>
      </c>
      <c r="G4290">
        <v>18</v>
      </c>
      <c r="L4290" t="s">
        <v>12781</v>
      </c>
      <c r="O4290" t="s">
        <v>12782</v>
      </c>
    </row>
    <row r="4291" spans="1:15" x14ac:dyDescent="0.25">
      <c r="A4291" t="s">
        <v>18</v>
      </c>
      <c r="B4291" t="s">
        <v>12781</v>
      </c>
      <c r="C4291" t="s">
        <v>12783</v>
      </c>
      <c r="D4291" t="s">
        <v>20</v>
      </c>
      <c r="E4291" t="s">
        <v>11</v>
      </c>
      <c r="F4291">
        <v>57441.119999999995</v>
      </c>
      <c r="G4291">
        <v>18</v>
      </c>
      <c r="L4291" t="s">
        <v>12784</v>
      </c>
      <c r="O4291" t="s">
        <v>12785</v>
      </c>
    </row>
    <row r="4292" spans="1:15" x14ac:dyDescent="0.25">
      <c r="A4292" t="s">
        <v>18</v>
      </c>
      <c r="B4292" t="s">
        <v>12784</v>
      </c>
      <c r="C4292" t="s">
        <v>12786</v>
      </c>
      <c r="D4292" t="s">
        <v>20</v>
      </c>
      <c r="E4292" t="s">
        <v>11</v>
      </c>
      <c r="F4292">
        <v>58746.6</v>
      </c>
      <c r="G4292">
        <v>18</v>
      </c>
      <c r="L4292" t="s">
        <v>12787</v>
      </c>
      <c r="O4292" t="s">
        <v>12788</v>
      </c>
    </row>
    <row r="4293" spans="1:15" x14ac:dyDescent="0.25">
      <c r="A4293" t="s">
        <v>18</v>
      </c>
      <c r="B4293" t="s">
        <v>12787</v>
      </c>
      <c r="C4293" t="s">
        <v>12789</v>
      </c>
      <c r="D4293" t="s">
        <v>20</v>
      </c>
      <c r="E4293" t="s">
        <v>11</v>
      </c>
      <c r="F4293">
        <v>63772.69799999999</v>
      </c>
      <c r="G4293">
        <v>18</v>
      </c>
      <c r="L4293" t="s">
        <v>12790</v>
      </c>
      <c r="O4293" t="s">
        <v>12791</v>
      </c>
    </row>
    <row r="4294" spans="1:15" x14ac:dyDescent="0.25">
      <c r="A4294" t="s">
        <v>18</v>
      </c>
      <c r="B4294" t="s">
        <v>12790</v>
      </c>
      <c r="C4294" t="s">
        <v>12792</v>
      </c>
      <c r="D4294" t="s">
        <v>20</v>
      </c>
      <c r="E4294" t="s">
        <v>11</v>
      </c>
      <c r="F4294">
        <v>65208.726</v>
      </c>
      <c r="G4294">
        <v>18</v>
      </c>
      <c r="L4294" t="s">
        <v>12793</v>
      </c>
      <c r="O4294" t="s">
        <v>12794</v>
      </c>
    </row>
    <row r="4295" spans="1:15" x14ac:dyDescent="0.25">
      <c r="A4295" t="s">
        <v>18</v>
      </c>
      <c r="B4295" t="s">
        <v>12793</v>
      </c>
      <c r="C4295" t="s">
        <v>12795</v>
      </c>
      <c r="D4295" t="s">
        <v>20</v>
      </c>
      <c r="E4295" t="s">
        <v>11</v>
      </c>
      <c r="F4295">
        <v>93929.286</v>
      </c>
      <c r="G4295">
        <v>18</v>
      </c>
      <c r="L4295" t="s">
        <v>12796</v>
      </c>
      <c r="O4295" t="s">
        <v>12797</v>
      </c>
    </row>
    <row r="4296" spans="1:15" x14ac:dyDescent="0.25">
      <c r="A4296" t="s">
        <v>18</v>
      </c>
      <c r="B4296" t="s">
        <v>12796</v>
      </c>
      <c r="C4296" t="s">
        <v>12798</v>
      </c>
      <c r="D4296" t="s">
        <v>20</v>
      </c>
      <c r="E4296" t="s">
        <v>11</v>
      </c>
      <c r="F4296">
        <v>95756.958</v>
      </c>
      <c r="G4296">
        <v>18</v>
      </c>
      <c r="L4296" t="s">
        <v>12799</v>
      </c>
      <c r="O4296" t="s">
        <v>12800</v>
      </c>
    </row>
    <row r="4297" spans="1:15" x14ac:dyDescent="0.25">
      <c r="A4297" t="s">
        <v>18</v>
      </c>
      <c r="B4297" t="s">
        <v>12799</v>
      </c>
      <c r="C4297" t="s">
        <v>12801</v>
      </c>
      <c r="D4297" t="s">
        <v>20</v>
      </c>
      <c r="E4297" t="s">
        <v>11</v>
      </c>
      <c r="F4297">
        <v>108159.01799999998</v>
      </c>
      <c r="G4297">
        <v>18</v>
      </c>
      <c r="L4297" t="s">
        <v>12802</v>
      </c>
      <c r="O4297" t="s">
        <v>12803</v>
      </c>
    </row>
    <row r="4298" spans="1:15" x14ac:dyDescent="0.25">
      <c r="A4298" t="s">
        <v>18</v>
      </c>
      <c r="B4298" t="s">
        <v>12802</v>
      </c>
      <c r="C4298" t="s">
        <v>12804</v>
      </c>
      <c r="D4298" t="s">
        <v>20</v>
      </c>
      <c r="E4298" t="s">
        <v>11</v>
      </c>
      <c r="F4298">
        <v>110508.882</v>
      </c>
      <c r="G4298">
        <v>18</v>
      </c>
      <c r="L4298" t="s">
        <v>12805</v>
      </c>
      <c r="O4298" t="s">
        <v>12806</v>
      </c>
    </row>
    <row r="4299" spans="1:15" x14ac:dyDescent="0.25">
      <c r="A4299" t="s">
        <v>18</v>
      </c>
      <c r="B4299" t="s">
        <v>12805</v>
      </c>
      <c r="C4299" t="s">
        <v>12807</v>
      </c>
      <c r="D4299" t="s">
        <v>20</v>
      </c>
      <c r="E4299" t="s">
        <v>11</v>
      </c>
      <c r="F4299">
        <v>120169.43399999998</v>
      </c>
      <c r="G4299">
        <v>18</v>
      </c>
      <c r="L4299" t="s">
        <v>12808</v>
      </c>
      <c r="O4299" t="s">
        <v>12809</v>
      </c>
    </row>
    <row r="4300" spans="1:15" x14ac:dyDescent="0.25">
      <c r="A4300" t="s">
        <v>18</v>
      </c>
      <c r="B4300" t="s">
        <v>12808</v>
      </c>
      <c r="C4300" t="s">
        <v>12810</v>
      </c>
      <c r="D4300" t="s">
        <v>20</v>
      </c>
      <c r="E4300" t="s">
        <v>11</v>
      </c>
      <c r="F4300">
        <v>122584.572</v>
      </c>
      <c r="G4300">
        <v>18</v>
      </c>
      <c r="L4300" t="s">
        <v>12811</v>
      </c>
      <c r="O4300" t="s">
        <v>12812</v>
      </c>
    </row>
    <row r="4301" spans="1:15" x14ac:dyDescent="0.25">
      <c r="A4301" t="s">
        <v>18</v>
      </c>
      <c r="B4301" t="s">
        <v>12811</v>
      </c>
      <c r="C4301" t="s">
        <v>12813</v>
      </c>
      <c r="D4301" t="s">
        <v>20</v>
      </c>
      <c r="E4301" t="s">
        <v>11</v>
      </c>
      <c r="F4301">
        <v>125064.98399999998</v>
      </c>
      <c r="G4301">
        <v>18</v>
      </c>
      <c r="L4301" t="s">
        <v>12814</v>
      </c>
      <c r="O4301" t="s">
        <v>12815</v>
      </c>
    </row>
    <row r="4302" spans="1:15" x14ac:dyDescent="0.25">
      <c r="A4302" t="s">
        <v>18</v>
      </c>
      <c r="B4302" t="s">
        <v>12814</v>
      </c>
      <c r="C4302" t="s">
        <v>12816</v>
      </c>
      <c r="D4302" t="s">
        <v>20</v>
      </c>
      <c r="E4302" t="s">
        <v>11</v>
      </c>
      <c r="F4302">
        <v>127088.478</v>
      </c>
      <c r="G4302">
        <v>18</v>
      </c>
      <c r="L4302" t="s">
        <v>12817</v>
      </c>
      <c r="O4302" t="s">
        <v>12818</v>
      </c>
    </row>
    <row r="4303" spans="1:15" x14ac:dyDescent="0.25">
      <c r="A4303" t="s">
        <v>18</v>
      </c>
      <c r="B4303" t="s">
        <v>12817</v>
      </c>
      <c r="C4303" t="s">
        <v>12819</v>
      </c>
      <c r="D4303" t="s">
        <v>20</v>
      </c>
      <c r="E4303" t="s">
        <v>11</v>
      </c>
      <c r="F4303">
        <v>125978.81999999999</v>
      </c>
      <c r="G4303">
        <v>18</v>
      </c>
      <c r="L4303" t="s">
        <v>12820</v>
      </c>
      <c r="O4303" t="s">
        <v>12821</v>
      </c>
    </row>
    <row r="4304" spans="1:15" x14ac:dyDescent="0.25">
      <c r="A4304" t="s">
        <v>18</v>
      </c>
      <c r="B4304" t="s">
        <v>12820</v>
      </c>
      <c r="C4304" t="s">
        <v>12822</v>
      </c>
      <c r="D4304" t="s">
        <v>20</v>
      </c>
      <c r="E4304" t="s">
        <v>11</v>
      </c>
      <c r="F4304">
        <v>128002.31399999998</v>
      </c>
      <c r="G4304">
        <v>18</v>
      </c>
      <c r="L4304" t="s">
        <v>12823</v>
      </c>
      <c r="O4304" t="s">
        <v>12824</v>
      </c>
    </row>
    <row r="4305" spans="1:15" x14ac:dyDescent="0.25">
      <c r="A4305" t="s">
        <v>18</v>
      </c>
      <c r="B4305" t="s">
        <v>12823</v>
      </c>
      <c r="C4305" t="s">
        <v>12825</v>
      </c>
      <c r="D4305" t="s">
        <v>20</v>
      </c>
      <c r="E4305" t="s">
        <v>11</v>
      </c>
      <c r="F4305">
        <v>129438.342</v>
      </c>
      <c r="G4305">
        <v>18</v>
      </c>
      <c r="L4305" t="s">
        <v>12826</v>
      </c>
      <c r="O4305" t="s">
        <v>12827</v>
      </c>
    </row>
    <row r="4306" spans="1:15" x14ac:dyDescent="0.25">
      <c r="A4306" t="s">
        <v>18</v>
      </c>
      <c r="B4306" t="s">
        <v>12826</v>
      </c>
      <c r="C4306" t="s">
        <v>12828</v>
      </c>
      <c r="D4306" t="s">
        <v>20</v>
      </c>
      <c r="E4306" t="s">
        <v>11</v>
      </c>
      <c r="F4306">
        <v>132245.124</v>
      </c>
      <c r="G4306">
        <v>18</v>
      </c>
      <c r="L4306" t="s">
        <v>12829</v>
      </c>
      <c r="O4306" t="s">
        <v>12830</v>
      </c>
    </row>
    <row r="4307" spans="1:15" x14ac:dyDescent="0.25">
      <c r="A4307" t="s">
        <v>18</v>
      </c>
      <c r="B4307" t="s">
        <v>12829</v>
      </c>
      <c r="C4307" t="s">
        <v>12831</v>
      </c>
      <c r="D4307" t="s">
        <v>20</v>
      </c>
      <c r="E4307" t="s">
        <v>11</v>
      </c>
      <c r="F4307">
        <v>235704.414</v>
      </c>
      <c r="G4307">
        <v>18</v>
      </c>
      <c r="L4307" t="s">
        <v>12832</v>
      </c>
      <c r="O4307" t="s">
        <v>12833</v>
      </c>
    </row>
    <row r="4308" spans="1:15" x14ac:dyDescent="0.25">
      <c r="A4308" t="s">
        <v>18</v>
      </c>
      <c r="B4308" t="s">
        <v>12832</v>
      </c>
      <c r="C4308" t="s">
        <v>12834</v>
      </c>
      <c r="D4308" t="s">
        <v>20</v>
      </c>
      <c r="E4308" t="s">
        <v>11</v>
      </c>
      <c r="F4308">
        <v>238968.114</v>
      </c>
      <c r="G4308">
        <v>18</v>
      </c>
      <c r="L4308" t="s">
        <v>12835</v>
      </c>
      <c r="O4308" t="s">
        <v>12836</v>
      </c>
    </row>
    <row r="4309" spans="1:15" x14ac:dyDescent="0.25">
      <c r="A4309" t="s">
        <v>18</v>
      </c>
      <c r="B4309" t="s">
        <v>12835</v>
      </c>
      <c r="C4309" t="s">
        <v>12837</v>
      </c>
      <c r="D4309" t="s">
        <v>20</v>
      </c>
      <c r="E4309" t="s">
        <v>11</v>
      </c>
      <c r="F4309">
        <v>241513.8</v>
      </c>
      <c r="G4309">
        <v>18</v>
      </c>
      <c r="L4309" t="s">
        <v>12838</v>
      </c>
      <c r="O4309" t="s">
        <v>12839</v>
      </c>
    </row>
    <row r="4310" spans="1:15" x14ac:dyDescent="0.25">
      <c r="A4310" t="s">
        <v>18</v>
      </c>
      <c r="B4310" t="s">
        <v>12838</v>
      </c>
      <c r="C4310" t="s">
        <v>12840</v>
      </c>
      <c r="D4310" t="s">
        <v>20</v>
      </c>
      <c r="E4310" t="s">
        <v>11</v>
      </c>
      <c r="F4310">
        <v>244124.76</v>
      </c>
      <c r="G4310">
        <v>18</v>
      </c>
      <c r="L4310" t="s">
        <v>12841</v>
      </c>
      <c r="O4310" t="s">
        <v>12842</v>
      </c>
    </row>
    <row r="4311" spans="1:15" x14ac:dyDescent="0.25">
      <c r="A4311" t="s">
        <v>18</v>
      </c>
      <c r="B4311" t="s">
        <v>12841</v>
      </c>
      <c r="C4311" t="s">
        <v>12843</v>
      </c>
      <c r="D4311" t="s">
        <v>20</v>
      </c>
      <c r="E4311" t="s">
        <v>11</v>
      </c>
      <c r="F4311">
        <v>248106.474</v>
      </c>
      <c r="G4311">
        <v>18</v>
      </c>
      <c r="L4311" t="s">
        <v>12844</v>
      </c>
      <c r="O4311" t="s">
        <v>12845</v>
      </c>
    </row>
    <row r="4312" spans="1:15" x14ac:dyDescent="0.25">
      <c r="A4312" t="s">
        <v>18</v>
      </c>
      <c r="B4312" t="s">
        <v>12844</v>
      </c>
      <c r="C4312" t="s">
        <v>12846</v>
      </c>
      <c r="D4312" t="s">
        <v>20</v>
      </c>
      <c r="E4312" t="s">
        <v>11</v>
      </c>
      <c r="F4312">
        <v>252545.106</v>
      </c>
      <c r="G4312">
        <v>18</v>
      </c>
      <c r="L4312" t="s">
        <v>12847</v>
      </c>
      <c r="O4312" t="s">
        <v>12848</v>
      </c>
    </row>
    <row r="4313" spans="1:15" x14ac:dyDescent="0.25">
      <c r="A4313" t="s">
        <v>18</v>
      </c>
      <c r="B4313" t="s">
        <v>12847</v>
      </c>
      <c r="C4313" t="s">
        <v>12849</v>
      </c>
      <c r="D4313" t="s">
        <v>20</v>
      </c>
      <c r="E4313" t="s">
        <v>11</v>
      </c>
      <c r="F4313">
        <v>29242.752</v>
      </c>
      <c r="G4313">
        <v>18</v>
      </c>
      <c r="L4313" t="s">
        <v>12850</v>
      </c>
      <c r="O4313" t="s">
        <v>12851</v>
      </c>
    </row>
    <row r="4314" spans="1:15" x14ac:dyDescent="0.25">
      <c r="A4314" t="s">
        <v>18</v>
      </c>
      <c r="B4314" t="s">
        <v>12850</v>
      </c>
      <c r="C4314" t="s">
        <v>12852</v>
      </c>
      <c r="D4314" t="s">
        <v>20</v>
      </c>
      <c r="E4314" t="s">
        <v>11</v>
      </c>
      <c r="F4314">
        <v>2023.494</v>
      </c>
      <c r="G4314">
        <v>18</v>
      </c>
      <c r="L4314" t="s">
        <v>12853</v>
      </c>
      <c r="O4314" t="s">
        <v>12854</v>
      </c>
    </row>
    <row r="4315" spans="1:15" x14ac:dyDescent="0.25">
      <c r="A4315" t="s">
        <v>18</v>
      </c>
      <c r="B4315" t="s">
        <v>12853</v>
      </c>
      <c r="C4315" t="s">
        <v>12855</v>
      </c>
      <c r="D4315" t="s">
        <v>20</v>
      </c>
      <c r="E4315" t="s">
        <v>11</v>
      </c>
      <c r="F4315">
        <v>2088.768</v>
      </c>
      <c r="G4315">
        <v>18</v>
      </c>
      <c r="L4315" t="s">
        <v>12856</v>
      </c>
      <c r="O4315" t="s">
        <v>12857</v>
      </c>
    </row>
    <row r="4316" spans="1:15" x14ac:dyDescent="0.25">
      <c r="A4316" t="s">
        <v>18</v>
      </c>
      <c r="B4316" t="s">
        <v>12856</v>
      </c>
      <c r="C4316" t="s">
        <v>12858</v>
      </c>
      <c r="D4316" t="s">
        <v>20</v>
      </c>
      <c r="E4316" t="s">
        <v>11</v>
      </c>
      <c r="F4316">
        <v>33485.562</v>
      </c>
      <c r="G4316">
        <v>18</v>
      </c>
      <c r="L4316" t="s">
        <v>12859</v>
      </c>
      <c r="O4316" t="s">
        <v>12860</v>
      </c>
    </row>
    <row r="4317" spans="1:15" x14ac:dyDescent="0.25">
      <c r="A4317" t="s">
        <v>18</v>
      </c>
      <c r="B4317" t="s">
        <v>12859</v>
      </c>
      <c r="C4317" t="s">
        <v>12861</v>
      </c>
      <c r="D4317" t="s">
        <v>20</v>
      </c>
      <c r="E4317" t="s">
        <v>11</v>
      </c>
      <c r="F4317">
        <v>32114.807999999997</v>
      </c>
      <c r="G4317">
        <v>18</v>
      </c>
      <c r="L4317" t="s">
        <v>12862</v>
      </c>
      <c r="O4317" t="s">
        <v>12863</v>
      </c>
    </row>
    <row r="4318" spans="1:15" x14ac:dyDescent="0.25">
      <c r="A4318" t="s">
        <v>18</v>
      </c>
      <c r="B4318" t="s">
        <v>12862</v>
      </c>
      <c r="C4318" t="s">
        <v>12864</v>
      </c>
      <c r="D4318" t="s">
        <v>20</v>
      </c>
      <c r="E4318" t="s">
        <v>11</v>
      </c>
      <c r="F4318">
        <v>3916.44</v>
      </c>
      <c r="G4318">
        <v>18</v>
      </c>
      <c r="L4318" t="s">
        <v>12865</v>
      </c>
      <c r="O4318" t="s">
        <v>12866</v>
      </c>
    </row>
    <row r="4319" spans="1:15" x14ac:dyDescent="0.25">
      <c r="A4319" t="s">
        <v>18</v>
      </c>
      <c r="B4319" t="s">
        <v>12865</v>
      </c>
      <c r="C4319" t="s">
        <v>12867</v>
      </c>
      <c r="D4319" t="s">
        <v>20</v>
      </c>
      <c r="E4319" t="s">
        <v>11</v>
      </c>
      <c r="F4319">
        <v>17558.706</v>
      </c>
      <c r="G4319">
        <v>18</v>
      </c>
      <c r="L4319" t="s">
        <v>12868</v>
      </c>
      <c r="O4319" t="s">
        <v>12869</v>
      </c>
    </row>
    <row r="4320" spans="1:15" x14ac:dyDescent="0.25">
      <c r="A4320" t="s">
        <v>18</v>
      </c>
      <c r="B4320" t="s">
        <v>12868</v>
      </c>
      <c r="C4320" t="s">
        <v>12870</v>
      </c>
      <c r="D4320" t="s">
        <v>20</v>
      </c>
      <c r="E4320" t="s">
        <v>11</v>
      </c>
      <c r="F4320">
        <v>27153.983999999997</v>
      </c>
      <c r="G4320">
        <v>18</v>
      </c>
      <c r="L4320" t="s">
        <v>12871</v>
      </c>
      <c r="O4320" t="s">
        <v>12872</v>
      </c>
    </row>
    <row r="4321" spans="1:15" x14ac:dyDescent="0.25">
      <c r="A4321" t="s">
        <v>18</v>
      </c>
      <c r="B4321" t="s">
        <v>12871</v>
      </c>
      <c r="C4321" t="s">
        <v>12873</v>
      </c>
      <c r="D4321" t="s">
        <v>20</v>
      </c>
      <c r="E4321" t="s">
        <v>11</v>
      </c>
      <c r="F4321">
        <v>39229.674</v>
      </c>
      <c r="G4321">
        <v>18</v>
      </c>
      <c r="L4321" t="s">
        <v>12874</v>
      </c>
      <c r="O4321" t="s">
        <v>12875</v>
      </c>
    </row>
    <row r="4322" spans="1:15" x14ac:dyDescent="0.25">
      <c r="A4322" t="s">
        <v>18</v>
      </c>
      <c r="B4322" t="s">
        <v>12874</v>
      </c>
      <c r="C4322" t="s">
        <v>12876</v>
      </c>
      <c r="D4322" t="s">
        <v>20</v>
      </c>
      <c r="E4322" t="s">
        <v>11</v>
      </c>
      <c r="F4322">
        <v>8485.619999999999</v>
      </c>
      <c r="G4322">
        <v>18</v>
      </c>
      <c r="L4322" t="s">
        <v>12877</v>
      </c>
      <c r="O4322" t="s">
        <v>12878</v>
      </c>
    </row>
    <row r="4323" spans="1:15" x14ac:dyDescent="0.25">
      <c r="A4323" t="s">
        <v>18</v>
      </c>
      <c r="B4323" t="s">
        <v>12877</v>
      </c>
      <c r="C4323" t="s">
        <v>12879</v>
      </c>
      <c r="D4323" t="s">
        <v>20</v>
      </c>
      <c r="E4323" t="s">
        <v>11</v>
      </c>
      <c r="F4323">
        <v>14033.91</v>
      </c>
      <c r="G4323">
        <v>18</v>
      </c>
      <c r="L4323" t="s">
        <v>12880</v>
      </c>
      <c r="O4323" t="s">
        <v>12881</v>
      </c>
    </row>
    <row r="4324" spans="1:15" x14ac:dyDescent="0.25">
      <c r="A4324" t="s">
        <v>18</v>
      </c>
      <c r="B4324" t="s">
        <v>12880</v>
      </c>
      <c r="C4324" t="s">
        <v>12882</v>
      </c>
      <c r="D4324" t="s">
        <v>20</v>
      </c>
      <c r="E4324" t="s">
        <v>11</v>
      </c>
      <c r="F4324">
        <v>13315.895999999999</v>
      </c>
      <c r="G4324">
        <v>18</v>
      </c>
      <c r="L4324" t="s">
        <v>12883</v>
      </c>
      <c r="O4324" t="s">
        <v>12884</v>
      </c>
    </row>
    <row r="4325" spans="1:15" x14ac:dyDescent="0.25">
      <c r="A4325" t="s">
        <v>18</v>
      </c>
      <c r="B4325" t="s">
        <v>12883</v>
      </c>
      <c r="C4325" t="s">
        <v>12885</v>
      </c>
      <c r="D4325" t="s">
        <v>20</v>
      </c>
      <c r="E4325" t="s">
        <v>11</v>
      </c>
      <c r="F4325">
        <v>28328.915999999997</v>
      </c>
      <c r="G4325">
        <v>18</v>
      </c>
      <c r="L4325" t="s">
        <v>12886</v>
      </c>
      <c r="O4325" t="s">
        <v>12887</v>
      </c>
    </row>
    <row r="4326" spans="1:15" x14ac:dyDescent="0.25">
      <c r="A4326" t="s">
        <v>18</v>
      </c>
      <c r="B4326" t="s">
        <v>12886</v>
      </c>
      <c r="C4326" t="s">
        <v>12888</v>
      </c>
      <c r="D4326" t="s">
        <v>20</v>
      </c>
      <c r="E4326" t="s">
        <v>11</v>
      </c>
      <c r="F4326">
        <v>70234.824</v>
      </c>
      <c r="G4326">
        <v>18</v>
      </c>
      <c r="L4326" t="s">
        <v>12889</v>
      </c>
      <c r="O4326" t="s">
        <v>12890</v>
      </c>
    </row>
    <row r="4327" spans="1:15" x14ac:dyDescent="0.25">
      <c r="A4327" t="s">
        <v>18</v>
      </c>
      <c r="B4327" t="s">
        <v>12889</v>
      </c>
      <c r="C4327" t="s">
        <v>12891</v>
      </c>
      <c r="D4327" t="s">
        <v>20</v>
      </c>
      <c r="E4327" t="s">
        <v>11</v>
      </c>
      <c r="F4327">
        <v>38381.112</v>
      </c>
      <c r="G4327">
        <v>18</v>
      </c>
      <c r="L4327" t="s">
        <v>12892</v>
      </c>
      <c r="O4327" t="s">
        <v>12893</v>
      </c>
    </row>
    <row r="4328" spans="1:15" x14ac:dyDescent="0.25">
      <c r="A4328" t="s">
        <v>18</v>
      </c>
      <c r="B4328" t="s">
        <v>12892</v>
      </c>
      <c r="C4328" t="s">
        <v>12894</v>
      </c>
      <c r="D4328" t="s">
        <v>20</v>
      </c>
      <c r="E4328" t="s">
        <v>11</v>
      </c>
      <c r="F4328">
        <v>17819.802</v>
      </c>
      <c r="G4328">
        <v>18</v>
      </c>
      <c r="L4328" t="s">
        <v>12895</v>
      </c>
      <c r="O4328" t="s">
        <v>12896</v>
      </c>
    </row>
    <row r="4329" spans="1:15" x14ac:dyDescent="0.25">
      <c r="A4329" t="s">
        <v>18</v>
      </c>
      <c r="B4329" t="s">
        <v>12895</v>
      </c>
      <c r="C4329" t="s">
        <v>12897</v>
      </c>
      <c r="D4329" t="s">
        <v>20</v>
      </c>
      <c r="E4329" t="s">
        <v>11</v>
      </c>
      <c r="F4329">
        <v>33485.562</v>
      </c>
      <c r="G4329">
        <v>18</v>
      </c>
      <c r="L4329" t="s">
        <v>12898</v>
      </c>
      <c r="O4329" t="s">
        <v>12899</v>
      </c>
    </row>
    <row r="4330" spans="1:15" x14ac:dyDescent="0.25">
      <c r="A4330" t="s">
        <v>18</v>
      </c>
      <c r="B4330" t="s">
        <v>12898</v>
      </c>
      <c r="C4330" t="s">
        <v>12900</v>
      </c>
      <c r="D4330" t="s">
        <v>20</v>
      </c>
      <c r="E4330" t="s">
        <v>11</v>
      </c>
      <c r="F4330">
        <v>29373.3</v>
      </c>
      <c r="G4330">
        <v>18</v>
      </c>
      <c r="L4330" t="s">
        <v>12901</v>
      </c>
      <c r="O4330" t="s">
        <v>12902</v>
      </c>
    </row>
    <row r="4331" spans="1:15" x14ac:dyDescent="0.25">
      <c r="A4331" t="s">
        <v>18</v>
      </c>
      <c r="B4331" t="s">
        <v>12901</v>
      </c>
      <c r="C4331" t="s">
        <v>12903</v>
      </c>
      <c r="D4331" t="s">
        <v>20</v>
      </c>
      <c r="E4331" t="s">
        <v>11</v>
      </c>
      <c r="F4331">
        <v>30417.683999999997</v>
      </c>
      <c r="G4331">
        <v>18</v>
      </c>
      <c r="L4331" t="s">
        <v>12904</v>
      </c>
      <c r="O4331" t="s">
        <v>12905</v>
      </c>
    </row>
    <row r="4332" spans="1:15" x14ac:dyDescent="0.25">
      <c r="A4332" t="s">
        <v>18</v>
      </c>
      <c r="B4332" t="s">
        <v>12904</v>
      </c>
      <c r="C4332" t="s">
        <v>12906</v>
      </c>
      <c r="D4332" t="s">
        <v>20</v>
      </c>
      <c r="E4332" t="s">
        <v>11</v>
      </c>
      <c r="F4332">
        <v>10639.661999999998</v>
      </c>
      <c r="G4332">
        <v>18</v>
      </c>
      <c r="L4332" t="s">
        <v>12907</v>
      </c>
      <c r="O4332" t="s">
        <v>12908</v>
      </c>
    </row>
    <row r="4333" spans="1:15" x14ac:dyDescent="0.25">
      <c r="A4333" t="s">
        <v>18</v>
      </c>
      <c r="B4333" t="s">
        <v>12907</v>
      </c>
      <c r="C4333" t="s">
        <v>12909</v>
      </c>
      <c r="D4333" t="s">
        <v>20</v>
      </c>
      <c r="E4333" t="s">
        <v>11</v>
      </c>
      <c r="F4333">
        <v>13381.17</v>
      </c>
      <c r="G4333">
        <v>18</v>
      </c>
      <c r="L4333" t="s">
        <v>12910</v>
      </c>
      <c r="O4333" t="s">
        <v>12911</v>
      </c>
    </row>
    <row r="4334" spans="1:15" x14ac:dyDescent="0.25">
      <c r="A4334" t="s">
        <v>18</v>
      </c>
      <c r="B4334" t="s">
        <v>12910</v>
      </c>
      <c r="C4334" t="s">
        <v>12912</v>
      </c>
      <c r="D4334" t="s">
        <v>20</v>
      </c>
      <c r="E4334" t="s">
        <v>11</v>
      </c>
      <c r="F4334">
        <v>11031.305999999999</v>
      </c>
      <c r="G4334">
        <v>18</v>
      </c>
      <c r="L4334" t="s">
        <v>12913</v>
      </c>
      <c r="O4334" t="s">
        <v>12914</v>
      </c>
    </row>
    <row r="4335" spans="1:15" x14ac:dyDescent="0.25">
      <c r="A4335" t="s">
        <v>18</v>
      </c>
      <c r="B4335" t="s">
        <v>12913</v>
      </c>
      <c r="C4335" t="s">
        <v>12915</v>
      </c>
      <c r="D4335" t="s">
        <v>20</v>
      </c>
      <c r="E4335" t="s">
        <v>11</v>
      </c>
      <c r="F4335">
        <v>14033.91</v>
      </c>
      <c r="G4335">
        <v>18</v>
      </c>
      <c r="L4335" t="s">
        <v>12916</v>
      </c>
      <c r="O4335" t="s">
        <v>12917</v>
      </c>
    </row>
    <row r="4336" spans="1:15" x14ac:dyDescent="0.25">
      <c r="A4336" t="s">
        <v>18</v>
      </c>
      <c r="B4336" t="s">
        <v>12916</v>
      </c>
      <c r="C4336" t="s">
        <v>12918</v>
      </c>
      <c r="D4336" t="s">
        <v>20</v>
      </c>
      <c r="E4336" t="s">
        <v>11</v>
      </c>
      <c r="F4336">
        <v>16122.678</v>
      </c>
      <c r="G4336">
        <v>18</v>
      </c>
      <c r="L4336" t="s">
        <v>12919</v>
      </c>
      <c r="O4336" t="s">
        <v>12920</v>
      </c>
    </row>
    <row r="4337" spans="1:15" x14ac:dyDescent="0.25">
      <c r="A4337" t="s">
        <v>18</v>
      </c>
      <c r="B4337" t="s">
        <v>12919</v>
      </c>
      <c r="C4337" t="s">
        <v>12921</v>
      </c>
      <c r="D4337" t="s">
        <v>20</v>
      </c>
      <c r="E4337" t="s">
        <v>11</v>
      </c>
      <c r="F4337">
        <v>13576.991999999998</v>
      </c>
      <c r="G4337">
        <v>18</v>
      </c>
      <c r="L4337" t="s">
        <v>12922</v>
      </c>
      <c r="O4337" t="s">
        <v>12923</v>
      </c>
    </row>
    <row r="4338" spans="1:15" x14ac:dyDescent="0.25">
      <c r="A4338" t="s">
        <v>18</v>
      </c>
      <c r="B4338" t="s">
        <v>12922</v>
      </c>
      <c r="C4338" t="s">
        <v>12924</v>
      </c>
      <c r="D4338" t="s">
        <v>20</v>
      </c>
      <c r="E4338" t="s">
        <v>11</v>
      </c>
      <c r="F4338">
        <v>14033.91</v>
      </c>
      <c r="G4338">
        <v>18</v>
      </c>
      <c r="L4338" t="s">
        <v>12925</v>
      </c>
      <c r="O4338" t="s">
        <v>12926</v>
      </c>
    </row>
    <row r="4339" spans="1:15" x14ac:dyDescent="0.25">
      <c r="A4339" t="s">
        <v>18</v>
      </c>
      <c r="B4339" t="s">
        <v>12925</v>
      </c>
      <c r="C4339" t="s">
        <v>12927</v>
      </c>
      <c r="D4339" t="s">
        <v>20</v>
      </c>
      <c r="E4339" t="s">
        <v>11</v>
      </c>
      <c r="F4339">
        <v>12402.060000000001</v>
      </c>
      <c r="G4339">
        <v>18</v>
      </c>
      <c r="L4339" t="s">
        <v>12928</v>
      </c>
      <c r="O4339" t="s">
        <v>12929</v>
      </c>
    </row>
    <row r="4340" spans="1:15" x14ac:dyDescent="0.25">
      <c r="A4340" t="s">
        <v>18</v>
      </c>
      <c r="B4340" t="s">
        <v>12928</v>
      </c>
      <c r="C4340" t="s">
        <v>12930</v>
      </c>
      <c r="D4340" t="s">
        <v>20</v>
      </c>
      <c r="E4340" t="s">
        <v>11</v>
      </c>
      <c r="F4340">
        <v>31005.15</v>
      </c>
      <c r="G4340">
        <v>18</v>
      </c>
      <c r="L4340" t="s">
        <v>12931</v>
      </c>
      <c r="O4340" t="s">
        <v>12932</v>
      </c>
    </row>
    <row r="4341" spans="1:15" x14ac:dyDescent="0.25">
      <c r="A4341" t="s">
        <v>18</v>
      </c>
      <c r="B4341" t="s">
        <v>12931</v>
      </c>
      <c r="C4341" t="s">
        <v>12933</v>
      </c>
      <c r="D4341" t="s">
        <v>20</v>
      </c>
      <c r="E4341" t="s">
        <v>11</v>
      </c>
      <c r="F4341">
        <v>32375.904</v>
      </c>
      <c r="G4341">
        <v>18</v>
      </c>
      <c r="L4341" t="s">
        <v>12934</v>
      </c>
      <c r="O4341" t="s">
        <v>12935</v>
      </c>
    </row>
    <row r="4342" spans="1:15" x14ac:dyDescent="0.25">
      <c r="A4342" t="s">
        <v>18</v>
      </c>
      <c r="B4342" t="s">
        <v>12934</v>
      </c>
      <c r="C4342" t="s">
        <v>12936</v>
      </c>
      <c r="D4342" t="s">
        <v>20</v>
      </c>
      <c r="E4342" t="s">
        <v>11</v>
      </c>
      <c r="F4342">
        <v>16710.144</v>
      </c>
      <c r="G4342">
        <v>18</v>
      </c>
      <c r="L4342" t="s">
        <v>12937</v>
      </c>
      <c r="O4342" t="s">
        <v>12938</v>
      </c>
    </row>
    <row r="4343" spans="1:15" x14ac:dyDescent="0.25">
      <c r="A4343" t="s">
        <v>18</v>
      </c>
      <c r="B4343" t="s">
        <v>12937</v>
      </c>
      <c r="C4343" t="s">
        <v>12939</v>
      </c>
      <c r="D4343" t="s">
        <v>20</v>
      </c>
      <c r="E4343" t="s">
        <v>11</v>
      </c>
      <c r="F4343">
        <v>17101.787999999997</v>
      </c>
      <c r="G4343">
        <v>18</v>
      </c>
      <c r="L4343" t="s">
        <v>12940</v>
      </c>
      <c r="O4343" t="s">
        <v>12941</v>
      </c>
    </row>
    <row r="4344" spans="1:15" x14ac:dyDescent="0.25">
      <c r="A4344" t="s">
        <v>18</v>
      </c>
      <c r="B4344" t="s">
        <v>12940</v>
      </c>
      <c r="C4344" t="s">
        <v>12942</v>
      </c>
      <c r="D4344" t="s">
        <v>20</v>
      </c>
      <c r="E4344" t="s">
        <v>11</v>
      </c>
      <c r="F4344">
        <v>3655.344</v>
      </c>
      <c r="G4344">
        <v>18</v>
      </c>
      <c r="L4344" t="s">
        <v>12943</v>
      </c>
      <c r="O4344" t="s">
        <v>12944</v>
      </c>
    </row>
    <row r="4345" spans="1:15" x14ac:dyDescent="0.25">
      <c r="A4345" t="s">
        <v>18</v>
      </c>
      <c r="B4345" t="s">
        <v>12943</v>
      </c>
      <c r="C4345" t="s">
        <v>12945</v>
      </c>
      <c r="D4345" t="s">
        <v>20</v>
      </c>
      <c r="E4345" t="s">
        <v>11</v>
      </c>
      <c r="F4345">
        <v>6723.222000000001</v>
      </c>
      <c r="G4345">
        <v>18</v>
      </c>
      <c r="L4345" t="s">
        <v>12946</v>
      </c>
      <c r="O4345" t="s">
        <v>12947</v>
      </c>
    </row>
    <row r="4346" spans="1:15" x14ac:dyDescent="0.25">
      <c r="A4346" t="s">
        <v>18</v>
      </c>
      <c r="B4346" t="s">
        <v>12946</v>
      </c>
      <c r="C4346" t="s">
        <v>12948</v>
      </c>
      <c r="D4346" t="s">
        <v>20</v>
      </c>
      <c r="E4346" t="s">
        <v>11</v>
      </c>
      <c r="F4346">
        <v>50848.446</v>
      </c>
      <c r="G4346">
        <v>18</v>
      </c>
      <c r="L4346" t="s">
        <v>12949</v>
      </c>
      <c r="O4346" t="s">
        <v>12950</v>
      </c>
    </row>
    <row r="4347" spans="1:15" x14ac:dyDescent="0.25">
      <c r="A4347" t="s">
        <v>18</v>
      </c>
      <c r="B4347" t="s">
        <v>12949</v>
      </c>
      <c r="C4347" t="s">
        <v>12951</v>
      </c>
      <c r="D4347" t="s">
        <v>20</v>
      </c>
      <c r="E4347" t="s">
        <v>11</v>
      </c>
      <c r="F4347">
        <v>18929.46</v>
      </c>
      <c r="G4347">
        <v>18</v>
      </c>
      <c r="L4347" t="s">
        <v>12952</v>
      </c>
      <c r="O4347" t="s">
        <v>12953</v>
      </c>
    </row>
    <row r="4348" spans="1:15" x14ac:dyDescent="0.25">
      <c r="A4348" t="s">
        <v>18</v>
      </c>
      <c r="B4348" t="s">
        <v>12952</v>
      </c>
      <c r="C4348" t="s">
        <v>12954</v>
      </c>
      <c r="D4348" t="s">
        <v>20</v>
      </c>
      <c r="E4348" t="s">
        <v>11</v>
      </c>
      <c r="F4348">
        <v>18929.46</v>
      </c>
      <c r="G4348">
        <v>18</v>
      </c>
      <c r="L4348" t="s">
        <v>12955</v>
      </c>
      <c r="O4348" t="s">
        <v>12956</v>
      </c>
    </row>
    <row r="4349" spans="1:15" x14ac:dyDescent="0.25">
      <c r="A4349" t="s">
        <v>18</v>
      </c>
      <c r="B4349" t="s">
        <v>12955</v>
      </c>
      <c r="C4349" t="s">
        <v>12957</v>
      </c>
      <c r="D4349" t="s">
        <v>20</v>
      </c>
      <c r="E4349" t="s">
        <v>11</v>
      </c>
      <c r="F4349">
        <v>18929.46</v>
      </c>
      <c r="G4349">
        <v>18</v>
      </c>
      <c r="L4349" t="s">
        <v>12958</v>
      </c>
      <c r="O4349" t="s">
        <v>12959</v>
      </c>
    </row>
    <row r="4350" spans="1:15" x14ac:dyDescent="0.25">
      <c r="A4350" t="s">
        <v>18</v>
      </c>
      <c r="B4350" t="s">
        <v>12958</v>
      </c>
      <c r="C4350" t="s">
        <v>12960</v>
      </c>
      <c r="D4350" t="s">
        <v>20</v>
      </c>
      <c r="E4350" t="s">
        <v>11</v>
      </c>
      <c r="F4350">
        <v>18929.46</v>
      </c>
      <c r="G4350">
        <v>18</v>
      </c>
      <c r="L4350" t="s">
        <v>12961</v>
      </c>
      <c r="O4350" t="s">
        <v>12962</v>
      </c>
    </row>
    <row r="4351" spans="1:15" x14ac:dyDescent="0.25">
      <c r="A4351" t="s">
        <v>18</v>
      </c>
      <c r="B4351" t="s">
        <v>12961</v>
      </c>
      <c r="C4351" t="s">
        <v>12963</v>
      </c>
      <c r="D4351" t="s">
        <v>20</v>
      </c>
      <c r="E4351" t="s">
        <v>11</v>
      </c>
      <c r="F4351">
        <v>18929.46</v>
      </c>
      <c r="G4351">
        <v>18</v>
      </c>
      <c r="L4351" t="s">
        <v>12964</v>
      </c>
      <c r="O4351" t="s">
        <v>12965</v>
      </c>
    </row>
    <row r="4352" spans="1:15" x14ac:dyDescent="0.25">
      <c r="A4352" t="s">
        <v>18</v>
      </c>
      <c r="B4352" t="s">
        <v>12964</v>
      </c>
      <c r="C4352" t="s">
        <v>12966</v>
      </c>
      <c r="D4352" t="s">
        <v>20</v>
      </c>
      <c r="E4352" t="s">
        <v>11</v>
      </c>
      <c r="F4352">
        <v>18929.46</v>
      </c>
      <c r="G4352">
        <v>18</v>
      </c>
      <c r="L4352" t="s">
        <v>12967</v>
      </c>
      <c r="O4352" t="s">
        <v>12968</v>
      </c>
    </row>
    <row r="4353" spans="1:15" x14ac:dyDescent="0.25">
      <c r="A4353" t="s">
        <v>18</v>
      </c>
      <c r="B4353" t="s">
        <v>12967</v>
      </c>
      <c r="C4353" t="s">
        <v>12969</v>
      </c>
      <c r="D4353" t="s">
        <v>20</v>
      </c>
      <c r="E4353" t="s">
        <v>11</v>
      </c>
      <c r="F4353">
        <v>58354.956</v>
      </c>
      <c r="G4353">
        <v>18</v>
      </c>
      <c r="L4353" t="s">
        <v>12970</v>
      </c>
      <c r="O4353" t="s">
        <v>12971</v>
      </c>
    </row>
    <row r="4354" spans="1:15" x14ac:dyDescent="0.25">
      <c r="A4354" t="s">
        <v>18</v>
      </c>
      <c r="B4354" t="s">
        <v>12970</v>
      </c>
      <c r="C4354" t="s">
        <v>12972</v>
      </c>
      <c r="D4354" t="s">
        <v>20</v>
      </c>
      <c r="E4354" t="s">
        <v>11</v>
      </c>
      <c r="F4354">
        <v>118015.392</v>
      </c>
      <c r="G4354">
        <v>18</v>
      </c>
      <c r="L4354" t="s">
        <v>12973</v>
      </c>
      <c r="O4354" t="s">
        <v>12974</v>
      </c>
    </row>
    <row r="4355" spans="1:15" x14ac:dyDescent="0.25">
      <c r="A4355" t="s">
        <v>18</v>
      </c>
      <c r="B4355" t="s">
        <v>12973</v>
      </c>
      <c r="C4355" t="s">
        <v>12975</v>
      </c>
      <c r="D4355" t="s">
        <v>20</v>
      </c>
      <c r="E4355" t="s">
        <v>11</v>
      </c>
      <c r="F4355">
        <v>120756.9</v>
      </c>
      <c r="G4355">
        <v>18</v>
      </c>
      <c r="L4355" t="s">
        <v>12976</v>
      </c>
      <c r="O4355" t="s">
        <v>12977</v>
      </c>
    </row>
    <row r="4356" spans="1:15" x14ac:dyDescent="0.25">
      <c r="A4356" t="s">
        <v>18</v>
      </c>
      <c r="B4356" t="s">
        <v>12976</v>
      </c>
      <c r="C4356" t="s">
        <v>12978</v>
      </c>
      <c r="D4356" t="s">
        <v>20</v>
      </c>
      <c r="E4356" t="s">
        <v>11</v>
      </c>
      <c r="F4356">
        <v>122715.12</v>
      </c>
      <c r="G4356">
        <v>18</v>
      </c>
      <c r="L4356" t="s">
        <v>12979</v>
      </c>
      <c r="O4356" t="s">
        <v>12980</v>
      </c>
    </row>
    <row r="4357" spans="1:15" x14ac:dyDescent="0.25">
      <c r="A4357" t="s">
        <v>18</v>
      </c>
      <c r="B4357" t="s">
        <v>12979</v>
      </c>
      <c r="C4357" t="s">
        <v>12981</v>
      </c>
      <c r="D4357" t="s">
        <v>20</v>
      </c>
      <c r="E4357" t="s">
        <v>11</v>
      </c>
      <c r="F4357">
        <v>224803.656</v>
      </c>
      <c r="G4357">
        <v>18</v>
      </c>
      <c r="L4357" t="s">
        <v>12982</v>
      </c>
      <c r="O4357" t="s">
        <v>12983</v>
      </c>
    </row>
    <row r="4358" spans="1:15" x14ac:dyDescent="0.25">
      <c r="A4358" t="s">
        <v>18</v>
      </c>
      <c r="B4358" t="s">
        <v>12982</v>
      </c>
      <c r="C4358" t="s">
        <v>12984</v>
      </c>
      <c r="D4358" t="s">
        <v>20</v>
      </c>
      <c r="E4358" t="s">
        <v>11</v>
      </c>
      <c r="F4358">
        <v>228459</v>
      </c>
      <c r="G4358">
        <v>18</v>
      </c>
      <c r="L4358" t="s">
        <v>12985</v>
      </c>
      <c r="O4358" t="s">
        <v>12986</v>
      </c>
    </row>
    <row r="4359" spans="1:15" x14ac:dyDescent="0.25">
      <c r="A4359" t="s">
        <v>18</v>
      </c>
      <c r="B4359" t="s">
        <v>12985</v>
      </c>
      <c r="C4359" t="s">
        <v>12987</v>
      </c>
      <c r="D4359" t="s">
        <v>20</v>
      </c>
      <c r="E4359" t="s">
        <v>11</v>
      </c>
      <c r="F4359">
        <v>236422.42799999999</v>
      </c>
      <c r="G4359">
        <v>18</v>
      </c>
      <c r="L4359" t="s">
        <v>12988</v>
      </c>
      <c r="O4359" t="s">
        <v>12989</v>
      </c>
    </row>
    <row r="4360" spans="1:15" x14ac:dyDescent="0.25">
      <c r="A4360" t="s">
        <v>18</v>
      </c>
      <c r="B4360" t="s">
        <v>12988</v>
      </c>
      <c r="C4360" t="s">
        <v>12990</v>
      </c>
      <c r="D4360" t="s">
        <v>20</v>
      </c>
      <c r="E4360" t="s">
        <v>11</v>
      </c>
      <c r="F4360">
        <v>21540.420000000002</v>
      </c>
      <c r="G4360">
        <v>18</v>
      </c>
      <c r="L4360" t="s">
        <v>12991</v>
      </c>
      <c r="O4360" t="s">
        <v>12992</v>
      </c>
    </row>
    <row r="4361" spans="1:15" x14ac:dyDescent="0.25">
      <c r="A4361" t="s">
        <v>18</v>
      </c>
      <c r="B4361" t="s">
        <v>12991</v>
      </c>
      <c r="C4361" t="s">
        <v>12993</v>
      </c>
      <c r="D4361" t="s">
        <v>20</v>
      </c>
      <c r="E4361" t="s">
        <v>11</v>
      </c>
      <c r="F4361">
        <v>14621.376</v>
      </c>
      <c r="G4361">
        <v>18</v>
      </c>
      <c r="L4361" t="s">
        <v>12994</v>
      </c>
      <c r="O4361" t="s">
        <v>12995</v>
      </c>
    </row>
    <row r="4362" spans="1:15" x14ac:dyDescent="0.25">
      <c r="A4362" t="s">
        <v>18</v>
      </c>
      <c r="B4362" t="s">
        <v>12994</v>
      </c>
      <c r="C4362" t="s">
        <v>12996</v>
      </c>
      <c r="D4362" t="s">
        <v>20</v>
      </c>
      <c r="E4362" t="s">
        <v>11</v>
      </c>
      <c r="F4362">
        <v>8746.716</v>
      </c>
      <c r="G4362">
        <v>18</v>
      </c>
      <c r="L4362" t="s">
        <v>12997</v>
      </c>
      <c r="O4362" t="s">
        <v>12998</v>
      </c>
    </row>
    <row r="4363" spans="1:15" x14ac:dyDescent="0.25">
      <c r="A4363" t="s">
        <v>18</v>
      </c>
      <c r="B4363" t="s">
        <v>12997</v>
      </c>
      <c r="C4363" t="s">
        <v>12999</v>
      </c>
      <c r="D4363" t="s">
        <v>20</v>
      </c>
      <c r="E4363" t="s">
        <v>11</v>
      </c>
      <c r="F4363">
        <v>24934.668</v>
      </c>
      <c r="G4363">
        <v>18</v>
      </c>
      <c r="L4363" t="s">
        <v>13000</v>
      </c>
      <c r="O4363" t="s">
        <v>13001</v>
      </c>
    </row>
    <row r="4364" spans="1:15" x14ac:dyDescent="0.25">
      <c r="A4364" t="s">
        <v>18</v>
      </c>
      <c r="B4364" t="s">
        <v>13000</v>
      </c>
      <c r="C4364" t="s">
        <v>13002</v>
      </c>
      <c r="D4364" t="s">
        <v>20</v>
      </c>
      <c r="E4364" t="s">
        <v>11</v>
      </c>
      <c r="F4364">
        <v>59660.436</v>
      </c>
      <c r="G4364">
        <v>18</v>
      </c>
      <c r="L4364" t="s">
        <v>13003</v>
      </c>
      <c r="O4364" t="s">
        <v>13004</v>
      </c>
    </row>
    <row r="4365" spans="1:15" x14ac:dyDescent="0.25">
      <c r="A4365" t="s">
        <v>18</v>
      </c>
      <c r="B4365" t="s">
        <v>13003</v>
      </c>
      <c r="C4365" t="s">
        <v>13005</v>
      </c>
      <c r="D4365" t="s">
        <v>20</v>
      </c>
      <c r="E4365" t="s">
        <v>11</v>
      </c>
      <c r="F4365">
        <v>59660.436</v>
      </c>
      <c r="G4365">
        <v>18</v>
      </c>
      <c r="L4365" t="s">
        <v>13006</v>
      </c>
      <c r="O4365" t="s">
        <v>13007</v>
      </c>
    </row>
    <row r="4366" spans="1:15" x14ac:dyDescent="0.25">
      <c r="A4366" t="s">
        <v>18</v>
      </c>
      <c r="B4366" t="s">
        <v>13006</v>
      </c>
      <c r="C4366" t="s">
        <v>13008</v>
      </c>
      <c r="D4366" t="s">
        <v>20</v>
      </c>
      <c r="E4366" t="s">
        <v>11</v>
      </c>
      <c r="F4366">
        <v>16253.226</v>
      </c>
      <c r="G4366">
        <v>18</v>
      </c>
      <c r="L4366" t="s">
        <v>13009</v>
      </c>
      <c r="O4366" t="s">
        <v>13010</v>
      </c>
    </row>
    <row r="4367" spans="1:15" x14ac:dyDescent="0.25">
      <c r="A4367" t="s">
        <v>18</v>
      </c>
      <c r="B4367" t="s">
        <v>13009</v>
      </c>
      <c r="C4367" t="s">
        <v>13011</v>
      </c>
      <c r="D4367" t="s">
        <v>20</v>
      </c>
      <c r="E4367" t="s">
        <v>11</v>
      </c>
      <c r="F4367">
        <v>39947.687999999995</v>
      </c>
      <c r="G4367">
        <v>18</v>
      </c>
      <c r="L4367" t="s">
        <v>13012</v>
      </c>
      <c r="O4367" t="s">
        <v>13013</v>
      </c>
    </row>
    <row r="4368" spans="1:15" x14ac:dyDescent="0.25">
      <c r="A4368" t="s">
        <v>18</v>
      </c>
      <c r="B4368" t="s">
        <v>13012</v>
      </c>
      <c r="C4368" t="s">
        <v>13014</v>
      </c>
      <c r="D4368" t="s">
        <v>20</v>
      </c>
      <c r="E4368" t="s">
        <v>11</v>
      </c>
      <c r="F4368">
        <v>33028.644</v>
      </c>
      <c r="G4368">
        <v>18</v>
      </c>
      <c r="L4368" t="s">
        <v>13015</v>
      </c>
      <c r="O4368" t="s">
        <v>13016</v>
      </c>
    </row>
    <row r="4369" spans="1:15" x14ac:dyDescent="0.25">
      <c r="A4369" t="s">
        <v>18</v>
      </c>
      <c r="B4369" t="s">
        <v>13015</v>
      </c>
      <c r="C4369" t="s">
        <v>13017</v>
      </c>
      <c r="D4369" t="s">
        <v>20</v>
      </c>
      <c r="E4369" t="s">
        <v>11</v>
      </c>
      <c r="F4369">
        <v>456.918</v>
      </c>
      <c r="G4369">
        <v>18</v>
      </c>
      <c r="L4369" t="s">
        <v>13018</v>
      </c>
      <c r="O4369" t="s">
        <v>13019</v>
      </c>
    </row>
    <row r="4370" spans="1:15" x14ac:dyDescent="0.25">
      <c r="A4370" t="s">
        <v>18</v>
      </c>
      <c r="B4370" t="s">
        <v>13018</v>
      </c>
      <c r="C4370" t="s">
        <v>13020</v>
      </c>
      <c r="D4370" t="s">
        <v>20</v>
      </c>
      <c r="E4370" t="s">
        <v>11</v>
      </c>
      <c r="F4370">
        <v>14686.65</v>
      </c>
      <c r="G4370">
        <v>18</v>
      </c>
      <c r="L4370" t="s">
        <v>13021</v>
      </c>
      <c r="O4370" t="s">
        <v>13022</v>
      </c>
    </row>
    <row r="4371" spans="1:15" x14ac:dyDescent="0.25">
      <c r="A4371" t="s">
        <v>18</v>
      </c>
      <c r="B4371" t="s">
        <v>13021</v>
      </c>
      <c r="C4371" t="s">
        <v>13023</v>
      </c>
      <c r="D4371" t="s">
        <v>20</v>
      </c>
      <c r="E4371" t="s">
        <v>11</v>
      </c>
      <c r="F4371">
        <v>31135.698</v>
      </c>
      <c r="G4371">
        <v>18</v>
      </c>
      <c r="L4371" t="s">
        <v>13024</v>
      </c>
      <c r="O4371" t="s">
        <v>13025</v>
      </c>
    </row>
    <row r="4372" spans="1:15" x14ac:dyDescent="0.25">
      <c r="A4372" t="s">
        <v>18</v>
      </c>
      <c r="B4372" t="s">
        <v>13024</v>
      </c>
      <c r="C4372" t="s">
        <v>13026</v>
      </c>
      <c r="D4372" t="s">
        <v>20</v>
      </c>
      <c r="E4372" t="s">
        <v>11</v>
      </c>
      <c r="F4372">
        <v>31135.698</v>
      </c>
      <c r="G4372">
        <v>18</v>
      </c>
      <c r="L4372" t="s">
        <v>13027</v>
      </c>
      <c r="O4372" t="s">
        <v>13028</v>
      </c>
    </row>
    <row r="4373" spans="1:15" x14ac:dyDescent="0.25">
      <c r="A4373" t="s">
        <v>18</v>
      </c>
      <c r="B4373" t="s">
        <v>13027</v>
      </c>
      <c r="C4373" t="s">
        <v>13029</v>
      </c>
      <c r="D4373" t="s">
        <v>20</v>
      </c>
      <c r="E4373" t="s">
        <v>11</v>
      </c>
      <c r="F4373">
        <v>12989.526</v>
      </c>
      <c r="G4373">
        <v>18</v>
      </c>
      <c r="L4373" t="s">
        <v>13030</v>
      </c>
      <c r="O4373" t="s">
        <v>13031</v>
      </c>
    </row>
    <row r="4374" spans="1:15" x14ac:dyDescent="0.25">
      <c r="A4374" t="s">
        <v>18</v>
      </c>
      <c r="B4374" t="s">
        <v>13030</v>
      </c>
      <c r="C4374" t="s">
        <v>13032</v>
      </c>
      <c r="D4374" t="s">
        <v>20</v>
      </c>
      <c r="E4374" t="s">
        <v>11</v>
      </c>
      <c r="F4374">
        <v>33224.466</v>
      </c>
      <c r="G4374">
        <v>18</v>
      </c>
      <c r="L4374" t="s">
        <v>13033</v>
      </c>
      <c r="O4374" t="s">
        <v>13034</v>
      </c>
    </row>
    <row r="4375" spans="1:15" x14ac:dyDescent="0.25">
      <c r="A4375" t="s">
        <v>18</v>
      </c>
      <c r="B4375" t="s">
        <v>13033</v>
      </c>
      <c r="C4375" t="s">
        <v>13035</v>
      </c>
      <c r="D4375" t="s">
        <v>20</v>
      </c>
      <c r="E4375" t="s">
        <v>11</v>
      </c>
      <c r="F4375">
        <v>24020.832</v>
      </c>
      <c r="G4375">
        <v>18</v>
      </c>
      <c r="L4375" t="s">
        <v>13036</v>
      </c>
      <c r="O4375" t="s">
        <v>13037</v>
      </c>
    </row>
    <row r="4376" spans="1:15" x14ac:dyDescent="0.25">
      <c r="A4376" t="s">
        <v>18</v>
      </c>
      <c r="B4376" t="s">
        <v>13036</v>
      </c>
      <c r="C4376" t="s">
        <v>13038</v>
      </c>
      <c r="D4376" t="s">
        <v>20</v>
      </c>
      <c r="E4376" t="s">
        <v>11</v>
      </c>
      <c r="F4376">
        <v>29373.3</v>
      </c>
      <c r="G4376">
        <v>18</v>
      </c>
      <c r="L4376" t="s">
        <v>13039</v>
      </c>
      <c r="O4376" t="s">
        <v>13040</v>
      </c>
    </row>
    <row r="4377" spans="1:15" x14ac:dyDescent="0.25">
      <c r="A4377" t="s">
        <v>18</v>
      </c>
      <c r="B4377" t="s">
        <v>13039</v>
      </c>
      <c r="C4377" t="s">
        <v>13041</v>
      </c>
      <c r="D4377" t="s">
        <v>20</v>
      </c>
      <c r="E4377" t="s">
        <v>11</v>
      </c>
      <c r="F4377">
        <v>36488.166</v>
      </c>
      <c r="G4377">
        <v>18</v>
      </c>
      <c r="L4377" t="s">
        <v>13042</v>
      </c>
      <c r="O4377" t="s">
        <v>13043</v>
      </c>
    </row>
    <row r="4378" spans="1:15" x14ac:dyDescent="0.25">
      <c r="A4378" t="s">
        <v>18</v>
      </c>
      <c r="B4378" t="s">
        <v>13042</v>
      </c>
      <c r="C4378" t="s">
        <v>13044</v>
      </c>
      <c r="D4378" t="s">
        <v>20</v>
      </c>
      <c r="E4378" t="s">
        <v>11</v>
      </c>
      <c r="F4378">
        <v>59268.791999999994</v>
      </c>
      <c r="G4378">
        <v>18</v>
      </c>
      <c r="L4378" t="s">
        <v>13045</v>
      </c>
      <c r="O4378" t="s">
        <v>13046</v>
      </c>
    </row>
    <row r="4379" spans="1:15" x14ac:dyDescent="0.25">
      <c r="A4379" t="s">
        <v>18</v>
      </c>
      <c r="B4379" t="s">
        <v>13045</v>
      </c>
      <c r="C4379" t="s">
        <v>13047</v>
      </c>
      <c r="D4379" t="s">
        <v>20</v>
      </c>
      <c r="E4379" t="s">
        <v>11</v>
      </c>
      <c r="F4379">
        <v>47845.84199999999</v>
      </c>
      <c r="G4379">
        <v>18</v>
      </c>
      <c r="L4379" t="s">
        <v>13048</v>
      </c>
      <c r="O4379" t="s">
        <v>13049</v>
      </c>
    </row>
    <row r="4380" spans="1:15" x14ac:dyDescent="0.25">
      <c r="A4380" t="s">
        <v>18</v>
      </c>
      <c r="B4380" t="s">
        <v>13048</v>
      </c>
      <c r="C4380" t="s">
        <v>13050</v>
      </c>
      <c r="D4380" t="s">
        <v>20</v>
      </c>
      <c r="E4380" t="s">
        <v>11</v>
      </c>
      <c r="F4380">
        <v>73302.70199999999</v>
      </c>
      <c r="G4380">
        <v>18</v>
      </c>
      <c r="L4380" t="s">
        <v>13051</v>
      </c>
      <c r="O4380" t="s">
        <v>13052</v>
      </c>
    </row>
    <row r="4381" spans="1:15" x14ac:dyDescent="0.25">
      <c r="A4381" t="s">
        <v>18</v>
      </c>
      <c r="B4381" t="s">
        <v>13051</v>
      </c>
      <c r="C4381" t="s">
        <v>13053</v>
      </c>
      <c r="D4381" t="s">
        <v>20</v>
      </c>
      <c r="E4381" t="s">
        <v>11</v>
      </c>
      <c r="F4381">
        <v>59529.88799999999</v>
      </c>
      <c r="G4381">
        <v>18</v>
      </c>
      <c r="L4381" t="s">
        <v>13054</v>
      </c>
      <c r="O4381" t="s">
        <v>13055</v>
      </c>
    </row>
    <row r="4382" spans="1:15" x14ac:dyDescent="0.25">
      <c r="A4382" t="s">
        <v>18</v>
      </c>
      <c r="B4382" t="s">
        <v>13054</v>
      </c>
      <c r="C4382" t="s">
        <v>13056</v>
      </c>
      <c r="D4382" t="s">
        <v>20</v>
      </c>
      <c r="E4382" t="s">
        <v>11</v>
      </c>
      <c r="F4382">
        <v>50913.719999999994</v>
      </c>
      <c r="G4382">
        <v>18</v>
      </c>
      <c r="L4382" t="s">
        <v>13057</v>
      </c>
      <c r="O4382" t="s">
        <v>13058</v>
      </c>
    </row>
    <row r="4383" spans="1:15" x14ac:dyDescent="0.25">
      <c r="A4383" t="s">
        <v>18</v>
      </c>
      <c r="B4383" t="s">
        <v>13057</v>
      </c>
      <c r="C4383" t="s">
        <v>13059</v>
      </c>
      <c r="D4383" t="s">
        <v>20</v>
      </c>
      <c r="E4383" t="s">
        <v>11</v>
      </c>
      <c r="F4383">
        <v>12924.252</v>
      </c>
      <c r="G4383">
        <v>18</v>
      </c>
      <c r="L4383" t="s">
        <v>13060</v>
      </c>
      <c r="O4383" t="s">
        <v>13061</v>
      </c>
    </row>
    <row r="4384" spans="1:15" x14ac:dyDescent="0.25">
      <c r="A4384" t="s">
        <v>18</v>
      </c>
      <c r="B4384" t="s">
        <v>13060</v>
      </c>
      <c r="C4384" t="s">
        <v>13062</v>
      </c>
      <c r="D4384" t="s">
        <v>20</v>
      </c>
      <c r="E4384" t="s">
        <v>11</v>
      </c>
      <c r="F4384">
        <v>15926.856</v>
      </c>
      <c r="G4384">
        <v>18</v>
      </c>
      <c r="L4384" t="s">
        <v>13063</v>
      </c>
      <c r="O4384" t="s">
        <v>13064</v>
      </c>
    </row>
    <row r="4385" spans="1:15" x14ac:dyDescent="0.25">
      <c r="A4385" t="s">
        <v>18</v>
      </c>
      <c r="B4385" t="s">
        <v>13063</v>
      </c>
      <c r="C4385" t="s">
        <v>13065</v>
      </c>
      <c r="D4385" t="s">
        <v>20</v>
      </c>
      <c r="E4385" t="s">
        <v>11</v>
      </c>
      <c r="F4385">
        <v>48955.5</v>
      </c>
      <c r="G4385">
        <v>18</v>
      </c>
      <c r="L4385" t="s">
        <v>13066</v>
      </c>
      <c r="O4385" t="s">
        <v>13067</v>
      </c>
    </row>
    <row r="4386" spans="1:15" x14ac:dyDescent="0.25">
      <c r="A4386" t="s">
        <v>18</v>
      </c>
      <c r="B4386" t="s">
        <v>13066</v>
      </c>
      <c r="C4386" t="s">
        <v>13068</v>
      </c>
      <c r="D4386" t="s">
        <v>20</v>
      </c>
      <c r="E4386" t="s">
        <v>11</v>
      </c>
      <c r="F4386">
        <v>50783.172</v>
      </c>
      <c r="G4386">
        <v>18</v>
      </c>
      <c r="L4386" t="s">
        <v>13069</v>
      </c>
      <c r="O4386" t="s">
        <v>13070</v>
      </c>
    </row>
    <row r="4387" spans="1:15" x14ac:dyDescent="0.25">
      <c r="A4387" t="s">
        <v>18</v>
      </c>
      <c r="B4387" t="s">
        <v>13069</v>
      </c>
      <c r="C4387" t="s">
        <v>13071</v>
      </c>
      <c r="D4387" t="s">
        <v>20</v>
      </c>
      <c r="E4387" t="s">
        <v>11</v>
      </c>
      <c r="F4387">
        <v>58485.504</v>
      </c>
      <c r="G4387">
        <v>18</v>
      </c>
      <c r="L4387" t="s">
        <v>13072</v>
      </c>
      <c r="O4387" t="s">
        <v>13073</v>
      </c>
    </row>
    <row r="4388" spans="1:15" x14ac:dyDescent="0.25">
      <c r="A4388" t="s">
        <v>18</v>
      </c>
      <c r="B4388" t="s">
        <v>13072</v>
      </c>
      <c r="C4388" t="s">
        <v>13074</v>
      </c>
      <c r="D4388" t="s">
        <v>20</v>
      </c>
      <c r="E4388" t="s">
        <v>11</v>
      </c>
      <c r="F4388">
        <v>60378.45</v>
      </c>
      <c r="G4388">
        <v>18</v>
      </c>
      <c r="L4388" t="s">
        <v>13075</v>
      </c>
      <c r="O4388" t="s">
        <v>13076</v>
      </c>
    </row>
    <row r="4389" spans="1:15" x14ac:dyDescent="0.25">
      <c r="A4389" t="s">
        <v>18</v>
      </c>
      <c r="B4389" t="s">
        <v>13075</v>
      </c>
      <c r="C4389" t="s">
        <v>13077</v>
      </c>
      <c r="D4389" t="s">
        <v>20</v>
      </c>
      <c r="E4389" t="s">
        <v>11</v>
      </c>
      <c r="F4389">
        <v>66514.206</v>
      </c>
      <c r="G4389">
        <v>18</v>
      </c>
      <c r="L4389" t="s">
        <v>13078</v>
      </c>
      <c r="O4389" t="s">
        <v>13079</v>
      </c>
    </row>
    <row r="4390" spans="1:15" x14ac:dyDescent="0.25">
      <c r="A4390" t="s">
        <v>18</v>
      </c>
      <c r="B4390" t="s">
        <v>13078</v>
      </c>
      <c r="C4390" t="s">
        <v>13080</v>
      </c>
      <c r="D4390" t="s">
        <v>20</v>
      </c>
      <c r="E4390" t="s">
        <v>11</v>
      </c>
      <c r="F4390">
        <v>68341.878</v>
      </c>
      <c r="G4390">
        <v>18</v>
      </c>
      <c r="L4390" t="s">
        <v>13081</v>
      </c>
      <c r="O4390" t="s">
        <v>13082</v>
      </c>
    </row>
    <row r="4391" spans="1:15" x14ac:dyDescent="0.25">
      <c r="A4391" t="s">
        <v>18</v>
      </c>
      <c r="B4391" t="s">
        <v>13081</v>
      </c>
      <c r="C4391" t="s">
        <v>13083</v>
      </c>
      <c r="D4391" t="s">
        <v>20</v>
      </c>
      <c r="E4391" t="s">
        <v>11</v>
      </c>
      <c r="F4391">
        <v>87532.43399999998</v>
      </c>
      <c r="G4391">
        <v>18</v>
      </c>
      <c r="L4391" t="s">
        <v>13084</v>
      </c>
      <c r="O4391" t="s">
        <v>13085</v>
      </c>
    </row>
    <row r="4392" spans="1:15" x14ac:dyDescent="0.25">
      <c r="A4392" t="s">
        <v>18</v>
      </c>
      <c r="B4392" t="s">
        <v>13084</v>
      </c>
      <c r="C4392" t="s">
        <v>13086</v>
      </c>
      <c r="D4392" t="s">
        <v>20</v>
      </c>
      <c r="E4392" t="s">
        <v>11</v>
      </c>
      <c r="F4392">
        <v>89425.38</v>
      </c>
      <c r="G4392">
        <v>18</v>
      </c>
      <c r="L4392" t="s">
        <v>13087</v>
      </c>
      <c r="O4392" t="s">
        <v>13088</v>
      </c>
    </row>
    <row r="4393" spans="1:15" x14ac:dyDescent="0.25">
      <c r="A4393" t="s">
        <v>18</v>
      </c>
      <c r="B4393" t="s">
        <v>13087</v>
      </c>
      <c r="C4393" t="s">
        <v>13089</v>
      </c>
      <c r="D4393" t="s">
        <v>20</v>
      </c>
      <c r="E4393" t="s">
        <v>11</v>
      </c>
      <c r="F4393">
        <v>112271.28</v>
      </c>
      <c r="G4393">
        <v>18</v>
      </c>
      <c r="L4393" t="s">
        <v>13090</v>
      </c>
      <c r="O4393" t="s">
        <v>13091</v>
      </c>
    </row>
    <row r="4394" spans="1:15" x14ac:dyDescent="0.25">
      <c r="A4394" t="s">
        <v>18</v>
      </c>
      <c r="B4394" t="s">
        <v>13090</v>
      </c>
      <c r="C4394" t="s">
        <v>13092</v>
      </c>
      <c r="D4394" t="s">
        <v>20</v>
      </c>
      <c r="E4394" t="s">
        <v>11</v>
      </c>
      <c r="F4394">
        <v>114360.048</v>
      </c>
      <c r="G4394">
        <v>18</v>
      </c>
      <c r="L4394" t="s">
        <v>13093</v>
      </c>
      <c r="O4394" t="s">
        <v>13094</v>
      </c>
    </row>
    <row r="4395" spans="1:15" x14ac:dyDescent="0.25">
      <c r="A4395" t="s">
        <v>18</v>
      </c>
      <c r="B4395" t="s">
        <v>13093</v>
      </c>
      <c r="C4395" t="s">
        <v>13095</v>
      </c>
      <c r="D4395" t="s">
        <v>20</v>
      </c>
      <c r="E4395" t="s">
        <v>11</v>
      </c>
      <c r="F4395">
        <v>124803.888</v>
      </c>
      <c r="G4395">
        <v>18</v>
      </c>
      <c r="L4395" t="s">
        <v>13096</v>
      </c>
      <c r="O4395" t="s">
        <v>13097</v>
      </c>
    </row>
    <row r="4396" spans="1:15" x14ac:dyDescent="0.25">
      <c r="A4396" t="s">
        <v>18</v>
      </c>
      <c r="B4396" t="s">
        <v>13096</v>
      </c>
      <c r="C4396" t="s">
        <v>13098</v>
      </c>
      <c r="D4396" t="s">
        <v>20</v>
      </c>
      <c r="E4396" t="s">
        <v>11</v>
      </c>
      <c r="F4396">
        <v>126892.65599999999</v>
      </c>
      <c r="G4396">
        <v>18</v>
      </c>
      <c r="L4396" t="s">
        <v>13099</v>
      </c>
      <c r="O4396" t="s">
        <v>13100</v>
      </c>
    </row>
    <row r="4397" spans="1:15" x14ac:dyDescent="0.25">
      <c r="A4397" t="s">
        <v>18</v>
      </c>
      <c r="B4397" t="s">
        <v>13099</v>
      </c>
      <c r="C4397" t="s">
        <v>13101</v>
      </c>
      <c r="D4397" t="s">
        <v>20</v>
      </c>
      <c r="E4397" t="s">
        <v>11</v>
      </c>
      <c r="F4397">
        <v>52349.74799999999</v>
      </c>
      <c r="G4397">
        <v>18</v>
      </c>
      <c r="L4397" t="s">
        <v>13102</v>
      </c>
      <c r="O4397" t="s">
        <v>13103</v>
      </c>
    </row>
    <row r="4398" spans="1:15" x14ac:dyDescent="0.25">
      <c r="A4398" t="s">
        <v>18</v>
      </c>
      <c r="B4398" t="s">
        <v>13102</v>
      </c>
      <c r="C4398" t="s">
        <v>13104</v>
      </c>
      <c r="D4398" t="s">
        <v>20</v>
      </c>
      <c r="E4398" t="s">
        <v>11</v>
      </c>
      <c r="F4398">
        <v>53655.227999999996</v>
      </c>
      <c r="G4398">
        <v>18</v>
      </c>
      <c r="L4398" t="s">
        <v>13105</v>
      </c>
      <c r="O4398" t="s">
        <v>13106</v>
      </c>
    </row>
    <row r="4399" spans="1:15" x14ac:dyDescent="0.25">
      <c r="A4399" t="s">
        <v>18</v>
      </c>
      <c r="B4399" t="s">
        <v>13105</v>
      </c>
      <c r="C4399" t="s">
        <v>13107</v>
      </c>
      <c r="D4399" t="s">
        <v>20</v>
      </c>
      <c r="E4399" t="s">
        <v>11</v>
      </c>
      <c r="F4399">
        <v>56527.28399999999</v>
      </c>
      <c r="G4399">
        <v>18</v>
      </c>
      <c r="L4399" t="s">
        <v>13108</v>
      </c>
      <c r="O4399" t="s">
        <v>13109</v>
      </c>
    </row>
    <row r="4400" spans="1:15" x14ac:dyDescent="0.25">
      <c r="A4400" t="s">
        <v>18</v>
      </c>
      <c r="B4400" t="s">
        <v>13108</v>
      </c>
      <c r="C4400" t="s">
        <v>13110</v>
      </c>
      <c r="D4400" t="s">
        <v>20</v>
      </c>
      <c r="E4400" t="s">
        <v>11</v>
      </c>
      <c r="F4400">
        <v>57832.763999999996</v>
      </c>
      <c r="G4400">
        <v>18</v>
      </c>
      <c r="L4400" t="s">
        <v>13111</v>
      </c>
      <c r="O4400" t="s">
        <v>13112</v>
      </c>
    </row>
    <row r="4401" spans="1:15" x14ac:dyDescent="0.25">
      <c r="A4401" t="s">
        <v>18</v>
      </c>
      <c r="B4401" t="s">
        <v>13111</v>
      </c>
      <c r="C4401" t="s">
        <v>13113</v>
      </c>
      <c r="D4401" t="s">
        <v>20</v>
      </c>
      <c r="E4401" t="s">
        <v>11</v>
      </c>
      <c r="F4401">
        <v>63576.876000000004</v>
      </c>
      <c r="G4401">
        <v>18</v>
      </c>
      <c r="L4401" t="s">
        <v>13114</v>
      </c>
      <c r="O4401" t="s">
        <v>13115</v>
      </c>
    </row>
    <row r="4402" spans="1:15" x14ac:dyDescent="0.25">
      <c r="A4402" t="s">
        <v>18</v>
      </c>
      <c r="B4402" t="s">
        <v>13114</v>
      </c>
      <c r="C4402" t="s">
        <v>13116</v>
      </c>
      <c r="D4402" t="s">
        <v>20</v>
      </c>
      <c r="E4402" t="s">
        <v>11</v>
      </c>
      <c r="F4402">
        <v>65143.45199999999</v>
      </c>
      <c r="G4402">
        <v>18</v>
      </c>
      <c r="L4402" t="s">
        <v>13117</v>
      </c>
      <c r="O4402" t="s">
        <v>13118</v>
      </c>
    </row>
    <row r="4403" spans="1:15" x14ac:dyDescent="0.25">
      <c r="A4403" t="s">
        <v>18</v>
      </c>
      <c r="B4403" t="s">
        <v>13117</v>
      </c>
      <c r="C4403" t="s">
        <v>13119</v>
      </c>
      <c r="D4403" t="s">
        <v>20</v>
      </c>
      <c r="E4403" t="s">
        <v>11</v>
      </c>
      <c r="F4403">
        <v>92819.628</v>
      </c>
      <c r="G4403">
        <v>18</v>
      </c>
      <c r="L4403" t="s">
        <v>13120</v>
      </c>
      <c r="O4403" t="s">
        <v>13121</v>
      </c>
    </row>
    <row r="4404" spans="1:15" x14ac:dyDescent="0.25">
      <c r="A4404" t="s">
        <v>18</v>
      </c>
      <c r="B4404" t="s">
        <v>13120</v>
      </c>
      <c r="C4404" t="s">
        <v>13122</v>
      </c>
      <c r="D4404" t="s">
        <v>20</v>
      </c>
      <c r="E4404" t="s">
        <v>11</v>
      </c>
      <c r="F4404">
        <v>94582.02599999998</v>
      </c>
      <c r="G4404">
        <v>18</v>
      </c>
      <c r="L4404" t="s">
        <v>13123</v>
      </c>
      <c r="O4404" t="s">
        <v>13124</v>
      </c>
    </row>
    <row r="4405" spans="1:15" x14ac:dyDescent="0.25">
      <c r="A4405" t="s">
        <v>18</v>
      </c>
      <c r="B4405" t="s">
        <v>13123</v>
      </c>
      <c r="C4405" t="s">
        <v>13125</v>
      </c>
      <c r="D4405" t="s">
        <v>20</v>
      </c>
      <c r="E4405" t="s">
        <v>11</v>
      </c>
      <c r="F4405">
        <v>107767.374</v>
      </c>
      <c r="G4405">
        <v>18</v>
      </c>
      <c r="L4405" t="s">
        <v>13126</v>
      </c>
      <c r="O4405" t="s">
        <v>13127</v>
      </c>
    </row>
    <row r="4406" spans="1:15" x14ac:dyDescent="0.25">
      <c r="A4406" t="s">
        <v>18</v>
      </c>
      <c r="B4406" t="s">
        <v>13126</v>
      </c>
      <c r="C4406" t="s">
        <v>13128</v>
      </c>
      <c r="D4406" t="s">
        <v>20</v>
      </c>
      <c r="E4406" t="s">
        <v>11</v>
      </c>
      <c r="F4406">
        <v>109725.594</v>
      </c>
      <c r="G4406">
        <v>18</v>
      </c>
      <c r="L4406" t="s">
        <v>13129</v>
      </c>
      <c r="O4406" t="s">
        <v>13130</v>
      </c>
    </row>
    <row r="4407" spans="1:15" x14ac:dyDescent="0.25">
      <c r="A4407" t="s">
        <v>18</v>
      </c>
      <c r="B4407" t="s">
        <v>13129</v>
      </c>
      <c r="C4407" t="s">
        <v>13131</v>
      </c>
      <c r="D4407" t="s">
        <v>20</v>
      </c>
      <c r="E4407" t="s">
        <v>11</v>
      </c>
      <c r="F4407">
        <v>119647.242</v>
      </c>
      <c r="G4407">
        <v>18</v>
      </c>
      <c r="L4407" t="s">
        <v>13132</v>
      </c>
      <c r="O4407" t="s">
        <v>13133</v>
      </c>
    </row>
    <row r="4408" spans="1:15" x14ac:dyDescent="0.25">
      <c r="A4408" t="s">
        <v>18</v>
      </c>
      <c r="B4408" t="s">
        <v>13132</v>
      </c>
      <c r="C4408" t="s">
        <v>13134</v>
      </c>
      <c r="D4408" t="s">
        <v>20</v>
      </c>
      <c r="E4408" t="s">
        <v>11</v>
      </c>
      <c r="F4408">
        <v>121736.01000000001</v>
      </c>
      <c r="G4408">
        <v>18</v>
      </c>
      <c r="L4408" t="s">
        <v>13135</v>
      </c>
      <c r="O4408" t="s">
        <v>13136</v>
      </c>
    </row>
    <row r="4409" spans="1:15" x14ac:dyDescent="0.25">
      <c r="A4409" t="s">
        <v>18</v>
      </c>
      <c r="B4409" t="s">
        <v>13135</v>
      </c>
      <c r="C4409" t="s">
        <v>13137</v>
      </c>
      <c r="D4409" t="s">
        <v>20</v>
      </c>
      <c r="E4409" t="s">
        <v>11</v>
      </c>
      <c r="F4409">
        <v>49804.062</v>
      </c>
      <c r="G4409">
        <v>18</v>
      </c>
      <c r="L4409" t="s">
        <v>13138</v>
      </c>
      <c r="O4409" t="s">
        <v>13139</v>
      </c>
    </row>
    <row r="4410" spans="1:15" x14ac:dyDescent="0.25">
      <c r="A4410" t="s">
        <v>18</v>
      </c>
      <c r="B4410" t="s">
        <v>13138</v>
      </c>
      <c r="C4410" t="s">
        <v>13140</v>
      </c>
      <c r="D4410" t="s">
        <v>20</v>
      </c>
      <c r="E4410" t="s">
        <v>11</v>
      </c>
      <c r="F4410">
        <v>51109.541999999994</v>
      </c>
      <c r="G4410">
        <v>18</v>
      </c>
      <c r="L4410" t="s">
        <v>13141</v>
      </c>
      <c r="O4410" t="s">
        <v>13142</v>
      </c>
    </row>
    <row r="4411" spans="1:15" x14ac:dyDescent="0.25">
      <c r="A4411" t="s">
        <v>18</v>
      </c>
      <c r="B4411" t="s">
        <v>13141</v>
      </c>
      <c r="C4411" t="s">
        <v>13143</v>
      </c>
      <c r="D4411" t="s">
        <v>20</v>
      </c>
      <c r="E4411" t="s">
        <v>11</v>
      </c>
      <c r="F4411">
        <v>58289.68199999999</v>
      </c>
      <c r="G4411">
        <v>18</v>
      </c>
      <c r="L4411" t="s">
        <v>13144</v>
      </c>
      <c r="O4411" t="s">
        <v>13145</v>
      </c>
    </row>
    <row r="4412" spans="1:15" x14ac:dyDescent="0.25">
      <c r="A4412" t="s">
        <v>18</v>
      </c>
      <c r="B4412" t="s">
        <v>13144</v>
      </c>
      <c r="C4412" t="s">
        <v>13146</v>
      </c>
      <c r="D4412" t="s">
        <v>20</v>
      </c>
      <c r="E4412" t="s">
        <v>11</v>
      </c>
      <c r="F4412">
        <v>59790.984</v>
      </c>
      <c r="G4412">
        <v>18</v>
      </c>
      <c r="L4412" t="s">
        <v>13147</v>
      </c>
      <c r="O4412" t="s">
        <v>13148</v>
      </c>
    </row>
    <row r="4413" spans="1:15" x14ac:dyDescent="0.25">
      <c r="A4413" t="s">
        <v>18</v>
      </c>
      <c r="B4413" t="s">
        <v>13147</v>
      </c>
      <c r="C4413" t="s">
        <v>13149</v>
      </c>
      <c r="D4413" t="s">
        <v>20</v>
      </c>
      <c r="E4413" t="s">
        <v>11</v>
      </c>
      <c r="F4413">
        <v>64751.808</v>
      </c>
      <c r="G4413">
        <v>18</v>
      </c>
      <c r="L4413" t="s">
        <v>13150</v>
      </c>
      <c r="O4413" t="s">
        <v>13151</v>
      </c>
    </row>
    <row r="4414" spans="1:15" x14ac:dyDescent="0.25">
      <c r="A4414" t="s">
        <v>18</v>
      </c>
      <c r="B4414" t="s">
        <v>13150</v>
      </c>
      <c r="C4414" t="s">
        <v>13152</v>
      </c>
      <c r="D4414" t="s">
        <v>20</v>
      </c>
      <c r="E4414" t="s">
        <v>11</v>
      </c>
      <c r="F4414">
        <v>66187.83600000001</v>
      </c>
      <c r="G4414">
        <v>18</v>
      </c>
      <c r="L4414" t="s">
        <v>13153</v>
      </c>
      <c r="O4414" t="s">
        <v>13154</v>
      </c>
    </row>
    <row r="4415" spans="1:15" x14ac:dyDescent="0.25">
      <c r="A4415" t="s">
        <v>18</v>
      </c>
      <c r="B4415" t="s">
        <v>13153</v>
      </c>
      <c r="C4415" t="s">
        <v>13155</v>
      </c>
      <c r="D4415" t="s">
        <v>20</v>
      </c>
      <c r="E4415" t="s">
        <v>11</v>
      </c>
      <c r="F4415">
        <v>87206.06399999998</v>
      </c>
      <c r="G4415">
        <v>18</v>
      </c>
      <c r="L4415" t="s">
        <v>13156</v>
      </c>
      <c r="O4415" t="s">
        <v>13157</v>
      </c>
    </row>
    <row r="4416" spans="1:15" x14ac:dyDescent="0.25">
      <c r="A4416" t="s">
        <v>18</v>
      </c>
      <c r="B4416" t="s">
        <v>13156</v>
      </c>
      <c r="C4416" t="s">
        <v>13158</v>
      </c>
      <c r="D4416" t="s">
        <v>20</v>
      </c>
      <c r="E4416" t="s">
        <v>11</v>
      </c>
      <c r="F4416">
        <v>88903.188</v>
      </c>
      <c r="G4416">
        <v>18</v>
      </c>
      <c r="L4416" t="s">
        <v>13159</v>
      </c>
      <c r="O4416" t="s">
        <v>13160</v>
      </c>
    </row>
    <row r="4417" spans="1:15" x14ac:dyDescent="0.25">
      <c r="A4417" t="s">
        <v>18</v>
      </c>
      <c r="B4417" t="s">
        <v>13159</v>
      </c>
      <c r="C4417" t="s">
        <v>13161</v>
      </c>
      <c r="D4417" t="s">
        <v>20</v>
      </c>
      <c r="E4417" t="s">
        <v>11</v>
      </c>
      <c r="F4417">
        <v>109921.416</v>
      </c>
      <c r="G4417">
        <v>18</v>
      </c>
      <c r="L4417" t="s">
        <v>13162</v>
      </c>
      <c r="O4417" t="s">
        <v>13163</v>
      </c>
    </row>
    <row r="4418" spans="1:15" x14ac:dyDescent="0.25">
      <c r="A4418" t="s">
        <v>18</v>
      </c>
      <c r="B4418" t="s">
        <v>13162</v>
      </c>
      <c r="C4418" t="s">
        <v>13164</v>
      </c>
      <c r="D4418" t="s">
        <v>20</v>
      </c>
      <c r="E4418" t="s">
        <v>11</v>
      </c>
      <c r="F4418">
        <v>111749.088</v>
      </c>
      <c r="G4418">
        <v>18</v>
      </c>
      <c r="L4418" t="s">
        <v>13165</v>
      </c>
      <c r="O4418" t="s">
        <v>13166</v>
      </c>
    </row>
    <row r="4419" spans="1:15" x14ac:dyDescent="0.25">
      <c r="A4419" t="s">
        <v>18</v>
      </c>
      <c r="B4419" t="s">
        <v>13165</v>
      </c>
      <c r="C4419" t="s">
        <v>13167</v>
      </c>
      <c r="D4419" t="s">
        <v>20</v>
      </c>
      <c r="E4419" t="s">
        <v>11</v>
      </c>
      <c r="F4419">
        <v>121997.106</v>
      </c>
      <c r="G4419">
        <v>18</v>
      </c>
      <c r="L4419" t="s">
        <v>13168</v>
      </c>
      <c r="O4419" t="s">
        <v>13169</v>
      </c>
    </row>
    <row r="4420" spans="1:15" x14ac:dyDescent="0.25">
      <c r="A4420" t="s">
        <v>18</v>
      </c>
      <c r="B4420" t="s">
        <v>13168</v>
      </c>
      <c r="C4420" t="s">
        <v>13170</v>
      </c>
      <c r="D4420" t="s">
        <v>20</v>
      </c>
      <c r="E4420" t="s">
        <v>11</v>
      </c>
      <c r="F4420">
        <v>124085.874</v>
      </c>
      <c r="G4420">
        <v>18</v>
      </c>
      <c r="L4420" t="s">
        <v>13171</v>
      </c>
      <c r="O4420" t="s">
        <v>13172</v>
      </c>
    </row>
    <row r="4421" spans="1:15" x14ac:dyDescent="0.25">
      <c r="A4421" t="s">
        <v>18</v>
      </c>
      <c r="B4421" t="s">
        <v>13171</v>
      </c>
      <c r="C4421" t="s">
        <v>13173</v>
      </c>
      <c r="D4421" t="s">
        <v>20</v>
      </c>
      <c r="E4421" t="s">
        <v>11</v>
      </c>
      <c r="F4421">
        <v>49151.322</v>
      </c>
      <c r="G4421">
        <v>18</v>
      </c>
      <c r="L4421" t="s">
        <v>13174</v>
      </c>
      <c r="O4421" t="s">
        <v>13175</v>
      </c>
    </row>
    <row r="4422" spans="1:15" x14ac:dyDescent="0.25">
      <c r="A4422" t="s">
        <v>18</v>
      </c>
      <c r="B4422" t="s">
        <v>13174</v>
      </c>
      <c r="C4422" t="s">
        <v>13176</v>
      </c>
      <c r="D4422" t="s">
        <v>20</v>
      </c>
      <c r="E4422" t="s">
        <v>11</v>
      </c>
      <c r="F4422">
        <v>50587.35</v>
      </c>
      <c r="G4422">
        <v>18</v>
      </c>
      <c r="L4422" t="s">
        <v>13177</v>
      </c>
      <c r="O4422" t="s">
        <v>13178</v>
      </c>
    </row>
    <row r="4423" spans="1:15" x14ac:dyDescent="0.25">
      <c r="A4423" t="s">
        <v>18</v>
      </c>
      <c r="B4423" t="s">
        <v>13177</v>
      </c>
      <c r="C4423" t="s">
        <v>13179</v>
      </c>
      <c r="D4423" t="s">
        <v>20</v>
      </c>
      <c r="E4423" t="s">
        <v>11</v>
      </c>
      <c r="F4423">
        <v>57375.846000000005</v>
      </c>
      <c r="G4423">
        <v>18</v>
      </c>
      <c r="L4423" t="s">
        <v>13180</v>
      </c>
      <c r="O4423" t="s">
        <v>13181</v>
      </c>
    </row>
    <row r="4424" spans="1:15" x14ac:dyDescent="0.25">
      <c r="A4424" t="s">
        <v>18</v>
      </c>
      <c r="B4424" t="s">
        <v>13180</v>
      </c>
      <c r="C4424" t="s">
        <v>13182</v>
      </c>
      <c r="D4424" t="s">
        <v>20</v>
      </c>
      <c r="E4424" t="s">
        <v>11</v>
      </c>
      <c r="F4424">
        <v>58681.326</v>
      </c>
      <c r="G4424">
        <v>18</v>
      </c>
      <c r="L4424" t="s">
        <v>13183</v>
      </c>
      <c r="O4424" t="s">
        <v>13184</v>
      </c>
    </row>
    <row r="4425" spans="1:15" x14ac:dyDescent="0.25">
      <c r="A4425" t="s">
        <v>18</v>
      </c>
      <c r="B4425" t="s">
        <v>13183</v>
      </c>
      <c r="C4425" t="s">
        <v>13185</v>
      </c>
      <c r="D4425" t="s">
        <v>20</v>
      </c>
      <c r="E4425" t="s">
        <v>11</v>
      </c>
      <c r="F4425">
        <v>83877.09</v>
      </c>
      <c r="G4425">
        <v>18</v>
      </c>
      <c r="L4425" t="s">
        <v>13186</v>
      </c>
      <c r="O4425" t="s">
        <v>13187</v>
      </c>
    </row>
    <row r="4426" spans="1:15" x14ac:dyDescent="0.25">
      <c r="A4426" t="s">
        <v>18</v>
      </c>
      <c r="B4426" t="s">
        <v>13186</v>
      </c>
      <c r="C4426" t="s">
        <v>13188</v>
      </c>
      <c r="D4426" t="s">
        <v>20</v>
      </c>
      <c r="E4426" t="s">
        <v>11</v>
      </c>
      <c r="F4426">
        <v>84529.83</v>
      </c>
      <c r="G4426">
        <v>18</v>
      </c>
      <c r="L4426" t="s">
        <v>13189</v>
      </c>
      <c r="O4426" t="s">
        <v>13190</v>
      </c>
    </row>
    <row r="4427" spans="1:15" x14ac:dyDescent="0.25">
      <c r="A4427" t="s">
        <v>18</v>
      </c>
      <c r="B4427" t="s">
        <v>13189</v>
      </c>
      <c r="C4427" t="s">
        <v>13191</v>
      </c>
      <c r="D4427" t="s">
        <v>20</v>
      </c>
      <c r="E4427" t="s">
        <v>11</v>
      </c>
      <c r="F4427">
        <v>86096.40599999999</v>
      </c>
      <c r="G4427">
        <v>18</v>
      </c>
      <c r="L4427" t="s">
        <v>13192</v>
      </c>
      <c r="O4427" t="s">
        <v>13193</v>
      </c>
    </row>
    <row r="4428" spans="1:15" x14ac:dyDescent="0.25">
      <c r="A4428" t="s">
        <v>18</v>
      </c>
      <c r="B4428" t="s">
        <v>13192</v>
      </c>
      <c r="C4428" t="s">
        <v>13191</v>
      </c>
      <c r="D4428" t="s">
        <v>20</v>
      </c>
      <c r="E4428" t="s">
        <v>11</v>
      </c>
      <c r="F4428">
        <v>87793.53</v>
      </c>
      <c r="G4428">
        <v>18</v>
      </c>
      <c r="L4428" t="s">
        <v>13194</v>
      </c>
      <c r="O4428" t="s">
        <v>13195</v>
      </c>
    </row>
    <row r="4429" spans="1:15" x14ac:dyDescent="0.25">
      <c r="A4429" t="s">
        <v>18</v>
      </c>
      <c r="B4429" t="s">
        <v>13194</v>
      </c>
      <c r="C4429" t="s">
        <v>13196</v>
      </c>
      <c r="D4429" t="s">
        <v>20</v>
      </c>
      <c r="E4429" t="s">
        <v>11</v>
      </c>
      <c r="F4429">
        <v>109529.772</v>
      </c>
      <c r="G4429">
        <v>18</v>
      </c>
      <c r="L4429" t="s">
        <v>13197</v>
      </c>
      <c r="O4429" t="s">
        <v>13198</v>
      </c>
    </row>
    <row r="4430" spans="1:15" x14ac:dyDescent="0.25">
      <c r="A4430" t="s">
        <v>18</v>
      </c>
      <c r="B4430" t="s">
        <v>13197</v>
      </c>
      <c r="C4430" t="s">
        <v>13196</v>
      </c>
      <c r="D4430" t="s">
        <v>20</v>
      </c>
      <c r="E4430" t="s">
        <v>11</v>
      </c>
      <c r="F4430">
        <v>111357.44399999999</v>
      </c>
      <c r="G4430">
        <v>18</v>
      </c>
      <c r="L4430" t="s">
        <v>13199</v>
      </c>
      <c r="O4430" t="s">
        <v>13200</v>
      </c>
    </row>
    <row r="4431" spans="1:15" x14ac:dyDescent="0.25">
      <c r="A4431" t="s">
        <v>18</v>
      </c>
      <c r="B4431" t="s">
        <v>13199</v>
      </c>
      <c r="C4431" t="s">
        <v>13201</v>
      </c>
      <c r="D4431" t="s">
        <v>20</v>
      </c>
      <c r="E4431" t="s">
        <v>11</v>
      </c>
      <c r="F4431">
        <v>121540.188</v>
      </c>
      <c r="G4431">
        <v>18</v>
      </c>
      <c r="L4431" t="s">
        <v>13202</v>
      </c>
      <c r="O4431" t="s">
        <v>13203</v>
      </c>
    </row>
    <row r="4432" spans="1:15" x14ac:dyDescent="0.25">
      <c r="A4432" t="s">
        <v>18</v>
      </c>
      <c r="B4432" t="s">
        <v>13202</v>
      </c>
      <c r="C4432" t="s">
        <v>13201</v>
      </c>
      <c r="D4432" t="s">
        <v>20</v>
      </c>
      <c r="E4432" t="s">
        <v>11</v>
      </c>
      <c r="F4432">
        <v>123498.408</v>
      </c>
      <c r="G4432">
        <v>18</v>
      </c>
      <c r="L4432" t="s">
        <v>13204</v>
      </c>
      <c r="O4432" t="s">
        <v>13205</v>
      </c>
    </row>
    <row r="4433" spans="1:15" x14ac:dyDescent="0.25">
      <c r="A4433" t="s">
        <v>18</v>
      </c>
      <c r="B4433" t="s">
        <v>13204</v>
      </c>
      <c r="C4433" t="s">
        <v>13206</v>
      </c>
      <c r="D4433" t="s">
        <v>20</v>
      </c>
      <c r="E4433" t="s">
        <v>11</v>
      </c>
      <c r="F4433">
        <v>104112.03</v>
      </c>
      <c r="G4433">
        <v>18</v>
      </c>
      <c r="L4433" t="s">
        <v>13207</v>
      </c>
      <c r="O4433" t="s">
        <v>13208</v>
      </c>
    </row>
    <row r="4434" spans="1:15" x14ac:dyDescent="0.25">
      <c r="A4434" t="s">
        <v>18</v>
      </c>
      <c r="B4434" t="s">
        <v>13207</v>
      </c>
      <c r="C4434" t="s">
        <v>13209</v>
      </c>
      <c r="D4434" t="s">
        <v>20</v>
      </c>
      <c r="E4434" t="s">
        <v>11</v>
      </c>
      <c r="F4434">
        <v>105025.866</v>
      </c>
      <c r="G4434">
        <v>18</v>
      </c>
      <c r="L4434" t="s">
        <v>13210</v>
      </c>
      <c r="O4434" t="s">
        <v>13211</v>
      </c>
    </row>
    <row r="4435" spans="1:15" x14ac:dyDescent="0.25">
      <c r="A4435" t="s">
        <v>18</v>
      </c>
      <c r="B4435" t="s">
        <v>13210</v>
      </c>
      <c r="C4435" t="s">
        <v>13212</v>
      </c>
      <c r="D4435" t="s">
        <v>20</v>
      </c>
      <c r="E4435" t="s">
        <v>11</v>
      </c>
      <c r="F4435">
        <v>112924.01999999999</v>
      </c>
      <c r="G4435">
        <v>18</v>
      </c>
      <c r="L4435" t="s">
        <v>13213</v>
      </c>
      <c r="O4435" t="s">
        <v>13214</v>
      </c>
    </row>
    <row r="4436" spans="1:15" x14ac:dyDescent="0.25">
      <c r="A4436" t="s">
        <v>18</v>
      </c>
      <c r="B4436" t="s">
        <v>13213</v>
      </c>
      <c r="C4436" t="s">
        <v>13215</v>
      </c>
      <c r="D4436" t="s">
        <v>20</v>
      </c>
      <c r="E4436" t="s">
        <v>11</v>
      </c>
      <c r="F4436">
        <v>114033.678</v>
      </c>
      <c r="G4436">
        <v>18</v>
      </c>
      <c r="L4436" t="s">
        <v>13216</v>
      </c>
      <c r="O4436" t="s">
        <v>13217</v>
      </c>
    </row>
    <row r="4437" spans="1:15" x14ac:dyDescent="0.25">
      <c r="A4437" t="s">
        <v>18</v>
      </c>
      <c r="B4437" t="s">
        <v>13216</v>
      </c>
      <c r="C4437" t="s">
        <v>13218</v>
      </c>
      <c r="D4437" t="s">
        <v>20</v>
      </c>
      <c r="E4437" t="s">
        <v>11</v>
      </c>
      <c r="F4437">
        <v>124869.162</v>
      </c>
      <c r="G4437">
        <v>18</v>
      </c>
      <c r="L4437" t="s">
        <v>13219</v>
      </c>
      <c r="O4437" t="s">
        <v>13220</v>
      </c>
    </row>
    <row r="4438" spans="1:15" x14ac:dyDescent="0.25">
      <c r="A4438" t="s">
        <v>18</v>
      </c>
      <c r="B4438" t="s">
        <v>13219</v>
      </c>
      <c r="C4438" t="s">
        <v>13221</v>
      </c>
      <c r="D4438" t="s">
        <v>20</v>
      </c>
      <c r="E4438" t="s">
        <v>11</v>
      </c>
      <c r="F4438">
        <v>125913.54599999999</v>
      </c>
      <c r="G4438">
        <v>18</v>
      </c>
      <c r="L4438" t="s">
        <v>13222</v>
      </c>
      <c r="O4438" t="s">
        <v>13223</v>
      </c>
    </row>
    <row r="4439" spans="1:15" x14ac:dyDescent="0.25">
      <c r="A4439" t="s">
        <v>18</v>
      </c>
      <c r="B4439" t="s">
        <v>13222</v>
      </c>
      <c r="C4439" t="s">
        <v>13224</v>
      </c>
      <c r="D4439" t="s">
        <v>20</v>
      </c>
      <c r="E4439" t="s">
        <v>11</v>
      </c>
      <c r="F4439">
        <v>194581.794</v>
      </c>
      <c r="G4439">
        <v>18</v>
      </c>
      <c r="L4439" t="s">
        <v>13225</v>
      </c>
      <c r="O4439" t="s">
        <v>13226</v>
      </c>
    </row>
    <row r="4440" spans="1:15" x14ac:dyDescent="0.25">
      <c r="A4440" t="s">
        <v>18</v>
      </c>
      <c r="B4440" t="s">
        <v>13225</v>
      </c>
      <c r="C4440" t="s">
        <v>13227</v>
      </c>
      <c r="D4440" t="s">
        <v>20</v>
      </c>
      <c r="E4440" t="s">
        <v>11</v>
      </c>
      <c r="F4440">
        <v>195822</v>
      </c>
      <c r="G4440">
        <v>18</v>
      </c>
      <c r="L4440" t="s">
        <v>13228</v>
      </c>
      <c r="O4440" t="s">
        <v>13229</v>
      </c>
    </row>
    <row r="4441" spans="1:15" x14ac:dyDescent="0.25">
      <c r="A4441" t="s">
        <v>18</v>
      </c>
      <c r="B4441" t="s">
        <v>13228</v>
      </c>
      <c r="C4441" t="s">
        <v>13230</v>
      </c>
      <c r="D4441" t="s">
        <v>20</v>
      </c>
      <c r="E4441" t="s">
        <v>11</v>
      </c>
      <c r="F4441">
        <v>211618.30799999996</v>
      </c>
      <c r="G4441">
        <v>18</v>
      </c>
      <c r="L4441" t="s">
        <v>13231</v>
      </c>
      <c r="O4441" t="s">
        <v>13232</v>
      </c>
    </row>
    <row r="4442" spans="1:15" x14ac:dyDescent="0.25">
      <c r="A4442" t="s">
        <v>18</v>
      </c>
      <c r="B4442" t="s">
        <v>13231</v>
      </c>
      <c r="C4442" t="s">
        <v>13233</v>
      </c>
      <c r="D4442" t="s">
        <v>20</v>
      </c>
      <c r="E4442" t="s">
        <v>11</v>
      </c>
      <c r="F4442">
        <v>212793.24</v>
      </c>
      <c r="G4442">
        <v>18</v>
      </c>
      <c r="L4442" t="s">
        <v>13234</v>
      </c>
      <c r="O4442" t="s">
        <v>13235</v>
      </c>
    </row>
    <row r="4443" spans="1:15" x14ac:dyDescent="0.25">
      <c r="A4443" t="s">
        <v>18</v>
      </c>
      <c r="B4443" t="s">
        <v>13234</v>
      </c>
      <c r="C4443" t="s">
        <v>13236</v>
      </c>
      <c r="D4443" t="s">
        <v>20</v>
      </c>
      <c r="E4443" t="s">
        <v>11</v>
      </c>
      <c r="F4443">
        <v>238968.114</v>
      </c>
      <c r="G4443">
        <v>18</v>
      </c>
      <c r="L4443" t="s">
        <v>13237</v>
      </c>
      <c r="O4443" t="s">
        <v>13238</v>
      </c>
    </row>
    <row r="4444" spans="1:15" x14ac:dyDescent="0.25">
      <c r="A4444" t="s">
        <v>18</v>
      </c>
      <c r="B4444" t="s">
        <v>13237</v>
      </c>
      <c r="C4444" t="s">
        <v>13239</v>
      </c>
      <c r="D4444" t="s">
        <v>20</v>
      </c>
      <c r="E4444" t="s">
        <v>11</v>
      </c>
      <c r="F4444">
        <v>291317.86199999996</v>
      </c>
      <c r="G4444">
        <v>18</v>
      </c>
      <c r="L4444" t="s">
        <v>13240</v>
      </c>
      <c r="O4444" t="s">
        <v>13241</v>
      </c>
    </row>
    <row r="4445" spans="1:15" x14ac:dyDescent="0.25">
      <c r="A4445" t="s">
        <v>18</v>
      </c>
      <c r="B4445" t="s">
        <v>13240</v>
      </c>
      <c r="C4445" t="s">
        <v>13242</v>
      </c>
      <c r="D4445" t="s">
        <v>20</v>
      </c>
      <c r="E4445" t="s">
        <v>11</v>
      </c>
      <c r="F4445">
        <v>95365.31399999998</v>
      </c>
      <c r="G4445">
        <v>18</v>
      </c>
      <c r="L4445" t="s">
        <v>13243</v>
      </c>
      <c r="O4445" t="s">
        <v>13244</v>
      </c>
    </row>
    <row r="4446" spans="1:15" x14ac:dyDescent="0.25">
      <c r="A4446" t="s">
        <v>18</v>
      </c>
      <c r="B4446" t="s">
        <v>13243</v>
      </c>
      <c r="C4446" t="s">
        <v>13245</v>
      </c>
      <c r="D4446" t="s">
        <v>20</v>
      </c>
      <c r="E4446" t="s">
        <v>11</v>
      </c>
      <c r="F4446">
        <v>102806.55</v>
      </c>
      <c r="G4446">
        <v>18</v>
      </c>
      <c r="L4446" t="s">
        <v>13246</v>
      </c>
      <c r="O4446" t="s">
        <v>13247</v>
      </c>
    </row>
    <row r="4447" spans="1:15" x14ac:dyDescent="0.25">
      <c r="A4447" t="s">
        <v>18</v>
      </c>
      <c r="B4447" t="s">
        <v>13246</v>
      </c>
      <c r="C4447" t="s">
        <v>13248</v>
      </c>
      <c r="D4447" t="s">
        <v>20</v>
      </c>
      <c r="E4447" t="s">
        <v>11</v>
      </c>
      <c r="F4447">
        <v>113576.76000000001</v>
      </c>
      <c r="G4447">
        <v>18</v>
      </c>
      <c r="L4447" t="s">
        <v>13249</v>
      </c>
      <c r="O4447" t="s">
        <v>13250</v>
      </c>
    </row>
    <row r="4448" spans="1:15" x14ac:dyDescent="0.25">
      <c r="A4448" t="s">
        <v>18</v>
      </c>
      <c r="B4448" t="s">
        <v>13249</v>
      </c>
      <c r="C4448" t="s">
        <v>13251</v>
      </c>
      <c r="D4448" t="s">
        <v>20</v>
      </c>
      <c r="E4448" t="s">
        <v>11</v>
      </c>
      <c r="F4448">
        <v>180743.706</v>
      </c>
      <c r="G4448">
        <v>18</v>
      </c>
      <c r="L4448" t="s">
        <v>13252</v>
      </c>
      <c r="O4448" t="s">
        <v>13253</v>
      </c>
    </row>
    <row r="4449" spans="1:15" x14ac:dyDescent="0.25">
      <c r="A4449" t="s">
        <v>18</v>
      </c>
      <c r="B4449" t="s">
        <v>13252</v>
      </c>
      <c r="C4449" t="s">
        <v>13254</v>
      </c>
      <c r="D4449" t="s">
        <v>20</v>
      </c>
      <c r="E4449" t="s">
        <v>11</v>
      </c>
      <c r="F4449">
        <v>195756.726</v>
      </c>
      <c r="G4449">
        <v>18</v>
      </c>
      <c r="L4449" t="s">
        <v>13255</v>
      </c>
      <c r="O4449" t="s">
        <v>13256</v>
      </c>
    </row>
    <row r="4450" spans="1:15" x14ac:dyDescent="0.25">
      <c r="A4450" t="s">
        <v>18</v>
      </c>
      <c r="B4450" t="s">
        <v>13255</v>
      </c>
      <c r="C4450" t="s">
        <v>13257</v>
      </c>
      <c r="D4450" t="s">
        <v>20</v>
      </c>
      <c r="E4450" t="s">
        <v>11</v>
      </c>
      <c r="F4450">
        <v>220952.49</v>
      </c>
      <c r="G4450">
        <v>18</v>
      </c>
      <c r="L4450" t="s">
        <v>13258</v>
      </c>
      <c r="O4450" t="s">
        <v>13259</v>
      </c>
    </row>
    <row r="4451" spans="1:15" x14ac:dyDescent="0.25">
      <c r="A4451" t="s">
        <v>18</v>
      </c>
      <c r="B4451" t="s">
        <v>13258</v>
      </c>
      <c r="C4451" t="s">
        <v>13260</v>
      </c>
      <c r="D4451" t="s">
        <v>20</v>
      </c>
      <c r="E4451" t="s">
        <v>11</v>
      </c>
      <c r="F4451">
        <v>5809.3859999999995</v>
      </c>
      <c r="G4451">
        <v>18</v>
      </c>
      <c r="L4451" t="s">
        <v>13261</v>
      </c>
      <c r="O4451" t="s">
        <v>13262</v>
      </c>
    </row>
    <row r="4452" spans="1:15" x14ac:dyDescent="0.25">
      <c r="A4452" t="s">
        <v>18</v>
      </c>
      <c r="B4452" t="s">
        <v>13261</v>
      </c>
      <c r="C4452" t="s">
        <v>13263</v>
      </c>
      <c r="D4452" t="s">
        <v>20</v>
      </c>
      <c r="E4452" t="s">
        <v>11</v>
      </c>
      <c r="F4452">
        <v>4046.988</v>
      </c>
      <c r="G4452">
        <v>18</v>
      </c>
      <c r="L4452" t="s">
        <v>13264</v>
      </c>
      <c r="O4452" t="s">
        <v>13265</v>
      </c>
    </row>
    <row r="4453" spans="1:15" x14ac:dyDescent="0.25">
      <c r="A4453" t="s">
        <v>18</v>
      </c>
      <c r="B4453" t="s">
        <v>13264</v>
      </c>
      <c r="C4453" t="s">
        <v>13266</v>
      </c>
      <c r="D4453" t="s">
        <v>20</v>
      </c>
      <c r="E4453" t="s">
        <v>11</v>
      </c>
      <c r="F4453">
        <v>7114.866</v>
      </c>
      <c r="G4453">
        <v>18</v>
      </c>
      <c r="L4453" t="s">
        <v>13267</v>
      </c>
      <c r="O4453" t="s">
        <v>13268</v>
      </c>
    </row>
    <row r="4454" spans="1:12" x14ac:dyDescent="0.25">
      <c r="A4454" t="s">
        <v>18</v>
      </c>
      <c r="B4454" t="s">
        <v>13267</v>
      </c>
      <c r="C4454" t="s">
        <v>13269</v>
      </c>
      <c r="D4454" t="s">
        <v>20</v>
      </c>
      <c r="E4454" t="s">
        <v>11</v>
      </c>
      <c r="F4454">
        <v>2349.8639999999996</v>
      </c>
      <c r="G4454">
        <v>18</v>
      </c>
      <c r="L4454" t="s">
        <v>13270</v>
      </c>
    </row>
    <row r="4455" spans="1:12" x14ac:dyDescent="0.25">
      <c r="A4455" t="s">
        <v>18</v>
      </c>
      <c r="B4455" t="s">
        <v>13270</v>
      </c>
      <c r="C4455" t="s">
        <v>13271</v>
      </c>
      <c r="D4455" t="s">
        <v>20</v>
      </c>
      <c r="E4455" t="s">
        <v>11</v>
      </c>
      <c r="F4455">
        <v>5744.112</v>
      </c>
      <c r="G4455">
        <v>18</v>
      </c>
      <c r="L4455" t="s">
        <v>13272</v>
      </c>
    </row>
    <row r="4456" spans="1:12" x14ac:dyDescent="0.25">
      <c r="A4456" t="s">
        <v>18</v>
      </c>
      <c r="B4456" t="s">
        <v>13272</v>
      </c>
      <c r="C4456" t="s">
        <v>13273</v>
      </c>
      <c r="D4456" t="s">
        <v>20</v>
      </c>
      <c r="E4456" t="s">
        <v>11</v>
      </c>
      <c r="F4456">
        <v>28524.738</v>
      </c>
      <c r="G4456">
        <v>18</v>
      </c>
      <c r="L4456" t="s">
        <v>13274</v>
      </c>
    </row>
    <row r="4457" spans="1:12" x14ac:dyDescent="0.25">
      <c r="A4457" t="s">
        <v>18</v>
      </c>
      <c r="B4457" t="s">
        <v>13274</v>
      </c>
      <c r="C4457" t="s">
        <v>13275</v>
      </c>
      <c r="D4457" t="s">
        <v>20</v>
      </c>
      <c r="E4457" t="s">
        <v>11</v>
      </c>
      <c r="F4457">
        <v>38576.933999999994</v>
      </c>
      <c r="G4457">
        <v>18</v>
      </c>
      <c r="L4457" t="s">
        <v>13276</v>
      </c>
    </row>
    <row r="4458" spans="1:12" x14ac:dyDescent="0.25">
      <c r="A4458" t="s">
        <v>18</v>
      </c>
      <c r="B4458" t="s">
        <v>13276</v>
      </c>
      <c r="C4458" t="s">
        <v>13277</v>
      </c>
      <c r="D4458" t="s">
        <v>20</v>
      </c>
      <c r="E4458" t="s">
        <v>11</v>
      </c>
      <c r="F4458">
        <v>42297.55199999999</v>
      </c>
      <c r="G4458">
        <v>18</v>
      </c>
      <c r="L4458" t="s">
        <v>13278</v>
      </c>
    </row>
    <row r="4459" spans="1:12" x14ac:dyDescent="0.25">
      <c r="A4459" t="s">
        <v>18</v>
      </c>
      <c r="B4459" t="s">
        <v>13278</v>
      </c>
      <c r="C4459" t="s">
        <v>13279</v>
      </c>
      <c r="D4459" t="s">
        <v>20</v>
      </c>
      <c r="E4459" t="s">
        <v>11</v>
      </c>
      <c r="F4459">
        <v>46866.731999999996</v>
      </c>
      <c r="G4459">
        <v>18</v>
      </c>
      <c r="L4459" t="s">
        <v>13280</v>
      </c>
    </row>
    <row r="4460" spans="1:12" x14ac:dyDescent="0.25">
      <c r="A4460" t="s">
        <v>18</v>
      </c>
      <c r="B4460" t="s">
        <v>13280</v>
      </c>
      <c r="C4460" t="s">
        <v>13281</v>
      </c>
      <c r="D4460" t="s">
        <v>20</v>
      </c>
      <c r="E4460" t="s">
        <v>11</v>
      </c>
      <c r="F4460">
        <v>28394.190000000002</v>
      </c>
      <c r="G4460">
        <v>18</v>
      </c>
      <c r="L4460" t="s">
        <v>13282</v>
      </c>
    </row>
    <row r="4461" spans="1:12" x14ac:dyDescent="0.25">
      <c r="A4461" t="s">
        <v>18</v>
      </c>
      <c r="B4461" t="s">
        <v>13282</v>
      </c>
      <c r="C4461" t="s">
        <v>13283</v>
      </c>
      <c r="D4461" t="s">
        <v>20</v>
      </c>
      <c r="E4461" t="s">
        <v>11</v>
      </c>
      <c r="F4461">
        <v>38707.481999999996</v>
      </c>
      <c r="G4461">
        <v>18</v>
      </c>
      <c r="L4461" t="s">
        <v>13284</v>
      </c>
    </row>
    <row r="4462" spans="1:12" x14ac:dyDescent="0.25">
      <c r="A4462" t="s">
        <v>18</v>
      </c>
      <c r="B4462" t="s">
        <v>13284</v>
      </c>
      <c r="C4462" t="s">
        <v>13285</v>
      </c>
      <c r="D4462" t="s">
        <v>20</v>
      </c>
      <c r="E4462" t="s">
        <v>11</v>
      </c>
      <c r="F4462">
        <v>32375.904</v>
      </c>
      <c r="G4462">
        <v>18</v>
      </c>
      <c r="L4462" t="s">
        <v>13286</v>
      </c>
    </row>
    <row r="4463" spans="1:12" x14ac:dyDescent="0.25">
      <c r="A4463" t="s">
        <v>18</v>
      </c>
      <c r="B4463" t="s">
        <v>13286</v>
      </c>
      <c r="C4463" t="s">
        <v>13287</v>
      </c>
      <c r="D4463" t="s">
        <v>20</v>
      </c>
      <c r="E4463" t="s">
        <v>11</v>
      </c>
      <c r="F4463">
        <v>39621.318</v>
      </c>
      <c r="G4463">
        <v>18</v>
      </c>
      <c r="L4463" t="s">
        <v>13288</v>
      </c>
    </row>
    <row r="4464" spans="1:12" x14ac:dyDescent="0.25">
      <c r="A4464" t="s">
        <v>18</v>
      </c>
      <c r="B4464" t="s">
        <v>13288</v>
      </c>
      <c r="C4464" t="s">
        <v>13289</v>
      </c>
      <c r="D4464" t="s">
        <v>20</v>
      </c>
      <c r="E4464" t="s">
        <v>11</v>
      </c>
      <c r="F4464">
        <v>55613.44799999999</v>
      </c>
      <c r="G4464">
        <v>18</v>
      </c>
      <c r="L4464" t="s">
        <v>13290</v>
      </c>
    </row>
    <row r="4465" spans="1:12" x14ac:dyDescent="0.25">
      <c r="A4465" t="s">
        <v>18</v>
      </c>
      <c r="B4465" t="s">
        <v>13290</v>
      </c>
      <c r="C4465" t="s">
        <v>13291</v>
      </c>
      <c r="D4465" t="s">
        <v>20</v>
      </c>
      <c r="E4465" t="s">
        <v>11</v>
      </c>
      <c r="F4465">
        <v>29046.93</v>
      </c>
      <c r="G4465">
        <v>18</v>
      </c>
      <c r="L4465" t="s">
        <v>13292</v>
      </c>
    </row>
    <row r="4466" spans="1:12" x14ac:dyDescent="0.25">
      <c r="A4466" t="s">
        <v>18</v>
      </c>
      <c r="B4466" t="s">
        <v>13292</v>
      </c>
      <c r="C4466" t="s">
        <v>13293</v>
      </c>
      <c r="D4466" t="s">
        <v>20</v>
      </c>
      <c r="E4466" t="s">
        <v>11</v>
      </c>
      <c r="F4466">
        <v>44386.32</v>
      </c>
      <c r="G4466">
        <v>18</v>
      </c>
      <c r="L4466" t="s">
        <v>13294</v>
      </c>
    </row>
    <row r="4467" spans="1:12" x14ac:dyDescent="0.25">
      <c r="A4467" t="s">
        <v>18</v>
      </c>
      <c r="B4467" t="s">
        <v>13294</v>
      </c>
      <c r="C4467" t="s">
        <v>13295</v>
      </c>
      <c r="D4467" t="s">
        <v>20</v>
      </c>
      <c r="E4467" t="s">
        <v>11</v>
      </c>
      <c r="F4467">
        <v>28590.012</v>
      </c>
      <c r="G4467">
        <v>18</v>
      </c>
      <c r="L4467" t="s">
        <v>13296</v>
      </c>
    </row>
    <row r="4468" spans="1:12" x14ac:dyDescent="0.25">
      <c r="A4468" t="s">
        <v>18</v>
      </c>
      <c r="B4468" t="s">
        <v>13296</v>
      </c>
      <c r="C4468" t="s">
        <v>13297</v>
      </c>
      <c r="D4468" t="s">
        <v>20</v>
      </c>
      <c r="E4468" t="s">
        <v>11</v>
      </c>
      <c r="F4468">
        <v>32963.37</v>
      </c>
      <c r="G4468">
        <v>18</v>
      </c>
      <c r="L4468" t="s">
        <v>13298</v>
      </c>
    </row>
    <row r="4469" spans="1:12" x14ac:dyDescent="0.25">
      <c r="A4469" t="s">
        <v>18</v>
      </c>
      <c r="B4469" t="s">
        <v>13298</v>
      </c>
      <c r="C4469" t="s">
        <v>13299</v>
      </c>
      <c r="D4469" t="s">
        <v>20</v>
      </c>
      <c r="E4469" t="s">
        <v>11</v>
      </c>
      <c r="F4469">
        <v>6070.482</v>
      </c>
      <c r="G4469">
        <v>18</v>
      </c>
      <c r="L4469" t="s">
        <v>13300</v>
      </c>
    </row>
    <row r="4470" spans="1:12" x14ac:dyDescent="0.25">
      <c r="A4470" t="s">
        <v>18</v>
      </c>
      <c r="B4470" t="s">
        <v>13300</v>
      </c>
      <c r="C4470" t="s">
        <v>13301</v>
      </c>
      <c r="D4470" t="s">
        <v>20</v>
      </c>
      <c r="E4470" t="s">
        <v>11</v>
      </c>
      <c r="F4470">
        <v>3133.1519999999996</v>
      </c>
      <c r="G4470">
        <v>18</v>
      </c>
      <c r="L4470" t="s">
        <v>13302</v>
      </c>
    </row>
    <row r="4471" spans="1:12" x14ac:dyDescent="0.25">
      <c r="A4471" t="s">
        <v>18</v>
      </c>
      <c r="B4471" t="s">
        <v>13302</v>
      </c>
      <c r="C4471" t="s">
        <v>13303</v>
      </c>
      <c r="D4471" t="s">
        <v>20</v>
      </c>
      <c r="E4471" t="s">
        <v>11</v>
      </c>
      <c r="F4471">
        <v>5417.742</v>
      </c>
      <c r="G4471">
        <v>18</v>
      </c>
      <c r="L4471" t="s">
        <v>13304</v>
      </c>
    </row>
    <row r="4472" spans="1:12" x14ac:dyDescent="0.25">
      <c r="A4472" t="s">
        <v>18</v>
      </c>
      <c r="B4472" t="s">
        <v>13304</v>
      </c>
      <c r="C4472" t="s">
        <v>13305</v>
      </c>
      <c r="D4472" t="s">
        <v>20</v>
      </c>
      <c r="E4472" t="s">
        <v>11</v>
      </c>
      <c r="F4472">
        <v>6266.303999999999</v>
      </c>
      <c r="G4472">
        <v>18</v>
      </c>
      <c r="L4472" t="s">
        <v>13306</v>
      </c>
    </row>
    <row r="4473" spans="1:12" x14ac:dyDescent="0.25">
      <c r="A4473" t="s">
        <v>18</v>
      </c>
      <c r="B4473" t="s">
        <v>13306</v>
      </c>
      <c r="C4473" t="s">
        <v>13307</v>
      </c>
      <c r="D4473" t="s">
        <v>20</v>
      </c>
      <c r="E4473" t="s">
        <v>11</v>
      </c>
      <c r="F4473">
        <v>12989.526</v>
      </c>
      <c r="G4473">
        <v>18</v>
      </c>
      <c r="L4473" t="s">
        <v>13308</v>
      </c>
    </row>
    <row r="4474" spans="1:12" x14ac:dyDescent="0.25">
      <c r="A4474" t="s">
        <v>18</v>
      </c>
      <c r="B4474" t="s">
        <v>13308</v>
      </c>
      <c r="C4474" t="s">
        <v>13309</v>
      </c>
      <c r="D4474" t="s">
        <v>20</v>
      </c>
      <c r="E4474" t="s">
        <v>11</v>
      </c>
      <c r="F4474">
        <v>43864.128</v>
      </c>
      <c r="G4474">
        <v>18</v>
      </c>
      <c r="L4474" t="s">
        <v>13310</v>
      </c>
    </row>
    <row r="4475" spans="1:12" x14ac:dyDescent="0.25">
      <c r="A4475" t="s">
        <v>18</v>
      </c>
      <c r="B4475" t="s">
        <v>13310</v>
      </c>
      <c r="C4475" t="s">
        <v>13311</v>
      </c>
      <c r="D4475" t="s">
        <v>20</v>
      </c>
      <c r="E4475" t="s">
        <v>11</v>
      </c>
      <c r="F4475">
        <v>456.918</v>
      </c>
      <c r="G4475">
        <v>18</v>
      </c>
      <c r="L4475" t="s">
        <v>13312</v>
      </c>
    </row>
    <row r="4476" spans="1:12" x14ac:dyDescent="0.25">
      <c r="A4476" t="s">
        <v>18</v>
      </c>
      <c r="B4476" t="s">
        <v>13312</v>
      </c>
      <c r="C4476" t="s">
        <v>13313</v>
      </c>
      <c r="D4476" t="s">
        <v>20</v>
      </c>
      <c r="E4476" t="s">
        <v>11</v>
      </c>
      <c r="F4476">
        <v>31135.698</v>
      </c>
      <c r="G4476">
        <v>18</v>
      </c>
      <c r="L4476" t="s">
        <v>13314</v>
      </c>
    </row>
    <row r="4477" spans="1:12" x14ac:dyDescent="0.25">
      <c r="A4477" t="s">
        <v>18</v>
      </c>
      <c r="B4477" t="s">
        <v>13314</v>
      </c>
      <c r="C4477" t="s">
        <v>13315</v>
      </c>
      <c r="D4477" t="s">
        <v>20</v>
      </c>
      <c r="E4477" t="s">
        <v>11</v>
      </c>
      <c r="F4477">
        <v>64164.34199999999</v>
      </c>
      <c r="G4477">
        <v>18</v>
      </c>
      <c r="L4477" t="s">
        <v>13316</v>
      </c>
    </row>
    <row r="4478" spans="1:12" x14ac:dyDescent="0.25">
      <c r="A4478" t="s">
        <v>18</v>
      </c>
      <c r="B4478" t="s">
        <v>13316</v>
      </c>
      <c r="C4478" t="s">
        <v>13317</v>
      </c>
      <c r="D4478" t="s">
        <v>20</v>
      </c>
      <c r="E4478" t="s">
        <v>11</v>
      </c>
      <c r="F4478">
        <v>7571.784</v>
      </c>
      <c r="G4478">
        <v>18</v>
      </c>
      <c r="L4478" t="s">
        <v>13318</v>
      </c>
    </row>
    <row r="4479" spans="1:12" x14ac:dyDescent="0.25">
      <c r="A4479" t="s">
        <v>18</v>
      </c>
      <c r="B4479" t="s">
        <v>13318</v>
      </c>
      <c r="C4479" t="s">
        <v>13319</v>
      </c>
      <c r="D4479" t="s">
        <v>20</v>
      </c>
      <c r="E4479" t="s">
        <v>11</v>
      </c>
      <c r="F4479">
        <v>9660.552</v>
      </c>
      <c r="G4479">
        <v>18</v>
      </c>
      <c r="L4479" t="s">
        <v>13320</v>
      </c>
    </row>
    <row r="4480" spans="1:12" x14ac:dyDescent="0.25">
      <c r="A4480" t="s">
        <v>18</v>
      </c>
      <c r="B4480" t="s">
        <v>13320</v>
      </c>
      <c r="C4480" t="s">
        <v>13321</v>
      </c>
      <c r="D4480" t="s">
        <v>20</v>
      </c>
      <c r="E4480" t="s">
        <v>11</v>
      </c>
      <c r="F4480">
        <v>7375.962</v>
      </c>
      <c r="G4480">
        <v>18</v>
      </c>
      <c r="L4480" t="s">
        <v>13322</v>
      </c>
    </row>
    <row r="4481" spans="1:12" x14ac:dyDescent="0.25">
      <c r="A4481" t="s">
        <v>18</v>
      </c>
      <c r="B4481" t="s">
        <v>13322</v>
      </c>
      <c r="C4481" t="s">
        <v>13323</v>
      </c>
      <c r="D4481" t="s">
        <v>20</v>
      </c>
      <c r="E4481" t="s">
        <v>11</v>
      </c>
      <c r="F4481">
        <v>4046.988</v>
      </c>
      <c r="G4481">
        <v>18</v>
      </c>
      <c r="L4481" t="s">
        <v>13324</v>
      </c>
    </row>
    <row r="4482" spans="1:12" x14ac:dyDescent="0.25">
      <c r="A4482" t="s">
        <v>18</v>
      </c>
      <c r="B4482" t="s">
        <v>13324</v>
      </c>
      <c r="C4482" t="s">
        <v>13325</v>
      </c>
      <c r="D4482" t="s">
        <v>20</v>
      </c>
      <c r="E4482" t="s">
        <v>11</v>
      </c>
      <c r="F4482">
        <v>6723.222000000001</v>
      </c>
      <c r="G4482">
        <v>18</v>
      </c>
      <c r="L4482" t="s">
        <v>13326</v>
      </c>
    </row>
    <row r="4483" spans="1:12" x14ac:dyDescent="0.25">
      <c r="A4483" t="s">
        <v>18</v>
      </c>
      <c r="B4483" t="s">
        <v>13326</v>
      </c>
      <c r="C4483" t="s">
        <v>13327</v>
      </c>
      <c r="D4483" t="s">
        <v>20</v>
      </c>
      <c r="E4483" t="s">
        <v>11</v>
      </c>
      <c r="F4483">
        <v>10966.032</v>
      </c>
      <c r="G4483">
        <v>18</v>
      </c>
      <c r="L4483" t="s">
        <v>13328</v>
      </c>
    </row>
    <row r="4484" spans="1:12" x14ac:dyDescent="0.25">
      <c r="A4484" t="s">
        <v>18</v>
      </c>
      <c r="B4484" t="s">
        <v>13328</v>
      </c>
      <c r="C4484" t="s">
        <v>13329</v>
      </c>
      <c r="D4484" t="s">
        <v>20</v>
      </c>
      <c r="E4484" t="s">
        <v>11</v>
      </c>
      <c r="F4484">
        <v>15404.664</v>
      </c>
      <c r="G4484">
        <v>18</v>
      </c>
      <c r="L4484" t="s">
        <v>13330</v>
      </c>
    </row>
    <row r="4485" spans="1:12" x14ac:dyDescent="0.25">
      <c r="A4485" t="s">
        <v>18</v>
      </c>
      <c r="B4485" t="s">
        <v>13330</v>
      </c>
      <c r="C4485" t="s">
        <v>13331</v>
      </c>
      <c r="D4485" t="s">
        <v>20</v>
      </c>
      <c r="E4485" t="s">
        <v>11</v>
      </c>
      <c r="F4485">
        <v>15404.664</v>
      </c>
      <c r="G4485">
        <v>18</v>
      </c>
      <c r="L4485" t="s">
        <v>13332</v>
      </c>
    </row>
    <row r="4486" spans="1:12" x14ac:dyDescent="0.25">
      <c r="A4486" t="s">
        <v>18</v>
      </c>
      <c r="B4486" t="s">
        <v>13332</v>
      </c>
      <c r="C4486" t="s">
        <v>13333</v>
      </c>
      <c r="D4486" t="s">
        <v>20</v>
      </c>
      <c r="E4486" t="s">
        <v>11</v>
      </c>
      <c r="F4486">
        <v>13315.895999999999</v>
      </c>
      <c r="G4486">
        <v>18</v>
      </c>
      <c r="L4486" t="s">
        <v>13334</v>
      </c>
    </row>
    <row r="4487" spans="1:12" x14ac:dyDescent="0.25">
      <c r="A4487" t="s">
        <v>18</v>
      </c>
      <c r="B4487" t="s">
        <v>13334</v>
      </c>
      <c r="C4487" t="s">
        <v>13335</v>
      </c>
      <c r="D4487" t="s">
        <v>20</v>
      </c>
      <c r="E4487" t="s">
        <v>11</v>
      </c>
      <c r="F4487">
        <v>13315.895999999999</v>
      </c>
      <c r="G4487">
        <v>18</v>
      </c>
      <c r="L4487" t="s">
        <v>13336</v>
      </c>
    </row>
    <row r="4488" spans="1:12" x14ac:dyDescent="0.25">
      <c r="A4488" t="s">
        <v>18</v>
      </c>
      <c r="B4488" t="s">
        <v>13336</v>
      </c>
      <c r="C4488" t="s">
        <v>13337</v>
      </c>
      <c r="D4488" t="s">
        <v>20</v>
      </c>
      <c r="E4488" t="s">
        <v>11</v>
      </c>
      <c r="F4488">
        <v>8942.538</v>
      </c>
      <c r="G4488">
        <v>18</v>
      </c>
      <c r="L4488" t="s">
        <v>13338</v>
      </c>
    </row>
    <row r="4489" spans="1:12" x14ac:dyDescent="0.25">
      <c r="A4489" t="s">
        <v>18</v>
      </c>
      <c r="B4489" t="s">
        <v>13338</v>
      </c>
      <c r="C4489" t="s">
        <v>13339</v>
      </c>
      <c r="D4489" t="s">
        <v>20</v>
      </c>
      <c r="E4489" t="s">
        <v>11</v>
      </c>
      <c r="F4489">
        <v>12010.416</v>
      </c>
      <c r="G4489">
        <v>18</v>
      </c>
      <c r="L4489" t="s">
        <v>13340</v>
      </c>
    </row>
    <row r="4490" spans="1:12" x14ac:dyDescent="0.25">
      <c r="A4490" t="s">
        <v>18</v>
      </c>
      <c r="B4490" t="s">
        <v>13340</v>
      </c>
      <c r="C4490" t="s">
        <v>13341</v>
      </c>
      <c r="D4490" t="s">
        <v>20</v>
      </c>
      <c r="E4490" t="s">
        <v>11</v>
      </c>
      <c r="F4490">
        <v>35965.973999999995</v>
      </c>
      <c r="G4490">
        <v>18</v>
      </c>
      <c r="L4490" t="s">
        <v>13342</v>
      </c>
    </row>
    <row r="4491" spans="1:12" x14ac:dyDescent="0.25">
      <c r="A4491" t="s">
        <v>18</v>
      </c>
      <c r="B4491" t="s">
        <v>13342</v>
      </c>
      <c r="C4491" t="s">
        <v>13343</v>
      </c>
      <c r="D4491" t="s">
        <v>20</v>
      </c>
      <c r="E4491" t="s">
        <v>11</v>
      </c>
      <c r="F4491">
        <v>1109.658</v>
      </c>
      <c r="G4491">
        <v>18</v>
      </c>
      <c r="L4491" t="s">
        <v>13344</v>
      </c>
    </row>
    <row r="4492" spans="1:12" x14ac:dyDescent="0.25">
      <c r="A4492" t="s">
        <v>18</v>
      </c>
      <c r="B4492" t="s">
        <v>13344</v>
      </c>
      <c r="C4492" t="s">
        <v>13345</v>
      </c>
      <c r="D4492" t="s">
        <v>20</v>
      </c>
      <c r="E4492" t="s">
        <v>11</v>
      </c>
      <c r="F4492">
        <v>27741.45</v>
      </c>
      <c r="G4492">
        <v>18</v>
      </c>
      <c r="L4492" t="s">
        <v>13346</v>
      </c>
    </row>
    <row r="4493" spans="1:12" x14ac:dyDescent="0.25">
      <c r="A4493" t="s">
        <v>18</v>
      </c>
      <c r="B4493" t="s">
        <v>13346</v>
      </c>
      <c r="C4493" t="s">
        <v>13347</v>
      </c>
      <c r="D4493" t="s">
        <v>20</v>
      </c>
      <c r="E4493" t="s">
        <v>11</v>
      </c>
      <c r="F4493">
        <v>20234.940000000002</v>
      </c>
      <c r="G4493">
        <v>18</v>
      </c>
      <c r="L4493" t="s">
        <v>13348</v>
      </c>
    </row>
    <row r="4494" spans="1:12" x14ac:dyDescent="0.25">
      <c r="A4494" t="s">
        <v>18</v>
      </c>
      <c r="B4494" t="s">
        <v>13348</v>
      </c>
      <c r="C4494" t="s">
        <v>13349</v>
      </c>
      <c r="D4494" t="s">
        <v>20</v>
      </c>
      <c r="E4494" t="s">
        <v>11</v>
      </c>
      <c r="F4494">
        <v>13446.444000000001</v>
      </c>
      <c r="G4494">
        <v>18</v>
      </c>
      <c r="L4494" t="s">
        <v>13350</v>
      </c>
    </row>
    <row r="4495" spans="1:12" x14ac:dyDescent="0.25">
      <c r="A4495" t="s">
        <v>18</v>
      </c>
      <c r="B4495" t="s">
        <v>13350</v>
      </c>
      <c r="C4495" t="s">
        <v>13351</v>
      </c>
      <c r="D4495" t="s">
        <v>20</v>
      </c>
      <c r="E4495" t="s">
        <v>11</v>
      </c>
      <c r="F4495">
        <v>5287.193999999999</v>
      </c>
      <c r="G4495">
        <v>18</v>
      </c>
      <c r="L4495" t="s">
        <v>13352</v>
      </c>
    </row>
    <row r="4496" spans="1:12" x14ac:dyDescent="0.25">
      <c r="A4496" t="s">
        <v>18</v>
      </c>
      <c r="B4496" t="s">
        <v>13352</v>
      </c>
      <c r="C4496" t="s">
        <v>13353</v>
      </c>
      <c r="D4496" t="s">
        <v>20</v>
      </c>
      <c r="E4496" t="s">
        <v>11</v>
      </c>
      <c r="F4496">
        <v>33224.466</v>
      </c>
      <c r="G4496">
        <v>18</v>
      </c>
      <c r="L4496" t="s">
        <v>13354</v>
      </c>
    </row>
    <row r="4497" spans="1:12" x14ac:dyDescent="0.25">
      <c r="A4497" t="s">
        <v>18</v>
      </c>
      <c r="B4497" t="s">
        <v>13354</v>
      </c>
      <c r="C4497" t="s">
        <v>13355</v>
      </c>
      <c r="D4497" t="s">
        <v>20</v>
      </c>
      <c r="E4497" t="s">
        <v>11</v>
      </c>
      <c r="F4497">
        <v>31200.972</v>
      </c>
      <c r="G4497">
        <v>18</v>
      </c>
      <c r="L4497" t="s">
        <v>13356</v>
      </c>
    </row>
    <row r="4498" spans="1:12" x14ac:dyDescent="0.25">
      <c r="A4498" t="s">
        <v>18</v>
      </c>
      <c r="B4498" t="s">
        <v>13356</v>
      </c>
      <c r="C4498" t="s">
        <v>13357</v>
      </c>
      <c r="D4498" t="s">
        <v>20</v>
      </c>
      <c r="E4498" t="s">
        <v>11</v>
      </c>
      <c r="F4498">
        <v>36292.344</v>
      </c>
      <c r="G4498">
        <v>18</v>
      </c>
      <c r="L4498" t="s">
        <v>13358</v>
      </c>
    </row>
    <row r="4499" spans="1:12" x14ac:dyDescent="0.25">
      <c r="A4499" t="s">
        <v>18</v>
      </c>
      <c r="B4499" t="s">
        <v>13358</v>
      </c>
      <c r="C4499" t="s">
        <v>13359</v>
      </c>
      <c r="D4499" t="s">
        <v>20</v>
      </c>
      <c r="E4499" t="s">
        <v>11</v>
      </c>
      <c r="F4499">
        <v>38315.837999999996</v>
      </c>
      <c r="G4499">
        <v>18</v>
      </c>
      <c r="L4499" t="s">
        <v>13360</v>
      </c>
    </row>
    <row r="4500" spans="1:12" x14ac:dyDescent="0.25">
      <c r="A4500" t="s">
        <v>18</v>
      </c>
      <c r="B4500" t="s">
        <v>13360</v>
      </c>
      <c r="C4500" t="s">
        <v>13361</v>
      </c>
      <c r="D4500" t="s">
        <v>20</v>
      </c>
      <c r="E4500" t="s">
        <v>11</v>
      </c>
      <c r="F4500">
        <v>13446.444000000001</v>
      </c>
      <c r="G4500">
        <v>18</v>
      </c>
      <c r="L4500" t="s">
        <v>13362</v>
      </c>
    </row>
    <row r="4501" spans="1:12" x14ac:dyDescent="0.25">
      <c r="A4501" t="s">
        <v>18</v>
      </c>
      <c r="B4501" t="s">
        <v>13362</v>
      </c>
      <c r="C4501" t="s">
        <v>13363</v>
      </c>
      <c r="D4501" t="s">
        <v>20</v>
      </c>
      <c r="E4501" t="s">
        <v>11</v>
      </c>
      <c r="F4501">
        <v>32114.807999999997</v>
      </c>
      <c r="G4501">
        <v>18</v>
      </c>
      <c r="L4501" t="s">
        <v>13364</v>
      </c>
    </row>
    <row r="4502" spans="1:12" x14ac:dyDescent="0.25">
      <c r="A4502" t="s">
        <v>18</v>
      </c>
      <c r="B4502" t="s">
        <v>13364</v>
      </c>
      <c r="C4502" t="s">
        <v>13365</v>
      </c>
      <c r="D4502" t="s">
        <v>20</v>
      </c>
      <c r="E4502" t="s">
        <v>11</v>
      </c>
      <c r="F4502">
        <v>15143.568</v>
      </c>
      <c r="G4502">
        <v>18</v>
      </c>
      <c r="L4502" t="s">
        <v>13366</v>
      </c>
    </row>
    <row r="4503" spans="1:12" x14ac:dyDescent="0.25">
      <c r="A4503" t="s">
        <v>18</v>
      </c>
      <c r="B4503" t="s">
        <v>13366</v>
      </c>
      <c r="C4503" t="s">
        <v>13367</v>
      </c>
      <c r="D4503" t="s">
        <v>20</v>
      </c>
      <c r="E4503" t="s">
        <v>11</v>
      </c>
      <c r="F4503">
        <v>16971.239999999998</v>
      </c>
      <c r="G4503">
        <v>18</v>
      </c>
      <c r="L4503" t="s">
        <v>13368</v>
      </c>
    </row>
    <row r="4504" spans="1:12" x14ac:dyDescent="0.25">
      <c r="A4504" t="s">
        <v>18</v>
      </c>
      <c r="B4504" t="s">
        <v>13368</v>
      </c>
      <c r="C4504" t="s">
        <v>13369</v>
      </c>
      <c r="D4504" t="s">
        <v>20</v>
      </c>
      <c r="E4504" t="s">
        <v>11</v>
      </c>
      <c r="F4504">
        <v>19973.843999999997</v>
      </c>
      <c r="G4504">
        <v>18</v>
      </c>
      <c r="L4504" t="s">
        <v>13370</v>
      </c>
    </row>
    <row r="4505" spans="1:12" x14ac:dyDescent="0.25">
      <c r="A4505" t="s">
        <v>18</v>
      </c>
      <c r="B4505" t="s">
        <v>13370</v>
      </c>
      <c r="C4505" t="s">
        <v>13371</v>
      </c>
      <c r="D4505" t="s">
        <v>20</v>
      </c>
      <c r="E4505" t="s">
        <v>11</v>
      </c>
      <c r="F4505">
        <v>24738.845999999998</v>
      </c>
      <c r="G4505">
        <v>18</v>
      </c>
      <c r="L4505" t="s">
        <v>13372</v>
      </c>
    </row>
    <row r="4506" spans="1:12" x14ac:dyDescent="0.25">
      <c r="A4506" t="s">
        <v>18</v>
      </c>
      <c r="B4506" t="s">
        <v>13372</v>
      </c>
      <c r="C4506" t="s">
        <v>13373</v>
      </c>
      <c r="D4506" t="s">
        <v>20</v>
      </c>
      <c r="E4506" t="s">
        <v>11</v>
      </c>
      <c r="F4506">
        <v>29699.670000000002</v>
      </c>
      <c r="G4506">
        <v>18</v>
      </c>
      <c r="L4506" t="s">
        <v>13374</v>
      </c>
    </row>
    <row r="4507" spans="1:12" x14ac:dyDescent="0.25">
      <c r="A4507" t="s">
        <v>18</v>
      </c>
      <c r="B4507" t="s">
        <v>13374</v>
      </c>
      <c r="C4507" t="s">
        <v>13375</v>
      </c>
      <c r="D4507" t="s">
        <v>20</v>
      </c>
      <c r="E4507" t="s">
        <v>11</v>
      </c>
      <c r="F4507">
        <v>42297.55199999999</v>
      </c>
      <c r="G4507">
        <v>18</v>
      </c>
      <c r="L4507" t="s">
        <v>13376</v>
      </c>
    </row>
    <row r="4508" spans="1:12" x14ac:dyDescent="0.25">
      <c r="A4508" t="s">
        <v>18</v>
      </c>
      <c r="B4508" t="s">
        <v>13376</v>
      </c>
      <c r="C4508" t="s">
        <v>13377</v>
      </c>
      <c r="D4508" t="s">
        <v>20</v>
      </c>
      <c r="E4508" t="s">
        <v>11</v>
      </c>
      <c r="F4508">
        <v>43080.840000000004</v>
      </c>
      <c r="G4508">
        <v>18</v>
      </c>
      <c r="L4508" t="s">
        <v>13378</v>
      </c>
    </row>
    <row r="4509" spans="1:12" x14ac:dyDescent="0.25">
      <c r="A4509" t="s">
        <v>18</v>
      </c>
      <c r="B4509" t="s">
        <v>13378</v>
      </c>
      <c r="C4509" t="s">
        <v>13379</v>
      </c>
      <c r="D4509" t="s">
        <v>20</v>
      </c>
      <c r="E4509" t="s">
        <v>11</v>
      </c>
      <c r="F4509">
        <v>15143.568</v>
      </c>
      <c r="G4509">
        <v>18</v>
      </c>
      <c r="L4509" t="s">
        <v>13380</v>
      </c>
    </row>
    <row r="4510" spans="1:12" x14ac:dyDescent="0.25">
      <c r="A4510" t="s">
        <v>18</v>
      </c>
      <c r="B4510" t="s">
        <v>13380</v>
      </c>
      <c r="C4510" t="s">
        <v>13381</v>
      </c>
      <c r="D4510" t="s">
        <v>20</v>
      </c>
      <c r="E4510" t="s">
        <v>11</v>
      </c>
      <c r="F4510">
        <v>16971.239999999998</v>
      </c>
      <c r="G4510">
        <v>18</v>
      </c>
      <c r="L4510" t="s">
        <v>13382</v>
      </c>
    </row>
    <row r="4511" spans="1:12" x14ac:dyDescent="0.25">
      <c r="A4511" t="s">
        <v>18</v>
      </c>
      <c r="B4511" t="s">
        <v>13382</v>
      </c>
      <c r="C4511" t="s">
        <v>13383</v>
      </c>
      <c r="D4511" t="s">
        <v>20</v>
      </c>
      <c r="E4511" t="s">
        <v>11</v>
      </c>
      <c r="F4511">
        <v>19973.843999999997</v>
      </c>
      <c r="G4511">
        <v>18</v>
      </c>
      <c r="L4511" t="s">
        <v>13384</v>
      </c>
    </row>
    <row r="4512" spans="1:12" x14ac:dyDescent="0.25">
      <c r="A4512" t="s">
        <v>18</v>
      </c>
      <c r="B4512" t="s">
        <v>13384</v>
      </c>
      <c r="C4512" t="s">
        <v>13385</v>
      </c>
      <c r="D4512" t="s">
        <v>20</v>
      </c>
      <c r="E4512" t="s">
        <v>11</v>
      </c>
      <c r="F4512">
        <v>24738.845999999998</v>
      </c>
      <c r="G4512">
        <v>18</v>
      </c>
      <c r="L4512" t="s">
        <v>13386</v>
      </c>
    </row>
    <row r="4513" spans="1:12" x14ac:dyDescent="0.25">
      <c r="A4513" t="s">
        <v>18</v>
      </c>
      <c r="B4513" t="s">
        <v>13386</v>
      </c>
      <c r="C4513" t="s">
        <v>13387</v>
      </c>
      <c r="D4513" t="s">
        <v>20</v>
      </c>
      <c r="E4513" t="s">
        <v>11</v>
      </c>
      <c r="F4513">
        <v>29699.670000000002</v>
      </c>
      <c r="G4513">
        <v>18</v>
      </c>
      <c r="L4513" t="s">
        <v>13388</v>
      </c>
    </row>
    <row r="4514" spans="1:12" x14ac:dyDescent="0.25">
      <c r="A4514" t="s">
        <v>18</v>
      </c>
      <c r="B4514" t="s">
        <v>13388</v>
      </c>
      <c r="C4514" t="s">
        <v>13389</v>
      </c>
      <c r="D4514" t="s">
        <v>20</v>
      </c>
      <c r="E4514" t="s">
        <v>11</v>
      </c>
      <c r="F4514">
        <v>42297.55199999999</v>
      </c>
      <c r="G4514">
        <v>18</v>
      </c>
      <c r="L4514" t="s">
        <v>13390</v>
      </c>
    </row>
    <row r="4515" spans="1:12" x14ac:dyDescent="0.25">
      <c r="A4515" t="s">
        <v>18</v>
      </c>
      <c r="B4515" t="s">
        <v>13390</v>
      </c>
      <c r="C4515" t="s">
        <v>13391</v>
      </c>
      <c r="D4515" t="s">
        <v>20</v>
      </c>
      <c r="E4515" t="s">
        <v>11</v>
      </c>
      <c r="F4515">
        <v>43080.840000000004</v>
      </c>
      <c r="G4515">
        <v>18</v>
      </c>
      <c r="L4515" t="s">
        <v>13392</v>
      </c>
    </row>
    <row r="4516" spans="1:12" x14ac:dyDescent="0.25">
      <c r="A4516" t="s">
        <v>18</v>
      </c>
      <c r="B4516" t="s">
        <v>13392</v>
      </c>
      <c r="C4516" t="s">
        <v>13393</v>
      </c>
      <c r="D4516" t="s">
        <v>20</v>
      </c>
      <c r="E4516" t="s">
        <v>11</v>
      </c>
      <c r="F4516">
        <v>39490.77</v>
      </c>
      <c r="G4516">
        <v>18</v>
      </c>
      <c r="L4516" t="s">
        <v>13394</v>
      </c>
    </row>
    <row r="4517" spans="1:12" x14ac:dyDescent="0.25">
      <c r="A4517" t="s">
        <v>18</v>
      </c>
      <c r="B4517" t="s">
        <v>13394</v>
      </c>
      <c r="C4517" t="s">
        <v>13395</v>
      </c>
      <c r="D4517" t="s">
        <v>20</v>
      </c>
      <c r="E4517" t="s">
        <v>11</v>
      </c>
      <c r="F4517">
        <v>40926.797999999995</v>
      </c>
      <c r="G4517">
        <v>18</v>
      </c>
      <c r="L4517" t="s">
        <v>13396</v>
      </c>
    </row>
    <row r="4518" spans="1:12" x14ac:dyDescent="0.25">
      <c r="A4518" t="s">
        <v>18</v>
      </c>
      <c r="B4518" t="s">
        <v>13396</v>
      </c>
      <c r="C4518" t="s">
        <v>13397</v>
      </c>
      <c r="D4518" t="s">
        <v>20</v>
      </c>
      <c r="E4518" t="s">
        <v>11</v>
      </c>
      <c r="F4518">
        <v>13576.991999999998</v>
      </c>
      <c r="G4518">
        <v>18</v>
      </c>
      <c r="L4518" t="s">
        <v>13398</v>
      </c>
    </row>
    <row r="4519" spans="1:12" x14ac:dyDescent="0.25">
      <c r="A4519" t="s">
        <v>18</v>
      </c>
      <c r="B4519" t="s">
        <v>13398</v>
      </c>
      <c r="C4519" t="s">
        <v>13399</v>
      </c>
      <c r="D4519" t="s">
        <v>20</v>
      </c>
      <c r="E4519" t="s">
        <v>11</v>
      </c>
      <c r="F4519">
        <v>18407.267999999996</v>
      </c>
      <c r="G4519">
        <v>18</v>
      </c>
      <c r="L4519" t="s">
        <v>13400</v>
      </c>
    </row>
    <row r="4520" spans="1:12" x14ac:dyDescent="0.25">
      <c r="A4520" t="s">
        <v>18</v>
      </c>
      <c r="B4520" t="s">
        <v>13400</v>
      </c>
      <c r="C4520" t="s">
        <v>13401</v>
      </c>
      <c r="D4520" t="s">
        <v>20</v>
      </c>
      <c r="E4520" t="s">
        <v>11</v>
      </c>
      <c r="F4520">
        <v>13576.991999999998</v>
      </c>
      <c r="G4520">
        <v>18</v>
      </c>
      <c r="L4520" t="s">
        <v>13402</v>
      </c>
    </row>
    <row r="4521" spans="1:12" x14ac:dyDescent="0.25">
      <c r="A4521" t="s">
        <v>18</v>
      </c>
      <c r="B4521" t="s">
        <v>13402</v>
      </c>
      <c r="C4521" t="s">
        <v>13403</v>
      </c>
      <c r="D4521" t="s">
        <v>20</v>
      </c>
      <c r="E4521" t="s">
        <v>11</v>
      </c>
      <c r="F4521">
        <v>12140.964</v>
      </c>
      <c r="G4521">
        <v>18</v>
      </c>
      <c r="L4521" t="s">
        <v>13404</v>
      </c>
    </row>
    <row r="4522" spans="1:12" x14ac:dyDescent="0.25">
      <c r="A4522" t="s">
        <v>18</v>
      </c>
      <c r="B4522" t="s">
        <v>13404</v>
      </c>
      <c r="C4522" t="s">
        <v>13405</v>
      </c>
      <c r="D4522" t="s">
        <v>20</v>
      </c>
      <c r="E4522" t="s">
        <v>11</v>
      </c>
      <c r="F4522">
        <v>12140.964</v>
      </c>
      <c r="G4522">
        <v>18</v>
      </c>
      <c r="L4522" t="s">
        <v>13406</v>
      </c>
    </row>
    <row r="4523" spans="1:12" x14ac:dyDescent="0.25">
      <c r="A4523" t="s">
        <v>18</v>
      </c>
      <c r="B4523" t="s">
        <v>13406</v>
      </c>
      <c r="C4523" t="s">
        <v>13407</v>
      </c>
      <c r="D4523" t="s">
        <v>20</v>
      </c>
      <c r="E4523" t="s">
        <v>11</v>
      </c>
      <c r="F4523">
        <v>12140.964</v>
      </c>
      <c r="G4523">
        <v>18</v>
      </c>
      <c r="L4523" t="s">
        <v>13408</v>
      </c>
    </row>
    <row r="4524" spans="1:12" x14ac:dyDescent="0.25">
      <c r="A4524" t="s">
        <v>18</v>
      </c>
      <c r="B4524" t="s">
        <v>13408</v>
      </c>
      <c r="C4524" t="s">
        <v>13409</v>
      </c>
      <c r="D4524" t="s">
        <v>20</v>
      </c>
      <c r="E4524" t="s">
        <v>11</v>
      </c>
      <c r="F4524">
        <v>12140.964</v>
      </c>
      <c r="G4524">
        <v>18</v>
      </c>
      <c r="L4524" t="s">
        <v>13410</v>
      </c>
    </row>
    <row r="4525" spans="1:12" x14ac:dyDescent="0.25">
      <c r="A4525" t="s">
        <v>18</v>
      </c>
      <c r="B4525" t="s">
        <v>13410</v>
      </c>
      <c r="C4525" t="s">
        <v>13411</v>
      </c>
      <c r="D4525" t="s">
        <v>20</v>
      </c>
      <c r="E4525" t="s">
        <v>11</v>
      </c>
      <c r="F4525">
        <v>12140.964</v>
      </c>
      <c r="G4525">
        <v>18</v>
      </c>
      <c r="L4525" t="s">
        <v>13412</v>
      </c>
    </row>
    <row r="4526" spans="1:12" x14ac:dyDescent="0.25">
      <c r="A4526" t="s">
        <v>18</v>
      </c>
      <c r="B4526" t="s">
        <v>13412</v>
      </c>
      <c r="C4526" t="s">
        <v>13413</v>
      </c>
      <c r="D4526" t="s">
        <v>20</v>
      </c>
      <c r="E4526" t="s">
        <v>11</v>
      </c>
      <c r="F4526">
        <v>12140.964</v>
      </c>
      <c r="G4526">
        <v>18</v>
      </c>
      <c r="L4526" t="s">
        <v>13414</v>
      </c>
    </row>
    <row r="4527" spans="1:12" x14ac:dyDescent="0.25">
      <c r="A4527" t="s">
        <v>18</v>
      </c>
      <c r="B4527" t="s">
        <v>13414</v>
      </c>
      <c r="C4527" t="s">
        <v>13415</v>
      </c>
      <c r="D4527" t="s">
        <v>20</v>
      </c>
      <c r="E4527" t="s">
        <v>11</v>
      </c>
      <c r="F4527">
        <v>12140.964</v>
      </c>
      <c r="G4527">
        <v>18</v>
      </c>
      <c r="L4527" t="s">
        <v>13416</v>
      </c>
    </row>
    <row r="4528" spans="1:12" x14ac:dyDescent="0.25">
      <c r="A4528" t="s">
        <v>18</v>
      </c>
      <c r="B4528" t="s">
        <v>13416</v>
      </c>
      <c r="C4528" t="s">
        <v>13417</v>
      </c>
      <c r="D4528" t="s">
        <v>20</v>
      </c>
      <c r="E4528" t="s">
        <v>11</v>
      </c>
      <c r="F4528">
        <v>13120.074</v>
      </c>
      <c r="G4528">
        <v>18</v>
      </c>
      <c r="L4528" t="s">
        <v>13418</v>
      </c>
    </row>
    <row r="4529" spans="1:12" x14ac:dyDescent="0.25">
      <c r="A4529" t="s">
        <v>18</v>
      </c>
      <c r="B4529" t="s">
        <v>13418</v>
      </c>
      <c r="C4529" t="s">
        <v>13419</v>
      </c>
      <c r="D4529" t="s">
        <v>20</v>
      </c>
      <c r="E4529" t="s">
        <v>11</v>
      </c>
      <c r="F4529">
        <v>13120.074</v>
      </c>
      <c r="G4529">
        <v>18</v>
      </c>
      <c r="L4529" t="s">
        <v>13420</v>
      </c>
    </row>
    <row r="4530" spans="1:12" x14ac:dyDescent="0.25">
      <c r="A4530" t="s">
        <v>18</v>
      </c>
      <c r="B4530" t="s">
        <v>13420</v>
      </c>
      <c r="C4530" t="s">
        <v>13421</v>
      </c>
      <c r="D4530" t="s">
        <v>20</v>
      </c>
      <c r="E4530" t="s">
        <v>11</v>
      </c>
      <c r="F4530">
        <v>14947.746</v>
      </c>
      <c r="G4530">
        <v>18</v>
      </c>
      <c r="L4530" t="s">
        <v>13422</v>
      </c>
    </row>
    <row r="4531" spans="1:12" x14ac:dyDescent="0.25">
      <c r="A4531" t="s">
        <v>18</v>
      </c>
      <c r="B4531" t="s">
        <v>13422</v>
      </c>
      <c r="C4531" t="s">
        <v>13423</v>
      </c>
      <c r="D4531" t="s">
        <v>20</v>
      </c>
      <c r="E4531" t="s">
        <v>11</v>
      </c>
      <c r="F4531">
        <v>14947.746</v>
      </c>
      <c r="G4531">
        <v>18</v>
      </c>
      <c r="L4531" t="s">
        <v>13424</v>
      </c>
    </row>
    <row r="4532" spans="1:12" x14ac:dyDescent="0.25">
      <c r="A4532" t="s">
        <v>18</v>
      </c>
      <c r="B4532" t="s">
        <v>13424</v>
      </c>
      <c r="C4532" t="s">
        <v>13425</v>
      </c>
      <c r="D4532" t="s">
        <v>20</v>
      </c>
      <c r="E4532" t="s">
        <v>11</v>
      </c>
      <c r="F4532">
        <v>13185.347999999998</v>
      </c>
      <c r="G4532">
        <v>18</v>
      </c>
      <c r="L4532" t="s">
        <v>13426</v>
      </c>
    </row>
    <row r="4533" spans="1:12" x14ac:dyDescent="0.25">
      <c r="A4533" t="s">
        <v>18</v>
      </c>
      <c r="B4533" t="s">
        <v>13426</v>
      </c>
      <c r="C4533" t="s">
        <v>13427</v>
      </c>
      <c r="D4533" t="s">
        <v>20</v>
      </c>
      <c r="E4533" t="s">
        <v>11</v>
      </c>
      <c r="F4533">
        <v>14947.746</v>
      </c>
      <c r="G4533">
        <v>18</v>
      </c>
      <c r="L4533" t="s">
        <v>13428</v>
      </c>
    </row>
    <row r="4534" spans="1:12" x14ac:dyDescent="0.25">
      <c r="A4534" t="s">
        <v>18</v>
      </c>
      <c r="B4534" t="s">
        <v>13428</v>
      </c>
      <c r="C4534" t="s">
        <v>13429</v>
      </c>
      <c r="D4534" t="s">
        <v>20</v>
      </c>
      <c r="E4534" t="s">
        <v>11</v>
      </c>
      <c r="F4534">
        <v>17101.787999999997</v>
      </c>
      <c r="G4534">
        <v>18</v>
      </c>
      <c r="L4534" t="s">
        <v>13430</v>
      </c>
    </row>
    <row r="4535" spans="1:12" x14ac:dyDescent="0.25">
      <c r="A4535" t="s">
        <v>18</v>
      </c>
      <c r="B4535" t="s">
        <v>13430</v>
      </c>
      <c r="C4535" t="s">
        <v>13431</v>
      </c>
      <c r="D4535" t="s">
        <v>20</v>
      </c>
      <c r="E4535" t="s">
        <v>11</v>
      </c>
      <c r="F4535">
        <v>15600.486</v>
      </c>
      <c r="G4535">
        <v>18</v>
      </c>
      <c r="L4535" t="s">
        <v>13432</v>
      </c>
    </row>
    <row r="4536" spans="1:12" x14ac:dyDescent="0.25">
      <c r="A4536" t="s">
        <v>18</v>
      </c>
      <c r="B4536" t="s">
        <v>13432</v>
      </c>
      <c r="C4536" t="s">
        <v>13433</v>
      </c>
      <c r="D4536" t="s">
        <v>20</v>
      </c>
      <c r="E4536" t="s">
        <v>11</v>
      </c>
      <c r="F4536">
        <v>14164.457999999999</v>
      </c>
      <c r="G4536">
        <v>18</v>
      </c>
      <c r="L4536" t="s">
        <v>13434</v>
      </c>
    </row>
    <row r="4537" spans="1:12" x14ac:dyDescent="0.25">
      <c r="A4537" t="s">
        <v>18</v>
      </c>
      <c r="B4537" t="s">
        <v>13434</v>
      </c>
      <c r="C4537" t="s">
        <v>13435</v>
      </c>
      <c r="D4537" t="s">
        <v>20</v>
      </c>
      <c r="E4537" t="s">
        <v>11</v>
      </c>
      <c r="F4537">
        <v>48563.856</v>
      </c>
      <c r="G4537">
        <v>18</v>
      </c>
      <c r="L4537" t="s">
        <v>13436</v>
      </c>
    </row>
    <row r="4538" spans="1:12" x14ac:dyDescent="0.25">
      <c r="A4538" t="s">
        <v>18</v>
      </c>
      <c r="B4538" t="s">
        <v>13436</v>
      </c>
      <c r="C4538" t="s">
        <v>13365</v>
      </c>
      <c r="D4538" t="s">
        <v>20</v>
      </c>
      <c r="E4538" t="s">
        <v>11</v>
      </c>
      <c r="F4538">
        <v>15404.664</v>
      </c>
      <c r="G4538">
        <v>18</v>
      </c>
      <c r="L4538" t="s">
        <v>13437</v>
      </c>
    </row>
    <row r="4539" spans="1:12" x14ac:dyDescent="0.25">
      <c r="A4539" t="s">
        <v>18</v>
      </c>
      <c r="B4539" t="s">
        <v>13437</v>
      </c>
      <c r="C4539" t="s">
        <v>13367</v>
      </c>
      <c r="D4539" t="s">
        <v>20</v>
      </c>
      <c r="E4539" t="s">
        <v>11</v>
      </c>
      <c r="F4539">
        <v>16905.966</v>
      </c>
      <c r="G4539">
        <v>18</v>
      </c>
      <c r="L4539" t="s">
        <v>13438</v>
      </c>
    </row>
    <row r="4540" spans="1:12" x14ac:dyDescent="0.25">
      <c r="A4540" t="s">
        <v>18</v>
      </c>
      <c r="B4540" t="s">
        <v>13438</v>
      </c>
      <c r="C4540" t="s">
        <v>13369</v>
      </c>
      <c r="D4540" t="s">
        <v>20</v>
      </c>
      <c r="E4540" t="s">
        <v>11</v>
      </c>
      <c r="F4540">
        <v>19973.843999999997</v>
      </c>
      <c r="G4540">
        <v>18</v>
      </c>
      <c r="L4540" t="s">
        <v>13439</v>
      </c>
    </row>
    <row r="4541" spans="1:12" x14ac:dyDescent="0.25">
      <c r="A4541" t="s">
        <v>18</v>
      </c>
      <c r="B4541" t="s">
        <v>13439</v>
      </c>
      <c r="C4541" t="s">
        <v>13371</v>
      </c>
      <c r="D4541" t="s">
        <v>20</v>
      </c>
      <c r="E4541" t="s">
        <v>11</v>
      </c>
      <c r="F4541">
        <v>22388.982</v>
      </c>
      <c r="G4541">
        <v>18</v>
      </c>
      <c r="L4541" t="s">
        <v>13440</v>
      </c>
    </row>
    <row r="4542" spans="1:12" x14ac:dyDescent="0.25">
      <c r="A4542" t="s">
        <v>18</v>
      </c>
      <c r="B4542" t="s">
        <v>13440</v>
      </c>
      <c r="C4542" t="s">
        <v>13373</v>
      </c>
      <c r="D4542" t="s">
        <v>20</v>
      </c>
      <c r="E4542" t="s">
        <v>11</v>
      </c>
      <c r="F4542">
        <v>27415.079999999998</v>
      </c>
      <c r="G4542">
        <v>18</v>
      </c>
      <c r="L4542" t="s">
        <v>13441</v>
      </c>
    </row>
    <row r="4543" spans="1:12" x14ac:dyDescent="0.25">
      <c r="A4543" t="s">
        <v>18</v>
      </c>
      <c r="B4543" t="s">
        <v>13441</v>
      </c>
      <c r="C4543" t="s">
        <v>13375</v>
      </c>
      <c r="D4543" t="s">
        <v>20</v>
      </c>
      <c r="E4543" t="s">
        <v>11</v>
      </c>
      <c r="F4543">
        <v>31396.793999999998</v>
      </c>
      <c r="G4543">
        <v>18</v>
      </c>
      <c r="L4543" t="s">
        <v>13442</v>
      </c>
    </row>
    <row r="4544" spans="1:12" x14ac:dyDescent="0.25">
      <c r="A4544" t="s">
        <v>18</v>
      </c>
      <c r="B4544" t="s">
        <v>13442</v>
      </c>
      <c r="C4544" t="s">
        <v>13377</v>
      </c>
      <c r="D4544" t="s">
        <v>20</v>
      </c>
      <c r="E4544" t="s">
        <v>11</v>
      </c>
      <c r="F4544">
        <v>43341.936</v>
      </c>
      <c r="G4544">
        <v>18</v>
      </c>
      <c r="L4544" t="s">
        <v>13443</v>
      </c>
    </row>
    <row r="4545" spans="1:12" x14ac:dyDescent="0.25">
      <c r="A4545" t="s">
        <v>18</v>
      </c>
      <c r="B4545" t="s">
        <v>13443</v>
      </c>
      <c r="C4545" t="s">
        <v>13379</v>
      </c>
      <c r="D4545" t="s">
        <v>20</v>
      </c>
      <c r="E4545" t="s">
        <v>11</v>
      </c>
      <c r="F4545">
        <v>17101.787999999997</v>
      </c>
      <c r="G4545">
        <v>18</v>
      </c>
      <c r="L4545" t="s">
        <v>13444</v>
      </c>
    </row>
    <row r="4546" spans="1:12" x14ac:dyDescent="0.25">
      <c r="A4546" t="s">
        <v>18</v>
      </c>
      <c r="B4546" t="s">
        <v>13444</v>
      </c>
      <c r="C4546" t="s">
        <v>13381</v>
      </c>
      <c r="D4546" t="s">
        <v>20</v>
      </c>
      <c r="E4546" t="s">
        <v>11</v>
      </c>
      <c r="F4546">
        <v>16905.966</v>
      </c>
      <c r="G4546">
        <v>18</v>
      </c>
      <c r="L4546" t="s">
        <v>13445</v>
      </c>
    </row>
    <row r="4547" spans="1:12" x14ac:dyDescent="0.25">
      <c r="A4547" t="s">
        <v>18</v>
      </c>
      <c r="B4547" t="s">
        <v>13445</v>
      </c>
      <c r="C4547" t="s">
        <v>13446</v>
      </c>
      <c r="D4547" t="s">
        <v>20</v>
      </c>
      <c r="E4547" t="s">
        <v>11</v>
      </c>
      <c r="F4547">
        <v>37467.276</v>
      </c>
      <c r="G4547">
        <v>18</v>
      </c>
      <c r="L4547" t="s">
        <v>13447</v>
      </c>
    </row>
    <row r="4548" spans="1:12" x14ac:dyDescent="0.25">
      <c r="A4548" t="s">
        <v>18</v>
      </c>
      <c r="B4548" t="s">
        <v>13447</v>
      </c>
      <c r="C4548" t="s">
        <v>13448</v>
      </c>
      <c r="D4548" t="s">
        <v>20</v>
      </c>
      <c r="E4548" t="s">
        <v>11</v>
      </c>
      <c r="F4548">
        <v>38576.933999999994</v>
      </c>
      <c r="G4548">
        <v>18</v>
      </c>
      <c r="L4548" t="s">
        <v>13449</v>
      </c>
    </row>
    <row r="4549" spans="1:12" x14ac:dyDescent="0.25">
      <c r="A4549" t="s">
        <v>18</v>
      </c>
      <c r="B4549" t="s">
        <v>13449</v>
      </c>
      <c r="C4549" t="s">
        <v>13450</v>
      </c>
      <c r="D4549" t="s">
        <v>20</v>
      </c>
      <c r="E4549" t="s">
        <v>11</v>
      </c>
      <c r="F4549">
        <v>21214.05</v>
      </c>
      <c r="G4549">
        <v>18</v>
      </c>
      <c r="L4549" t="s">
        <v>13451</v>
      </c>
    </row>
    <row r="4550" spans="1:12" x14ac:dyDescent="0.25">
      <c r="A4550" t="s">
        <v>18</v>
      </c>
      <c r="B4550" t="s">
        <v>13451</v>
      </c>
      <c r="C4550" t="s">
        <v>13452</v>
      </c>
      <c r="D4550" t="s">
        <v>20</v>
      </c>
      <c r="E4550" t="s">
        <v>11</v>
      </c>
      <c r="F4550">
        <v>41318.442</v>
      </c>
      <c r="G4550">
        <v>18</v>
      </c>
      <c r="L4550" t="s">
        <v>13453</v>
      </c>
    </row>
    <row r="4551" spans="1:12" x14ac:dyDescent="0.25">
      <c r="A4551" t="s">
        <v>18</v>
      </c>
      <c r="B4551" t="s">
        <v>13453</v>
      </c>
      <c r="C4551" t="s">
        <v>13454</v>
      </c>
      <c r="D4551" t="s">
        <v>20</v>
      </c>
      <c r="E4551" t="s">
        <v>11</v>
      </c>
      <c r="F4551">
        <v>37532.55</v>
      </c>
      <c r="G4551">
        <v>18</v>
      </c>
      <c r="L4551" t="s">
        <v>13455</v>
      </c>
    </row>
    <row r="4552" spans="1:12" x14ac:dyDescent="0.25">
      <c r="A4552" t="s">
        <v>18</v>
      </c>
      <c r="B4552" t="s">
        <v>13455</v>
      </c>
      <c r="C4552" t="s">
        <v>13456</v>
      </c>
      <c r="D4552" t="s">
        <v>20</v>
      </c>
      <c r="E4552" t="s">
        <v>11</v>
      </c>
      <c r="F4552">
        <v>41318.442</v>
      </c>
      <c r="G4552">
        <v>18</v>
      </c>
      <c r="L4552" t="s">
        <v>13457</v>
      </c>
    </row>
    <row r="4553" spans="1:12" x14ac:dyDescent="0.25">
      <c r="A4553" t="s">
        <v>18</v>
      </c>
      <c r="B4553" t="s">
        <v>13457</v>
      </c>
      <c r="C4553" t="s">
        <v>13458</v>
      </c>
      <c r="D4553" t="s">
        <v>20</v>
      </c>
      <c r="E4553" t="s">
        <v>11</v>
      </c>
      <c r="F4553">
        <v>41318.442</v>
      </c>
      <c r="G4553">
        <v>18</v>
      </c>
      <c r="L4553" t="s">
        <v>13459</v>
      </c>
    </row>
    <row r="4554" spans="1:12" x14ac:dyDescent="0.25">
      <c r="A4554" t="s">
        <v>18</v>
      </c>
      <c r="B4554" t="s">
        <v>13459</v>
      </c>
      <c r="C4554" t="s">
        <v>13460</v>
      </c>
      <c r="D4554" t="s">
        <v>20</v>
      </c>
      <c r="E4554" t="s">
        <v>11</v>
      </c>
      <c r="F4554">
        <v>11096.58</v>
      </c>
      <c r="G4554">
        <v>18</v>
      </c>
      <c r="L4554" t="s">
        <v>13461</v>
      </c>
    </row>
    <row r="4555" spans="1:12" x14ac:dyDescent="0.25">
      <c r="A4555" t="s">
        <v>18</v>
      </c>
      <c r="B4555" t="s">
        <v>13461</v>
      </c>
      <c r="C4555" t="s">
        <v>13462</v>
      </c>
      <c r="D4555" t="s">
        <v>20</v>
      </c>
      <c r="E4555" t="s">
        <v>11</v>
      </c>
      <c r="F4555">
        <v>11096.58</v>
      </c>
      <c r="G4555">
        <v>18</v>
      </c>
      <c r="L4555" t="s">
        <v>13463</v>
      </c>
    </row>
    <row r="4556" spans="1:12" x14ac:dyDescent="0.25">
      <c r="A4556" t="s">
        <v>18</v>
      </c>
      <c r="B4556" t="s">
        <v>13463</v>
      </c>
      <c r="C4556" t="s">
        <v>13464</v>
      </c>
      <c r="D4556" t="s">
        <v>20</v>
      </c>
      <c r="E4556" t="s">
        <v>11</v>
      </c>
      <c r="F4556">
        <v>30874.602</v>
      </c>
      <c r="G4556">
        <v>18</v>
      </c>
      <c r="L4556" t="s">
        <v>13465</v>
      </c>
    </row>
    <row r="4557" spans="1:12" x14ac:dyDescent="0.25">
      <c r="A4557" t="s">
        <v>18</v>
      </c>
      <c r="B4557" t="s">
        <v>13465</v>
      </c>
      <c r="C4557" t="s">
        <v>13466</v>
      </c>
      <c r="D4557" t="s">
        <v>20</v>
      </c>
      <c r="E4557" t="s">
        <v>11</v>
      </c>
      <c r="F4557">
        <v>46475.087999999996</v>
      </c>
      <c r="G4557">
        <v>18</v>
      </c>
      <c r="L4557" t="s">
        <v>13467</v>
      </c>
    </row>
    <row r="4558" spans="1:12" x14ac:dyDescent="0.25">
      <c r="A4558" t="s">
        <v>18</v>
      </c>
      <c r="B4558" t="s">
        <v>13467</v>
      </c>
      <c r="C4558" t="s">
        <v>13468</v>
      </c>
      <c r="D4558" t="s">
        <v>20</v>
      </c>
      <c r="E4558" t="s">
        <v>11</v>
      </c>
      <c r="F4558">
        <v>46475.087999999996</v>
      </c>
      <c r="G4558">
        <v>18</v>
      </c>
      <c r="L4558" t="s">
        <v>13469</v>
      </c>
    </row>
    <row r="4559" spans="1:12" x14ac:dyDescent="0.25">
      <c r="A4559" t="s">
        <v>18</v>
      </c>
      <c r="B4559" t="s">
        <v>13469</v>
      </c>
      <c r="C4559" t="s">
        <v>13470</v>
      </c>
      <c r="D4559" t="s">
        <v>20</v>
      </c>
      <c r="E4559" t="s">
        <v>11</v>
      </c>
      <c r="F4559">
        <v>41318.442</v>
      </c>
      <c r="G4559">
        <v>18</v>
      </c>
      <c r="L4559" t="s">
        <v>13471</v>
      </c>
    </row>
    <row r="4560" spans="1:12" x14ac:dyDescent="0.25">
      <c r="A4560" t="s">
        <v>18</v>
      </c>
      <c r="B4560" t="s">
        <v>13471</v>
      </c>
      <c r="C4560" t="s">
        <v>13472</v>
      </c>
      <c r="D4560" t="s">
        <v>20</v>
      </c>
      <c r="E4560" t="s">
        <v>11</v>
      </c>
      <c r="F4560">
        <v>41318.442</v>
      </c>
      <c r="G4560">
        <v>18</v>
      </c>
      <c r="L4560" t="s">
        <v>13473</v>
      </c>
    </row>
    <row r="4561" spans="1:12" x14ac:dyDescent="0.25">
      <c r="A4561" t="s">
        <v>18</v>
      </c>
      <c r="B4561" t="s">
        <v>13473</v>
      </c>
      <c r="C4561" t="s">
        <v>13474</v>
      </c>
      <c r="D4561" t="s">
        <v>20</v>
      </c>
      <c r="E4561" t="s">
        <v>11</v>
      </c>
      <c r="F4561">
        <v>41318.442</v>
      </c>
      <c r="G4561">
        <v>18</v>
      </c>
      <c r="L4561" t="s">
        <v>13475</v>
      </c>
    </row>
    <row r="4562" spans="1:12" x14ac:dyDescent="0.25">
      <c r="A4562" t="s">
        <v>18</v>
      </c>
      <c r="B4562" t="s">
        <v>13475</v>
      </c>
      <c r="C4562" t="s">
        <v>13476</v>
      </c>
      <c r="D4562" t="s">
        <v>20</v>
      </c>
      <c r="E4562" t="s">
        <v>11</v>
      </c>
      <c r="F4562">
        <v>30287.136</v>
      </c>
      <c r="G4562">
        <v>18</v>
      </c>
      <c r="L4562" t="s">
        <v>13477</v>
      </c>
    </row>
    <row r="4563" spans="1:12" x14ac:dyDescent="0.25">
      <c r="A4563" t="s">
        <v>18</v>
      </c>
      <c r="B4563" t="s">
        <v>13477</v>
      </c>
      <c r="C4563" t="s">
        <v>13478</v>
      </c>
      <c r="D4563" t="s">
        <v>20</v>
      </c>
      <c r="E4563" t="s">
        <v>11</v>
      </c>
      <c r="F4563">
        <v>2741.508</v>
      </c>
      <c r="G4563">
        <v>18</v>
      </c>
      <c r="L4563" t="s">
        <v>13479</v>
      </c>
    </row>
    <row r="4564" spans="1:12" x14ac:dyDescent="0.25">
      <c r="A4564" t="s">
        <v>18</v>
      </c>
      <c r="B4564" t="s">
        <v>13479</v>
      </c>
      <c r="C4564" t="s">
        <v>13383</v>
      </c>
      <c r="D4564" t="s">
        <v>20</v>
      </c>
      <c r="E4564" t="s">
        <v>11</v>
      </c>
      <c r="F4564">
        <v>20169.665999999997</v>
      </c>
      <c r="G4564">
        <v>18</v>
      </c>
      <c r="L4564" t="s">
        <v>13480</v>
      </c>
    </row>
    <row r="4565" spans="1:12" x14ac:dyDescent="0.25">
      <c r="A4565" t="s">
        <v>18</v>
      </c>
      <c r="B4565" t="s">
        <v>13480</v>
      </c>
      <c r="C4565" t="s">
        <v>13385</v>
      </c>
      <c r="D4565" t="s">
        <v>20</v>
      </c>
      <c r="E4565" t="s">
        <v>11</v>
      </c>
      <c r="F4565">
        <v>22388.982</v>
      </c>
      <c r="G4565">
        <v>18</v>
      </c>
      <c r="L4565" t="s">
        <v>13481</v>
      </c>
    </row>
    <row r="4566" spans="1:12" x14ac:dyDescent="0.25">
      <c r="A4566" t="s">
        <v>18</v>
      </c>
      <c r="B4566" t="s">
        <v>13481</v>
      </c>
      <c r="C4566" t="s">
        <v>13389</v>
      </c>
      <c r="D4566" t="s">
        <v>20</v>
      </c>
      <c r="E4566" t="s">
        <v>11</v>
      </c>
      <c r="F4566">
        <v>31657.890000000003</v>
      </c>
      <c r="G4566">
        <v>18</v>
      </c>
      <c r="L4566" t="s">
        <v>13482</v>
      </c>
    </row>
    <row r="4567" spans="1:12" x14ac:dyDescent="0.25">
      <c r="A4567" t="s">
        <v>18</v>
      </c>
      <c r="B4567" t="s">
        <v>13482</v>
      </c>
      <c r="C4567" t="s">
        <v>13391</v>
      </c>
      <c r="D4567" t="s">
        <v>20</v>
      </c>
      <c r="E4567" t="s">
        <v>11</v>
      </c>
      <c r="F4567">
        <v>43537.758</v>
      </c>
      <c r="G4567">
        <v>18</v>
      </c>
      <c r="L4567" t="s">
        <v>13483</v>
      </c>
    </row>
    <row r="4568" spans="1:12" x14ac:dyDescent="0.25">
      <c r="A4568" t="s">
        <v>18</v>
      </c>
      <c r="B4568" t="s">
        <v>13483</v>
      </c>
      <c r="C4568" t="s">
        <v>13484</v>
      </c>
      <c r="D4568" t="s">
        <v>20</v>
      </c>
      <c r="E4568" t="s">
        <v>11</v>
      </c>
      <c r="F4568">
        <v>41318.442</v>
      </c>
      <c r="G4568">
        <v>18</v>
      </c>
      <c r="L4568" t="s">
        <v>13485</v>
      </c>
    </row>
    <row r="4569" spans="1:12" x14ac:dyDescent="0.25">
      <c r="A4569" t="s">
        <v>18</v>
      </c>
      <c r="B4569" t="s">
        <v>13485</v>
      </c>
      <c r="C4569" t="s">
        <v>13486</v>
      </c>
      <c r="D4569" t="s">
        <v>20</v>
      </c>
      <c r="E4569" t="s">
        <v>11</v>
      </c>
      <c r="F4569">
        <v>41318.442</v>
      </c>
      <c r="G4569">
        <v>18</v>
      </c>
      <c r="L4569" t="s">
        <v>13487</v>
      </c>
    </row>
    <row r="4570" spans="1:12" x14ac:dyDescent="0.25">
      <c r="A4570" t="s">
        <v>18</v>
      </c>
      <c r="B4570" t="s">
        <v>13487</v>
      </c>
      <c r="C4570" t="s">
        <v>13488</v>
      </c>
      <c r="D4570" t="s">
        <v>20</v>
      </c>
      <c r="E4570" t="s">
        <v>11</v>
      </c>
      <c r="F4570">
        <v>41318.442</v>
      </c>
      <c r="G4570">
        <v>18</v>
      </c>
      <c r="L4570" t="s">
        <v>13489</v>
      </c>
    </row>
    <row r="4571" spans="1:12" x14ac:dyDescent="0.25">
      <c r="A4571" t="s">
        <v>18</v>
      </c>
      <c r="B4571" t="s">
        <v>13489</v>
      </c>
      <c r="C4571" t="s">
        <v>13490</v>
      </c>
      <c r="D4571" t="s">
        <v>20</v>
      </c>
      <c r="E4571" t="s">
        <v>11</v>
      </c>
      <c r="F4571">
        <v>30091.314</v>
      </c>
      <c r="G4571">
        <v>18</v>
      </c>
      <c r="L4571" t="s">
        <v>13491</v>
      </c>
    </row>
    <row r="4572" spans="1:12" x14ac:dyDescent="0.25">
      <c r="A4572" t="s">
        <v>18</v>
      </c>
      <c r="B4572" t="s">
        <v>13491</v>
      </c>
      <c r="C4572" t="s">
        <v>13492</v>
      </c>
      <c r="D4572" t="s">
        <v>20</v>
      </c>
      <c r="E4572" t="s">
        <v>11</v>
      </c>
      <c r="F4572">
        <v>13446.444000000001</v>
      </c>
      <c r="G4572">
        <v>18</v>
      </c>
      <c r="L4572" t="s">
        <v>13493</v>
      </c>
    </row>
    <row r="4573" spans="1:12" x14ac:dyDescent="0.25">
      <c r="A4573" t="s">
        <v>18</v>
      </c>
      <c r="B4573" t="s">
        <v>13493</v>
      </c>
      <c r="C4573" t="s">
        <v>13494</v>
      </c>
      <c r="D4573" t="s">
        <v>20</v>
      </c>
      <c r="E4573" t="s">
        <v>11</v>
      </c>
      <c r="F4573">
        <v>7832.88</v>
      </c>
      <c r="G4573">
        <v>18</v>
      </c>
      <c r="L4573" t="s">
        <v>13495</v>
      </c>
    </row>
    <row r="4574" spans="1:12" x14ac:dyDescent="0.25">
      <c r="A4574" t="s">
        <v>18</v>
      </c>
      <c r="B4574" t="s">
        <v>13495</v>
      </c>
      <c r="C4574" t="s">
        <v>13496</v>
      </c>
      <c r="D4574" t="s">
        <v>20</v>
      </c>
      <c r="E4574" t="s">
        <v>11</v>
      </c>
      <c r="F4574">
        <v>25456.859999999997</v>
      </c>
      <c r="G4574">
        <v>18</v>
      </c>
      <c r="L4574" t="s">
        <v>13497</v>
      </c>
    </row>
    <row r="4575" spans="1:12" x14ac:dyDescent="0.25">
      <c r="A4575" t="s">
        <v>18</v>
      </c>
      <c r="B4575" t="s">
        <v>13497</v>
      </c>
      <c r="C4575" t="s">
        <v>13498</v>
      </c>
      <c r="D4575" t="s">
        <v>20</v>
      </c>
      <c r="E4575" t="s">
        <v>11</v>
      </c>
      <c r="F4575">
        <v>39033.852</v>
      </c>
      <c r="G4575">
        <v>18</v>
      </c>
      <c r="L4575" t="s">
        <v>13499</v>
      </c>
    </row>
    <row r="4576" spans="1:12" x14ac:dyDescent="0.25">
      <c r="A4576" t="s">
        <v>18</v>
      </c>
      <c r="B4576" t="s">
        <v>13499</v>
      </c>
      <c r="C4576" t="s">
        <v>13500</v>
      </c>
      <c r="D4576" t="s">
        <v>20</v>
      </c>
      <c r="E4576" t="s">
        <v>11</v>
      </c>
      <c r="F4576">
        <v>12177.395999999999</v>
      </c>
      <c r="G4576">
        <v>18</v>
      </c>
      <c r="L4576" t="s">
        <v>13501</v>
      </c>
    </row>
    <row r="4577" spans="1:12" x14ac:dyDescent="0.25">
      <c r="A4577" t="s">
        <v>18</v>
      </c>
      <c r="B4577" t="s">
        <v>13501</v>
      </c>
      <c r="C4577" t="s">
        <v>13502</v>
      </c>
      <c r="D4577" t="s">
        <v>20</v>
      </c>
      <c r="E4577" t="s">
        <v>11</v>
      </c>
      <c r="F4577">
        <v>5678.838</v>
      </c>
      <c r="G4577">
        <v>18</v>
      </c>
      <c r="L4577" t="s">
        <v>13503</v>
      </c>
    </row>
    <row r="4578" spans="1:12" x14ac:dyDescent="0.25">
      <c r="A4578" t="s">
        <v>18</v>
      </c>
      <c r="B4578" t="s">
        <v>13503</v>
      </c>
      <c r="C4578" t="s">
        <v>13504</v>
      </c>
      <c r="D4578" t="s">
        <v>20</v>
      </c>
      <c r="E4578" t="s">
        <v>11</v>
      </c>
      <c r="F4578">
        <v>30156.588000000003</v>
      </c>
      <c r="G4578">
        <v>18</v>
      </c>
      <c r="L4578" t="s">
        <v>13505</v>
      </c>
    </row>
    <row r="4579" spans="1:12" x14ac:dyDescent="0.25">
      <c r="A4579" t="s">
        <v>18</v>
      </c>
      <c r="B4579" t="s">
        <v>13505</v>
      </c>
      <c r="C4579" t="s">
        <v>13506</v>
      </c>
      <c r="D4579" t="s">
        <v>20</v>
      </c>
      <c r="E4579" t="s">
        <v>11</v>
      </c>
      <c r="F4579">
        <v>15600.486</v>
      </c>
      <c r="G4579">
        <v>18</v>
      </c>
      <c r="L4579" t="s">
        <v>13507</v>
      </c>
    </row>
    <row r="4580" spans="1:12" x14ac:dyDescent="0.25">
      <c r="A4580" t="s">
        <v>18</v>
      </c>
      <c r="B4580" t="s">
        <v>13507</v>
      </c>
      <c r="C4580" t="s">
        <v>13508</v>
      </c>
      <c r="D4580" t="s">
        <v>20</v>
      </c>
      <c r="E4580" t="s">
        <v>11</v>
      </c>
      <c r="F4580">
        <v>14817.197999999999</v>
      </c>
      <c r="G4580">
        <v>18</v>
      </c>
      <c r="L4580" t="s">
        <v>13509</v>
      </c>
    </row>
    <row r="4581" spans="1:12" x14ac:dyDescent="0.25">
      <c r="A4581" t="s">
        <v>18</v>
      </c>
      <c r="B4581" t="s">
        <v>13509</v>
      </c>
      <c r="C4581" t="s">
        <v>13510</v>
      </c>
      <c r="D4581" t="s">
        <v>20</v>
      </c>
      <c r="E4581" t="s">
        <v>11</v>
      </c>
      <c r="F4581">
        <v>81853.59599999999</v>
      </c>
      <c r="G4581">
        <v>18</v>
      </c>
      <c r="L4581" t="s">
        <v>13511</v>
      </c>
    </row>
    <row r="4582" spans="1:12" x14ac:dyDescent="0.25">
      <c r="A4582" t="s">
        <v>18</v>
      </c>
      <c r="B4582" t="s">
        <v>13511</v>
      </c>
      <c r="C4582" t="s">
        <v>13512</v>
      </c>
      <c r="D4582" t="s">
        <v>20</v>
      </c>
      <c r="E4582" t="s">
        <v>11</v>
      </c>
      <c r="F4582">
        <v>13772.814</v>
      </c>
      <c r="G4582">
        <v>18</v>
      </c>
      <c r="L4582" t="s">
        <v>13513</v>
      </c>
    </row>
    <row r="4583" spans="1:12" x14ac:dyDescent="0.25">
      <c r="A4583" t="s">
        <v>18</v>
      </c>
      <c r="B4583" t="s">
        <v>13513</v>
      </c>
      <c r="C4583" t="s">
        <v>13514</v>
      </c>
      <c r="D4583" t="s">
        <v>20</v>
      </c>
      <c r="E4583" t="s">
        <v>11</v>
      </c>
      <c r="F4583">
        <v>12010.416</v>
      </c>
      <c r="G4583">
        <v>18</v>
      </c>
      <c r="L4583" t="s">
        <v>13515</v>
      </c>
    </row>
    <row r="4584" spans="1:12" x14ac:dyDescent="0.25">
      <c r="A4584" t="s">
        <v>18</v>
      </c>
      <c r="B4584" t="s">
        <v>13515</v>
      </c>
      <c r="C4584" t="s">
        <v>13516</v>
      </c>
      <c r="D4584" t="s">
        <v>20</v>
      </c>
      <c r="E4584" t="s">
        <v>11</v>
      </c>
      <c r="F4584">
        <v>7245.414</v>
      </c>
      <c r="G4584">
        <v>18</v>
      </c>
      <c r="L4584" t="s">
        <v>13517</v>
      </c>
    </row>
    <row r="4585" spans="1:12" x14ac:dyDescent="0.25">
      <c r="A4585" t="s">
        <v>18</v>
      </c>
      <c r="B4585" t="s">
        <v>13517</v>
      </c>
      <c r="C4585" t="s">
        <v>13518</v>
      </c>
      <c r="D4585" t="s">
        <v>20</v>
      </c>
      <c r="E4585" t="s">
        <v>11</v>
      </c>
      <c r="F4585">
        <v>9334.181999999999</v>
      </c>
      <c r="G4585">
        <v>18</v>
      </c>
      <c r="L4585" t="s">
        <v>13519</v>
      </c>
    </row>
    <row r="4586" spans="1:12" x14ac:dyDescent="0.25">
      <c r="A4586" t="s">
        <v>18</v>
      </c>
      <c r="B4586" t="s">
        <v>13519</v>
      </c>
      <c r="C4586" t="s">
        <v>13520</v>
      </c>
      <c r="D4586" t="s">
        <v>20</v>
      </c>
      <c r="E4586" t="s">
        <v>11</v>
      </c>
      <c r="F4586">
        <v>1697.1239999999998</v>
      </c>
      <c r="G4586">
        <v>18</v>
      </c>
      <c r="L4586" t="s">
        <v>13521</v>
      </c>
    </row>
    <row r="4587" spans="1:12" x14ac:dyDescent="0.25">
      <c r="A4587" t="s">
        <v>18</v>
      </c>
      <c r="B4587" t="s">
        <v>13521</v>
      </c>
      <c r="C4587" t="s">
        <v>13522</v>
      </c>
      <c r="D4587" t="s">
        <v>20</v>
      </c>
      <c r="E4587" t="s">
        <v>11</v>
      </c>
      <c r="F4587">
        <v>35900.7</v>
      </c>
      <c r="G4587">
        <v>18</v>
      </c>
      <c r="L4587" t="s">
        <v>13523</v>
      </c>
    </row>
    <row r="4588" spans="1:12" x14ac:dyDescent="0.25">
      <c r="A4588" t="s">
        <v>18</v>
      </c>
      <c r="B4588" t="s">
        <v>13523</v>
      </c>
      <c r="C4588" t="s">
        <v>13524</v>
      </c>
      <c r="D4588" t="s">
        <v>20</v>
      </c>
      <c r="E4588" t="s">
        <v>11</v>
      </c>
      <c r="F4588">
        <v>35900.7</v>
      </c>
      <c r="G4588">
        <v>18</v>
      </c>
      <c r="L4588" t="s">
        <v>13525</v>
      </c>
    </row>
    <row r="4589" spans="1:12" x14ac:dyDescent="0.25">
      <c r="A4589" t="s">
        <v>18</v>
      </c>
      <c r="B4589" t="s">
        <v>13525</v>
      </c>
      <c r="C4589" t="s">
        <v>13526</v>
      </c>
      <c r="D4589" t="s">
        <v>20</v>
      </c>
      <c r="E4589" t="s">
        <v>11</v>
      </c>
      <c r="F4589">
        <v>31070.423999999995</v>
      </c>
      <c r="G4589">
        <v>18</v>
      </c>
      <c r="L4589" t="s">
        <v>13527</v>
      </c>
    </row>
    <row r="4590" spans="1:12" x14ac:dyDescent="0.25">
      <c r="A4590" t="s">
        <v>18</v>
      </c>
      <c r="B4590" t="s">
        <v>13527</v>
      </c>
      <c r="C4590" t="s">
        <v>13528</v>
      </c>
      <c r="D4590" t="s">
        <v>20</v>
      </c>
      <c r="E4590" t="s">
        <v>11</v>
      </c>
      <c r="F4590">
        <v>22911.173999999995</v>
      </c>
      <c r="G4590">
        <v>18</v>
      </c>
      <c r="L4590" t="s">
        <v>13529</v>
      </c>
    </row>
    <row r="4591" spans="1:12" x14ac:dyDescent="0.25">
      <c r="A4591" t="s">
        <v>18</v>
      </c>
      <c r="B4591" t="s">
        <v>13529</v>
      </c>
      <c r="C4591" t="s">
        <v>13530</v>
      </c>
      <c r="D4591" t="s">
        <v>20</v>
      </c>
      <c r="E4591" t="s">
        <v>11</v>
      </c>
      <c r="F4591">
        <v>25391.586</v>
      </c>
      <c r="G4591">
        <v>18</v>
      </c>
      <c r="L4591" t="s">
        <v>13531</v>
      </c>
    </row>
    <row r="4592" spans="1:12" x14ac:dyDescent="0.25">
      <c r="A4592" t="s">
        <v>18</v>
      </c>
      <c r="B4592" t="s">
        <v>13531</v>
      </c>
      <c r="C4592" t="s">
        <v>13532</v>
      </c>
      <c r="D4592" t="s">
        <v>20</v>
      </c>
      <c r="E4592" t="s">
        <v>11</v>
      </c>
      <c r="F4592">
        <v>36096.522</v>
      </c>
      <c r="G4592">
        <v>18</v>
      </c>
      <c r="L4592" t="s">
        <v>13533</v>
      </c>
    </row>
    <row r="4593" spans="1:12" x14ac:dyDescent="0.25">
      <c r="A4593" t="s">
        <v>18</v>
      </c>
      <c r="B4593" t="s">
        <v>13533</v>
      </c>
      <c r="C4593" t="s">
        <v>13534</v>
      </c>
      <c r="D4593" t="s">
        <v>20</v>
      </c>
      <c r="E4593" t="s">
        <v>11</v>
      </c>
      <c r="F4593">
        <v>23172.27</v>
      </c>
      <c r="G4593">
        <v>18</v>
      </c>
      <c r="L4593" t="s">
        <v>13535</v>
      </c>
    </row>
    <row r="4594" spans="1:12" x14ac:dyDescent="0.25">
      <c r="A4594" t="s">
        <v>18</v>
      </c>
      <c r="B4594" t="s">
        <v>13535</v>
      </c>
      <c r="C4594" t="s">
        <v>13536</v>
      </c>
      <c r="D4594" t="s">
        <v>20</v>
      </c>
      <c r="E4594" t="s">
        <v>11</v>
      </c>
      <c r="F4594">
        <v>38838.030000000006</v>
      </c>
      <c r="G4594">
        <v>18</v>
      </c>
      <c r="L4594" t="s">
        <v>13537</v>
      </c>
    </row>
    <row r="4595" spans="1:12" x14ac:dyDescent="0.25">
      <c r="A4595" t="s">
        <v>18</v>
      </c>
      <c r="B4595" t="s">
        <v>13537</v>
      </c>
      <c r="C4595" t="s">
        <v>13538</v>
      </c>
      <c r="D4595" t="s">
        <v>20</v>
      </c>
      <c r="E4595" t="s">
        <v>11</v>
      </c>
      <c r="F4595">
        <v>4242.8099999999995</v>
      </c>
      <c r="G4595">
        <v>18</v>
      </c>
      <c r="L4595" t="s">
        <v>13539</v>
      </c>
    </row>
    <row r="4596" spans="1:12" x14ac:dyDescent="0.25">
      <c r="A4596" t="s">
        <v>18</v>
      </c>
      <c r="B4596" t="s">
        <v>13539</v>
      </c>
      <c r="C4596" t="s">
        <v>13540</v>
      </c>
      <c r="D4596" t="s">
        <v>20</v>
      </c>
      <c r="E4596" t="s">
        <v>11</v>
      </c>
      <c r="F4596">
        <v>8355.072</v>
      </c>
      <c r="G4596">
        <v>18</v>
      </c>
      <c r="L4596" t="s">
        <v>13541</v>
      </c>
    </row>
    <row r="4597" spans="1:12" x14ac:dyDescent="0.25">
      <c r="A4597" t="s">
        <v>18</v>
      </c>
      <c r="B4597" t="s">
        <v>13541</v>
      </c>
      <c r="C4597" t="s">
        <v>13542</v>
      </c>
      <c r="D4597" t="s">
        <v>20</v>
      </c>
      <c r="E4597" t="s">
        <v>11</v>
      </c>
      <c r="F4597">
        <v>15992.13</v>
      </c>
      <c r="G4597">
        <v>18</v>
      </c>
      <c r="L4597" t="s">
        <v>13543</v>
      </c>
    </row>
    <row r="4598" spans="1:12" x14ac:dyDescent="0.25">
      <c r="A4598" t="s">
        <v>18</v>
      </c>
      <c r="B4598" t="s">
        <v>13543</v>
      </c>
      <c r="C4598" t="s">
        <v>13544</v>
      </c>
      <c r="D4598" t="s">
        <v>20</v>
      </c>
      <c r="E4598" t="s">
        <v>11</v>
      </c>
      <c r="F4598">
        <v>15992.13</v>
      </c>
      <c r="G4598">
        <v>18</v>
      </c>
      <c r="L4598" t="s">
        <v>13545</v>
      </c>
    </row>
    <row r="4599" spans="1:12" x14ac:dyDescent="0.25">
      <c r="A4599" t="s">
        <v>18</v>
      </c>
      <c r="B4599" t="s">
        <v>13545</v>
      </c>
      <c r="C4599" t="s">
        <v>13546</v>
      </c>
      <c r="D4599" t="s">
        <v>20</v>
      </c>
      <c r="E4599" t="s">
        <v>11</v>
      </c>
      <c r="F4599">
        <v>15992.13</v>
      </c>
      <c r="G4599">
        <v>18</v>
      </c>
      <c r="L4599" t="s">
        <v>13547</v>
      </c>
    </row>
    <row r="4600" spans="1:12" x14ac:dyDescent="0.25">
      <c r="A4600" t="s">
        <v>18</v>
      </c>
      <c r="B4600" t="s">
        <v>13547</v>
      </c>
      <c r="C4600" t="s">
        <v>13548</v>
      </c>
      <c r="D4600" t="s">
        <v>20</v>
      </c>
      <c r="E4600" t="s">
        <v>11</v>
      </c>
      <c r="F4600">
        <v>15992.13</v>
      </c>
      <c r="G4600">
        <v>18</v>
      </c>
      <c r="L4600" t="s">
        <v>13549</v>
      </c>
    </row>
    <row r="4601" spans="1:12" x14ac:dyDescent="0.25">
      <c r="A4601" t="s">
        <v>18</v>
      </c>
      <c r="B4601" t="s">
        <v>13549</v>
      </c>
      <c r="C4601" t="s">
        <v>13550</v>
      </c>
      <c r="D4601" t="s">
        <v>20</v>
      </c>
      <c r="E4601" t="s">
        <v>11</v>
      </c>
      <c r="F4601">
        <v>15992.13</v>
      </c>
      <c r="G4601">
        <v>18</v>
      </c>
      <c r="L4601" t="s">
        <v>13551</v>
      </c>
    </row>
    <row r="4602" spans="1:12" x14ac:dyDescent="0.25">
      <c r="A4602" t="s">
        <v>18</v>
      </c>
      <c r="B4602" t="s">
        <v>13551</v>
      </c>
      <c r="C4602" t="s">
        <v>13552</v>
      </c>
      <c r="D4602" t="s">
        <v>20</v>
      </c>
      <c r="E4602" t="s">
        <v>11</v>
      </c>
      <c r="F4602">
        <v>15992.13</v>
      </c>
      <c r="G4602">
        <v>18</v>
      </c>
      <c r="L4602" t="s">
        <v>13553</v>
      </c>
    </row>
    <row r="4603" spans="1:12" x14ac:dyDescent="0.25">
      <c r="A4603" t="s">
        <v>18</v>
      </c>
      <c r="B4603" t="s">
        <v>13553</v>
      </c>
      <c r="C4603" t="s">
        <v>13554</v>
      </c>
      <c r="D4603" t="s">
        <v>20</v>
      </c>
      <c r="E4603" t="s">
        <v>11</v>
      </c>
      <c r="F4603">
        <v>15992.13</v>
      </c>
      <c r="G4603">
        <v>18</v>
      </c>
      <c r="L4603" t="s">
        <v>13555</v>
      </c>
    </row>
    <row r="4604" spans="1:12" x14ac:dyDescent="0.25">
      <c r="A4604" t="s">
        <v>18</v>
      </c>
      <c r="B4604" t="s">
        <v>13555</v>
      </c>
      <c r="C4604" t="s">
        <v>13556</v>
      </c>
      <c r="D4604" t="s">
        <v>20</v>
      </c>
      <c r="E4604" t="s">
        <v>11</v>
      </c>
      <c r="F4604">
        <v>15992.13</v>
      </c>
      <c r="G4604">
        <v>18</v>
      </c>
      <c r="L4604" t="s">
        <v>13557</v>
      </c>
    </row>
    <row r="4605" spans="1:12" x14ac:dyDescent="0.25">
      <c r="A4605" t="s">
        <v>18</v>
      </c>
      <c r="B4605" t="s">
        <v>13557</v>
      </c>
      <c r="C4605" t="s">
        <v>13558</v>
      </c>
      <c r="D4605" t="s">
        <v>20</v>
      </c>
      <c r="E4605" t="s">
        <v>11</v>
      </c>
      <c r="F4605">
        <v>15992.13</v>
      </c>
      <c r="G4605">
        <v>18</v>
      </c>
      <c r="L4605" t="s">
        <v>13559</v>
      </c>
    </row>
    <row r="4606" spans="1:12" x14ac:dyDescent="0.25">
      <c r="A4606" t="s">
        <v>18</v>
      </c>
      <c r="B4606" t="s">
        <v>13559</v>
      </c>
      <c r="C4606" t="s">
        <v>13560</v>
      </c>
      <c r="D4606" t="s">
        <v>20</v>
      </c>
      <c r="E4606" t="s">
        <v>11</v>
      </c>
      <c r="F4606">
        <v>18341.994000000002</v>
      </c>
      <c r="G4606">
        <v>18</v>
      </c>
      <c r="L4606" t="s">
        <v>13561</v>
      </c>
    </row>
    <row r="4607" spans="1:12" x14ac:dyDescent="0.25">
      <c r="A4607" t="s">
        <v>18</v>
      </c>
      <c r="B4607" t="s">
        <v>13561</v>
      </c>
      <c r="C4607" t="s">
        <v>13562</v>
      </c>
      <c r="D4607" t="s">
        <v>20</v>
      </c>
      <c r="E4607" t="s">
        <v>11</v>
      </c>
      <c r="F4607">
        <v>18341.994000000002</v>
      </c>
      <c r="G4607">
        <v>18</v>
      </c>
      <c r="L4607" t="s">
        <v>13563</v>
      </c>
    </row>
    <row r="4608" spans="1:12" x14ac:dyDescent="0.25">
      <c r="A4608" t="s">
        <v>18</v>
      </c>
      <c r="B4608" t="s">
        <v>13563</v>
      </c>
      <c r="C4608" t="s">
        <v>13564</v>
      </c>
      <c r="D4608" t="s">
        <v>20</v>
      </c>
      <c r="E4608" t="s">
        <v>11</v>
      </c>
      <c r="F4608">
        <v>18341.994000000002</v>
      </c>
      <c r="G4608">
        <v>18</v>
      </c>
      <c r="L4608" t="s">
        <v>13565</v>
      </c>
    </row>
    <row r="4609" spans="1:12" x14ac:dyDescent="0.25">
      <c r="A4609" t="s">
        <v>18</v>
      </c>
      <c r="B4609" t="s">
        <v>13565</v>
      </c>
      <c r="C4609" t="s">
        <v>13566</v>
      </c>
      <c r="D4609" t="s">
        <v>20</v>
      </c>
      <c r="E4609" t="s">
        <v>11</v>
      </c>
      <c r="F4609">
        <v>18341.994000000002</v>
      </c>
      <c r="G4609">
        <v>18</v>
      </c>
      <c r="L4609" t="s">
        <v>13567</v>
      </c>
    </row>
    <row r="4610" spans="1:12" x14ac:dyDescent="0.25">
      <c r="A4610" t="s">
        <v>18</v>
      </c>
      <c r="B4610" t="s">
        <v>13567</v>
      </c>
      <c r="C4610" t="s">
        <v>13568</v>
      </c>
      <c r="D4610" t="s">
        <v>20</v>
      </c>
      <c r="E4610" t="s">
        <v>11</v>
      </c>
      <c r="F4610">
        <v>18341.994000000002</v>
      </c>
      <c r="G4610">
        <v>18</v>
      </c>
      <c r="L4610" t="s">
        <v>13569</v>
      </c>
    </row>
    <row r="4611" spans="1:12" x14ac:dyDescent="0.25">
      <c r="A4611" t="s">
        <v>18</v>
      </c>
      <c r="B4611" t="s">
        <v>13569</v>
      </c>
      <c r="C4611" t="s">
        <v>13570</v>
      </c>
      <c r="D4611" t="s">
        <v>20</v>
      </c>
      <c r="E4611" t="s">
        <v>11</v>
      </c>
      <c r="F4611">
        <v>18341.994000000002</v>
      </c>
      <c r="G4611">
        <v>18</v>
      </c>
      <c r="L4611" t="s">
        <v>13571</v>
      </c>
    </row>
    <row r="4612" spans="1:12" x14ac:dyDescent="0.25">
      <c r="A4612" t="s">
        <v>18</v>
      </c>
      <c r="B4612" t="s">
        <v>13571</v>
      </c>
      <c r="C4612" t="s">
        <v>13572</v>
      </c>
      <c r="D4612" t="s">
        <v>20</v>
      </c>
      <c r="E4612" t="s">
        <v>11</v>
      </c>
      <c r="F4612">
        <v>18341.994000000002</v>
      </c>
      <c r="G4612">
        <v>18</v>
      </c>
      <c r="L4612" t="s">
        <v>13573</v>
      </c>
    </row>
    <row r="4613" spans="1:12" x14ac:dyDescent="0.25">
      <c r="A4613" t="s">
        <v>18</v>
      </c>
      <c r="B4613" t="s">
        <v>13573</v>
      </c>
      <c r="C4613" t="s">
        <v>13574</v>
      </c>
      <c r="D4613" t="s">
        <v>20</v>
      </c>
      <c r="E4613" t="s">
        <v>11</v>
      </c>
      <c r="F4613">
        <v>18341.994000000002</v>
      </c>
      <c r="G4613">
        <v>18</v>
      </c>
      <c r="L4613" t="s">
        <v>13575</v>
      </c>
    </row>
    <row r="4614" spans="1:12" x14ac:dyDescent="0.25">
      <c r="A4614" t="s">
        <v>18</v>
      </c>
      <c r="B4614" t="s">
        <v>13575</v>
      </c>
      <c r="C4614" t="s">
        <v>13576</v>
      </c>
      <c r="D4614" t="s">
        <v>20</v>
      </c>
      <c r="E4614" t="s">
        <v>11</v>
      </c>
      <c r="F4614">
        <v>18341.994000000002</v>
      </c>
      <c r="G4614">
        <v>18</v>
      </c>
      <c r="L4614" t="s">
        <v>13577</v>
      </c>
    </row>
    <row r="4615" spans="1:12" x14ac:dyDescent="0.25">
      <c r="A4615" t="s">
        <v>18</v>
      </c>
      <c r="B4615" t="s">
        <v>13577</v>
      </c>
      <c r="C4615" t="s">
        <v>13578</v>
      </c>
      <c r="D4615" t="s">
        <v>20</v>
      </c>
      <c r="E4615" t="s">
        <v>11</v>
      </c>
      <c r="F4615">
        <v>19386.378</v>
      </c>
      <c r="G4615">
        <v>18</v>
      </c>
      <c r="L4615" t="s">
        <v>13579</v>
      </c>
    </row>
    <row r="4616" spans="1:12" x14ac:dyDescent="0.25">
      <c r="A4616" t="s">
        <v>18</v>
      </c>
      <c r="B4616" t="s">
        <v>13579</v>
      </c>
      <c r="C4616" t="s">
        <v>13580</v>
      </c>
      <c r="D4616" t="s">
        <v>20</v>
      </c>
      <c r="E4616" t="s">
        <v>11</v>
      </c>
      <c r="F4616">
        <v>19386.378</v>
      </c>
      <c r="G4616">
        <v>18</v>
      </c>
      <c r="L4616" t="s">
        <v>13581</v>
      </c>
    </row>
    <row r="4617" spans="1:12" x14ac:dyDescent="0.25">
      <c r="A4617" t="s">
        <v>18</v>
      </c>
      <c r="B4617" t="s">
        <v>13581</v>
      </c>
      <c r="C4617" t="s">
        <v>13582</v>
      </c>
      <c r="D4617" t="s">
        <v>20</v>
      </c>
      <c r="E4617" t="s">
        <v>11</v>
      </c>
      <c r="F4617">
        <v>19386.378</v>
      </c>
      <c r="G4617">
        <v>18</v>
      </c>
      <c r="L4617" t="s">
        <v>13583</v>
      </c>
    </row>
    <row r="4618" spans="1:12" x14ac:dyDescent="0.25">
      <c r="A4618" t="s">
        <v>18</v>
      </c>
      <c r="B4618" t="s">
        <v>13583</v>
      </c>
      <c r="C4618" t="s">
        <v>13584</v>
      </c>
      <c r="D4618" t="s">
        <v>20</v>
      </c>
      <c r="E4618" t="s">
        <v>11</v>
      </c>
      <c r="F4618">
        <v>19386.378</v>
      </c>
      <c r="G4618">
        <v>18</v>
      </c>
      <c r="L4618" t="s">
        <v>13585</v>
      </c>
    </row>
    <row r="4619" spans="1:12" x14ac:dyDescent="0.25">
      <c r="A4619" t="s">
        <v>18</v>
      </c>
      <c r="B4619" t="s">
        <v>13585</v>
      </c>
      <c r="C4619" t="s">
        <v>13586</v>
      </c>
      <c r="D4619" t="s">
        <v>20</v>
      </c>
      <c r="E4619" t="s">
        <v>11</v>
      </c>
      <c r="F4619">
        <v>19386.378</v>
      </c>
      <c r="G4619">
        <v>18</v>
      </c>
      <c r="L4619" t="s">
        <v>13587</v>
      </c>
    </row>
    <row r="4620" spans="1:12" x14ac:dyDescent="0.25">
      <c r="A4620" t="s">
        <v>18</v>
      </c>
      <c r="B4620" t="s">
        <v>13587</v>
      </c>
      <c r="C4620" t="s">
        <v>13588</v>
      </c>
      <c r="D4620" t="s">
        <v>20</v>
      </c>
      <c r="E4620" t="s">
        <v>11</v>
      </c>
      <c r="F4620">
        <v>19386.378</v>
      </c>
      <c r="G4620">
        <v>18</v>
      </c>
      <c r="L4620" t="s">
        <v>13589</v>
      </c>
    </row>
    <row r="4621" spans="1:12" x14ac:dyDescent="0.25">
      <c r="A4621" t="s">
        <v>18</v>
      </c>
      <c r="B4621" t="s">
        <v>13589</v>
      </c>
      <c r="C4621" t="s">
        <v>13590</v>
      </c>
      <c r="D4621" t="s">
        <v>20</v>
      </c>
      <c r="E4621" t="s">
        <v>11</v>
      </c>
      <c r="F4621">
        <v>19386.378</v>
      </c>
      <c r="G4621">
        <v>18</v>
      </c>
      <c r="L4621" t="s">
        <v>13591</v>
      </c>
    </row>
    <row r="4622" spans="1:12" x14ac:dyDescent="0.25">
      <c r="A4622" t="s">
        <v>18</v>
      </c>
      <c r="B4622" t="s">
        <v>13591</v>
      </c>
      <c r="C4622" t="s">
        <v>13592</v>
      </c>
      <c r="D4622" t="s">
        <v>20</v>
      </c>
      <c r="E4622" t="s">
        <v>11</v>
      </c>
      <c r="F4622">
        <v>19386.378</v>
      </c>
      <c r="G4622">
        <v>18</v>
      </c>
      <c r="L4622" t="s">
        <v>13593</v>
      </c>
    </row>
    <row r="4623" spans="1:12" x14ac:dyDescent="0.25">
      <c r="A4623" t="s">
        <v>18</v>
      </c>
      <c r="B4623" t="s">
        <v>13593</v>
      </c>
      <c r="C4623" t="s">
        <v>13594</v>
      </c>
      <c r="D4623" t="s">
        <v>20</v>
      </c>
      <c r="E4623" t="s">
        <v>11</v>
      </c>
      <c r="F4623">
        <v>21018.228</v>
      </c>
      <c r="G4623">
        <v>18</v>
      </c>
      <c r="L4623" t="s">
        <v>13595</v>
      </c>
    </row>
    <row r="4624" spans="1:12" x14ac:dyDescent="0.25">
      <c r="A4624" t="s">
        <v>18</v>
      </c>
      <c r="B4624" t="s">
        <v>13595</v>
      </c>
      <c r="C4624" t="s">
        <v>13596</v>
      </c>
      <c r="D4624" t="s">
        <v>20</v>
      </c>
      <c r="E4624" t="s">
        <v>11</v>
      </c>
      <c r="F4624">
        <v>21018.228</v>
      </c>
      <c r="G4624">
        <v>18</v>
      </c>
      <c r="L4624" t="s">
        <v>13597</v>
      </c>
    </row>
    <row r="4625" spans="1:12" x14ac:dyDescent="0.25">
      <c r="A4625" t="s">
        <v>18</v>
      </c>
      <c r="B4625" t="s">
        <v>13597</v>
      </c>
      <c r="C4625" t="s">
        <v>13598</v>
      </c>
      <c r="D4625" t="s">
        <v>20</v>
      </c>
      <c r="E4625" t="s">
        <v>11</v>
      </c>
      <c r="F4625">
        <v>21018.228</v>
      </c>
      <c r="G4625">
        <v>18</v>
      </c>
      <c r="L4625" t="s">
        <v>13599</v>
      </c>
    </row>
    <row r="4626" spans="1:12" x14ac:dyDescent="0.25">
      <c r="A4626" t="s">
        <v>18</v>
      </c>
      <c r="B4626" t="s">
        <v>13599</v>
      </c>
      <c r="C4626" t="s">
        <v>13600</v>
      </c>
      <c r="D4626" t="s">
        <v>20</v>
      </c>
      <c r="E4626" t="s">
        <v>11</v>
      </c>
      <c r="F4626">
        <v>21018.228</v>
      </c>
      <c r="G4626">
        <v>18</v>
      </c>
      <c r="L4626" t="s">
        <v>13601</v>
      </c>
    </row>
    <row r="4627" spans="1:12" x14ac:dyDescent="0.25">
      <c r="A4627" t="s">
        <v>18</v>
      </c>
      <c r="B4627" t="s">
        <v>13601</v>
      </c>
      <c r="C4627" t="s">
        <v>13602</v>
      </c>
      <c r="D4627" t="s">
        <v>20</v>
      </c>
      <c r="E4627" t="s">
        <v>11</v>
      </c>
      <c r="F4627">
        <v>21018.228</v>
      </c>
      <c r="G4627">
        <v>18</v>
      </c>
      <c r="L4627" t="s">
        <v>13603</v>
      </c>
    </row>
    <row r="4628" spans="1:12" x14ac:dyDescent="0.25">
      <c r="A4628" t="s">
        <v>18</v>
      </c>
      <c r="B4628" t="s">
        <v>13603</v>
      </c>
      <c r="C4628" t="s">
        <v>13604</v>
      </c>
      <c r="D4628" t="s">
        <v>20</v>
      </c>
      <c r="E4628" t="s">
        <v>11</v>
      </c>
      <c r="F4628">
        <v>21018.228</v>
      </c>
      <c r="G4628">
        <v>18</v>
      </c>
      <c r="L4628" t="s">
        <v>13605</v>
      </c>
    </row>
    <row r="4629" spans="1:12" x14ac:dyDescent="0.25">
      <c r="A4629" t="s">
        <v>18</v>
      </c>
      <c r="B4629" t="s">
        <v>13605</v>
      </c>
      <c r="C4629" t="s">
        <v>13606</v>
      </c>
      <c r="D4629" t="s">
        <v>20</v>
      </c>
      <c r="E4629" t="s">
        <v>11</v>
      </c>
      <c r="F4629">
        <v>21018.228</v>
      </c>
      <c r="G4629">
        <v>18</v>
      </c>
      <c r="L4629" t="s">
        <v>13607</v>
      </c>
    </row>
    <row r="4630" spans="1:12" x14ac:dyDescent="0.25">
      <c r="A4630" t="s">
        <v>18</v>
      </c>
      <c r="B4630" t="s">
        <v>13607</v>
      </c>
      <c r="C4630" t="s">
        <v>13608</v>
      </c>
      <c r="D4630" t="s">
        <v>20</v>
      </c>
      <c r="E4630" t="s">
        <v>11</v>
      </c>
      <c r="F4630">
        <v>21018.228</v>
      </c>
      <c r="G4630">
        <v>18</v>
      </c>
      <c r="L4630" t="s">
        <v>13609</v>
      </c>
    </row>
    <row r="4631" spans="1:12" x14ac:dyDescent="0.25">
      <c r="A4631" t="s">
        <v>18</v>
      </c>
      <c r="B4631" t="s">
        <v>13609</v>
      </c>
      <c r="C4631" t="s">
        <v>13610</v>
      </c>
      <c r="D4631" t="s">
        <v>20</v>
      </c>
      <c r="E4631" t="s">
        <v>11</v>
      </c>
      <c r="F4631">
        <v>21605.693999999996</v>
      </c>
      <c r="G4631">
        <v>18</v>
      </c>
      <c r="L4631" t="s">
        <v>13611</v>
      </c>
    </row>
    <row r="4632" spans="1:12" x14ac:dyDescent="0.25">
      <c r="A4632" t="s">
        <v>18</v>
      </c>
      <c r="B4632" t="s">
        <v>13611</v>
      </c>
      <c r="C4632" t="s">
        <v>13612</v>
      </c>
      <c r="D4632" t="s">
        <v>20</v>
      </c>
      <c r="E4632" t="s">
        <v>11</v>
      </c>
      <c r="F4632">
        <v>21605.693999999996</v>
      </c>
      <c r="G4632">
        <v>18</v>
      </c>
      <c r="L4632" t="s">
        <v>13613</v>
      </c>
    </row>
    <row r="4633" spans="1:12" x14ac:dyDescent="0.25">
      <c r="A4633" t="s">
        <v>18</v>
      </c>
      <c r="B4633" t="s">
        <v>13613</v>
      </c>
      <c r="C4633" t="s">
        <v>13614</v>
      </c>
      <c r="D4633" t="s">
        <v>20</v>
      </c>
      <c r="E4633" t="s">
        <v>11</v>
      </c>
      <c r="F4633">
        <v>21605.693999999996</v>
      </c>
      <c r="G4633">
        <v>18</v>
      </c>
      <c r="L4633" t="s">
        <v>13615</v>
      </c>
    </row>
    <row r="4634" spans="1:12" x14ac:dyDescent="0.25">
      <c r="A4634" t="s">
        <v>18</v>
      </c>
      <c r="B4634" t="s">
        <v>13615</v>
      </c>
      <c r="C4634" t="s">
        <v>13616</v>
      </c>
      <c r="D4634" t="s">
        <v>20</v>
      </c>
      <c r="E4634" t="s">
        <v>11</v>
      </c>
      <c r="F4634">
        <v>21605.693999999996</v>
      </c>
      <c r="G4634">
        <v>18</v>
      </c>
      <c r="L4634" t="s">
        <v>13617</v>
      </c>
    </row>
    <row r="4635" spans="1:12" x14ac:dyDescent="0.25">
      <c r="A4635" t="s">
        <v>18</v>
      </c>
      <c r="B4635" t="s">
        <v>13617</v>
      </c>
      <c r="C4635" t="s">
        <v>13618</v>
      </c>
      <c r="D4635" t="s">
        <v>20</v>
      </c>
      <c r="E4635" t="s">
        <v>11</v>
      </c>
      <c r="F4635">
        <v>21605.693999999996</v>
      </c>
      <c r="G4635">
        <v>18</v>
      </c>
      <c r="L4635" t="s">
        <v>13619</v>
      </c>
    </row>
    <row r="4636" spans="1:12" x14ac:dyDescent="0.25">
      <c r="A4636" t="s">
        <v>18</v>
      </c>
      <c r="B4636" t="s">
        <v>13619</v>
      </c>
      <c r="C4636" t="s">
        <v>13620</v>
      </c>
      <c r="D4636" t="s">
        <v>20</v>
      </c>
      <c r="E4636" t="s">
        <v>11</v>
      </c>
      <c r="F4636">
        <v>21605.693999999996</v>
      </c>
      <c r="G4636">
        <v>18</v>
      </c>
      <c r="L4636" t="s">
        <v>13621</v>
      </c>
    </row>
    <row r="4637" spans="1:12" x14ac:dyDescent="0.25">
      <c r="A4637" t="s">
        <v>18</v>
      </c>
      <c r="B4637" t="s">
        <v>13621</v>
      </c>
      <c r="C4637" t="s">
        <v>13622</v>
      </c>
      <c r="D4637" t="s">
        <v>20</v>
      </c>
      <c r="E4637" t="s">
        <v>11</v>
      </c>
      <c r="F4637">
        <v>21605.693999999996</v>
      </c>
      <c r="G4637">
        <v>18</v>
      </c>
      <c r="L4637" t="s">
        <v>13623</v>
      </c>
    </row>
    <row r="4638" spans="1:12" x14ac:dyDescent="0.25">
      <c r="A4638" t="s">
        <v>18</v>
      </c>
      <c r="B4638" t="s">
        <v>13623</v>
      </c>
      <c r="C4638" t="s">
        <v>13624</v>
      </c>
      <c r="D4638" t="s">
        <v>20</v>
      </c>
      <c r="E4638" t="s">
        <v>11</v>
      </c>
      <c r="F4638">
        <v>21605.693999999996</v>
      </c>
      <c r="G4638">
        <v>18</v>
      </c>
      <c r="L4638" t="s">
        <v>13625</v>
      </c>
    </row>
    <row r="4639" spans="1:12" x14ac:dyDescent="0.25">
      <c r="A4639" t="s">
        <v>18</v>
      </c>
      <c r="B4639" t="s">
        <v>13625</v>
      </c>
      <c r="C4639" t="s">
        <v>13626</v>
      </c>
      <c r="D4639" t="s">
        <v>20</v>
      </c>
      <c r="E4639" t="s">
        <v>11</v>
      </c>
      <c r="F4639">
        <v>38511.659999999996</v>
      </c>
      <c r="G4639">
        <v>18</v>
      </c>
      <c r="L4639" t="s">
        <v>13627</v>
      </c>
    </row>
    <row r="4640" spans="1:12" x14ac:dyDescent="0.25">
      <c r="A4640" t="s">
        <v>18</v>
      </c>
      <c r="B4640" t="s">
        <v>13627</v>
      </c>
      <c r="C4640" t="s">
        <v>13628</v>
      </c>
      <c r="D4640" t="s">
        <v>20</v>
      </c>
      <c r="E4640" t="s">
        <v>11</v>
      </c>
      <c r="F4640">
        <v>25261.038</v>
      </c>
      <c r="G4640">
        <v>18</v>
      </c>
      <c r="L4640" t="s">
        <v>13629</v>
      </c>
    </row>
    <row r="4641" spans="1:12" x14ac:dyDescent="0.25">
      <c r="A4641" t="s">
        <v>18</v>
      </c>
      <c r="B4641" t="s">
        <v>13629</v>
      </c>
      <c r="C4641" t="s">
        <v>13630</v>
      </c>
      <c r="D4641" t="s">
        <v>20</v>
      </c>
      <c r="E4641" t="s">
        <v>11</v>
      </c>
      <c r="F4641">
        <v>25261.038</v>
      </c>
      <c r="G4641">
        <v>18</v>
      </c>
      <c r="L4641" t="s">
        <v>13631</v>
      </c>
    </row>
    <row r="4642" spans="1:12" x14ac:dyDescent="0.25">
      <c r="A4642" t="s">
        <v>18</v>
      </c>
      <c r="B4642" t="s">
        <v>13631</v>
      </c>
      <c r="C4642" t="s">
        <v>13632</v>
      </c>
      <c r="D4642" t="s">
        <v>20</v>
      </c>
      <c r="E4642" t="s">
        <v>11</v>
      </c>
      <c r="F4642">
        <v>25261.038</v>
      </c>
      <c r="G4642">
        <v>18</v>
      </c>
      <c r="L4642" t="s">
        <v>13633</v>
      </c>
    </row>
    <row r="4643" spans="1:12" x14ac:dyDescent="0.25">
      <c r="A4643" t="s">
        <v>18</v>
      </c>
      <c r="B4643" t="s">
        <v>13633</v>
      </c>
      <c r="C4643" t="s">
        <v>13634</v>
      </c>
      <c r="D4643" t="s">
        <v>20</v>
      </c>
      <c r="E4643" t="s">
        <v>11</v>
      </c>
      <c r="F4643">
        <v>25261.038</v>
      </c>
      <c r="G4643">
        <v>18</v>
      </c>
      <c r="L4643" t="s">
        <v>13635</v>
      </c>
    </row>
    <row r="4644" spans="1:12" x14ac:dyDescent="0.25">
      <c r="A4644" t="s">
        <v>18</v>
      </c>
      <c r="B4644" t="s">
        <v>13635</v>
      </c>
      <c r="C4644" t="s">
        <v>13636</v>
      </c>
      <c r="D4644" t="s">
        <v>20</v>
      </c>
      <c r="E4644" t="s">
        <v>11</v>
      </c>
      <c r="F4644">
        <v>25261.038</v>
      </c>
      <c r="G4644">
        <v>18</v>
      </c>
      <c r="L4644" t="s">
        <v>13637</v>
      </c>
    </row>
    <row r="4645" spans="1:12" x14ac:dyDescent="0.25">
      <c r="A4645" t="s">
        <v>18</v>
      </c>
      <c r="B4645" t="s">
        <v>13637</v>
      </c>
      <c r="C4645" t="s">
        <v>13638</v>
      </c>
      <c r="D4645" t="s">
        <v>20</v>
      </c>
      <c r="E4645" t="s">
        <v>11</v>
      </c>
      <c r="F4645">
        <v>25261.038</v>
      </c>
      <c r="G4645">
        <v>18</v>
      </c>
      <c r="L4645" t="s">
        <v>13639</v>
      </c>
    </row>
    <row r="4646" spans="1:12" x14ac:dyDescent="0.25">
      <c r="A4646" t="s">
        <v>18</v>
      </c>
      <c r="B4646" t="s">
        <v>13639</v>
      </c>
      <c r="C4646" t="s">
        <v>13640</v>
      </c>
      <c r="D4646" t="s">
        <v>20</v>
      </c>
      <c r="E4646" t="s">
        <v>11</v>
      </c>
      <c r="F4646">
        <v>25261.038</v>
      </c>
      <c r="G4646">
        <v>18</v>
      </c>
      <c r="L4646" t="s">
        <v>13641</v>
      </c>
    </row>
    <row r="4647" spans="1:12" x14ac:dyDescent="0.25">
      <c r="A4647" t="s">
        <v>18</v>
      </c>
      <c r="B4647" t="s">
        <v>13641</v>
      </c>
      <c r="C4647" t="s">
        <v>13642</v>
      </c>
      <c r="D4647" t="s">
        <v>20</v>
      </c>
      <c r="E4647" t="s">
        <v>11</v>
      </c>
      <c r="F4647">
        <v>25261.038</v>
      </c>
      <c r="G4647">
        <v>18</v>
      </c>
      <c r="L4647" t="s">
        <v>13643</v>
      </c>
    </row>
    <row r="4648" spans="1:12" x14ac:dyDescent="0.25">
      <c r="A4648" t="s">
        <v>18</v>
      </c>
      <c r="B4648" t="s">
        <v>13643</v>
      </c>
      <c r="C4648" t="s">
        <v>13644</v>
      </c>
      <c r="D4648" t="s">
        <v>20</v>
      </c>
      <c r="E4648" t="s">
        <v>11</v>
      </c>
      <c r="F4648">
        <v>28067.82</v>
      </c>
      <c r="G4648">
        <v>18</v>
      </c>
      <c r="L4648" t="s">
        <v>13645</v>
      </c>
    </row>
    <row r="4649" spans="1:12" x14ac:dyDescent="0.25">
      <c r="A4649" t="s">
        <v>18</v>
      </c>
      <c r="B4649" t="s">
        <v>13645</v>
      </c>
      <c r="C4649" t="s">
        <v>13646</v>
      </c>
      <c r="D4649" t="s">
        <v>20</v>
      </c>
      <c r="E4649" t="s">
        <v>11</v>
      </c>
      <c r="F4649">
        <v>28067.82</v>
      </c>
      <c r="G4649">
        <v>18</v>
      </c>
      <c r="L4649" t="s">
        <v>13647</v>
      </c>
    </row>
    <row r="4650" spans="1:12" x14ac:dyDescent="0.25">
      <c r="A4650" t="s">
        <v>18</v>
      </c>
      <c r="B4650" t="s">
        <v>13647</v>
      </c>
      <c r="C4650" t="s">
        <v>13648</v>
      </c>
      <c r="D4650" t="s">
        <v>20</v>
      </c>
      <c r="E4650" t="s">
        <v>11</v>
      </c>
      <c r="F4650">
        <v>28067.82</v>
      </c>
      <c r="G4650">
        <v>18</v>
      </c>
      <c r="L4650" t="s">
        <v>13649</v>
      </c>
    </row>
    <row r="4651" spans="1:12" x14ac:dyDescent="0.25">
      <c r="A4651" t="s">
        <v>18</v>
      </c>
      <c r="B4651" t="s">
        <v>13649</v>
      </c>
      <c r="C4651" t="s">
        <v>13650</v>
      </c>
      <c r="D4651" t="s">
        <v>20</v>
      </c>
      <c r="E4651" t="s">
        <v>11</v>
      </c>
      <c r="F4651">
        <v>28067.82</v>
      </c>
      <c r="G4651">
        <v>18</v>
      </c>
      <c r="L4651" t="s">
        <v>13651</v>
      </c>
    </row>
    <row r="4652" spans="1:12" x14ac:dyDescent="0.25">
      <c r="A4652" t="s">
        <v>18</v>
      </c>
      <c r="B4652" t="s">
        <v>13651</v>
      </c>
      <c r="C4652" t="s">
        <v>13652</v>
      </c>
      <c r="D4652" t="s">
        <v>20</v>
      </c>
      <c r="E4652" t="s">
        <v>11</v>
      </c>
      <c r="F4652">
        <v>28067.82</v>
      </c>
      <c r="G4652">
        <v>18</v>
      </c>
      <c r="L4652" t="s">
        <v>13653</v>
      </c>
    </row>
    <row r="4653" spans="1:12" x14ac:dyDescent="0.25">
      <c r="A4653" t="s">
        <v>18</v>
      </c>
      <c r="B4653" t="s">
        <v>13653</v>
      </c>
      <c r="C4653" t="s">
        <v>13654</v>
      </c>
      <c r="D4653" t="s">
        <v>20</v>
      </c>
      <c r="E4653" t="s">
        <v>11</v>
      </c>
      <c r="F4653">
        <v>28067.82</v>
      </c>
      <c r="G4653">
        <v>18</v>
      </c>
      <c r="L4653" t="s">
        <v>13655</v>
      </c>
    </row>
    <row r="4654" spans="1:12" x14ac:dyDescent="0.25">
      <c r="A4654" t="s">
        <v>18</v>
      </c>
      <c r="B4654" t="s">
        <v>13655</v>
      </c>
      <c r="C4654" t="s">
        <v>13656</v>
      </c>
      <c r="D4654" t="s">
        <v>20</v>
      </c>
      <c r="E4654" t="s">
        <v>11</v>
      </c>
      <c r="F4654">
        <v>28067.82</v>
      </c>
      <c r="G4654">
        <v>18</v>
      </c>
      <c r="L4654" t="s">
        <v>13657</v>
      </c>
    </row>
    <row r="4655" spans="1:12" x14ac:dyDescent="0.25">
      <c r="A4655" t="s">
        <v>18</v>
      </c>
      <c r="B4655" t="s">
        <v>13657</v>
      </c>
      <c r="C4655" t="s">
        <v>13658</v>
      </c>
      <c r="D4655" t="s">
        <v>20</v>
      </c>
      <c r="E4655" t="s">
        <v>11</v>
      </c>
      <c r="F4655">
        <v>28067.82</v>
      </c>
      <c r="G4655">
        <v>18</v>
      </c>
      <c r="L4655" t="s">
        <v>13659</v>
      </c>
    </row>
    <row r="4656" spans="1:12" x14ac:dyDescent="0.25">
      <c r="A4656" t="s">
        <v>18</v>
      </c>
      <c r="B4656" t="s">
        <v>13659</v>
      </c>
      <c r="C4656" t="s">
        <v>13660</v>
      </c>
      <c r="D4656" t="s">
        <v>20</v>
      </c>
      <c r="E4656" t="s">
        <v>11</v>
      </c>
      <c r="F4656">
        <v>33485.562</v>
      </c>
      <c r="G4656">
        <v>18</v>
      </c>
      <c r="L4656" t="s">
        <v>13661</v>
      </c>
    </row>
    <row r="4657" spans="1:12" x14ac:dyDescent="0.25">
      <c r="A4657" t="s">
        <v>18</v>
      </c>
      <c r="B4657" t="s">
        <v>13661</v>
      </c>
      <c r="C4657" t="s">
        <v>13662</v>
      </c>
      <c r="D4657" t="s">
        <v>20</v>
      </c>
      <c r="E4657" t="s">
        <v>11</v>
      </c>
      <c r="F4657">
        <v>50522.076</v>
      </c>
      <c r="G4657">
        <v>18</v>
      </c>
      <c r="L4657" t="s">
        <v>13663</v>
      </c>
    </row>
    <row r="4658" spans="1:12" x14ac:dyDescent="0.25">
      <c r="A4658" t="s">
        <v>18</v>
      </c>
      <c r="B4658" t="s">
        <v>13663</v>
      </c>
      <c r="C4658" t="s">
        <v>13664</v>
      </c>
      <c r="D4658" t="s">
        <v>20</v>
      </c>
      <c r="E4658" t="s">
        <v>11</v>
      </c>
      <c r="F4658">
        <v>23302.818</v>
      </c>
      <c r="G4658">
        <v>18</v>
      </c>
      <c r="L4658" t="s">
        <v>13665</v>
      </c>
    </row>
    <row r="4659" spans="1:12" x14ac:dyDescent="0.25">
      <c r="A4659" t="s">
        <v>18</v>
      </c>
      <c r="B4659" t="s">
        <v>13665</v>
      </c>
      <c r="C4659" t="s">
        <v>13666</v>
      </c>
      <c r="D4659" t="s">
        <v>20</v>
      </c>
      <c r="E4659" t="s">
        <v>11</v>
      </c>
      <c r="F4659">
        <v>7245.414</v>
      </c>
      <c r="G4659">
        <v>18</v>
      </c>
      <c r="L4659" t="s">
        <v>13667</v>
      </c>
    </row>
    <row r="4660" spans="1:12" x14ac:dyDescent="0.25">
      <c r="A4660" t="s">
        <v>18</v>
      </c>
      <c r="B4660" t="s">
        <v>13667</v>
      </c>
      <c r="C4660" t="s">
        <v>13668</v>
      </c>
      <c r="D4660" t="s">
        <v>20</v>
      </c>
      <c r="E4660" t="s">
        <v>11</v>
      </c>
      <c r="F4660">
        <v>75848.388</v>
      </c>
      <c r="G4660">
        <v>18</v>
      </c>
      <c r="L4660" t="s">
        <v>13669</v>
      </c>
    </row>
    <row r="4661" spans="1:12" x14ac:dyDescent="0.25">
      <c r="A4661" t="s">
        <v>18</v>
      </c>
      <c r="B4661" t="s">
        <v>13669</v>
      </c>
      <c r="C4661" t="s">
        <v>13670</v>
      </c>
      <c r="D4661" t="s">
        <v>20</v>
      </c>
      <c r="E4661" t="s">
        <v>11</v>
      </c>
      <c r="F4661">
        <v>52545.57</v>
      </c>
      <c r="G4661">
        <v>18</v>
      </c>
      <c r="L4661" t="s">
        <v>13671</v>
      </c>
    </row>
    <row r="4662" spans="1:12" x14ac:dyDescent="0.25">
      <c r="A4662" t="s">
        <v>18</v>
      </c>
      <c r="B4662" t="s">
        <v>13671</v>
      </c>
      <c r="C4662" t="s">
        <v>13672</v>
      </c>
      <c r="D4662" t="s">
        <v>20</v>
      </c>
      <c r="E4662" t="s">
        <v>11</v>
      </c>
      <c r="F4662">
        <v>52545.57</v>
      </c>
      <c r="G4662">
        <v>18</v>
      </c>
      <c r="L4662" t="s">
        <v>13673</v>
      </c>
    </row>
    <row r="4663" spans="1:12" x14ac:dyDescent="0.25">
      <c r="A4663" t="s">
        <v>18</v>
      </c>
      <c r="B4663" t="s">
        <v>13673</v>
      </c>
      <c r="C4663" t="s">
        <v>13674</v>
      </c>
      <c r="D4663" t="s">
        <v>20</v>
      </c>
      <c r="E4663" t="s">
        <v>11</v>
      </c>
      <c r="F4663">
        <v>53002.488</v>
      </c>
      <c r="G4663">
        <v>18</v>
      </c>
      <c r="L4663" t="s">
        <v>13675</v>
      </c>
    </row>
    <row r="4664" spans="1:12" x14ac:dyDescent="0.25">
      <c r="A4664" t="s">
        <v>18</v>
      </c>
      <c r="B4664" t="s">
        <v>13675</v>
      </c>
      <c r="C4664" t="s">
        <v>13676</v>
      </c>
      <c r="D4664" t="s">
        <v>20</v>
      </c>
      <c r="E4664" t="s">
        <v>11</v>
      </c>
      <c r="F4664">
        <v>43929.401999999995</v>
      </c>
      <c r="G4664">
        <v>18</v>
      </c>
      <c r="L4664" t="s">
        <v>13677</v>
      </c>
    </row>
    <row r="4665" spans="1:12" x14ac:dyDescent="0.25">
      <c r="A4665" t="s">
        <v>18</v>
      </c>
      <c r="B4665" t="s">
        <v>13677</v>
      </c>
      <c r="C4665" t="s">
        <v>13678</v>
      </c>
      <c r="D4665" t="s">
        <v>20</v>
      </c>
      <c r="E4665" t="s">
        <v>11</v>
      </c>
      <c r="F4665">
        <v>43929.401999999995</v>
      </c>
      <c r="G4665">
        <v>18</v>
      </c>
      <c r="L4665" t="s">
        <v>13679</v>
      </c>
    </row>
    <row r="4666" spans="1:12" x14ac:dyDescent="0.25">
      <c r="A4666" t="s">
        <v>18</v>
      </c>
      <c r="B4666" t="s">
        <v>13679</v>
      </c>
      <c r="C4666" t="s">
        <v>13680</v>
      </c>
      <c r="D4666" t="s">
        <v>20</v>
      </c>
      <c r="E4666" t="s">
        <v>11</v>
      </c>
      <c r="F4666">
        <v>60770.094</v>
      </c>
      <c r="G4666">
        <v>18</v>
      </c>
      <c r="L4666" t="s">
        <v>13681</v>
      </c>
    </row>
    <row r="4667" spans="1:12" x14ac:dyDescent="0.25">
      <c r="A4667" t="s">
        <v>18</v>
      </c>
      <c r="B4667" t="s">
        <v>13681</v>
      </c>
      <c r="C4667" t="s">
        <v>13682</v>
      </c>
      <c r="D4667" t="s">
        <v>20</v>
      </c>
      <c r="E4667" t="s">
        <v>11</v>
      </c>
      <c r="F4667">
        <v>60770.094</v>
      </c>
      <c r="G4667">
        <v>18</v>
      </c>
      <c r="L4667" t="s">
        <v>13683</v>
      </c>
    </row>
    <row r="4668" spans="1:12" x14ac:dyDescent="0.25">
      <c r="A4668" t="s">
        <v>18</v>
      </c>
      <c r="B4668" t="s">
        <v>13683</v>
      </c>
      <c r="C4668" t="s">
        <v>13684</v>
      </c>
      <c r="D4668" t="s">
        <v>20</v>
      </c>
      <c r="E4668" t="s">
        <v>11</v>
      </c>
      <c r="F4668">
        <v>56200.914</v>
      </c>
      <c r="G4668">
        <v>18</v>
      </c>
      <c r="L4668" t="s">
        <v>13685</v>
      </c>
    </row>
    <row r="4669" spans="1:12" x14ac:dyDescent="0.25">
      <c r="A4669" t="s">
        <v>18</v>
      </c>
      <c r="B4669" t="s">
        <v>13685</v>
      </c>
      <c r="C4669" t="s">
        <v>13686</v>
      </c>
      <c r="D4669" t="s">
        <v>20</v>
      </c>
      <c r="E4669" t="s">
        <v>11</v>
      </c>
      <c r="F4669">
        <v>9073.086</v>
      </c>
      <c r="G4669">
        <v>18</v>
      </c>
      <c r="L4669" t="s">
        <v>13687</v>
      </c>
    </row>
    <row r="4670" spans="1:12" x14ac:dyDescent="0.25">
      <c r="A4670" t="s">
        <v>18</v>
      </c>
      <c r="B4670" t="s">
        <v>13687</v>
      </c>
      <c r="C4670" t="s">
        <v>13688</v>
      </c>
      <c r="D4670" t="s">
        <v>20</v>
      </c>
      <c r="E4670" t="s">
        <v>11</v>
      </c>
      <c r="F4670">
        <v>17428.158</v>
      </c>
      <c r="G4670">
        <v>18</v>
      </c>
      <c r="L4670" t="s">
        <v>13689</v>
      </c>
    </row>
    <row r="4671" spans="1:12" x14ac:dyDescent="0.25">
      <c r="A4671" t="s">
        <v>18</v>
      </c>
      <c r="B4671" t="s">
        <v>13689</v>
      </c>
      <c r="C4671" t="s">
        <v>13690</v>
      </c>
      <c r="D4671" t="s">
        <v>20</v>
      </c>
      <c r="E4671" t="s">
        <v>11</v>
      </c>
      <c r="F4671">
        <v>23629.188000000002</v>
      </c>
      <c r="G4671">
        <v>18</v>
      </c>
      <c r="L4671" t="s">
        <v>13691</v>
      </c>
    </row>
    <row r="4672" spans="1:12" x14ac:dyDescent="0.25">
      <c r="A4672" t="s">
        <v>18</v>
      </c>
      <c r="B4672" t="s">
        <v>13691</v>
      </c>
      <c r="C4672" t="s">
        <v>13692</v>
      </c>
      <c r="D4672" t="s">
        <v>20</v>
      </c>
      <c r="E4672" t="s">
        <v>11</v>
      </c>
      <c r="F4672">
        <v>33159.191999999995</v>
      </c>
      <c r="G4672">
        <v>18</v>
      </c>
      <c r="L4672" t="s">
        <v>13693</v>
      </c>
    </row>
    <row r="4673" spans="1:12" x14ac:dyDescent="0.25">
      <c r="A4673" t="s">
        <v>18</v>
      </c>
      <c r="B4673" t="s">
        <v>13693</v>
      </c>
      <c r="C4673" t="s">
        <v>13694</v>
      </c>
      <c r="D4673" t="s">
        <v>20</v>
      </c>
      <c r="E4673" t="s">
        <v>11</v>
      </c>
      <c r="F4673">
        <v>33159.191999999995</v>
      </c>
      <c r="G4673">
        <v>18</v>
      </c>
      <c r="L4673" t="s">
        <v>13695</v>
      </c>
    </row>
    <row r="4674" spans="1:12" x14ac:dyDescent="0.25">
      <c r="A4674" t="s">
        <v>18</v>
      </c>
      <c r="B4674" t="s">
        <v>13695</v>
      </c>
      <c r="C4674" t="s">
        <v>13696</v>
      </c>
      <c r="D4674" t="s">
        <v>20</v>
      </c>
      <c r="E4674" t="s">
        <v>11</v>
      </c>
      <c r="F4674">
        <v>33159.191999999995</v>
      </c>
      <c r="G4674">
        <v>18</v>
      </c>
      <c r="L4674" t="s">
        <v>13697</v>
      </c>
    </row>
    <row r="4675" spans="1:12" x14ac:dyDescent="0.25">
      <c r="A4675" t="s">
        <v>18</v>
      </c>
      <c r="B4675" t="s">
        <v>13697</v>
      </c>
      <c r="C4675" t="s">
        <v>13698</v>
      </c>
      <c r="D4675" t="s">
        <v>20</v>
      </c>
      <c r="E4675" t="s">
        <v>11</v>
      </c>
      <c r="F4675">
        <v>33159.191999999995</v>
      </c>
      <c r="G4675">
        <v>18</v>
      </c>
      <c r="L4675" t="s">
        <v>13699</v>
      </c>
    </row>
    <row r="4676" spans="1:12" x14ac:dyDescent="0.25">
      <c r="A4676" t="s">
        <v>18</v>
      </c>
      <c r="B4676" t="s">
        <v>13699</v>
      </c>
      <c r="C4676" t="s">
        <v>13700</v>
      </c>
      <c r="D4676" t="s">
        <v>20</v>
      </c>
      <c r="E4676" t="s">
        <v>11</v>
      </c>
      <c r="F4676">
        <v>33159.191999999995</v>
      </c>
      <c r="G4676">
        <v>18</v>
      </c>
      <c r="L4676" t="s">
        <v>13701</v>
      </c>
    </row>
    <row r="4677" spans="1:12" x14ac:dyDescent="0.25">
      <c r="A4677" t="s">
        <v>18</v>
      </c>
      <c r="B4677" t="s">
        <v>13701</v>
      </c>
      <c r="C4677" t="s">
        <v>13702</v>
      </c>
      <c r="D4677" t="s">
        <v>20</v>
      </c>
      <c r="E4677" t="s">
        <v>11</v>
      </c>
      <c r="F4677">
        <v>33159.191999999995</v>
      </c>
      <c r="G4677">
        <v>18</v>
      </c>
      <c r="L4677" t="s">
        <v>13703</v>
      </c>
    </row>
    <row r="4678" spans="1:12" x14ac:dyDescent="0.25">
      <c r="A4678" t="s">
        <v>18</v>
      </c>
      <c r="B4678" t="s">
        <v>13703</v>
      </c>
      <c r="C4678" t="s">
        <v>13704</v>
      </c>
      <c r="D4678" t="s">
        <v>20</v>
      </c>
      <c r="E4678" t="s">
        <v>11</v>
      </c>
      <c r="F4678">
        <v>33159.191999999995</v>
      </c>
      <c r="G4678">
        <v>18</v>
      </c>
      <c r="L4678" t="s">
        <v>13705</v>
      </c>
    </row>
    <row r="4679" spans="1:12" x14ac:dyDescent="0.25">
      <c r="A4679" t="s">
        <v>18</v>
      </c>
      <c r="B4679" t="s">
        <v>13705</v>
      </c>
      <c r="C4679" t="s">
        <v>13706</v>
      </c>
      <c r="D4679" t="s">
        <v>20</v>
      </c>
      <c r="E4679" t="s">
        <v>11</v>
      </c>
      <c r="F4679">
        <v>33159.191999999995</v>
      </c>
      <c r="G4679">
        <v>18</v>
      </c>
      <c r="L4679" t="s">
        <v>13707</v>
      </c>
    </row>
    <row r="4680" spans="1:12" x14ac:dyDescent="0.25">
      <c r="A4680" t="s">
        <v>18</v>
      </c>
      <c r="B4680" t="s">
        <v>13707</v>
      </c>
      <c r="C4680" t="s">
        <v>13708</v>
      </c>
      <c r="D4680" t="s">
        <v>20</v>
      </c>
      <c r="E4680" t="s">
        <v>11</v>
      </c>
      <c r="F4680">
        <v>33159.191999999995</v>
      </c>
      <c r="G4680">
        <v>18</v>
      </c>
      <c r="L4680" t="s">
        <v>13709</v>
      </c>
    </row>
    <row r="4681" spans="1:12" x14ac:dyDescent="0.25">
      <c r="A4681" t="s">
        <v>18</v>
      </c>
      <c r="B4681" t="s">
        <v>13709</v>
      </c>
      <c r="C4681" t="s">
        <v>13710</v>
      </c>
      <c r="D4681" t="s">
        <v>20</v>
      </c>
      <c r="E4681" t="s">
        <v>11</v>
      </c>
      <c r="F4681">
        <v>33159.191999999995</v>
      </c>
      <c r="G4681">
        <v>18</v>
      </c>
      <c r="L4681" t="s">
        <v>13711</v>
      </c>
    </row>
    <row r="4682" spans="1:12" x14ac:dyDescent="0.25">
      <c r="A4682" t="s">
        <v>18</v>
      </c>
      <c r="B4682" t="s">
        <v>13711</v>
      </c>
      <c r="C4682" t="s">
        <v>13712</v>
      </c>
      <c r="D4682" t="s">
        <v>20</v>
      </c>
      <c r="E4682" t="s">
        <v>11</v>
      </c>
      <c r="F4682">
        <v>33159.191999999995</v>
      </c>
      <c r="G4682">
        <v>18</v>
      </c>
      <c r="L4682" t="s">
        <v>13713</v>
      </c>
    </row>
    <row r="4683" spans="1:12" x14ac:dyDescent="0.25">
      <c r="A4683" t="s">
        <v>18</v>
      </c>
      <c r="B4683" t="s">
        <v>13713</v>
      </c>
      <c r="C4683" t="s">
        <v>13714</v>
      </c>
      <c r="D4683" t="s">
        <v>20</v>
      </c>
      <c r="E4683" t="s">
        <v>11</v>
      </c>
      <c r="F4683">
        <v>31331.52</v>
      </c>
      <c r="G4683">
        <v>18</v>
      </c>
      <c r="L4683" t="s">
        <v>13715</v>
      </c>
    </row>
    <row r="4684" spans="1:12" x14ac:dyDescent="0.25">
      <c r="A4684" t="s">
        <v>18</v>
      </c>
      <c r="B4684" t="s">
        <v>13715</v>
      </c>
      <c r="C4684" t="s">
        <v>13716</v>
      </c>
      <c r="D4684" t="s">
        <v>20</v>
      </c>
      <c r="E4684" t="s">
        <v>11</v>
      </c>
      <c r="F4684">
        <v>23955.557999999997</v>
      </c>
      <c r="G4684">
        <v>18</v>
      </c>
      <c r="L4684" t="s">
        <v>13717</v>
      </c>
    </row>
    <row r="4685" spans="1:12" x14ac:dyDescent="0.25">
      <c r="A4685" t="s">
        <v>18</v>
      </c>
      <c r="B4685" t="s">
        <v>13717</v>
      </c>
      <c r="C4685" t="s">
        <v>13718</v>
      </c>
      <c r="D4685" t="s">
        <v>20</v>
      </c>
      <c r="E4685" t="s">
        <v>11</v>
      </c>
      <c r="F4685">
        <v>23955.557999999997</v>
      </c>
      <c r="G4685">
        <v>18</v>
      </c>
      <c r="L4685" t="s">
        <v>13719</v>
      </c>
    </row>
    <row r="4686" spans="1:12" x14ac:dyDescent="0.25">
      <c r="A4686" t="s">
        <v>18</v>
      </c>
      <c r="B4686" t="s">
        <v>13719</v>
      </c>
      <c r="C4686" t="s">
        <v>13720</v>
      </c>
      <c r="D4686" t="s">
        <v>20</v>
      </c>
      <c r="E4686" t="s">
        <v>11</v>
      </c>
      <c r="F4686">
        <v>23955.557999999997</v>
      </c>
      <c r="G4686">
        <v>18</v>
      </c>
      <c r="L4686" t="s">
        <v>13721</v>
      </c>
    </row>
    <row r="4687" spans="1:12" x14ac:dyDescent="0.25">
      <c r="A4687" t="s">
        <v>18</v>
      </c>
      <c r="B4687" t="s">
        <v>13721</v>
      </c>
      <c r="C4687" t="s">
        <v>13722</v>
      </c>
      <c r="D4687" t="s">
        <v>20</v>
      </c>
      <c r="E4687" t="s">
        <v>11</v>
      </c>
      <c r="F4687">
        <v>23955.557999999997</v>
      </c>
      <c r="G4687">
        <v>18</v>
      </c>
      <c r="L4687" t="s">
        <v>13723</v>
      </c>
    </row>
    <row r="4688" spans="1:12" x14ac:dyDescent="0.25">
      <c r="A4688" t="s">
        <v>18</v>
      </c>
      <c r="B4688" t="s">
        <v>13723</v>
      </c>
      <c r="C4688" t="s">
        <v>13724</v>
      </c>
      <c r="D4688" t="s">
        <v>20</v>
      </c>
      <c r="E4688" t="s">
        <v>11</v>
      </c>
      <c r="F4688">
        <v>23955.557999999997</v>
      </c>
      <c r="G4688">
        <v>18</v>
      </c>
      <c r="L4688" t="s">
        <v>13725</v>
      </c>
    </row>
    <row r="4689" spans="1:12" x14ac:dyDescent="0.25">
      <c r="A4689" t="s">
        <v>18</v>
      </c>
      <c r="B4689" t="s">
        <v>13725</v>
      </c>
      <c r="C4689" t="s">
        <v>13726</v>
      </c>
      <c r="D4689" t="s">
        <v>20</v>
      </c>
      <c r="E4689" t="s">
        <v>11</v>
      </c>
      <c r="F4689">
        <v>23955.557999999997</v>
      </c>
      <c r="G4689">
        <v>18</v>
      </c>
      <c r="L4689" t="s">
        <v>13727</v>
      </c>
    </row>
    <row r="4690" spans="1:12" x14ac:dyDescent="0.25">
      <c r="A4690" t="s">
        <v>18</v>
      </c>
      <c r="B4690" t="s">
        <v>13727</v>
      </c>
      <c r="C4690" t="s">
        <v>13728</v>
      </c>
      <c r="D4690" t="s">
        <v>20</v>
      </c>
      <c r="E4690" t="s">
        <v>11</v>
      </c>
      <c r="F4690">
        <v>23955.557999999997</v>
      </c>
      <c r="G4690">
        <v>18</v>
      </c>
      <c r="L4690" t="s">
        <v>13729</v>
      </c>
    </row>
    <row r="4691" spans="1:12" x14ac:dyDescent="0.25">
      <c r="A4691" t="s">
        <v>18</v>
      </c>
      <c r="B4691" t="s">
        <v>13729</v>
      </c>
      <c r="C4691" t="s">
        <v>13730</v>
      </c>
      <c r="D4691" t="s">
        <v>20</v>
      </c>
      <c r="E4691" t="s">
        <v>11</v>
      </c>
      <c r="F4691">
        <v>23955.557999999997</v>
      </c>
      <c r="G4691">
        <v>18</v>
      </c>
      <c r="L4691" t="s">
        <v>13731</v>
      </c>
    </row>
    <row r="4692" spans="1:12" x14ac:dyDescent="0.25">
      <c r="A4692" t="s">
        <v>18</v>
      </c>
      <c r="B4692" t="s">
        <v>13731</v>
      </c>
      <c r="C4692" t="s">
        <v>13732</v>
      </c>
      <c r="D4692" t="s">
        <v>20</v>
      </c>
      <c r="E4692" t="s">
        <v>11</v>
      </c>
      <c r="F4692">
        <v>23955.557999999997</v>
      </c>
      <c r="G4692">
        <v>18</v>
      </c>
      <c r="L4692" t="s">
        <v>13733</v>
      </c>
    </row>
    <row r="4693" spans="1:12" x14ac:dyDescent="0.25">
      <c r="A4693" t="s">
        <v>18</v>
      </c>
      <c r="B4693" t="s">
        <v>13733</v>
      </c>
      <c r="C4693" t="s">
        <v>13734</v>
      </c>
      <c r="D4693" t="s">
        <v>20</v>
      </c>
      <c r="E4693" t="s">
        <v>11</v>
      </c>
      <c r="F4693">
        <v>23955.557999999997</v>
      </c>
      <c r="G4693">
        <v>18</v>
      </c>
      <c r="L4693" t="s">
        <v>13735</v>
      </c>
    </row>
    <row r="4694" spans="1:12" x14ac:dyDescent="0.25">
      <c r="A4694" t="s">
        <v>18</v>
      </c>
      <c r="B4694" t="s">
        <v>13735</v>
      </c>
      <c r="C4694" t="s">
        <v>13736</v>
      </c>
      <c r="D4694" t="s">
        <v>20</v>
      </c>
      <c r="E4694" t="s">
        <v>11</v>
      </c>
      <c r="F4694">
        <v>23955.557999999997</v>
      </c>
      <c r="G4694">
        <v>18</v>
      </c>
      <c r="L4694" t="s">
        <v>13737</v>
      </c>
    </row>
    <row r="4695" spans="1:12" x14ac:dyDescent="0.25">
      <c r="A4695" t="s">
        <v>18</v>
      </c>
      <c r="B4695" t="s">
        <v>13737</v>
      </c>
      <c r="C4695" t="s">
        <v>13738</v>
      </c>
      <c r="D4695" t="s">
        <v>20</v>
      </c>
      <c r="E4695" t="s">
        <v>11</v>
      </c>
      <c r="F4695">
        <v>23955.557999999997</v>
      </c>
      <c r="G4695">
        <v>18</v>
      </c>
      <c r="L4695" t="s">
        <v>13739</v>
      </c>
    </row>
    <row r="4696" spans="1:12" x14ac:dyDescent="0.25">
      <c r="A4696" t="s">
        <v>18</v>
      </c>
      <c r="B4696" t="s">
        <v>13739</v>
      </c>
      <c r="C4696" t="s">
        <v>13740</v>
      </c>
      <c r="D4696" t="s">
        <v>20</v>
      </c>
      <c r="E4696" t="s">
        <v>11</v>
      </c>
      <c r="F4696">
        <v>3002.604</v>
      </c>
      <c r="G4696">
        <v>18</v>
      </c>
      <c r="L4696" t="s">
        <v>13741</v>
      </c>
    </row>
    <row r="4697" spans="1:12" x14ac:dyDescent="0.25">
      <c r="A4697" t="s">
        <v>18</v>
      </c>
      <c r="B4697" t="s">
        <v>13741</v>
      </c>
      <c r="C4697" t="s">
        <v>13742</v>
      </c>
      <c r="D4697" t="s">
        <v>20</v>
      </c>
      <c r="E4697" t="s">
        <v>11</v>
      </c>
      <c r="F4697">
        <v>1370.754</v>
      </c>
      <c r="G4697">
        <v>18</v>
      </c>
      <c r="L4697" t="s">
        <v>13743</v>
      </c>
    </row>
    <row r="4698" spans="1:12" x14ac:dyDescent="0.25">
      <c r="A4698" t="s">
        <v>18</v>
      </c>
      <c r="B4698" t="s">
        <v>13743</v>
      </c>
      <c r="C4698" t="s">
        <v>13744</v>
      </c>
      <c r="D4698" t="s">
        <v>20</v>
      </c>
      <c r="E4698" t="s">
        <v>11</v>
      </c>
      <c r="F4698">
        <v>40992.072</v>
      </c>
      <c r="G4698">
        <v>18</v>
      </c>
      <c r="L4698" t="s">
        <v>13745</v>
      </c>
    </row>
    <row r="4699" spans="1:12" x14ac:dyDescent="0.25">
      <c r="A4699" t="s">
        <v>18</v>
      </c>
      <c r="B4699" t="s">
        <v>13745</v>
      </c>
      <c r="C4699" t="s">
        <v>13746</v>
      </c>
      <c r="D4699" t="s">
        <v>20</v>
      </c>
      <c r="E4699" t="s">
        <v>11</v>
      </c>
      <c r="F4699">
        <v>18015.624</v>
      </c>
      <c r="G4699">
        <v>18</v>
      </c>
      <c r="L4699" t="s">
        <v>13747</v>
      </c>
    </row>
    <row r="4700" spans="1:12" x14ac:dyDescent="0.25">
      <c r="A4700" t="s">
        <v>18</v>
      </c>
      <c r="B4700" t="s">
        <v>13747</v>
      </c>
      <c r="C4700" t="s">
        <v>13748</v>
      </c>
      <c r="D4700" t="s">
        <v>20</v>
      </c>
      <c r="E4700" t="s">
        <v>11</v>
      </c>
      <c r="F4700">
        <v>12402.060000000001</v>
      </c>
      <c r="G4700">
        <v>18</v>
      </c>
      <c r="L4700" t="s">
        <v>13749</v>
      </c>
    </row>
    <row r="4701" spans="1:12" x14ac:dyDescent="0.25">
      <c r="A4701" t="s">
        <v>18</v>
      </c>
      <c r="B4701" t="s">
        <v>13749</v>
      </c>
      <c r="C4701" t="s">
        <v>13750</v>
      </c>
      <c r="D4701" t="s">
        <v>20</v>
      </c>
      <c r="E4701" t="s">
        <v>11</v>
      </c>
      <c r="F4701">
        <v>25261.038</v>
      </c>
      <c r="G4701">
        <v>18</v>
      </c>
      <c r="L4701" t="s">
        <v>13751</v>
      </c>
    </row>
    <row r="4702" spans="1:12" x14ac:dyDescent="0.25">
      <c r="A4702" t="s">
        <v>18</v>
      </c>
      <c r="B4702" t="s">
        <v>13751</v>
      </c>
      <c r="C4702" t="s">
        <v>13752</v>
      </c>
      <c r="D4702" t="s">
        <v>20</v>
      </c>
      <c r="E4702" t="s">
        <v>11</v>
      </c>
      <c r="F4702">
        <v>26958.161999999997</v>
      </c>
      <c r="G4702">
        <v>18</v>
      </c>
      <c r="L4702" t="s">
        <v>13753</v>
      </c>
    </row>
    <row r="4703" spans="1:12" x14ac:dyDescent="0.25">
      <c r="A4703" t="s">
        <v>18</v>
      </c>
      <c r="B4703" t="s">
        <v>13753</v>
      </c>
      <c r="C4703" t="s">
        <v>13754</v>
      </c>
      <c r="D4703" t="s">
        <v>20</v>
      </c>
      <c r="E4703" t="s">
        <v>11</v>
      </c>
      <c r="F4703">
        <v>13576.991999999998</v>
      </c>
      <c r="G4703">
        <v>18</v>
      </c>
      <c r="L4703" t="s">
        <v>13755</v>
      </c>
    </row>
    <row r="4704" spans="1:12" x14ac:dyDescent="0.25">
      <c r="A4704" t="s">
        <v>18</v>
      </c>
      <c r="B4704" t="s">
        <v>13755</v>
      </c>
      <c r="C4704" t="s">
        <v>13756</v>
      </c>
      <c r="D4704" t="s">
        <v>20</v>
      </c>
      <c r="E4704" t="s">
        <v>11</v>
      </c>
      <c r="F4704">
        <v>19843.296000000002</v>
      </c>
      <c r="G4704">
        <v>18</v>
      </c>
      <c r="L4704" t="s">
        <v>13757</v>
      </c>
    </row>
    <row r="4705" spans="1:12" x14ac:dyDescent="0.25">
      <c r="A4705" t="s">
        <v>18</v>
      </c>
      <c r="B4705" t="s">
        <v>13757</v>
      </c>
      <c r="C4705" t="s">
        <v>13758</v>
      </c>
      <c r="D4705" t="s">
        <v>20</v>
      </c>
      <c r="E4705" t="s">
        <v>11</v>
      </c>
      <c r="F4705">
        <v>19843.296000000002</v>
      </c>
      <c r="G4705">
        <v>18</v>
      </c>
      <c r="L4705" t="s">
        <v>13759</v>
      </c>
    </row>
    <row r="4706" spans="1:12" x14ac:dyDescent="0.25">
      <c r="A4706" t="s">
        <v>18</v>
      </c>
      <c r="B4706" t="s">
        <v>13759</v>
      </c>
      <c r="C4706" t="s">
        <v>13760</v>
      </c>
      <c r="D4706" t="s">
        <v>20</v>
      </c>
      <c r="E4706" t="s">
        <v>11</v>
      </c>
      <c r="F4706">
        <v>19843.296000000002</v>
      </c>
      <c r="G4706">
        <v>18</v>
      </c>
      <c r="L4706" t="s">
        <v>13761</v>
      </c>
    </row>
    <row r="4707" spans="1:12" x14ac:dyDescent="0.25">
      <c r="A4707" t="s">
        <v>18</v>
      </c>
      <c r="B4707" t="s">
        <v>13761</v>
      </c>
      <c r="C4707" t="s">
        <v>13762</v>
      </c>
      <c r="D4707" t="s">
        <v>20</v>
      </c>
      <c r="E4707" t="s">
        <v>11</v>
      </c>
      <c r="F4707">
        <v>19908.57</v>
      </c>
      <c r="G4707">
        <v>18</v>
      </c>
      <c r="L4707" t="s">
        <v>13763</v>
      </c>
    </row>
    <row r="4708" spans="1:12" x14ac:dyDescent="0.25">
      <c r="A4708" t="s">
        <v>18</v>
      </c>
      <c r="B4708" t="s">
        <v>13763</v>
      </c>
      <c r="C4708" t="s">
        <v>13764</v>
      </c>
      <c r="D4708" t="s">
        <v>20</v>
      </c>
      <c r="E4708" t="s">
        <v>11</v>
      </c>
      <c r="F4708">
        <v>19843.296000000002</v>
      </c>
      <c r="G4708">
        <v>18</v>
      </c>
      <c r="L4708" t="s">
        <v>13765</v>
      </c>
    </row>
    <row r="4709" spans="1:12" x14ac:dyDescent="0.25">
      <c r="A4709" t="s">
        <v>18</v>
      </c>
      <c r="B4709" t="s">
        <v>13765</v>
      </c>
      <c r="C4709" t="s">
        <v>13766</v>
      </c>
      <c r="D4709" t="s">
        <v>20</v>
      </c>
      <c r="E4709" t="s">
        <v>11</v>
      </c>
      <c r="F4709">
        <v>19843.296000000002</v>
      </c>
      <c r="G4709">
        <v>18</v>
      </c>
      <c r="L4709" t="s">
        <v>13767</v>
      </c>
    </row>
    <row r="4710" spans="1:12" x14ac:dyDescent="0.25">
      <c r="A4710" t="s">
        <v>18</v>
      </c>
      <c r="B4710" t="s">
        <v>13767</v>
      </c>
      <c r="C4710" t="s">
        <v>13768</v>
      </c>
      <c r="D4710" t="s">
        <v>20</v>
      </c>
      <c r="E4710" t="s">
        <v>11</v>
      </c>
      <c r="F4710">
        <v>30156.588000000003</v>
      </c>
      <c r="G4710">
        <v>18</v>
      </c>
      <c r="L4710" t="s">
        <v>13769</v>
      </c>
    </row>
    <row r="4711" spans="1:12" x14ac:dyDescent="0.25">
      <c r="A4711" t="s">
        <v>18</v>
      </c>
      <c r="B4711" t="s">
        <v>13769</v>
      </c>
      <c r="C4711" t="s">
        <v>13770</v>
      </c>
      <c r="D4711" t="s">
        <v>20</v>
      </c>
      <c r="E4711" t="s">
        <v>11</v>
      </c>
      <c r="F4711">
        <v>21540.420000000002</v>
      </c>
      <c r="G4711">
        <v>18</v>
      </c>
      <c r="L4711" t="s">
        <v>13771</v>
      </c>
    </row>
    <row r="4712" spans="1:12" x14ac:dyDescent="0.25">
      <c r="A4712" t="s">
        <v>18</v>
      </c>
      <c r="B4712" t="s">
        <v>13771</v>
      </c>
      <c r="C4712" t="s">
        <v>13772</v>
      </c>
      <c r="D4712" t="s">
        <v>20</v>
      </c>
      <c r="E4712" t="s">
        <v>11</v>
      </c>
      <c r="F4712">
        <v>21866.79</v>
      </c>
      <c r="G4712">
        <v>18</v>
      </c>
      <c r="L4712" t="s">
        <v>13773</v>
      </c>
    </row>
    <row r="4713" spans="1:12" x14ac:dyDescent="0.25">
      <c r="A4713" t="s">
        <v>18</v>
      </c>
      <c r="B4713" t="s">
        <v>13773</v>
      </c>
      <c r="C4713" t="s">
        <v>13774</v>
      </c>
      <c r="D4713" t="s">
        <v>20</v>
      </c>
      <c r="E4713" t="s">
        <v>11</v>
      </c>
      <c r="F4713">
        <v>27480.354</v>
      </c>
      <c r="G4713">
        <v>18</v>
      </c>
      <c r="L4713" t="s">
        <v>13775</v>
      </c>
    </row>
    <row r="4714" spans="1:12" x14ac:dyDescent="0.25">
      <c r="A4714" t="s">
        <v>18</v>
      </c>
      <c r="B4714" t="s">
        <v>13775</v>
      </c>
      <c r="C4714" t="s">
        <v>13776</v>
      </c>
      <c r="D4714" t="s">
        <v>20</v>
      </c>
      <c r="E4714" t="s">
        <v>11</v>
      </c>
      <c r="F4714">
        <v>11227.127999999999</v>
      </c>
      <c r="G4714">
        <v>18</v>
      </c>
      <c r="L4714" t="s">
        <v>13777</v>
      </c>
    </row>
    <row r="4715" spans="1:12" x14ac:dyDescent="0.25">
      <c r="A4715" t="s">
        <v>18</v>
      </c>
      <c r="B4715" t="s">
        <v>13777</v>
      </c>
      <c r="C4715" t="s">
        <v>13778</v>
      </c>
      <c r="D4715" t="s">
        <v>20</v>
      </c>
      <c r="E4715" t="s">
        <v>11</v>
      </c>
      <c r="F4715">
        <v>26697.066</v>
      </c>
      <c r="G4715">
        <v>18</v>
      </c>
      <c r="L4715" t="s">
        <v>13779</v>
      </c>
    </row>
    <row r="4716" spans="1:12" x14ac:dyDescent="0.25">
      <c r="A4716" t="s">
        <v>18</v>
      </c>
      <c r="B4716" t="s">
        <v>13779</v>
      </c>
      <c r="C4716" t="s">
        <v>13780</v>
      </c>
      <c r="D4716" t="s">
        <v>20</v>
      </c>
      <c r="E4716" t="s">
        <v>11</v>
      </c>
      <c r="F4716">
        <v>7767.605999999999</v>
      </c>
      <c r="G4716">
        <v>18</v>
      </c>
      <c r="L4716" t="s">
        <v>13781</v>
      </c>
    </row>
    <row r="4717" spans="1:12" x14ac:dyDescent="0.25">
      <c r="A4717" t="s">
        <v>18</v>
      </c>
      <c r="B4717" t="s">
        <v>13781</v>
      </c>
      <c r="C4717" t="s">
        <v>13782</v>
      </c>
      <c r="D4717" t="s">
        <v>20</v>
      </c>
      <c r="E4717" t="s">
        <v>11</v>
      </c>
      <c r="F4717">
        <v>29242.752</v>
      </c>
      <c r="G4717">
        <v>18</v>
      </c>
      <c r="L4717" t="s">
        <v>13783</v>
      </c>
    </row>
    <row r="4718" spans="1:12" x14ac:dyDescent="0.25">
      <c r="A4718" t="s">
        <v>18</v>
      </c>
      <c r="B4718" t="s">
        <v>13783</v>
      </c>
      <c r="C4718" t="s">
        <v>13784</v>
      </c>
      <c r="D4718" t="s">
        <v>20</v>
      </c>
      <c r="E4718" t="s">
        <v>11</v>
      </c>
      <c r="F4718">
        <v>79373.18400000001</v>
      </c>
      <c r="G4718">
        <v>18</v>
      </c>
      <c r="L4718" t="s">
        <v>13785</v>
      </c>
    </row>
    <row r="4719" spans="1:12" x14ac:dyDescent="0.25">
      <c r="A4719" t="s">
        <v>18</v>
      </c>
      <c r="B4719" t="s">
        <v>13785</v>
      </c>
      <c r="C4719" t="s">
        <v>13786</v>
      </c>
      <c r="D4719" t="s">
        <v>20</v>
      </c>
      <c r="E4719" t="s">
        <v>11</v>
      </c>
      <c r="F4719">
        <v>15404.664</v>
      </c>
      <c r="G4719">
        <v>18</v>
      </c>
      <c r="L4719" t="s">
        <v>13787</v>
      </c>
    </row>
    <row r="4720" spans="1:12" x14ac:dyDescent="0.25">
      <c r="A4720" t="s">
        <v>18</v>
      </c>
      <c r="B4720" t="s">
        <v>13787</v>
      </c>
      <c r="C4720" t="s">
        <v>13788</v>
      </c>
      <c r="D4720" t="s">
        <v>20</v>
      </c>
      <c r="E4720" t="s">
        <v>11</v>
      </c>
      <c r="F4720">
        <v>27284.532</v>
      </c>
      <c r="G4720">
        <v>18</v>
      </c>
      <c r="L4720" t="s">
        <v>13789</v>
      </c>
    </row>
    <row r="4721" spans="1:12" x14ac:dyDescent="0.25">
      <c r="A4721" t="s">
        <v>18</v>
      </c>
      <c r="B4721" t="s">
        <v>13789</v>
      </c>
      <c r="C4721" t="s">
        <v>13790</v>
      </c>
      <c r="D4721" t="s">
        <v>20</v>
      </c>
      <c r="E4721" t="s">
        <v>11</v>
      </c>
      <c r="F4721">
        <v>27415.079999999998</v>
      </c>
      <c r="G4721">
        <v>18</v>
      </c>
      <c r="L4721" t="s">
        <v>13791</v>
      </c>
    </row>
    <row r="4722" spans="1:12" x14ac:dyDescent="0.25">
      <c r="A4722" t="s">
        <v>18</v>
      </c>
      <c r="B4722" t="s">
        <v>13791</v>
      </c>
      <c r="C4722" t="s">
        <v>13792</v>
      </c>
      <c r="D4722" t="s">
        <v>20</v>
      </c>
      <c r="E4722" t="s">
        <v>11</v>
      </c>
      <c r="F4722">
        <v>7702.332</v>
      </c>
      <c r="G4722">
        <v>18</v>
      </c>
      <c r="L4722" t="s">
        <v>13793</v>
      </c>
    </row>
    <row r="4723" spans="1:12" x14ac:dyDescent="0.25">
      <c r="A4723" t="s">
        <v>18</v>
      </c>
      <c r="B4723" t="s">
        <v>13793</v>
      </c>
      <c r="C4723" t="s">
        <v>13794</v>
      </c>
      <c r="D4723" t="s">
        <v>20</v>
      </c>
      <c r="E4723" t="s">
        <v>11</v>
      </c>
      <c r="F4723">
        <v>8681.442000000001</v>
      </c>
      <c r="G4723">
        <v>18</v>
      </c>
      <c r="L4723" t="s">
        <v>13795</v>
      </c>
    </row>
    <row r="4724" spans="1:12" x14ac:dyDescent="0.25">
      <c r="A4724" t="s">
        <v>18</v>
      </c>
      <c r="B4724" t="s">
        <v>13795</v>
      </c>
      <c r="C4724" t="s">
        <v>13796</v>
      </c>
      <c r="D4724" t="s">
        <v>20</v>
      </c>
      <c r="E4724" t="s">
        <v>11</v>
      </c>
      <c r="F4724">
        <v>6135.755999999999</v>
      </c>
      <c r="G4724">
        <v>18</v>
      </c>
      <c r="L4724" t="s">
        <v>13797</v>
      </c>
    </row>
    <row r="4725" spans="1:12" x14ac:dyDescent="0.25">
      <c r="A4725" t="s">
        <v>18</v>
      </c>
      <c r="B4725" t="s">
        <v>13797</v>
      </c>
      <c r="C4725" t="s">
        <v>13798</v>
      </c>
      <c r="D4725" t="s">
        <v>20</v>
      </c>
      <c r="E4725" t="s">
        <v>11</v>
      </c>
      <c r="F4725">
        <v>6135.755999999999</v>
      </c>
      <c r="G4725">
        <v>18</v>
      </c>
      <c r="L4725" t="s">
        <v>13799</v>
      </c>
    </row>
    <row r="4726" spans="1:12" x14ac:dyDescent="0.25">
      <c r="A4726" t="s">
        <v>18</v>
      </c>
      <c r="B4726" t="s">
        <v>13799</v>
      </c>
      <c r="C4726" t="s">
        <v>13800</v>
      </c>
      <c r="D4726" t="s">
        <v>20</v>
      </c>
      <c r="E4726" t="s">
        <v>11</v>
      </c>
      <c r="F4726">
        <v>7375.962</v>
      </c>
      <c r="G4726">
        <v>18</v>
      </c>
      <c r="L4726" t="s">
        <v>13801</v>
      </c>
    </row>
    <row r="4727" spans="1:12" x14ac:dyDescent="0.25">
      <c r="A4727" t="s">
        <v>18</v>
      </c>
      <c r="B4727" t="s">
        <v>13801</v>
      </c>
      <c r="C4727" t="s">
        <v>13802</v>
      </c>
      <c r="D4727" t="s">
        <v>20</v>
      </c>
      <c r="E4727" t="s">
        <v>11</v>
      </c>
      <c r="F4727">
        <v>7441.235999999999</v>
      </c>
      <c r="G4727">
        <v>18</v>
      </c>
      <c r="L4727" t="s">
        <v>13803</v>
      </c>
    </row>
    <row r="4728" spans="1:12" x14ac:dyDescent="0.25">
      <c r="A4728" t="s">
        <v>18</v>
      </c>
      <c r="B4728" t="s">
        <v>13803</v>
      </c>
      <c r="C4728" t="s">
        <v>13804</v>
      </c>
      <c r="D4728" t="s">
        <v>20</v>
      </c>
      <c r="E4728" t="s">
        <v>11</v>
      </c>
      <c r="F4728">
        <v>3328.9739999999997</v>
      </c>
      <c r="G4728">
        <v>18</v>
      </c>
      <c r="L4728" t="s">
        <v>13805</v>
      </c>
    </row>
    <row r="4729" spans="1:12" x14ac:dyDescent="0.25">
      <c r="A4729" t="s">
        <v>18</v>
      </c>
      <c r="B4729" t="s">
        <v>13805</v>
      </c>
      <c r="C4729" t="s">
        <v>13806</v>
      </c>
      <c r="D4729" t="s">
        <v>20</v>
      </c>
      <c r="E4729" t="s">
        <v>11</v>
      </c>
      <c r="F4729">
        <v>1436.028</v>
      </c>
      <c r="G4729">
        <v>18</v>
      </c>
      <c r="L4729" t="s">
        <v>13807</v>
      </c>
    </row>
    <row r="4730" spans="1:12" x14ac:dyDescent="0.25">
      <c r="A4730" t="s">
        <v>18</v>
      </c>
      <c r="B4730" t="s">
        <v>13807</v>
      </c>
      <c r="C4730" t="s">
        <v>13808</v>
      </c>
      <c r="D4730" t="s">
        <v>20</v>
      </c>
      <c r="E4730" t="s">
        <v>11</v>
      </c>
      <c r="F4730">
        <v>8746.716</v>
      </c>
      <c r="G4730">
        <v>18</v>
      </c>
      <c r="L4730" t="s">
        <v>13809</v>
      </c>
    </row>
    <row r="4731" spans="1:12" x14ac:dyDescent="0.25">
      <c r="A4731" t="s">
        <v>18</v>
      </c>
      <c r="B4731" t="s">
        <v>13809</v>
      </c>
      <c r="C4731" t="s">
        <v>13810</v>
      </c>
      <c r="D4731" t="s">
        <v>20</v>
      </c>
      <c r="E4731" t="s">
        <v>11</v>
      </c>
      <c r="F4731">
        <v>1436.028</v>
      </c>
      <c r="G4731">
        <v>18</v>
      </c>
      <c r="L4731" t="s">
        <v>13811</v>
      </c>
    </row>
    <row r="4732" spans="1:12" x14ac:dyDescent="0.25">
      <c r="A4732" t="s">
        <v>18</v>
      </c>
      <c r="B4732" t="s">
        <v>13811</v>
      </c>
      <c r="C4732" t="s">
        <v>13812</v>
      </c>
      <c r="D4732" t="s">
        <v>20</v>
      </c>
      <c r="E4732" t="s">
        <v>11</v>
      </c>
      <c r="F4732">
        <v>848.5619999999999</v>
      </c>
      <c r="G4732">
        <v>18</v>
      </c>
      <c r="L4732" t="s">
        <v>13813</v>
      </c>
    </row>
    <row r="4733" spans="1:12" x14ac:dyDescent="0.25">
      <c r="A4733" t="s">
        <v>18</v>
      </c>
      <c r="B4733" t="s">
        <v>13813</v>
      </c>
      <c r="C4733" t="s">
        <v>13814</v>
      </c>
      <c r="D4733" t="s">
        <v>20</v>
      </c>
      <c r="E4733" t="s">
        <v>11</v>
      </c>
      <c r="F4733">
        <v>5483.016</v>
      </c>
      <c r="G4733">
        <v>18</v>
      </c>
      <c r="L4733" t="s">
        <v>13815</v>
      </c>
    </row>
    <row r="4734" spans="1:12" x14ac:dyDescent="0.25">
      <c r="A4734" t="s">
        <v>18</v>
      </c>
      <c r="B4734" t="s">
        <v>13815</v>
      </c>
      <c r="C4734" t="s">
        <v>13816</v>
      </c>
      <c r="D4734" t="s">
        <v>20</v>
      </c>
      <c r="E4734" t="s">
        <v>11</v>
      </c>
      <c r="F4734">
        <v>5483.016</v>
      </c>
      <c r="G4734">
        <v>18</v>
      </c>
      <c r="L4734" t="s">
        <v>13817</v>
      </c>
    </row>
    <row r="4735" spans="1:12" x14ac:dyDescent="0.25">
      <c r="A4735" t="s">
        <v>18</v>
      </c>
      <c r="B4735" t="s">
        <v>13817</v>
      </c>
      <c r="C4735" t="s">
        <v>13818</v>
      </c>
      <c r="D4735" t="s">
        <v>20</v>
      </c>
      <c r="E4735" t="s">
        <v>11</v>
      </c>
      <c r="F4735">
        <v>6135.755999999999</v>
      </c>
      <c r="G4735">
        <v>18</v>
      </c>
      <c r="L4735" t="s">
        <v>13819</v>
      </c>
    </row>
    <row r="4736" spans="1:12" x14ac:dyDescent="0.25">
      <c r="A4736" t="s">
        <v>18</v>
      </c>
      <c r="B4736" t="s">
        <v>13819</v>
      </c>
      <c r="C4736" t="s">
        <v>13820</v>
      </c>
      <c r="D4736" t="s">
        <v>20</v>
      </c>
      <c r="E4736" t="s">
        <v>11</v>
      </c>
      <c r="F4736">
        <v>1240.2060000000001</v>
      </c>
      <c r="G4736">
        <v>18</v>
      </c>
      <c r="L4736" t="s">
        <v>13821</v>
      </c>
    </row>
    <row r="4737" spans="1:12" x14ac:dyDescent="0.25">
      <c r="A4737" t="s">
        <v>18</v>
      </c>
      <c r="B4737" t="s">
        <v>13821</v>
      </c>
      <c r="C4737" t="s">
        <v>13822</v>
      </c>
      <c r="D4737" t="s">
        <v>20</v>
      </c>
      <c r="E4737" t="s">
        <v>11</v>
      </c>
      <c r="F4737">
        <v>587.4659999999999</v>
      </c>
      <c r="G4737">
        <v>18</v>
      </c>
      <c r="L4737" t="s">
        <v>13823</v>
      </c>
    </row>
    <row r="4738" spans="1:12" x14ac:dyDescent="0.25">
      <c r="A4738" t="s">
        <v>18</v>
      </c>
      <c r="B4738" t="s">
        <v>13823</v>
      </c>
      <c r="C4738" t="s">
        <v>13824</v>
      </c>
      <c r="D4738" t="s">
        <v>20</v>
      </c>
      <c r="E4738" t="s">
        <v>11</v>
      </c>
      <c r="F4738">
        <v>195.82199999999997</v>
      </c>
      <c r="G4738">
        <v>18</v>
      </c>
      <c r="L4738" t="s">
        <v>13825</v>
      </c>
    </row>
    <row r="4739" spans="1:12" x14ac:dyDescent="0.25">
      <c r="A4739" t="s">
        <v>18</v>
      </c>
      <c r="B4739" t="s">
        <v>13825</v>
      </c>
      <c r="C4739" t="s">
        <v>13826</v>
      </c>
      <c r="D4739" t="s">
        <v>20</v>
      </c>
      <c r="E4739" t="s">
        <v>11</v>
      </c>
      <c r="F4739">
        <v>1436.028</v>
      </c>
      <c r="G4739">
        <v>18</v>
      </c>
      <c r="L4739" t="s">
        <v>13827</v>
      </c>
    </row>
    <row r="4740" spans="1:12" x14ac:dyDescent="0.25">
      <c r="A4740" t="s">
        <v>18</v>
      </c>
      <c r="B4740" t="s">
        <v>13827</v>
      </c>
      <c r="C4740" t="s">
        <v>13828</v>
      </c>
      <c r="D4740" t="s">
        <v>20</v>
      </c>
      <c r="E4740" t="s">
        <v>11</v>
      </c>
      <c r="F4740">
        <v>2872.056</v>
      </c>
      <c r="G4740">
        <v>18</v>
      </c>
      <c r="L4740" t="s">
        <v>13829</v>
      </c>
    </row>
    <row r="4741" spans="1:12" x14ac:dyDescent="0.25">
      <c r="A4741" t="s">
        <v>18</v>
      </c>
      <c r="B4741" t="s">
        <v>13829</v>
      </c>
      <c r="C4741" t="s">
        <v>13830</v>
      </c>
      <c r="D4741" t="s">
        <v>20</v>
      </c>
      <c r="E4741" t="s">
        <v>11</v>
      </c>
      <c r="F4741">
        <v>16644.870000000003</v>
      </c>
      <c r="G4741">
        <v>18</v>
      </c>
      <c r="L4741" t="s">
        <v>13831</v>
      </c>
    </row>
    <row r="4742" spans="1:12" x14ac:dyDescent="0.25">
      <c r="A4742" t="s">
        <v>18</v>
      </c>
      <c r="B4742" t="s">
        <v>13831</v>
      </c>
      <c r="C4742" t="s">
        <v>13832</v>
      </c>
      <c r="D4742" t="s">
        <v>20</v>
      </c>
      <c r="E4742" t="s">
        <v>11</v>
      </c>
      <c r="F4742">
        <v>11879.867999999999</v>
      </c>
      <c r="G4742">
        <v>18</v>
      </c>
      <c r="L4742" t="s">
        <v>13833</v>
      </c>
    </row>
    <row r="4743" spans="1:12" x14ac:dyDescent="0.25">
      <c r="A4743" t="s">
        <v>18</v>
      </c>
      <c r="B4743" t="s">
        <v>13833</v>
      </c>
      <c r="C4743" t="s">
        <v>13834</v>
      </c>
      <c r="D4743" t="s">
        <v>20</v>
      </c>
      <c r="E4743" t="s">
        <v>11</v>
      </c>
      <c r="F4743">
        <v>73433.25</v>
      </c>
      <c r="G4743">
        <v>18</v>
      </c>
      <c r="L4743" t="s">
        <v>13835</v>
      </c>
    </row>
    <row r="4744" spans="1:12" x14ac:dyDescent="0.25">
      <c r="A4744" t="s">
        <v>18</v>
      </c>
      <c r="B4744" t="s">
        <v>13835</v>
      </c>
      <c r="C4744" t="s">
        <v>13836</v>
      </c>
      <c r="D4744" t="s">
        <v>20</v>
      </c>
      <c r="E4744" t="s">
        <v>11</v>
      </c>
      <c r="F4744">
        <v>76892.77199999998</v>
      </c>
      <c r="G4744">
        <v>18</v>
      </c>
      <c r="L4744" t="s">
        <v>13837</v>
      </c>
    </row>
    <row r="4745" spans="1:12" x14ac:dyDescent="0.25">
      <c r="A4745" t="s">
        <v>18</v>
      </c>
      <c r="B4745" t="s">
        <v>13837</v>
      </c>
      <c r="C4745" t="s">
        <v>13838</v>
      </c>
      <c r="D4745" t="s">
        <v>20</v>
      </c>
      <c r="E4745" t="s">
        <v>11</v>
      </c>
      <c r="F4745">
        <v>90926.682</v>
      </c>
      <c r="G4745">
        <v>18</v>
      </c>
      <c r="L4745" t="s">
        <v>13839</v>
      </c>
    </row>
    <row r="4746" spans="1:12" x14ac:dyDescent="0.25">
      <c r="A4746" t="s">
        <v>18</v>
      </c>
      <c r="B4746" t="s">
        <v>13839</v>
      </c>
      <c r="C4746" t="s">
        <v>13840</v>
      </c>
      <c r="D4746" t="s">
        <v>20</v>
      </c>
      <c r="E4746" t="s">
        <v>11</v>
      </c>
      <c r="F4746">
        <v>97911</v>
      </c>
      <c r="G4746">
        <v>18</v>
      </c>
      <c r="L4746" t="s">
        <v>13841</v>
      </c>
    </row>
    <row r="4747" spans="1:12" x14ac:dyDescent="0.25">
      <c r="A4747" t="s">
        <v>18</v>
      </c>
      <c r="B4747" t="s">
        <v>13841</v>
      </c>
      <c r="C4747" t="s">
        <v>13842</v>
      </c>
      <c r="D4747" t="s">
        <v>20</v>
      </c>
      <c r="E4747" t="s">
        <v>11</v>
      </c>
      <c r="F4747">
        <v>108420.11399999999</v>
      </c>
      <c r="G4747">
        <v>18</v>
      </c>
      <c r="L4747" t="s">
        <v>13843</v>
      </c>
    </row>
    <row r="4748" spans="1:12" x14ac:dyDescent="0.25">
      <c r="A4748" t="s">
        <v>18</v>
      </c>
      <c r="B4748" t="s">
        <v>13843</v>
      </c>
      <c r="C4748" t="s">
        <v>13844</v>
      </c>
      <c r="D4748" t="s">
        <v>20</v>
      </c>
      <c r="E4748" t="s">
        <v>11</v>
      </c>
      <c r="F4748">
        <v>83877.09</v>
      </c>
      <c r="G4748">
        <v>18</v>
      </c>
      <c r="L4748" t="s">
        <v>13845</v>
      </c>
    </row>
    <row r="4749" spans="1:12" x14ac:dyDescent="0.25">
      <c r="A4749" t="s">
        <v>18</v>
      </c>
      <c r="B4749" t="s">
        <v>13845</v>
      </c>
      <c r="C4749" t="s">
        <v>13846</v>
      </c>
      <c r="D4749" t="s">
        <v>20</v>
      </c>
      <c r="E4749" t="s">
        <v>11</v>
      </c>
      <c r="F4749">
        <v>86618.598</v>
      </c>
      <c r="G4749">
        <v>18</v>
      </c>
      <c r="L4749" t="s">
        <v>13847</v>
      </c>
    </row>
    <row r="4750" spans="1:12" x14ac:dyDescent="0.25">
      <c r="A4750" t="s">
        <v>18</v>
      </c>
      <c r="B4750" t="s">
        <v>13847</v>
      </c>
      <c r="C4750" t="s">
        <v>13848</v>
      </c>
      <c r="D4750" t="s">
        <v>20</v>
      </c>
      <c r="E4750" t="s">
        <v>11</v>
      </c>
      <c r="F4750">
        <v>87467.16</v>
      </c>
      <c r="G4750">
        <v>18</v>
      </c>
      <c r="L4750" t="s">
        <v>13849</v>
      </c>
    </row>
    <row r="4751" spans="1:12" x14ac:dyDescent="0.25">
      <c r="A4751" t="s">
        <v>18</v>
      </c>
      <c r="B4751" t="s">
        <v>13849</v>
      </c>
      <c r="C4751" t="s">
        <v>13850</v>
      </c>
      <c r="D4751" t="s">
        <v>20</v>
      </c>
      <c r="E4751" t="s">
        <v>11</v>
      </c>
      <c r="F4751">
        <v>90926.682</v>
      </c>
      <c r="G4751">
        <v>18</v>
      </c>
      <c r="L4751" t="s">
        <v>13851</v>
      </c>
    </row>
    <row r="4752" spans="1:12" x14ac:dyDescent="0.25">
      <c r="A4752" t="s">
        <v>18</v>
      </c>
      <c r="B4752" t="s">
        <v>13851</v>
      </c>
      <c r="C4752" t="s">
        <v>13852</v>
      </c>
      <c r="D4752" t="s">
        <v>20</v>
      </c>
      <c r="E4752" t="s">
        <v>11</v>
      </c>
      <c r="F4752">
        <v>94451.478</v>
      </c>
      <c r="G4752">
        <v>18</v>
      </c>
      <c r="L4752" t="s">
        <v>13853</v>
      </c>
    </row>
    <row r="4753" spans="1:12" x14ac:dyDescent="0.25">
      <c r="A4753" t="s">
        <v>18</v>
      </c>
      <c r="B4753" t="s">
        <v>13853</v>
      </c>
      <c r="C4753" t="s">
        <v>13854</v>
      </c>
      <c r="D4753" t="s">
        <v>20</v>
      </c>
      <c r="E4753" t="s">
        <v>11</v>
      </c>
      <c r="F4753">
        <v>21997.338000000003</v>
      </c>
      <c r="G4753">
        <v>18</v>
      </c>
      <c r="L4753" t="s">
        <v>13855</v>
      </c>
    </row>
    <row r="4754" spans="1:12" x14ac:dyDescent="0.25">
      <c r="A4754" t="s">
        <v>18</v>
      </c>
      <c r="B4754" t="s">
        <v>13855</v>
      </c>
      <c r="C4754" t="s">
        <v>13856</v>
      </c>
      <c r="D4754" t="s">
        <v>20</v>
      </c>
      <c r="E4754" t="s">
        <v>11</v>
      </c>
      <c r="F4754">
        <v>25326.311999999998</v>
      </c>
      <c r="G4754">
        <v>18</v>
      </c>
      <c r="L4754" t="s">
        <v>13857</v>
      </c>
    </row>
    <row r="4755" spans="1:12" x14ac:dyDescent="0.25">
      <c r="A4755" t="s">
        <v>18</v>
      </c>
      <c r="B4755" t="s">
        <v>13857</v>
      </c>
      <c r="C4755" t="s">
        <v>13858</v>
      </c>
      <c r="D4755" t="s">
        <v>20</v>
      </c>
      <c r="E4755" t="s">
        <v>11</v>
      </c>
      <c r="F4755">
        <v>28785.834</v>
      </c>
      <c r="G4755">
        <v>18</v>
      </c>
      <c r="L4755" t="s">
        <v>13859</v>
      </c>
    </row>
    <row r="4756" spans="1:12" x14ac:dyDescent="0.25">
      <c r="A4756" t="s">
        <v>18</v>
      </c>
      <c r="B4756" t="s">
        <v>13859</v>
      </c>
      <c r="C4756" t="s">
        <v>13860</v>
      </c>
      <c r="D4756" t="s">
        <v>20</v>
      </c>
      <c r="E4756" t="s">
        <v>11</v>
      </c>
      <c r="F4756">
        <v>26044.325999999997</v>
      </c>
      <c r="G4756">
        <v>18</v>
      </c>
      <c r="L4756" t="s">
        <v>13861</v>
      </c>
    </row>
    <row r="4757" spans="1:12" x14ac:dyDescent="0.25">
      <c r="A4757" t="s">
        <v>18</v>
      </c>
      <c r="B4757" t="s">
        <v>13861</v>
      </c>
      <c r="C4757" t="s">
        <v>13862</v>
      </c>
      <c r="D4757" t="s">
        <v>20</v>
      </c>
      <c r="E4757" t="s">
        <v>11</v>
      </c>
      <c r="F4757">
        <v>25326.311999999998</v>
      </c>
      <c r="G4757">
        <v>18</v>
      </c>
      <c r="L4757" t="s">
        <v>13863</v>
      </c>
    </row>
    <row r="4758" spans="1:12" x14ac:dyDescent="0.25">
      <c r="A4758" t="s">
        <v>18</v>
      </c>
      <c r="B4758" t="s">
        <v>13863</v>
      </c>
      <c r="C4758" t="s">
        <v>13864</v>
      </c>
      <c r="D4758" t="s">
        <v>20</v>
      </c>
      <c r="E4758" t="s">
        <v>11</v>
      </c>
      <c r="F4758">
        <v>27415.079999999998</v>
      </c>
      <c r="G4758">
        <v>18</v>
      </c>
      <c r="L4758" t="s">
        <v>13865</v>
      </c>
    </row>
    <row r="4759" spans="1:12" x14ac:dyDescent="0.25">
      <c r="A4759" t="s">
        <v>18</v>
      </c>
      <c r="B4759" t="s">
        <v>13865</v>
      </c>
      <c r="C4759" t="s">
        <v>13866</v>
      </c>
      <c r="D4759" t="s">
        <v>20</v>
      </c>
      <c r="E4759" t="s">
        <v>11</v>
      </c>
      <c r="F4759">
        <v>55939.818</v>
      </c>
      <c r="G4759">
        <v>18</v>
      </c>
      <c r="L4759" t="s">
        <v>13867</v>
      </c>
    </row>
    <row r="4760" spans="1:12" x14ac:dyDescent="0.25">
      <c r="A4760" t="s">
        <v>18</v>
      </c>
      <c r="B4760" t="s">
        <v>13867</v>
      </c>
      <c r="C4760" t="s">
        <v>13868</v>
      </c>
      <c r="D4760" t="s">
        <v>20</v>
      </c>
      <c r="E4760" t="s">
        <v>11</v>
      </c>
      <c r="F4760">
        <v>76501.128</v>
      </c>
      <c r="G4760">
        <v>18</v>
      </c>
      <c r="L4760" t="s">
        <v>13869</v>
      </c>
    </row>
    <row r="4761" spans="1:12" x14ac:dyDescent="0.25">
      <c r="A4761" t="s">
        <v>18</v>
      </c>
      <c r="B4761" t="s">
        <v>13869</v>
      </c>
      <c r="C4761" t="s">
        <v>13870</v>
      </c>
      <c r="D4761" t="s">
        <v>20</v>
      </c>
      <c r="E4761" t="s">
        <v>11</v>
      </c>
      <c r="F4761">
        <v>62924.136</v>
      </c>
      <c r="G4761">
        <v>18</v>
      </c>
      <c r="L4761" t="s">
        <v>13871</v>
      </c>
    </row>
    <row r="4762" spans="1:12" x14ac:dyDescent="0.25">
      <c r="A4762" t="s">
        <v>18</v>
      </c>
      <c r="B4762" t="s">
        <v>13871</v>
      </c>
      <c r="C4762" t="s">
        <v>13872</v>
      </c>
      <c r="D4762" t="s">
        <v>20</v>
      </c>
      <c r="E4762" t="s">
        <v>11</v>
      </c>
      <c r="F4762">
        <v>4438.632</v>
      </c>
      <c r="G4762">
        <v>18</v>
      </c>
      <c r="L4762" t="s">
        <v>13873</v>
      </c>
    </row>
    <row r="4763" spans="1:12" x14ac:dyDescent="0.25">
      <c r="A4763" t="s">
        <v>18</v>
      </c>
      <c r="B4763" t="s">
        <v>13873</v>
      </c>
      <c r="C4763" t="s">
        <v>13874</v>
      </c>
      <c r="D4763" t="s">
        <v>20</v>
      </c>
      <c r="E4763" t="s">
        <v>11</v>
      </c>
      <c r="F4763">
        <v>7245.414</v>
      </c>
      <c r="G4763">
        <v>18</v>
      </c>
      <c r="L4763" t="s">
        <v>13875</v>
      </c>
    </row>
    <row r="4764" spans="1:12" x14ac:dyDescent="0.25">
      <c r="A4764" t="s">
        <v>18</v>
      </c>
      <c r="B4764" t="s">
        <v>13875</v>
      </c>
      <c r="C4764" t="s">
        <v>13876</v>
      </c>
      <c r="D4764" t="s">
        <v>20</v>
      </c>
      <c r="E4764" t="s">
        <v>11</v>
      </c>
      <c r="F4764">
        <v>2154.042</v>
      </c>
      <c r="G4764">
        <v>18</v>
      </c>
      <c r="L4764" t="s">
        <v>13877</v>
      </c>
    </row>
    <row r="4765" spans="1:12" x14ac:dyDescent="0.25">
      <c r="A4765" t="s">
        <v>18</v>
      </c>
      <c r="B4765" t="s">
        <v>13877</v>
      </c>
      <c r="C4765" t="s">
        <v>13878</v>
      </c>
      <c r="D4765" t="s">
        <v>20</v>
      </c>
      <c r="E4765" t="s">
        <v>11</v>
      </c>
      <c r="F4765">
        <v>18929.46</v>
      </c>
      <c r="G4765">
        <v>18</v>
      </c>
      <c r="L4765" t="s">
        <v>13879</v>
      </c>
    </row>
    <row r="4766" spans="1:12" x14ac:dyDescent="0.25">
      <c r="A4766" t="s">
        <v>18</v>
      </c>
      <c r="B4766" t="s">
        <v>13879</v>
      </c>
      <c r="C4766" t="s">
        <v>13880</v>
      </c>
      <c r="D4766" t="s">
        <v>20</v>
      </c>
      <c r="E4766" t="s">
        <v>11</v>
      </c>
      <c r="F4766">
        <v>6984.318</v>
      </c>
      <c r="G4766">
        <v>18</v>
      </c>
      <c r="L4766" t="s">
        <v>13881</v>
      </c>
    </row>
    <row r="4767" spans="1:12" x14ac:dyDescent="0.25">
      <c r="A4767" t="s">
        <v>18</v>
      </c>
      <c r="B4767" t="s">
        <v>13881</v>
      </c>
      <c r="C4767" t="s">
        <v>13882</v>
      </c>
      <c r="D4767" t="s">
        <v>20</v>
      </c>
      <c r="E4767" t="s">
        <v>11</v>
      </c>
      <c r="F4767">
        <v>1892.946</v>
      </c>
      <c r="G4767">
        <v>18</v>
      </c>
      <c r="L4767" t="s">
        <v>13883</v>
      </c>
    </row>
    <row r="4768" spans="1:12" x14ac:dyDescent="0.25">
      <c r="A4768" t="s">
        <v>18</v>
      </c>
      <c r="B4768" t="s">
        <v>13883</v>
      </c>
      <c r="C4768" t="s">
        <v>13884</v>
      </c>
      <c r="D4768" t="s">
        <v>20</v>
      </c>
      <c r="E4768" t="s">
        <v>11</v>
      </c>
      <c r="F4768">
        <v>6201.030000000001</v>
      </c>
      <c r="G4768">
        <v>18</v>
      </c>
      <c r="L4768" t="s">
        <v>13885</v>
      </c>
    </row>
    <row r="4769" spans="1:12" x14ac:dyDescent="0.25">
      <c r="A4769" t="s">
        <v>18</v>
      </c>
      <c r="B4769" t="s">
        <v>13885</v>
      </c>
      <c r="C4769" t="s">
        <v>13886</v>
      </c>
      <c r="D4769" t="s">
        <v>20</v>
      </c>
      <c r="E4769" t="s">
        <v>11</v>
      </c>
      <c r="F4769">
        <v>10639.661999999998</v>
      </c>
      <c r="G4769">
        <v>18</v>
      </c>
      <c r="L4769" t="s">
        <v>13887</v>
      </c>
    </row>
    <row r="4770" spans="1:12" x14ac:dyDescent="0.25">
      <c r="A4770" t="s">
        <v>18</v>
      </c>
      <c r="B4770" t="s">
        <v>13887</v>
      </c>
      <c r="C4770" t="s">
        <v>13888</v>
      </c>
      <c r="D4770" t="s">
        <v>20</v>
      </c>
      <c r="E4770" t="s">
        <v>11</v>
      </c>
      <c r="F4770">
        <v>10639.661999999998</v>
      </c>
      <c r="G4770">
        <v>18</v>
      </c>
      <c r="L4770" t="s">
        <v>13889</v>
      </c>
    </row>
    <row r="4771" spans="1:12" x14ac:dyDescent="0.25">
      <c r="A4771" t="s">
        <v>18</v>
      </c>
      <c r="B4771" t="s">
        <v>13889</v>
      </c>
      <c r="C4771" t="s">
        <v>13890</v>
      </c>
      <c r="D4771" t="s">
        <v>20</v>
      </c>
      <c r="E4771" t="s">
        <v>11</v>
      </c>
      <c r="F4771">
        <v>10639.661999999998</v>
      </c>
      <c r="G4771">
        <v>18</v>
      </c>
      <c r="L4771" t="s">
        <v>13891</v>
      </c>
    </row>
    <row r="4772" spans="1:12" x14ac:dyDescent="0.25">
      <c r="A4772" t="s">
        <v>18</v>
      </c>
      <c r="B4772" t="s">
        <v>13891</v>
      </c>
      <c r="C4772" t="s">
        <v>13892</v>
      </c>
      <c r="D4772" t="s">
        <v>20</v>
      </c>
      <c r="E4772" t="s">
        <v>11</v>
      </c>
      <c r="F4772">
        <v>20169.665999999997</v>
      </c>
      <c r="G4772">
        <v>18</v>
      </c>
      <c r="L4772" t="s">
        <v>13893</v>
      </c>
    </row>
    <row r="4773" spans="1:12" x14ac:dyDescent="0.25">
      <c r="A4773" t="s">
        <v>18</v>
      </c>
      <c r="B4773" t="s">
        <v>13893</v>
      </c>
      <c r="C4773" t="s">
        <v>13894</v>
      </c>
      <c r="D4773" t="s">
        <v>20</v>
      </c>
      <c r="E4773" t="s">
        <v>11</v>
      </c>
      <c r="F4773">
        <v>6788.495999999999</v>
      </c>
      <c r="G4773">
        <v>18</v>
      </c>
      <c r="L4773" t="s">
        <v>13895</v>
      </c>
    </row>
    <row r="4774" spans="1:12" x14ac:dyDescent="0.25">
      <c r="A4774" t="s">
        <v>18</v>
      </c>
      <c r="B4774" t="s">
        <v>13895</v>
      </c>
      <c r="C4774" t="s">
        <v>13896</v>
      </c>
      <c r="D4774" t="s">
        <v>20</v>
      </c>
      <c r="E4774" t="s">
        <v>11</v>
      </c>
      <c r="F4774">
        <v>18211.446</v>
      </c>
      <c r="G4774">
        <v>18</v>
      </c>
      <c r="L4774" t="s">
        <v>13897</v>
      </c>
    </row>
    <row r="4775" spans="1:12" x14ac:dyDescent="0.25">
      <c r="A4775" t="s">
        <v>18</v>
      </c>
      <c r="B4775" t="s">
        <v>13897</v>
      </c>
      <c r="C4775" t="s">
        <v>13898</v>
      </c>
      <c r="D4775" t="s">
        <v>20</v>
      </c>
      <c r="E4775" t="s">
        <v>11</v>
      </c>
      <c r="F4775">
        <v>16253.226</v>
      </c>
      <c r="G4775">
        <v>18</v>
      </c>
      <c r="L4775" t="s">
        <v>13899</v>
      </c>
    </row>
    <row r="4776" spans="1:12" x14ac:dyDescent="0.25">
      <c r="A4776" t="s">
        <v>18</v>
      </c>
      <c r="B4776" t="s">
        <v>13899</v>
      </c>
      <c r="C4776" t="s">
        <v>13900</v>
      </c>
      <c r="D4776" t="s">
        <v>20</v>
      </c>
      <c r="E4776" t="s">
        <v>11</v>
      </c>
      <c r="F4776">
        <v>8420.346</v>
      </c>
      <c r="G4776">
        <v>18</v>
      </c>
      <c r="L4776" t="s">
        <v>13901</v>
      </c>
    </row>
    <row r="4777" spans="1:12" x14ac:dyDescent="0.25">
      <c r="A4777" t="s">
        <v>18</v>
      </c>
      <c r="B4777" t="s">
        <v>13901</v>
      </c>
      <c r="C4777" t="s">
        <v>13902</v>
      </c>
      <c r="D4777" t="s">
        <v>20</v>
      </c>
      <c r="E4777" t="s">
        <v>11</v>
      </c>
      <c r="F4777">
        <v>8420.346</v>
      </c>
      <c r="G4777">
        <v>18</v>
      </c>
      <c r="L4777" t="s">
        <v>13903</v>
      </c>
    </row>
    <row r="4778" spans="1:12" x14ac:dyDescent="0.25">
      <c r="A4778" t="s">
        <v>18</v>
      </c>
      <c r="B4778" t="s">
        <v>13903</v>
      </c>
      <c r="C4778" t="s">
        <v>13904</v>
      </c>
      <c r="D4778" t="s">
        <v>20</v>
      </c>
      <c r="E4778" t="s">
        <v>11</v>
      </c>
      <c r="F4778">
        <v>58420.23</v>
      </c>
      <c r="G4778">
        <v>18</v>
      </c>
      <c r="L4778" t="s">
        <v>13905</v>
      </c>
    </row>
    <row r="4779" spans="1:12" x14ac:dyDescent="0.25">
      <c r="A4779" t="s">
        <v>18</v>
      </c>
      <c r="B4779" t="s">
        <v>13905</v>
      </c>
      <c r="C4779" t="s">
        <v>13906</v>
      </c>
      <c r="D4779" t="s">
        <v>20</v>
      </c>
      <c r="E4779" t="s">
        <v>11</v>
      </c>
      <c r="F4779">
        <v>33681.384</v>
      </c>
      <c r="G4779">
        <v>18</v>
      </c>
      <c r="L4779" t="s">
        <v>13907</v>
      </c>
    </row>
    <row r="4780" spans="1:12" x14ac:dyDescent="0.25">
      <c r="A4780" t="s">
        <v>18</v>
      </c>
      <c r="B4780" t="s">
        <v>13907</v>
      </c>
      <c r="C4780" t="s">
        <v>13908</v>
      </c>
      <c r="D4780" t="s">
        <v>20</v>
      </c>
      <c r="E4780" t="s">
        <v>11</v>
      </c>
      <c r="F4780">
        <v>11031.305999999999</v>
      </c>
      <c r="G4780">
        <v>18</v>
      </c>
      <c r="L4780" t="s">
        <v>13909</v>
      </c>
    </row>
    <row r="4781" spans="1:12" x14ac:dyDescent="0.25">
      <c r="A4781" t="s">
        <v>18</v>
      </c>
      <c r="B4781" t="s">
        <v>13909</v>
      </c>
      <c r="C4781" t="s">
        <v>13910</v>
      </c>
      <c r="D4781" t="s">
        <v>20</v>
      </c>
      <c r="E4781" t="s">
        <v>11</v>
      </c>
      <c r="F4781">
        <v>34203.575999999994</v>
      </c>
      <c r="G4781">
        <v>18</v>
      </c>
      <c r="L4781" t="s">
        <v>13911</v>
      </c>
    </row>
    <row r="4782" spans="1:12" x14ac:dyDescent="0.25">
      <c r="A4782" t="s">
        <v>18</v>
      </c>
      <c r="B4782" t="s">
        <v>13911</v>
      </c>
      <c r="C4782" t="s">
        <v>13912</v>
      </c>
      <c r="D4782" t="s">
        <v>20</v>
      </c>
      <c r="E4782" t="s">
        <v>11</v>
      </c>
      <c r="F4782">
        <v>14360.279999999999</v>
      </c>
      <c r="G4782">
        <v>18</v>
      </c>
      <c r="L4782" t="s">
        <v>13913</v>
      </c>
    </row>
    <row r="4783" spans="1:12" x14ac:dyDescent="0.25">
      <c r="A4783" t="s">
        <v>18</v>
      </c>
      <c r="B4783" t="s">
        <v>13913</v>
      </c>
      <c r="C4783" t="s">
        <v>13912</v>
      </c>
      <c r="D4783" t="s">
        <v>20</v>
      </c>
      <c r="E4783" t="s">
        <v>11</v>
      </c>
      <c r="F4783">
        <v>14360.279999999999</v>
      </c>
      <c r="G4783">
        <v>18</v>
      </c>
      <c r="L4783" t="s">
        <v>13914</v>
      </c>
    </row>
    <row r="4784" spans="1:12" x14ac:dyDescent="0.25">
      <c r="A4784" t="s">
        <v>18</v>
      </c>
      <c r="B4784" t="s">
        <v>13914</v>
      </c>
      <c r="C4784" t="s">
        <v>13915</v>
      </c>
      <c r="D4784" t="s">
        <v>20</v>
      </c>
      <c r="E4784" t="s">
        <v>11</v>
      </c>
      <c r="F4784">
        <v>20691.858</v>
      </c>
      <c r="G4784">
        <v>18</v>
      </c>
      <c r="L4784" t="s">
        <v>13916</v>
      </c>
    </row>
    <row r="4785" spans="1:12" x14ac:dyDescent="0.25">
      <c r="A4785" t="s">
        <v>18</v>
      </c>
      <c r="B4785" t="s">
        <v>13916</v>
      </c>
      <c r="C4785" t="s">
        <v>13917</v>
      </c>
      <c r="D4785" t="s">
        <v>20</v>
      </c>
      <c r="E4785" t="s">
        <v>11</v>
      </c>
      <c r="F4785">
        <v>12206.237999999998</v>
      </c>
      <c r="G4785">
        <v>18</v>
      </c>
      <c r="L4785" t="s">
        <v>13918</v>
      </c>
    </row>
    <row r="4786" spans="1:12" x14ac:dyDescent="0.25">
      <c r="A4786" t="s">
        <v>18</v>
      </c>
      <c r="B4786" t="s">
        <v>13918</v>
      </c>
      <c r="C4786" t="s">
        <v>13919</v>
      </c>
      <c r="D4786" t="s">
        <v>20</v>
      </c>
      <c r="E4786" t="s">
        <v>11</v>
      </c>
      <c r="F4786">
        <v>13315.895999999999</v>
      </c>
      <c r="G4786">
        <v>18</v>
      </c>
      <c r="L4786" t="s">
        <v>13920</v>
      </c>
    </row>
    <row r="4787" spans="1:12" x14ac:dyDescent="0.25">
      <c r="A4787" t="s">
        <v>18</v>
      </c>
      <c r="B4787" t="s">
        <v>13920</v>
      </c>
      <c r="C4787" t="s">
        <v>13921</v>
      </c>
      <c r="D4787" t="s">
        <v>20</v>
      </c>
      <c r="E4787" t="s">
        <v>11</v>
      </c>
      <c r="F4787">
        <v>13446.444000000001</v>
      </c>
      <c r="G4787">
        <v>18</v>
      </c>
      <c r="L4787" t="s">
        <v>13922</v>
      </c>
    </row>
    <row r="4788" spans="1:12" x14ac:dyDescent="0.25">
      <c r="A4788" t="s">
        <v>18</v>
      </c>
      <c r="B4788" t="s">
        <v>13922</v>
      </c>
      <c r="C4788" t="s">
        <v>13923</v>
      </c>
      <c r="D4788" t="s">
        <v>20</v>
      </c>
      <c r="E4788" t="s">
        <v>11</v>
      </c>
      <c r="F4788">
        <v>12206.237999999998</v>
      </c>
      <c r="G4788">
        <v>18</v>
      </c>
      <c r="L4788" t="s">
        <v>13924</v>
      </c>
    </row>
    <row r="4789" spans="1:12" x14ac:dyDescent="0.25">
      <c r="A4789" t="s">
        <v>18</v>
      </c>
      <c r="B4789" t="s">
        <v>13924</v>
      </c>
      <c r="C4789" t="s">
        <v>13925</v>
      </c>
      <c r="D4789" t="s">
        <v>20</v>
      </c>
      <c r="E4789" t="s">
        <v>11</v>
      </c>
      <c r="F4789">
        <v>3851.166</v>
      </c>
      <c r="G4789">
        <v>18</v>
      </c>
      <c r="L4789" t="s">
        <v>13926</v>
      </c>
    </row>
    <row r="4790" spans="1:12" x14ac:dyDescent="0.25">
      <c r="A4790" t="s">
        <v>18</v>
      </c>
      <c r="B4790" t="s">
        <v>13926</v>
      </c>
      <c r="C4790" t="s">
        <v>13927</v>
      </c>
      <c r="D4790" t="s">
        <v>20</v>
      </c>
      <c r="E4790" t="s">
        <v>11</v>
      </c>
      <c r="F4790">
        <v>1566.5759999999998</v>
      </c>
      <c r="G4790">
        <v>18</v>
      </c>
      <c r="L4790" t="s">
        <v>13928</v>
      </c>
    </row>
    <row r="4791" spans="1:12" x14ac:dyDescent="0.25">
      <c r="A4791" t="s">
        <v>18</v>
      </c>
      <c r="B4791" t="s">
        <v>13928</v>
      </c>
      <c r="C4791" t="s">
        <v>13929</v>
      </c>
      <c r="D4791" t="s">
        <v>20</v>
      </c>
      <c r="E4791" t="s">
        <v>11</v>
      </c>
      <c r="F4791">
        <v>7963.428</v>
      </c>
      <c r="G4791">
        <v>18</v>
      </c>
      <c r="L4791" t="s">
        <v>13930</v>
      </c>
    </row>
    <row r="4792" spans="1:12" x14ac:dyDescent="0.25">
      <c r="A4792" t="s">
        <v>18</v>
      </c>
      <c r="B4792" t="s">
        <v>13930</v>
      </c>
      <c r="C4792" t="s">
        <v>13931</v>
      </c>
      <c r="D4792" t="s">
        <v>20</v>
      </c>
      <c r="E4792" t="s">
        <v>11</v>
      </c>
      <c r="F4792">
        <v>14033.91</v>
      </c>
      <c r="G4792">
        <v>18</v>
      </c>
      <c r="L4792" t="s">
        <v>13932</v>
      </c>
    </row>
    <row r="4793" spans="1:12" x14ac:dyDescent="0.25">
      <c r="A4793" t="s">
        <v>18</v>
      </c>
      <c r="B4793" t="s">
        <v>13932</v>
      </c>
      <c r="C4793" t="s">
        <v>13933</v>
      </c>
      <c r="D4793" t="s">
        <v>20</v>
      </c>
      <c r="E4793" t="s">
        <v>11</v>
      </c>
      <c r="F4793">
        <v>14033.91</v>
      </c>
      <c r="G4793">
        <v>18</v>
      </c>
      <c r="L4793" t="s">
        <v>13934</v>
      </c>
    </row>
    <row r="4794" spans="1:12" x14ac:dyDescent="0.25">
      <c r="A4794" t="s">
        <v>18</v>
      </c>
      <c r="B4794" t="s">
        <v>13934</v>
      </c>
      <c r="C4794" t="s">
        <v>13935</v>
      </c>
      <c r="D4794" t="s">
        <v>20</v>
      </c>
      <c r="E4794" t="s">
        <v>11</v>
      </c>
      <c r="F4794">
        <v>14033.91</v>
      </c>
      <c r="G4794">
        <v>18</v>
      </c>
      <c r="L4794" t="s">
        <v>13936</v>
      </c>
    </row>
    <row r="4795" spans="1:12" x14ac:dyDescent="0.25">
      <c r="A4795" t="s">
        <v>18</v>
      </c>
      <c r="B4795" t="s">
        <v>13936</v>
      </c>
      <c r="C4795" t="s">
        <v>13937</v>
      </c>
      <c r="D4795" t="s">
        <v>20</v>
      </c>
      <c r="E4795" t="s">
        <v>11</v>
      </c>
      <c r="F4795">
        <v>14033.91</v>
      </c>
      <c r="G4795">
        <v>18</v>
      </c>
      <c r="L4795" t="s">
        <v>13938</v>
      </c>
    </row>
    <row r="4796" spans="1:12" x14ac:dyDescent="0.25">
      <c r="A4796" t="s">
        <v>18</v>
      </c>
      <c r="B4796" t="s">
        <v>13938</v>
      </c>
      <c r="C4796" t="s">
        <v>13939</v>
      </c>
      <c r="D4796" t="s">
        <v>20</v>
      </c>
      <c r="E4796" t="s">
        <v>11</v>
      </c>
      <c r="F4796">
        <v>14033.91</v>
      </c>
      <c r="G4796">
        <v>18</v>
      </c>
      <c r="L4796" t="s">
        <v>13940</v>
      </c>
    </row>
    <row r="4797" spans="1:12" x14ac:dyDescent="0.25">
      <c r="A4797" t="s">
        <v>18</v>
      </c>
      <c r="B4797" t="s">
        <v>13940</v>
      </c>
      <c r="C4797" t="s">
        <v>13941</v>
      </c>
      <c r="D4797" t="s">
        <v>20</v>
      </c>
      <c r="E4797" t="s">
        <v>11</v>
      </c>
      <c r="F4797">
        <v>14033.91</v>
      </c>
      <c r="G4797">
        <v>18</v>
      </c>
      <c r="L4797" t="s">
        <v>13942</v>
      </c>
    </row>
    <row r="4798" spans="1:12" x14ac:dyDescent="0.25">
      <c r="A4798" t="s">
        <v>18</v>
      </c>
      <c r="B4798" t="s">
        <v>13942</v>
      </c>
      <c r="C4798" t="s">
        <v>13943</v>
      </c>
      <c r="D4798" t="s">
        <v>20</v>
      </c>
      <c r="E4798" t="s">
        <v>11</v>
      </c>
      <c r="F4798">
        <v>14033.91</v>
      </c>
      <c r="G4798">
        <v>18</v>
      </c>
      <c r="L4798" t="s">
        <v>13944</v>
      </c>
    </row>
    <row r="4799" spans="1:12" x14ac:dyDescent="0.25">
      <c r="A4799" t="s">
        <v>18</v>
      </c>
      <c r="B4799" t="s">
        <v>13944</v>
      </c>
      <c r="C4799" t="s">
        <v>13945</v>
      </c>
      <c r="D4799" t="s">
        <v>20</v>
      </c>
      <c r="E4799" t="s">
        <v>11</v>
      </c>
      <c r="F4799">
        <v>13185.347999999998</v>
      </c>
      <c r="G4799">
        <v>18</v>
      </c>
      <c r="L4799" t="s">
        <v>13946</v>
      </c>
    </row>
    <row r="4800" spans="1:12" x14ac:dyDescent="0.25">
      <c r="A4800" t="s">
        <v>18</v>
      </c>
      <c r="B4800" t="s">
        <v>13946</v>
      </c>
      <c r="C4800" t="s">
        <v>13947</v>
      </c>
      <c r="D4800" t="s">
        <v>20</v>
      </c>
      <c r="E4800" t="s">
        <v>11</v>
      </c>
      <c r="F4800">
        <v>1697.1239999999998</v>
      </c>
      <c r="G4800">
        <v>18</v>
      </c>
      <c r="L4800" t="s">
        <v>13948</v>
      </c>
    </row>
    <row r="4801" spans="1:12" x14ac:dyDescent="0.25">
      <c r="A4801" t="s">
        <v>18</v>
      </c>
      <c r="B4801" t="s">
        <v>13948</v>
      </c>
      <c r="C4801" t="s">
        <v>13949</v>
      </c>
      <c r="D4801" t="s">
        <v>20</v>
      </c>
      <c r="E4801" t="s">
        <v>11</v>
      </c>
      <c r="F4801">
        <v>53524.68</v>
      </c>
      <c r="G4801">
        <v>18</v>
      </c>
      <c r="L4801" t="s">
        <v>13950</v>
      </c>
    </row>
    <row r="4802" spans="1:12" x14ac:dyDescent="0.25">
      <c r="A4802" t="s">
        <v>18</v>
      </c>
      <c r="B4802" t="s">
        <v>13950</v>
      </c>
      <c r="C4802" t="s">
        <v>13951</v>
      </c>
      <c r="D4802" t="s">
        <v>20</v>
      </c>
      <c r="E4802" t="s">
        <v>11</v>
      </c>
      <c r="F4802">
        <v>51697.008</v>
      </c>
      <c r="G4802">
        <v>18</v>
      </c>
      <c r="L4802" t="s">
        <v>13952</v>
      </c>
    </row>
    <row r="4803" spans="1:12" x14ac:dyDescent="0.25">
      <c r="A4803" t="s">
        <v>18</v>
      </c>
      <c r="B4803" t="s">
        <v>13952</v>
      </c>
      <c r="C4803" t="s">
        <v>13953</v>
      </c>
      <c r="D4803" t="s">
        <v>20</v>
      </c>
      <c r="E4803" t="s">
        <v>11</v>
      </c>
      <c r="F4803">
        <v>51697.008</v>
      </c>
      <c r="G4803">
        <v>18</v>
      </c>
      <c r="L4803" t="s">
        <v>13954</v>
      </c>
    </row>
    <row r="4804" spans="1:12" x14ac:dyDescent="0.25">
      <c r="A4804" t="s">
        <v>18</v>
      </c>
      <c r="B4804" t="s">
        <v>13954</v>
      </c>
      <c r="C4804" t="s">
        <v>13955</v>
      </c>
      <c r="D4804" t="s">
        <v>20</v>
      </c>
      <c r="E4804" t="s">
        <v>11</v>
      </c>
      <c r="F4804">
        <v>15535.211999999998</v>
      </c>
      <c r="G4804">
        <v>18</v>
      </c>
      <c r="L4804" t="s">
        <v>13956</v>
      </c>
    </row>
    <row r="4805" spans="1:12" x14ac:dyDescent="0.25">
      <c r="A4805" t="s">
        <v>18</v>
      </c>
      <c r="B4805" t="s">
        <v>13956</v>
      </c>
      <c r="C4805" t="s">
        <v>13957</v>
      </c>
      <c r="D4805" t="s">
        <v>20</v>
      </c>
      <c r="E4805" t="s">
        <v>11</v>
      </c>
      <c r="F4805">
        <v>15535.211999999998</v>
      </c>
      <c r="G4805">
        <v>18</v>
      </c>
      <c r="L4805" t="s">
        <v>13958</v>
      </c>
    </row>
    <row r="4806" spans="1:12" x14ac:dyDescent="0.25">
      <c r="A4806" t="s">
        <v>18</v>
      </c>
      <c r="B4806" t="s">
        <v>13958</v>
      </c>
      <c r="C4806" t="s">
        <v>13959</v>
      </c>
      <c r="D4806" t="s">
        <v>20</v>
      </c>
      <c r="E4806" t="s">
        <v>11</v>
      </c>
      <c r="F4806">
        <v>15535.211999999998</v>
      </c>
      <c r="G4806">
        <v>18</v>
      </c>
      <c r="L4806" t="s">
        <v>13960</v>
      </c>
    </row>
    <row r="4807" spans="1:12" x14ac:dyDescent="0.25">
      <c r="A4807" t="s">
        <v>18</v>
      </c>
      <c r="B4807" t="s">
        <v>13960</v>
      </c>
      <c r="C4807" t="s">
        <v>13961</v>
      </c>
      <c r="D4807" t="s">
        <v>20</v>
      </c>
      <c r="E4807" t="s">
        <v>11</v>
      </c>
      <c r="F4807">
        <v>15535.211999999998</v>
      </c>
      <c r="G4807">
        <v>18</v>
      </c>
      <c r="L4807" t="s">
        <v>13962</v>
      </c>
    </row>
    <row r="4808" spans="1:12" x14ac:dyDescent="0.25">
      <c r="A4808" t="s">
        <v>18</v>
      </c>
      <c r="B4808" t="s">
        <v>13962</v>
      </c>
      <c r="C4808" t="s">
        <v>13963</v>
      </c>
      <c r="D4808" t="s">
        <v>20</v>
      </c>
      <c r="E4808" t="s">
        <v>11</v>
      </c>
      <c r="F4808">
        <v>15535.211999999998</v>
      </c>
      <c r="G4808">
        <v>18</v>
      </c>
      <c r="L4808" t="s">
        <v>13964</v>
      </c>
    </row>
    <row r="4809" spans="1:12" x14ac:dyDescent="0.25">
      <c r="A4809" t="s">
        <v>18</v>
      </c>
      <c r="B4809" t="s">
        <v>13964</v>
      </c>
      <c r="C4809" t="s">
        <v>13965</v>
      </c>
      <c r="D4809" t="s">
        <v>20</v>
      </c>
      <c r="E4809" t="s">
        <v>11</v>
      </c>
      <c r="F4809">
        <v>5809.3859999999995</v>
      </c>
      <c r="G4809">
        <v>18</v>
      </c>
      <c r="L4809" t="s">
        <v>13966</v>
      </c>
    </row>
    <row r="4810" spans="1:12" x14ac:dyDescent="0.25">
      <c r="A4810" t="s">
        <v>18</v>
      </c>
      <c r="B4810" t="s">
        <v>13966</v>
      </c>
      <c r="C4810" t="s">
        <v>13967</v>
      </c>
      <c r="D4810" t="s">
        <v>20</v>
      </c>
      <c r="E4810" t="s">
        <v>11</v>
      </c>
      <c r="F4810">
        <v>4765.0019999999995</v>
      </c>
      <c r="G4810">
        <v>18</v>
      </c>
      <c r="L4810" t="s">
        <v>13968</v>
      </c>
    </row>
    <row r="4811" spans="1:12" x14ac:dyDescent="0.25">
      <c r="A4811" t="s">
        <v>18</v>
      </c>
      <c r="B4811" t="s">
        <v>13968</v>
      </c>
      <c r="C4811" t="s">
        <v>13969</v>
      </c>
      <c r="D4811" t="s">
        <v>20</v>
      </c>
      <c r="E4811" t="s">
        <v>11</v>
      </c>
      <c r="F4811">
        <v>7506.51</v>
      </c>
      <c r="G4811">
        <v>18</v>
      </c>
      <c r="L4811" t="s">
        <v>13970</v>
      </c>
    </row>
    <row r="4812" spans="1:12" x14ac:dyDescent="0.25">
      <c r="A4812" t="s">
        <v>18</v>
      </c>
      <c r="B4812" t="s">
        <v>13970</v>
      </c>
      <c r="C4812" t="s">
        <v>13971</v>
      </c>
      <c r="D4812" t="s">
        <v>20</v>
      </c>
      <c r="E4812" t="s">
        <v>11</v>
      </c>
      <c r="F4812">
        <v>36031.248</v>
      </c>
      <c r="G4812">
        <v>18</v>
      </c>
      <c r="L4812" t="s">
        <v>13972</v>
      </c>
    </row>
    <row r="4813" spans="1:12" x14ac:dyDescent="0.25">
      <c r="A4813" t="s">
        <v>18</v>
      </c>
      <c r="B4813" t="s">
        <v>13972</v>
      </c>
      <c r="C4813" t="s">
        <v>13973</v>
      </c>
      <c r="D4813" t="s">
        <v>20</v>
      </c>
      <c r="E4813" t="s">
        <v>11</v>
      </c>
      <c r="F4813">
        <v>22780.625999999997</v>
      </c>
      <c r="G4813">
        <v>18</v>
      </c>
      <c r="L4813" t="s">
        <v>13974</v>
      </c>
    </row>
    <row r="4814" spans="1:12" x14ac:dyDescent="0.25">
      <c r="A4814" t="s">
        <v>18</v>
      </c>
      <c r="B4814" t="s">
        <v>13974</v>
      </c>
      <c r="C4814" t="s">
        <v>13975</v>
      </c>
      <c r="D4814" t="s">
        <v>20</v>
      </c>
      <c r="E4814" t="s">
        <v>11</v>
      </c>
      <c r="F4814">
        <v>10704.936</v>
      </c>
      <c r="G4814">
        <v>18</v>
      </c>
      <c r="L4814" t="s">
        <v>13976</v>
      </c>
    </row>
    <row r="4815" spans="1:12" x14ac:dyDescent="0.25">
      <c r="A4815" t="s">
        <v>18</v>
      </c>
      <c r="B4815" t="s">
        <v>13976</v>
      </c>
      <c r="C4815" t="s">
        <v>13977</v>
      </c>
      <c r="D4815" t="s">
        <v>20</v>
      </c>
      <c r="E4815" t="s">
        <v>11</v>
      </c>
      <c r="F4815">
        <v>28981.656</v>
      </c>
      <c r="G4815">
        <v>18</v>
      </c>
      <c r="L4815" t="s">
        <v>13978</v>
      </c>
    </row>
    <row r="4816" spans="1:12" x14ac:dyDescent="0.25">
      <c r="A4816" t="s">
        <v>18</v>
      </c>
      <c r="B4816" t="s">
        <v>13978</v>
      </c>
      <c r="C4816" t="s">
        <v>13979</v>
      </c>
      <c r="D4816" t="s">
        <v>20</v>
      </c>
      <c r="E4816" t="s">
        <v>11</v>
      </c>
      <c r="F4816">
        <v>23629.188000000002</v>
      </c>
      <c r="G4816">
        <v>18</v>
      </c>
      <c r="L4816" t="s">
        <v>13980</v>
      </c>
    </row>
    <row r="4817" spans="1:12" x14ac:dyDescent="0.25">
      <c r="A4817" t="s">
        <v>18</v>
      </c>
      <c r="B4817" t="s">
        <v>13980</v>
      </c>
      <c r="C4817" t="s">
        <v>13981</v>
      </c>
      <c r="D4817" t="s">
        <v>20</v>
      </c>
      <c r="E4817" t="s">
        <v>11</v>
      </c>
      <c r="F4817">
        <v>23629.188000000002</v>
      </c>
      <c r="G4817">
        <v>18</v>
      </c>
      <c r="L4817" t="s">
        <v>13982</v>
      </c>
    </row>
    <row r="4818" spans="1:12" x14ac:dyDescent="0.25">
      <c r="A4818" t="s">
        <v>18</v>
      </c>
      <c r="B4818" t="s">
        <v>13982</v>
      </c>
      <c r="C4818" t="s">
        <v>13983</v>
      </c>
      <c r="D4818" t="s">
        <v>20</v>
      </c>
      <c r="E4818" t="s">
        <v>11</v>
      </c>
      <c r="F4818">
        <v>23629.188000000002</v>
      </c>
      <c r="G4818">
        <v>18</v>
      </c>
      <c r="L4818" t="s">
        <v>13984</v>
      </c>
    </row>
    <row r="4819" spans="1:12" x14ac:dyDescent="0.25">
      <c r="A4819" t="s">
        <v>18</v>
      </c>
      <c r="B4819" t="s">
        <v>13984</v>
      </c>
      <c r="C4819" t="s">
        <v>13985</v>
      </c>
      <c r="D4819" t="s">
        <v>20</v>
      </c>
      <c r="E4819" t="s">
        <v>11</v>
      </c>
      <c r="F4819">
        <v>23629.188000000002</v>
      </c>
      <c r="G4819">
        <v>18</v>
      </c>
      <c r="L4819" t="s">
        <v>13986</v>
      </c>
    </row>
    <row r="4820" spans="1:12" x14ac:dyDescent="0.25">
      <c r="A4820" t="s">
        <v>18</v>
      </c>
      <c r="B4820" t="s">
        <v>13986</v>
      </c>
      <c r="C4820" t="s">
        <v>13987</v>
      </c>
      <c r="D4820" t="s">
        <v>20</v>
      </c>
      <c r="E4820" t="s">
        <v>11</v>
      </c>
      <c r="F4820">
        <v>23629.188000000002</v>
      </c>
      <c r="G4820">
        <v>18</v>
      </c>
      <c r="L4820" t="s">
        <v>13988</v>
      </c>
    </row>
    <row r="4821" spans="1:12" x14ac:dyDescent="0.25">
      <c r="A4821" t="s">
        <v>18</v>
      </c>
      <c r="B4821" t="s">
        <v>13988</v>
      </c>
      <c r="C4821" t="s">
        <v>13989</v>
      </c>
      <c r="D4821" t="s">
        <v>20</v>
      </c>
      <c r="E4821" t="s">
        <v>11</v>
      </c>
      <c r="F4821">
        <v>23629.188000000002</v>
      </c>
      <c r="G4821">
        <v>18</v>
      </c>
      <c r="L4821" t="s">
        <v>13990</v>
      </c>
    </row>
    <row r="4822" spans="1:12" x14ac:dyDescent="0.25">
      <c r="A4822" t="s">
        <v>18</v>
      </c>
      <c r="B4822" t="s">
        <v>13990</v>
      </c>
      <c r="C4822" t="s">
        <v>13991</v>
      </c>
      <c r="D4822" t="s">
        <v>20</v>
      </c>
      <c r="E4822" t="s">
        <v>11</v>
      </c>
      <c r="F4822">
        <v>23629.188000000002</v>
      </c>
      <c r="G4822">
        <v>18</v>
      </c>
      <c r="L4822" t="s">
        <v>13992</v>
      </c>
    </row>
    <row r="4823" spans="1:12" x14ac:dyDescent="0.25">
      <c r="A4823" t="s">
        <v>18</v>
      </c>
      <c r="B4823" t="s">
        <v>13992</v>
      </c>
      <c r="C4823" t="s">
        <v>13993</v>
      </c>
      <c r="D4823" t="s">
        <v>20</v>
      </c>
      <c r="E4823" t="s">
        <v>11</v>
      </c>
      <c r="F4823">
        <v>23629.188000000002</v>
      </c>
      <c r="G4823">
        <v>18</v>
      </c>
      <c r="L4823" t="s">
        <v>13994</v>
      </c>
    </row>
    <row r="4824" spans="1:12" x14ac:dyDescent="0.25">
      <c r="A4824" t="s">
        <v>18</v>
      </c>
      <c r="B4824" t="s">
        <v>13994</v>
      </c>
      <c r="C4824" t="s">
        <v>13995</v>
      </c>
      <c r="D4824" t="s">
        <v>20</v>
      </c>
      <c r="E4824" t="s">
        <v>11</v>
      </c>
      <c r="F4824">
        <v>23629.188000000002</v>
      </c>
      <c r="G4824">
        <v>18</v>
      </c>
      <c r="L4824" t="s">
        <v>13996</v>
      </c>
    </row>
    <row r="4825" spans="1:12" x14ac:dyDescent="0.25">
      <c r="A4825" t="s">
        <v>18</v>
      </c>
      <c r="B4825" t="s">
        <v>13996</v>
      </c>
      <c r="C4825" t="s">
        <v>13997</v>
      </c>
      <c r="D4825" t="s">
        <v>20</v>
      </c>
      <c r="E4825" t="s">
        <v>11</v>
      </c>
      <c r="F4825">
        <v>23629.188000000002</v>
      </c>
      <c r="G4825">
        <v>18</v>
      </c>
      <c r="L4825" t="s">
        <v>13998</v>
      </c>
    </row>
    <row r="4826" spans="1:12" x14ac:dyDescent="0.25">
      <c r="A4826" t="s">
        <v>18</v>
      </c>
      <c r="B4826" t="s">
        <v>13998</v>
      </c>
      <c r="C4826" t="s">
        <v>13999</v>
      </c>
      <c r="D4826" t="s">
        <v>20</v>
      </c>
      <c r="E4826" t="s">
        <v>11</v>
      </c>
      <c r="F4826">
        <v>23629.188000000002</v>
      </c>
      <c r="G4826">
        <v>18</v>
      </c>
      <c r="L4826" t="s">
        <v>14000</v>
      </c>
    </row>
    <row r="4827" spans="1:12" x14ac:dyDescent="0.25">
      <c r="A4827" t="s">
        <v>18</v>
      </c>
      <c r="B4827" t="s">
        <v>14000</v>
      </c>
      <c r="C4827" t="s">
        <v>14001</v>
      </c>
      <c r="D4827" t="s">
        <v>20</v>
      </c>
      <c r="E4827" t="s">
        <v>11</v>
      </c>
      <c r="F4827">
        <v>14164.457999999999</v>
      </c>
      <c r="G4827">
        <v>18</v>
      </c>
      <c r="L4827" t="s">
        <v>14002</v>
      </c>
    </row>
    <row r="4828" spans="1:12" x14ac:dyDescent="0.25">
      <c r="A4828" t="s">
        <v>18</v>
      </c>
      <c r="B4828" t="s">
        <v>14002</v>
      </c>
      <c r="C4828" t="s">
        <v>14003</v>
      </c>
      <c r="D4828" t="s">
        <v>20</v>
      </c>
      <c r="E4828" t="s">
        <v>11</v>
      </c>
      <c r="F4828">
        <v>23629.188000000002</v>
      </c>
      <c r="G4828">
        <v>18</v>
      </c>
      <c r="L4828" t="s">
        <v>14004</v>
      </c>
    </row>
    <row r="4829" spans="1:12" x14ac:dyDescent="0.25">
      <c r="A4829" t="s">
        <v>18</v>
      </c>
      <c r="B4829" t="s">
        <v>14004</v>
      </c>
      <c r="C4829" t="s">
        <v>14005</v>
      </c>
      <c r="D4829" t="s">
        <v>20</v>
      </c>
      <c r="E4829" t="s">
        <v>11</v>
      </c>
      <c r="F4829">
        <v>23629.188000000002</v>
      </c>
      <c r="G4829">
        <v>18</v>
      </c>
      <c r="L4829" t="s">
        <v>14006</v>
      </c>
    </row>
    <row r="4830" spans="1:12" x14ac:dyDescent="0.25">
      <c r="A4830" t="s">
        <v>18</v>
      </c>
      <c r="B4830" t="s">
        <v>14006</v>
      </c>
      <c r="C4830" t="s">
        <v>14007</v>
      </c>
      <c r="D4830" t="s">
        <v>20</v>
      </c>
      <c r="E4830" t="s">
        <v>11</v>
      </c>
      <c r="F4830">
        <v>23629.188000000002</v>
      </c>
      <c r="G4830">
        <v>18</v>
      </c>
      <c r="L4830" t="s">
        <v>14008</v>
      </c>
    </row>
    <row r="4831" spans="1:12" x14ac:dyDescent="0.25">
      <c r="A4831" t="s">
        <v>18</v>
      </c>
      <c r="B4831" t="s">
        <v>14008</v>
      </c>
      <c r="C4831" t="s">
        <v>14009</v>
      </c>
      <c r="D4831" t="s">
        <v>20</v>
      </c>
      <c r="E4831" t="s">
        <v>11</v>
      </c>
      <c r="F4831">
        <v>23629.188000000002</v>
      </c>
      <c r="G4831">
        <v>18</v>
      </c>
      <c r="L4831" t="s">
        <v>14010</v>
      </c>
    </row>
    <row r="4832" spans="1:12" x14ac:dyDescent="0.25">
      <c r="A4832" t="s">
        <v>18</v>
      </c>
      <c r="B4832" t="s">
        <v>14010</v>
      </c>
      <c r="C4832" t="s">
        <v>14011</v>
      </c>
      <c r="D4832" t="s">
        <v>20</v>
      </c>
      <c r="E4832" t="s">
        <v>11</v>
      </c>
      <c r="F4832">
        <v>23629.188000000002</v>
      </c>
      <c r="G4832">
        <v>18</v>
      </c>
      <c r="L4832" t="s">
        <v>14012</v>
      </c>
    </row>
    <row r="4833" spans="1:12" x14ac:dyDescent="0.25">
      <c r="A4833" t="s">
        <v>18</v>
      </c>
      <c r="B4833" t="s">
        <v>14012</v>
      </c>
      <c r="C4833" t="s">
        <v>14013</v>
      </c>
      <c r="D4833" t="s">
        <v>20</v>
      </c>
      <c r="E4833" t="s">
        <v>11</v>
      </c>
      <c r="F4833">
        <v>23629.188000000002</v>
      </c>
      <c r="G4833">
        <v>18</v>
      </c>
      <c r="L4833" t="s">
        <v>14014</v>
      </c>
    </row>
    <row r="4834" spans="1:12" x14ac:dyDescent="0.25">
      <c r="A4834" t="s">
        <v>18</v>
      </c>
      <c r="B4834" t="s">
        <v>14014</v>
      </c>
      <c r="C4834" t="s">
        <v>14015</v>
      </c>
      <c r="D4834" t="s">
        <v>20</v>
      </c>
      <c r="E4834" t="s">
        <v>11</v>
      </c>
      <c r="F4834">
        <v>23629.188000000002</v>
      </c>
      <c r="G4834">
        <v>18</v>
      </c>
      <c r="L4834" t="s">
        <v>14016</v>
      </c>
    </row>
    <row r="4835" spans="1:12" x14ac:dyDescent="0.25">
      <c r="A4835" t="s">
        <v>18</v>
      </c>
      <c r="B4835" t="s">
        <v>14016</v>
      </c>
      <c r="C4835" t="s">
        <v>14017</v>
      </c>
      <c r="D4835" t="s">
        <v>20</v>
      </c>
      <c r="E4835" t="s">
        <v>11</v>
      </c>
      <c r="F4835">
        <v>23629.188000000002</v>
      </c>
      <c r="G4835">
        <v>18</v>
      </c>
      <c r="L4835" t="s">
        <v>14018</v>
      </c>
    </row>
    <row r="4836" spans="1:12" x14ac:dyDescent="0.25">
      <c r="A4836" t="s">
        <v>18</v>
      </c>
      <c r="B4836" t="s">
        <v>14018</v>
      </c>
      <c r="C4836" t="s">
        <v>14019</v>
      </c>
      <c r="D4836" t="s">
        <v>20</v>
      </c>
      <c r="E4836" t="s">
        <v>11</v>
      </c>
      <c r="F4836">
        <v>23629.188000000002</v>
      </c>
      <c r="G4836">
        <v>18</v>
      </c>
      <c r="L4836" t="s">
        <v>14020</v>
      </c>
    </row>
    <row r="4837" spans="1:12" x14ac:dyDescent="0.25">
      <c r="A4837" t="s">
        <v>18</v>
      </c>
      <c r="B4837" t="s">
        <v>14020</v>
      </c>
      <c r="C4837" t="s">
        <v>14021</v>
      </c>
      <c r="D4837" t="s">
        <v>20</v>
      </c>
      <c r="E4837" t="s">
        <v>11</v>
      </c>
      <c r="F4837">
        <v>23629.188000000002</v>
      </c>
      <c r="G4837">
        <v>18</v>
      </c>
      <c r="L4837" t="s">
        <v>14022</v>
      </c>
    </row>
    <row r="4838" spans="1:12" x14ac:dyDescent="0.25">
      <c r="A4838" t="s">
        <v>18</v>
      </c>
      <c r="B4838" t="s">
        <v>14022</v>
      </c>
      <c r="C4838" t="s">
        <v>14023</v>
      </c>
      <c r="D4838" t="s">
        <v>20</v>
      </c>
      <c r="E4838" t="s">
        <v>11</v>
      </c>
      <c r="F4838">
        <v>23629.188000000002</v>
      </c>
      <c r="G4838">
        <v>18</v>
      </c>
      <c r="L4838" t="s">
        <v>14024</v>
      </c>
    </row>
    <row r="4839" spans="1:12" x14ac:dyDescent="0.25">
      <c r="A4839" t="s">
        <v>18</v>
      </c>
      <c r="B4839" t="s">
        <v>14024</v>
      </c>
      <c r="C4839" t="s">
        <v>14025</v>
      </c>
      <c r="D4839" t="s">
        <v>20</v>
      </c>
      <c r="E4839" t="s">
        <v>11</v>
      </c>
      <c r="F4839">
        <v>23629.188000000002</v>
      </c>
      <c r="G4839">
        <v>18</v>
      </c>
      <c r="L4839" t="s">
        <v>14026</v>
      </c>
    </row>
    <row r="4840" spans="1:12" x14ac:dyDescent="0.25">
      <c r="A4840" t="s">
        <v>18</v>
      </c>
      <c r="B4840" t="s">
        <v>14026</v>
      </c>
      <c r="C4840" t="s">
        <v>14027</v>
      </c>
      <c r="D4840" t="s">
        <v>20</v>
      </c>
      <c r="E4840" t="s">
        <v>11</v>
      </c>
      <c r="F4840">
        <v>23629.188000000002</v>
      </c>
      <c r="G4840">
        <v>18</v>
      </c>
      <c r="L4840" t="s">
        <v>14028</v>
      </c>
    </row>
    <row r="4841" spans="1:12" x14ac:dyDescent="0.25">
      <c r="A4841" t="s">
        <v>18</v>
      </c>
      <c r="B4841" t="s">
        <v>14028</v>
      </c>
      <c r="C4841" t="s">
        <v>14029</v>
      </c>
      <c r="D4841" t="s">
        <v>20</v>
      </c>
      <c r="E4841" t="s">
        <v>11</v>
      </c>
      <c r="F4841">
        <v>23629.188000000002</v>
      </c>
      <c r="G4841">
        <v>18</v>
      </c>
      <c r="L4841" t="s">
        <v>14030</v>
      </c>
    </row>
    <row r="4842" spans="1:12" x14ac:dyDescent="0.25">
      <c r="A4842" t="s">
        <v>18</v>
      </c>
      <c r="B4842" t="s">
        <v>14030</v>
      </c>
      <c r="C4842" t="s">
        <v>14031</v>
      </c>
      <c r="D4842" t="s">
        <v>20</v>
      </c>
      <c r="E4842" t="s">
        <v>11</v>
      </c>
      <c r="F4842">
        <v>23629.188000000002</v>
      </c>
      <c r="G4842">
        <v>18</v>
      </c>
      <c r="L4842" t="s">
        <v>14032</v>
      </c>
    </row>
    <row r="4843" spans="1:12" x14ac:dyDescent="0.25">
      <c r="A4843" t="s">
        <v>18</v>
      </c>
      <c r="B4843" t="s">
        <v>14032</v>
      </c>
      <c r="C4843" t="s">
        <v>14033</v>
      </c>
      <c r="D4843" t="s">
        <v>20</v>
      </c>
      <c r="E4843" t="s">
        <v>11</v>
      </c>
      <c r="F4843">
        <v>23629.188000000002</v>
      </c>
      <c r="G4843">
        <v>18</v>
      </c>
      <c r="L4843" t="s">
        <v>14034</v>
      </c>
    </row>
    <row r="4844" spans="1:12" x14ac:dyDescent="0.25">
      <c r="A4844" t="s">
        <v>18</v>
      </c>
      <c r="B4844" t="s">
        <v>14034</v>
      </c>
      <c r="C4844" t="s">
        <v>14035</v>
      </c>
      <c r="D4844" t="s">
        <v>20</v>
      </c>
      <c r="E4844" t="s">
        <v>11</v>
      </c>
      <c r="F4844">
        <v>23629.188000000002</v>
      </c>
      <c r="G4844">
        <v>18</v>
      </c>
      <c r="L4844" t="s">
        <v>14036</v>
      </c>
    </row>
    <row r="4845" spans="1:12" x14ac:dyDescent="0.25">
      <c r="A4845" t="s">
        <v>18</v>
      </c>
      <c r="B4845" t="s">
        <v>14036</v>
      </c>
      <c r="C4845" t="s">
        <v>14037</v>
      </c>
      <c r="D4845" t="s">
        <v>20</v>
      </c>
      <c r="E4845" t="s">
        <v>11</v>
      </c>
      <c r="F4845">
        <v>23629.188000000002</v>
      </c>
      <c r="G4845">
        <v>18</v>
      </c>
      <c r="L4845" t="s">
        <v>14038</v>
      </c>
    </row>
    <row r="4846" spans="1:12" x14ac:dyDescent="0.25">
      <c r="A4846" t="s">
        <v>18</v>
      </c>
      <c r="B4846" t="s">
        <v>14038</v>
      </c>
      <c r="C4846" t="s">
        <v>14039</v>
      </c>
      <c r="D4846" t="s">
        <v>20</v>
      </c>
      <c r="E4846" t="s">
        <v>11</v>
      </c>
      <c r="F4846">
        <v>14164.457999999999</v>
      </c>
      <c r="G4846">
        <v>18</v>
      </c>
      <c r="L4846" t="s">
        <v>14040</v>
      </c>
    </row>
    <row r="4847" spans="1:12" x14ac:dyDescent="0.25">
      <c r="A4847" t="s">
        <v>18</v>
      </c>
      <c r="B4847" t="s">
        <v>14040</v>
      </c>
      <c r="C4847" t="s">
        <v>14041</v>
      </c>
      <c r="D4847" t="s">
        <v>20</v>
      </c>
      <c r="E4847" t="s">
        <v>11</v>
      </c>
      <c r="F4847">
        <v>23629.188000000002</v>
      </c>
      <c r="G4847">
        <v>18</v>
      </c>
      <c r="L4847" t="s">
        <v>14042</v>
      </c>
    </row>
    <row r="4848" spans="1:12" x14ac:dyDescent="0.25">
      <c r="A4848" t="s">
        <v>18</v>
      </c>
      <c r="B4848" t="s">
        <v>14042</v>
      </c>
      <c r="C4848" t="s">
        <v>14043</v>
      </c>
      <c r="D4848" t="s">
        <v>20</v>
      </c>
      <c r="E4848" t="s">
        <v>11</v>
      </c>
      <c r="F4848">
        <v>25195.764</v>
      </c>
      <c r="G4848">
        <v>18</v>
      </c>
      <c r="L4848" t="s">
        <v>14044</v>
      </c>
    </row>
    <row r="4849" spans="1:12" x14ac:dyDescent="0.25">
      <c r="A4849" t="s">
        <v>18</v>
      </c>
      <c r="B4849" t="s">
        <v>14044</v>
      </c>
      <c r="C4849" t="s">
        <v>14045</v>
      </c>
      <c r="D4849" t="s">
        <v>20</v>
      </c>
      <c r="E4849" t="s">
        <v>11</v>
      </c>
      <c r="F4849">
        <v>23629.188000000002</v>
      </c>
      <c r="G4849">
        <v>18</v>
      </c>
      <c r="L4849" t="s">
        <v>14046</v>
      </c>
    </row>
    <row r="4850" spans="1:12" x14ac:dyDescent="0.25">
      <c r="A4850" t="s">
        <v>18</v>
      </c>
      <c r="B4850" t="s">
        <v>14046</v>
      </c>
      <c r="C4850" t="s">
        <v>14047</v>
      </c>
      <c r="D4850" t="s">
        <v>20</v>
      </c>
      <c r="E4850" t="s">
        <v>11</v>
      </c>
      <c r="F4850">
        <v>23629.188000000002</v>
      </c>
      <c r="G4850">
        <v>18</v>
      </c>
      <c r="L4850" t="s">
        <v>14048</v>
      </c>
    </row>
    <row r="4851" spans="1:12" x14ac:dyDescent="0.25">
      <c r="A4851" t="s">
        <v>18</v>
      </c>
      <c r="B4851" t="s">
        <v>14048</v>
      </c>
      <c r="C4851" t="s">
        <v>14049</v>
      </c>
      <c r="D4851" t="s">
        <v>20</v>
      </c>
      <c r="E4851" t="s">
        <v>11</v>
      </c>
      <c r="F4851">
        <v>22976.448</v>
      </c>
      <c r="G4851">
        <v>18</v>
      </c>
      <c r="L4851" t="s">
        <v>14050</v>
      </c>
    </row>
    <row r="4852" spans="1:12" x14ac:dyDescent="0.25">
      <c r="A4852" t="s">
        <v>18</v>
      </c>
      <c r="B4852" t="s">
        <v>14050</v>
      </c>
      <c r="C4852" t="s">
        <v>14051</v>
      </c>
      <c r="D4852" t="s">
        <v>20</v>
      </c>
      <c r="E4852" t="s">
        <v>11</v>
      </c>
      <c r="F4852">
        <v>22976.448</v>
      </c>
      <c r="G4852">
        <v>18</v>
      </c>
      <c r="L4852" t="s">
        <v>14052</v>
      </c>
    </row>
    <row r="4853" spans="1:12" x14ac:dyDescent="0.25">
      <c r="A4853" t="s">
        <v>18</v>
      </c>
      <c r="B4853" t="s">
        <v>14052</v>
      </c>
      <c r="C4853" t="s">
        <v>14053</v>
      </c>
      <c r="D4853" t="s">
        <v>20</v>
      </c>
      <c r="E4853" t="s">
        <v>11</v>
      </c>
      <c r="F4853">
        <v>10378.565999999999</v>
      </c>
      <c r="G4853">
        <v>18</v>
      </c>
      <c r="L4853" t="s">
        <v>14054</v>
      </c>
    </row>
    <row r="4854" spans="1:12" x14ac:dyDescent="0.25">
      <c r="A4854" t="s">
        <v>18</v>
      </c>
      <c r="B4854" t="s">
        <v>14054</v>
      </c>
      <c r="C4854" t="s">
        <v>14055</v>
      </c>
      <c r="D4854" t="s">
        <v>20</v>
      </c>
      <c r="E4854" t="s">
        <v>11</v>
      </c>
      <c r="F4854">
        <v>38838.030000000006</v>
      </c>
      <c r="G4854">
        <v>18</v>
      </c>
      <c r="L4854" t="s">
        <v>14056</v>
      </c>
    </row>
    <row r="4855" spans="1:12" x14ac:dyDescent="0.25">
      <c r="A4855" t="s">
        <v>18</v>
      </c>
      <c r="B4855" t="s">
        <v>14056</v>
      </c>
      <c r="C4855" t="s">
        <v>14057</v>
      </c>
      <c r="D4855" t="s">
        <v>20</v>
      </c>
      <c r="E4855" t="s">
        <v>11</v>
      </c>
      <c r="F4855">
        <v>7310.688</v>
      </c>
      <c r="G4855">
        <v>18</v>
      </c>
      <c r="L4855" t="s">
        <v>14058</v>
      </c>
    </row>
    <row r="4856" spans="1:12" x14ac:dyDescent="0.25">
      <c r="A4856" t="s">
        <v>18</v>
      </c>
      <c r="B4856" t="s">
        <v>14058</v>
      </c>
      <c r="C4856" t="s">
        <v>14059</v>
      </c>
      <c r="D4856" t="s">
        <v>20</v>
      </c>
      <c r="E4856" t="s">
        <v>11</v>
      </c>
      <c r="F4856">
        <v>2154.042</v>
      </c>
      <c r="G4856">
        <v>18</v>
      </c>
      <c r="L4856" t="s">
        <v>14060</v>
      </c>
    </row>
    <row r="4857" spans="1:12" x14ac:dyDescent="0.25">
      <c r="A4857" t="s">
        <v>18</v>
      </c>
      <c r="B4857" t="s">
        <v>14060</v>
      </c>
      <c r="C4857" t="s">
        <v>14061</v>
      </c>
      <c r="D4857" t="s">
        <v>20</v>
      </c>
      <c r="E4857" t="s">
        <v>11</v>
      </c>
      <c r="F4857">
        <v>2154.042</v>
      </c>
      <c r="G4857">
        <v>18</v>
      </c>
      <c r="L4857" t="s">
        <v>14062</v>
      </c>
    </row>
    <row r="4858" spans="1:12" x14ac:dyDescent="0.25">
      <c r="A4858" t="s">
        <v>18</v>
      </c>
      <c r="B4858" t="s">
        <v>14062</v>
      </c>
      <c r="C4858" t="s">
        <v>14063</v>
      </c>
      <c r="D4858" t="s">
        <v>20</v>
      </c>
      <c r="E4858" t="s">
        <v>11</v>
      </c>
      <c r="F4858">
        <v>2154.042</v>
      </c>
      <c r="G4858">
        <v>18</v>
      </c>
      <c r="L4858" t="s">
        <v>14064</v>
      </c>
    </row>
    <row r="4859" spans="1:12" x14ac:dyDescent="0.25">
      <c r="A4859" t="s">
        <v>18</v>
      </c>
      <c r="B4859" t="s">
        <v>14064</v>
      </c>
      <c r="C4859" t="s">
        <v>14065</v>
      </c>
      <c r="D4859" t="s">
        <v>20</v>
      </c>
      <c r="E4859" t="s">
        <v>11</v>
      </c>
      <c r="F4859">
        <v>41448.990000000005</v>
      </c>
      <c r="G4859">
        <v>18</v>
      </c>
      <c r="L4859" t="s">
        <v>14066</v>
      </c>
    </row>
    <row r="4860" spans="1:12" x14ac:dyDescent="0.25">
      <c r="A4860" t="s">
        <v>18</v>
      </c>
      <c r="B4860" t="s">
        <v>14066</v>
      </c>
      <c r="C4860" t="s">
        <v>14067</v>
      </c>
      <c r="D4860" t="s">
        <v>20</v>
      </c>
      <c r="E4860" t="s">
        <v>11</v>
      </c>
      <c r="F4860">
        <v>1631.85</v>
      </c>
      <c r="G4860">
        <v>18</v>
      </c>
      <c r="L4860" t="s">
        <v>14068</v>
      </c>
    </row>
    <row r="4861" spans="1:12" x14ac:dyDescent="0.25">
      <c r="A4861" t="s">
        <v>18</v>
      </c>
      <c r="B4861" t="s">
        <v>14068</v>
      </c>
      <c r="C4861" t="s">
        <v>14069</v>
      </c>
      <c r="D4861" t="s">
        <v>20</v>
      </c>
      <c r="E4861" t="s">
        <v>11</v>
      </c>
      <c r="F4861">
        <v>979.11</v>
      </c>
      <c r="G4861">
        <v>18</v>
      </c>
      <c r="L4861" t="s">
        <v>14070</v>
      </c>
    </row>
    <row r="4862" spans="1:12" x14ac:dyDescent="0.25">
      <c r="A4862" t="s">
        <v>18</v>
      </c>
      <c r="B4862" t="s">
        <v>14070</v>
      </c>
      <c r="C4862" t="s">
        <v>14071</v>
      </c>
      <c r="D4862" t="s">
        <v>20</v>
      </c>
      <c r="E4862" t="s">
        <v>11</v>
      </c>
      <c r="F4862">
        <v>6331.5779999999995</v>
      </c>
      <c r="G4862">
        <v>18</v>
      </c>
      <c r="L4862" t="s">
        <v>14072</v>
      </c>
    </row>
    <row r="4863" spans="1:12" x14ac:dyDescent="0.25">
      <c r="A4863" t="s">
        <v>18</v>
      </c>
      <c r="B4863" t="s">
        <v>14072</v>
      </c>
      <c r="C4863" t="s">
        <v>14073</v>
      </c>
      <c r="D4863" t="s">
        <v>20</v>
      </c>
      <c r="E4863" t="s">
        <v>11</v>
      </c>
      <c r="F4863">
        <v>13446.444000000001</v>
      </c>
      <c r="G4863">
        <v>18</v>
      </c>
      <c r="L4863" t="s">
        <v>14074</v>
      </c>
    </row>
    <row r="4864" spans="1:12" x14ac:dyDescent="0.25">
      <c r="A4864" t="s">
        <v>18</v>
      </c>
      <c r="B4864" t="s">
        <v>14074</v>
      </c>
      <c r="C4864" t="s">
        <v>14075</v>
      </c>
      <c r="D4864" t="s">
        <v>20</v>
      </c>
      <c r="E4864" t="s">
        <v>11</v>
      </c>
      <c r="F4864">
        <v>13446.444000000001</v>
      </c>
      <c r="G4864">
        <v>18</v>
      </c>
      <c r="L4864" t="s">
        <v>14076</v>
      </c>
    </row>
    <row r="4865" spans="1:12" x14ac:dyDescent="0.25">
      <c r="A4865" t="s">
        <v>18</v>
      </c>
      <c r="B4865" t="s">
        <v>14076</v>
      </c>
      <c r="C4865" t="s">
        <v>14077</v>
      </c>
      <c r="D4865" t="s">
        <v>20</v>
      </c>
      <c r="E4865" t="s">
        <v>11</v>
      </c>
      <c r="F4865">
        <v>13446.444000000001</v>
      </c>
      <c r="G4865">
        <v>18</v>
      </c>
      <c r="L4865" t="s">
        <v>14078</v>
      </c>
    </row>
    <row r="4866" spans="1:12" x14ac:dyDescent="0.25">
      <c r="A4866" t="s">
        <v>18</v>
      </c>
      <c r="B4866" t="s">
        <v>14078</v>
      </c>
      <c r="C4866" t="s">
        <v>14079</v>
      </c>
      <c r="D4866" t="s">
        <v>20</v>
      </c>
      <c r="E4866" t="s">
        <v>11</v>
      </c>
      <c r="F4866">
        <v>13446.444000000001</v>
      </c>
      <c r="G4866">
        <v>18</v>
      </c>
      <c r="L4866" t="s">
        <v>14080</v>
      </c>
    </row>
    <row r="4867" spans="1:12" x14ac:dyDescent="0.25">
      <c r="A4867" t="s">
        <v>18</v>
      </c>
      <c r="B4867" t="s">
        <v>14080</v>
      </c>
      <c r="C4867" t="s">
        <v>14081</v>
      </c>
      <c r="D4867" t="s">
        <v>20</v>
      </c>
      <c r="E4867" t="s">
        <v>11</v>
      </c>
      <c r="F4867">
        <v>13446.444000000001</v>
      </c>
      <c r="G4867">
        <v>18</v>
      </c>
      <c r="L4867" t="s">
        <v>14082</v>
      </c>
    </row>
    <row r="4868" spans="1:12" x14ac:dyDescent="0.25">
      <c r="A4868" t="s">
        <v>18</v>
      </c>
      <c r="B4868" t="s">
        <v>14082</v>
      </c>
      <c r="C4868" t="s">
        <v>14083</v>
      </c>
      <c r="D4868" t="s">
        <v>20</v>
      </c>
      <c r="E4868" t="s">
        <v>11</v>
      </c>
      <c r="F4868">
        <v>113511.48599999999</v>
      </c>
      <c r="G4868">
        <v>18</v>
      </c>
      <c r="L4868" t="s">
        <v>14084</v>
      </c>
    </row>
    <row r="4869" spans="1:12" x14ac:dyDescent="0.25">
      <c r="A4869" t="s">
        <v>18</v>
      </c>
      <c r="B4869" t="s">
        <v>14084</v>
      </c>
      <c r="C4869" t="s">
        <v>14085</v>
      </c>
      <c r="D4869" t="s">
        <v>20</v>
      </c>
      <c r="E4869" t="s">
        <v>11</v>
      </c>
      <c r="F4869">
        <v>113511.48599999999</v>
      </c>
      <c r="G4869">
        <v>18</v>
      </c>
      <c r="L4869" t="s">
        <v>14086</v>
      </c>
    </row>
    <row r="4870" spans="1:12" x14ac:dyDescent="0.25">
      <c r="A4870" t="s">
        <v>18</v>
      </c>
      <c r="B4870" t="s">
        <v>14086</v>
      </c>
      <c r="C4870" t="s">
        <v>14087</v>
      </c>
      <c r="D4870" t="s">
        <v>20</v>
      </c>
      <c r="E4870" t="s">
        <v>11</v>
      </c>
      <c r="F4870">
        <v>113511.48599999999</v>
      </c>
      <c r="G4870">
        <v>18</v>
      </c>
      <c r="L4870" t="s">
        <v>14088</v>
      </c>
    </row>
    <row r="4871" spans="1:12" x14ac:dyDescent="0.25">
      <c r="A4871" t="s">
        <v>18</v>
      </c>
      <c r="B4871" t="s">
        <v>14088</v>
      </c>
      <c r="C4871" t="s">
        <v>14089</v>
      </c>
      <c r="D4871" t="s">
        <v>20</v>
      </c>
      <c r="E4871" t="s">
        <v>11</v>
      </c>
      <c r="F4871">
        <v>113511.48599999999</v>
      </c>
      <c r="G4871">
        <v>18</v>
      </c>
      <c r="L4871" t="s">
        <v>14090</v>
      </c>
    </row>
    <row r="4872" spans="1:12" x14ac:dyDescent="0.25">
      <c r="A4872" t="s">
        <v>18</v>
      </c>
      <c r="B4872" t="s">
        <v>14090</v>
      </c>
      <c r="C4872" t="s">
        <v>14091</v>
      </c>
      <c r="D4872" t="s">
        <v>20</v>
      </c>
      <c r="E4872" t="s">
        <v>11</v>
      </c>
      <c r="F4872">
        <v>113511.48599999999</v>
      </c>
      <c r="G4872">
        <v>18</v>
      </c>
      <c r="L4872" t="s">
        <v>14092</v>
      </c>
    </row>
    <row r="4873" spans="1:12" x14ac:dyDescent="0.25">
      <c r="A4873" t="s">
        <v>18</v>
      </c>
      <c r="B4873" t="s">
        <v>14092</v>
      </c>
      <c r="C4873" t="s">
        <v>14093</v>
      </c>
      <c r="D4873" t="s">
        <v>20</v>
      </c>
      <c r="E4873" t="s">
        <v>11</v>
      </c>
      <c r="F4873">
        <v>113511.48599999999</v>
      </c>
      <c r="G4873">
        <v>18</v>
      </c>
      <c r="L4873" t="s">
        <v>14094</v>
      </c>
    </row>
    <row r="4874" spans="1:12" x14ac:dyDescent="0.25">
      <c r="A4874" t="s">
        <v>18</v>
      </c>
      <c r="B4874" t="s">
        <v>14094</v>
      </c>
      <c r="C4874" t="s">
        <v>14095</v>
      </c>
      <c r="D4874" t="s">
        <v>20</v>
      </c>
      <c r="E4874" t="s">
        <v>11</v>
      </c>
      <c r="F4874">
        <v>113511.48599999999</v>
      </c>
      <c r="G4874">
        <v>18</v>
      </c>
      <c r="L4874" t="s">
        <v>14096</v>
      </c>
    </row>
    <row r="4875" spans="1:12" x14ac:dyDescent="0.25">
      <c r="A4875" t="s">
        <v>18</v>
      </c>
      <c r="B4875" t="s">
        <v>14096</v>
      </c>
      <c r="C4875" t="s">
        <v>14097</v>
      </c>
      <c r="D4875" t="s">
        <v>20</v>
      </c>
      <c r="E4875" t="s">
        <v>11</v>
      </c>
      <c r="F4875">
        <v>113511.48599999999</v>
      </c>
      <c r="G4875">
        <v>18</v>
      </c>
      <c r="L4875" t="s">
        <v>14098</v>
      </c>
    </row>
    <row r="4876" spans="1:12" x14ac:dyDescent="0.25">
      <c r="A4876" t="s">
        <v>18</v>
      </c>
      <c r="B4876" t="s">
        <v>14098</v>
      </c>
      <c r="C4876" t="s">
        <v>14099</v>
      </c>
      <c r="D4876" t="s">
        <v>20</v>
      </c>
      <c r="E4876" t="s">
        <v>11</v>
      </c>
      <c r="F4876">
        <v>113511.48599999999</v>
      </c>
      <c r="G4876">
        <v>18</v>
      </c>
      <c r="L4876" t="s">
        <v>14100</v>
      </c>
    </row>
    <row r="4877" spans="1:12" x14ac:dyDescent="0.25">
      <c r="A4877" t="s">
        <v>18</v>
      </c>
      <c r="B4877" t="s">
        <v>14100</v>
      </c>
      <c r="C4877" t="s">
        <v>14101</v>
      </c>
      <c r="D4877" t="s">
        <v>20</v>
      </c>
      <c r="E4877" t="s">
        <v>11</v>
      </c>
      <c r="F4877">
        <v>31005.15</v>
      </c>
      <c r="G4877">
        <v>18</v>
      </c>
      <c r="L4877" t="s">
        <v>14102</v>
      </c>
    </row>
    <row r="4878" spans="1:12" x14ac:dyDescent="0.25">
      <c r="A4878" t="s">
        <v>18</v>
      </c>
      <c r="B4878" t="s">
        <v>14102</v>
      </c>
      <c r="C4878" t="s">
        <v>14103</v>
      </c>
      <c r="D4878" t="s">
        <v>20</v>
      </c>
      <c r="E4878" t="s">
        <v>11</v>
      </c>
      <c r="F4878">
        <v>31005.15</v>
      </c>
      <c r="G4878">
        <v>18</v>
      </c>
      <c r="L4878" t="s">
        <v>14104</v>
      </c>
    </row>
    <row r="4879" spans="1:12" x14ac:dyDescent="0.25">
      <c r="A4879" t="s">
        <v>18</v>
      </c>
      <c r="B4879" t="s">
        <v>14104</v>
      </c>
      <c r="C4879" t="s">
        <v>14105</v>
      </c>
      <c r="D4879" t="s">
        <v>20</v>
      </c>
      <c r="E4879" t="s">
        <v>11</v>
      </c>
      <c r="F4879">
        <v>31005.15</v>
      </c>
      <c r="G4879">
        <v>18</v>
      </c>
      <c r="L4879" t="s">
        <v>14106</v>
      </c>
    </row>
    <row r="4880" spans="1:12" x14ac:dyDescent="0.25">
      <c r="A4880" t="s">
        <v>18</v>
      </c>
      <c r="B4880" t="s">
        <v>14106</v>
      </c>
      <c r="C4880" t="s">
        <v>14107</v>
      </c>
      <c r="D4880" t="s">
        <v>20</v>
      </c>
      <c r="E4880" t="s">
        <v>11</v>
      </c>
      <c r="F4880">
        <v>31005.15</v>
      </c>
      <c r="G4880">
        <v>18</v>
      </c>
      <c r="L4880" t="s">
        <v>14108</v>
      </c>
    </row>
    <row r="4881" spans="1:12" x14ac:dyDescent="0.25">
      <c r="A4881" t="s">
        <v>18</v>
      </c>
      <c r="B4881" t="s">
        <v>14108</v>
      </c>
      <c r="C4881" t="s">
        <v>14109</v>
      </c>
      <c r="D4881" t="s">
        <v>20</v>
      </c>
      <c r="E4881" t="s">
        <v>11</v>
      </c>
      <c r="F4881">
        <v>31005.15</v>
      </c>
      <c r="G4881">
        <v>18</v>
      </c>
      <c r="L4881" t="s">
        <v>14110</v>
      </c>
    </row>
    <row r="4882" spans="1:12" x14ac:dyDescent="0.25">
      <c r="A4882" t="s">
        <v>18</v>
      </c>
      <c r="B4882" t="s">
        <v>14110</v>
      </c>
      <c r="C4882" t="s">
        <v>14111</v>
      </c>
      <c r="D4882" t="s">
        <v>20</v>
      </c>
      <c r="E4882" t="s">
        <v>11</v>
      </c>
      <c r="F4882">
        <v>31005.15</v>
      </c>
      <c r="G4882">
        <v>18</v>
      </c>
      <c r="L4882" t="s">
        <v>14112</v>
      </c>
    </row>
    <row r="4883" spans="1:12" x14ac:dyDescent="0.25">
      <c r="A4883" t="s">
        <v>18</v>
      </c>
      <c r="B4883" t="s">
        <v>14112</v>
      </c>
      <c r="C4883" t="s">
        <v>14113</v>
      </c>
      <c r="D4883" t="s">
        <v>20</v>
      </c>
      <c r="E4883" t="s">
        <v>11</v>
      </c>
      <c r="F4883">
        <v>31005.15</v>
      </c>
      <c r="G4883">
        <v>18</v>
      </c>
      <c r="L4883" t="s">
        <v>14114</v>
      </c>
    </row>
    <row r="4884" spans="1:12" x14ac:dyDescent="0.25">
      <c r="A4884" t="s">
        <v>18</v>
      </c>
      <c r="B4884" t="s">
        <v>14114</v>
      </c>
      <c r="C4884" t="s">
        <v>14115</v>
      </c>
      <c r="D4884" t="s">
        <v>20</v>
      </c>
      <c r="E4884" t="s">
        <v>11</v>
      </c>
      <c r="F4884">
        <v>31005.15</v>
      </c>
      <c r="G4884">
        <v>18</v>
      </c>
      <c r="L4884" t="s">
        <v>14116</v>
      </c>
    </row>
    <row r="4885" spans="1:12" x14ac:dyDescent="0.25">
      <c r="A4885" t="s">
        <v>18</v>
      </c>
      <c r="B4885" t="s">
        <v>14116</v>
      </c>
      <c r="C4885" t="s">
        <v>14117</v>
      </c>
      <c r="D4885" t="s">
        <v>20</v>
      </c>
      <c r="E4885" t="s">
        <v>11</v>
      </c>
      <c r="F4885">
        <v>31005.15</v>
      </c>
      <c r="G4885">
        <v>18</v>
      </c>
      <c r="L4885" t="s">
        <v>14118</v>
      </c>
    </row>
    <row r="4886" spans="1:12" x14ac:dyDescent="0.25">
      <c r="A4886" t="s">
        <v>18</v>
      </c>
      <c r="B4886" t="s">
        <v>14118</v>
      </c>
      <c r="C4886" t="s">
        <v>14119</v>
      </c>
      <c r="D4886" t="s">
        <v>20</v>
      </c>
      <c r="E4886" t="s">
        <v>11</v>
      </c>
      <c r="F4886">
        <v>6266.303999999999</v>
      </c>
      <c r="G4886">
        <v>18</v>
      </c>
      <c r="L4886" t="s">
        <v>14120</v>
      </c>
    </row>
    <row r="4887" spans="1:12" x14ac:dyDescent="0.25">
      <c r="A4887" t="s">
        <v>18</v>
      </c>
      <c r="B4887" t="s">
        <v>14120</v>
      </c>
      <c r="C4887" t="s">
        <v>14121</v>
      </c>
      <c r="D4887" t="s">
        <v>20</v>
      </c>
      <c r="E4887" t="s">
        <v>11</v>
      </c>
      <c r="F4887">
        <v>28133.093999999997</v>
      </c>
      <c r="G4887">
        <v>18</v>
      </c>
      <c r="L4887" t="s">
        <v>14122</v>
      </c>
    </row>
    <row r="4888" spans="1:12" x14ac:dyDescent="0.25">
      <c r="A4888" t="s">
        <v>18</v>
      </c>
      <c r="B4888" t="s">
        <v>14122</v>
      </c>
      <c r="C4888" t="s">
        <v>14123</v>
      </c>
      <c r="D4888" t="s">
        <v>20</v>
      </c>
      <c r="E4888" t="s">
        <v>11</v>
      </c>
      <c r="F4888">
        <v>2872.056</v>
      </c>
      <c r="G4888">
        <v>18</v>
      </c>
      <c r="L4888" t="s">
        <v>14124</v>
      </c>
    </row>
    <row r="4889" spans="1:12" x14ac:dyDescent="0.25">
      <c r="A4889" t="s">
        <v>18</v>
      </c>
      <c r="B4889" t="s">
        <v>14124</v>
      </c>
      <c r="C4889" t="s">
        <v>14053</v>
      </c>
      <c r="D4889" t="s">
        <v>20</v>
      </c>
      <c r="E4889" t="s">
        <v>11</v>
      </c>
      <c r="F4889">
        <v>13511.717999999999</v>
      </c>
      <c r="G4889">
        <v>18</v>
      </c>
      <c r="L4889" t="s">
        <v>14125</v>
      </c>
    </row>
    <row r="4890" spans="1:12" x14ac:dyDescent="0.25">
      <c r="A4890" t="s">
        <v>18</v>
      </c>
      <c r="B4890" t="s">
        <v>14125</v>
      </c>
      <c r="C4890" t="s">
        <v>14126</v>
      </c>
      <c r="D4890" t="s">
        <v>20</v>
      </c>
      <c r="E4890" t="s">
        <v>11</v>
      </c>
      <c r="F4890">
        <v>13511.717999999999</v>
      </c>
      <c r="G4890">
        <v>18</v>
      </c>
      <c r="L4890" t="s">
        <v>14127</v>
      </c>
    </row>
    <row r="4891" spans="1:12" x14ac:dyDescent="0.25">
      <c r="A4891" t="s">
        <v>18</v>
      </c>
      <c r="B4891" t="s">
        <v>14127</v>
      </c>
      <c r="C4891" t="s">
        <v>14128</v>
      </c>
      <c r="D4891" t="s">
        <v>20</v>
      </c>
      <c r="E4891" t="s">
        <v>11</v>
      </c>
      <c r="F4891">
        <v>13511.717999999999</v>
      </c>
      <c r="G4891">
        <v>18</v>
      </c>
      <c r="L4891" t="s">
        <v>14129</v>
      </c>
    </row>
    <row r="4892" spans="1:12" x14ac:dyDescent="0.25">
      <c r="A4892" t="s">
        <v>18</v>
      </c>
      <c r="B4892" t="s">
        <v>14129</v>
      </c>
      <c r="C4892" t="s">
        <v>14130</v>
      </c>
      <c r="D4892" t="s">
        <v>20</v>
      </c>
      <c r="E4892" t="s">
        <v>11</v>
      </c>
      <c r="F4892">
        <v>13511.717999999999</v>
      </c>
      <c r="G4892">
        <v>18</v>
      </c>
      <c r="L4892" t="s">
        <v>14131</v>
      </c>
    </row>
    <row r="4893" spans="1:12" x14ac:dyDescent="0.25">
      <c r="A4893" t="s">
        <v>18</v>
      </c>
      <c r="B4893" t="s">
        <v>14131</v>
      </c>
      <c r="C4893" t="s">
        <v>14132</v>
      </c>
      <c r="D4893" t="s">
        <v>20</v>
      </c>
      <c r="E4893" t="s">
        <v>11</v>
      </c>
      <c r="F4893">
        <v>2872.056</v>
      </c>
      <c r="G4893">
        <v>18</v>
      </c>
      <c r="L4893" t="s">
        <v>14133</v>
      </c>
    </row>
    <row r="4894" spans="1:12" x14ac:dyDescent="0.25">
      <c r="A4894" t="s">
        <v>18</v>
      </c>
      <c r="B4894" t="s">
        <v>14133</v>
      </c>
      <c r="C4894" t="s">
        <v>14134</v>
      </c>
      <c r="D4894" t="s">
        <v>20</v>
      </c>
      <c r="E4894" t="s">
        <v>11</v>
      </c>
      <c r="F4894">
        <v>2872.056</v>
      </c>
      <c r="G4894">
        <v>18</v>
      </c>
      <c r="L4894" t="s">
        <v>14135</v>
      </c>
    </row>
    <row r="4895" spans="1:12" x14ac:dyDescent="0.25">
      <c r="A4895" t="s">
        <v>18</v>
      </c>
      <c r="B4895" t="s">
        <v>14135</v>
      </c>
      <c r="C4895" t="s">
        <v>14136</v>
      </c>
      <c r="D4895" t="s">
        <v>20</v>
      </c>
      <c r="E4895" t="s">
        <v>11</v>
      </c>
      <c r="F4895">
        <v>8681.442000000001</v>
      </c>
      <c r="G4895">
        <v>18</v>
      </c>
      <c r="L4895" t="s">
        <v>14137</v>
      </c>
    </row>
    <row r="4896" spans="1:12" x14ac:dyDescent="0.25">
      <c r="A4896" t="s">
        <v>18</v>
      </c>
      <c r="B4896" t="s">
        <v>14137</v>
      </c>
      <c r="C4896" t="s">
        <v>14138</v>
      </c>
      <c r="D4896" t="s">
        <v>20</v>
      </c>
      <c r="E4896" t="s">
        <v>11</v>
      </c>
      <c r="F4896">
        <v>8681.442000000001</v>
      </c>
      <c r="G4896">
        <v>18</v>
      </c>
      <c r="L4896" t="s">
        <v>14139</v>
      </c>
    </row>
    <row r="4897" spans="1:12" x14ac:dyDescent="0.25">
      <c r="A4897" t="s">
        <v>18</v>
      </c>
      <c r="B4897" t="s">
        <v>14139</v>
      </c>
      <c r="C4897" t="s">
        <v>14140</v>
      </c>
      <c r="D4897" t="s">
        <v>20</v>
      </c>
      <c r="E4897" t="s">
        <v>11</v>
      </c>
      <c r="F4897">
        <v>6266.303999999999</v>
      </c>
      <c r="G4897">
        <v>18</v>
      </c>
      <c r="L4897" t="s">
        <v>14141</v>
      </c>
    </row>
    <row r="4898" spans="1:12" x14ac:dyDescent="0.25">
      <c r="A4898" t="s">
        <v>18</v>
      </c>
      <c r="B4898" t="s">
        <v>14141</v>
      </c>
      <c r="C4898" t="s">
        <v>14142</v>
      </c>
      <c r="D4898" t="s">
        <v>20</v>
      </c>
      <c r="E4898" t="s">
        <v>11</v>
      </c>
      <c r="F4898">
        <v>195.82199999999997</v>
      </c>
      <c r="G4898">
        <v>18</v>
      </c>
      <c r="L4898" t="s">
        <v>14143</v>
      </c>
    </row>
    <row r="4899" spans="1:12" x14ac:dyDescent="0.25">
      <c r="A4899" t="s">
        <v>18</v>
      </c>
      <c r="B4899" t="s">
        <v>14143</v>
      </c>
      <c r="C4899" t="s">
        <v>14144</v>
      </c>
      <c r="D4899" t="s">
        <v>20</v>
      </c>
      <c r="E4899" t="s">
        <v>11</v>
      </c>
      <c r="F4899">
        <v>1958.22</v>
      </c>
      <c r="G4899">
        <v>18</v>
      </c>
      <c r="L4899" t="s">
        <v>14145</v>
      </c>
    </row>
    <row r="4900" spans="1:12" x14ac:dyDescent="0.25">
      <c r="A4900" t="s">
        <v>18</v>
      </c>
      <c r="B4900" t="s">
        <v>14145</v>
      </c>
      <c r="C4900" t="s">
        <v>14146</v>
      </c>
      <c r="D4900" t="s">
        <v>20</v>
      </c>
      <c r="E4900" t="s">
        <v>11</v>
      </c>
      <c r="F4900">
        <v>6723.222000000001</v>
      </c>
      <c r="G4900">
        <v>18</v>
      </c>
      <c r="L4900" t="s">
        <v>14147</v>
      </c>
    </row>
    <row r="4901" spans="1:12" x14ac:dyDescent="0.25">
      <c r="A4901" t="s">
        <v>18</v>
      </c>
      <c r="B4901" t="s">
        <v>14147</v>
      </c>
      <c r="C4901" t="s">
        <v>14148</v>
      </c>
      <c r="D4901" t="s">
        <v>20</v>
      </c>
      <c r="E4901" t="s">
        <v>11</v>
      </c>
      <c r="F4901">
        <v>6331.5779999999995</v>
      </c>
      <c r="G4901">
        <v>18</v>
      </c>
      <c r="L4901" t="s">
        <v>14149</v>
      </c>
    </row>
    <row r="4902" spans="1:12" x14ac:dyDescent="0.25">
      <c r="A4902" t="s">
        <v>18</v>
      </c>
      <c r="B4902" t="s">
        <v>14149</v>
      </c>
      <c r="C4902" t="s">
        <v>14150</v>
      </c>
      <c r="D4902" t="s">
        <v>20</v>
      </c>
      <c r="E4902" t="s">
        <v>11</v>
      </c>
      <c r="F4902">
        <v>6592.673999999999</v>
      </c>
      <c r="G4902">
        <v>18</v>
      </c>
      <c r="L4902" t="s">
        <v>14151</v>
      </c>
    </row>
    <row r="4903" spans="1:12" x14ac:dyDescent="0.25">
      <c r="A4903" t="s">
        <v>18</v>
      </c>
      <c r="B4903" t="s">
        <v>14151</v>
      </c>
      <c r="C4903" t="s">
        <v>14144</v>
      </c>
      <c r="D4903" t="s">
        <v>20</v>
      </c>
      <c r="E4903" t="s">
        <v>11</v>
      </c>
      <c r="F4903">
        <v>4830.276</v>
      </c>
      <c r="G4903">
        <v>18</v>
      </c>
      <c r="L4903" t="s">
        <v>14152</v>
      </c>
    </row>
    <row r="4904" spans="1:12" x14ac:dyDescent="0.25">
      <c r="A4904" t="s">
        <v>18</v>
      </c>
      <c r="B4904" t="s">
        <v>14152</v>
      </c>
      <c r="C4904" t="s">
        <v>14153</v>
      </c>
      <c r="D4904" t="s">
        <v>20</v>
      </c>
      <c r="E4904" t="s">
        <v>11</v>
      </c>
      <c r="F4904">
        <v>1697.1239999999998</v>
      </c>
      <c r="G4904">
        <v>18</v>
      </c>
      <c r="L4904" t="s">
        <v>14154</v>
      </c>
    </row>
    <row r="4905" spans="1:12" x14ac:dyDescent="0.25">
      <c r="A4905" t="s">
        <v>18</v>
      </c>
      <c r="B4905" t="s">
        <v>14154</v>
      </c>
      <c r="C4905" t="s">
        <v>14155</v>
      </c>
      <c r="D4905" t="s">
        <v>20</v>
      </c>
      <c r="E4905" t="s">
        <v>11</v>
      </c>
      <c r="F4905">
        <v>7114.866</v>
      </c>
      <c r="G4905">
        <v>18</v>
      </c>
      <c r="L4905" t="s">
        <v>14156</v>
      </c>
    </row>
    <row r="4906" spans="1:12" x14ac:dyDescent="0.25">
      <c r="A4906" t="s">
        <v>18</v>
      </c>
      <c r="B4906" t="s">
        <v>14156</v>
      </c>
      <c r="C4906" t="s">
        <v>14144</v>
      </c>
      <c r="D4906" t="s">
        <v>20</v>
      </c>
      <c r="E4906" t="s">
        <v>11</v>
      </c>
      <c r="F4906">
        <v>5548.29</v>
      </c>
      <c r="G4906">
        <v>18</v>
      </c>
      <c r="L4906" t="s">
        <v>14157</v>
      </c>
    </row>
    <row r="4907" spans="1:12" x14ac:dyDescent="0.25">
      <c r="A4907" t="s">
        <v>18</v>
      </c>
      <c r="B4907" t="s">
        <v>14157</v>
      </c>
      <c r="C4907" t="s">
        <v>14158</v>
      </c>
      <c r="D4907" t="s">
        <v>20</v>
      </c>
      <c r="E4907" t="s">
        <v>11</v>
      </c>
      <c r="F4907">
        <v>4046.988</v>
      </c>
      <c r="G4907">
        <v>18</v>
      </c>
      <c r="L4907" t="s">
        <v>14159</v>
      </c>
    </row>
    <row r="4908" spans="1:12" x14ac:dyDescent="0.25">
      <c r="A4908" t="s">
        <v>18</v>
      </c>
      <c r="B4908" t="s">
        <v>14159</v>
      </c>
      <c r="C4908" t="s">
        <v>14160</v>
      </c>
      <c r="D4908" t="s">
        <v>20</v>
      </c>
      <c r="E4908" t="s">
        <v>11</v>
      </c>
      <c r="F4908">
        <v>4177.536</v>
      </c>
      <c r="G4908">
        <v>18</v>
      </c>
      <c r="L4908" t="s">
        <v>14161</v>
      </c>
    </row>
    <row r="4909" spans="1:12" x14ac:dyDescent="0.25">
      <c r="A4909" t="s">
        <v>18</v>
      </c>
      <c r="B4909" t="s">
        <v>14161</v>
      </c>
      <c r="C4909" t="s">
        <v>14162</v>
      </c>
      <c r="D4909" t="s">
        <v>20</v>
      </c>
      <c r="E4909" t="s">
        <v>11</v>
      </c>
      <c r="F4909">
        <v>4177.536</v>
      </c>
      <c r="G4909">
        <v>18</v>
      </c>
      <c r="L4909" t="s">
        <v>14163</v>
      </c>
    </row>
    <row r="4910" spans="1:12" x14ac:dyDescent="0.25">
      <c r="A4910" t="s">
        <v>18</v>
      </c>
      <c r="B4910" t="s">
        <v>14163</v>
      </c>
      <c r="C4910" t="s">
        <v>14164</v>
      </c>
      <c r="D4910" t="s">
        <v>20</v>
      </c>
      <c r="E4910" t="s">
        <v>11</v>
      </c>
      <c r="F4910">
        <v>4765.0019999999995</v>
      </c>
      <c r="G4910">
        <v>18</v>
      </c>
      <c r="L4910" t="s">
        <v>14165</v>
      </c>
    </row>
    <row r="4911" spans="1:12" x14ac:dyDescent="0.25">
      <c r="A4911" t="s">
        <v>18</v>
      </c>
      <c r="B4911" t="s">
        <v>14165</v>
      </c>
      <c r="C4911" t="s">
        <v>14166</v>
      </c>
      <c r="D4911" t="s">
        <v>20</v>
      </c>
      <c r="E4911" t="s">
        <v>11</v>
      </c>
      <c r="F4911">
        <v>1892.946</v>
      </c>
      <c r="G4911">
        <v>18</v>
      </c>
      <c r="L4911" t="s">
        <v>14167</v>
      </c>
    </row>
    <row r="4912" spans="1:12" x14ac:dyDescent="0.25">
      <c r="A4912" t="s">
        <v>18</v>
      </c>
      <c r="B4912" t="s">
        <v>14167</v>
      </c>
      <c r="C4912" t="s">
        <v>14168</v>
      </c>
      <c r="D4912" t="s">
        <v>20</v>
      </c>
      <c r="E4912" t="s">
        <v>11</v>
      </c>
      <c r="F4912">
        <v>4634.454</v>
      </c>
      <c r="G4912">
        <v>18</v>
      </c>
      <c r="L4912" t="s">
        <v>14169</v>
      </c>
    </row>
    <row r="4913" spans="1:12" x14ac:dyDescent="0.25">
      <c r="A4913" t="s">
        <v>18</v>
      </c>
      <c r="B4913" t="s">
        <v>14169</v>
      </c>
      <c r="C4913" t="s">
        <v>14170</v>
      </c>
      <c r="D4913" t="s">
        <v>20</v>
      </c>
      <c r="E4913" t="s">
        <v>11</v>
      </c>
      <c r="F4913">
        <v>4634.454</v>
      </c>
      <c r="G4913">
        <v>18</v>
      </c>
      <c r="L4913" t="s">
        <v>14171</v>
      </c>
    </row>
    <row r="4914" spans="1:12" x14ac:dyDescent="0.25">
      <c r="A4914" t="s">
        <v>18</v>
      </c>
      <c r="B4914" t="s">
        <v>14171</v>
      </c>
      <c r="C4914" t="s">
        <v>14172</v>
      </c>
      <c r="D4914" t="s">
        <v>20</v>
      </c>
      <c r="E4914" t="s">
        <v>11</v>
      </c>
      <c r="F4914">
        <v>9334.181999999999</v>
      </c>
      <c r="G4914">
        <v>18</v>
      </c>
      <c r="L4914" t="s">
        <v>14173</v>
      </c>
    </row>
    <row r="4915" spans="1:12" x14ac:dyDescent="0.25">
      <c r="A4915" t="s">
        <v>18</v>
      </c>
      <c r="B4915" t="s">
        <v>14173</v>
      </c>
      <c r="C4915" t="s">
        <v>14174</v>
      </c>
      <c r="D4915" t="s">
        <v>20</v>
      </c>
      <c r="E4915" t="s">
        <v>11</v>
      </c>
      <c r="F4915">
        <v>7441.235999999999</v>
      </c>
      <c r="G4915">
        <v>18</v>
      </c>
      <c r="L4915" t="s">
        <v>14175</v>
      </c>
    </row>
    <row r="4916" spans="1:12" x14ac:dyDescent="0.25">
      <c r="A4916" t="s">
        <v>18</v>
      </c>
      <c r="B4916" t="s">
        <v>14175</v>
      </c>
      <c r="C4916" t="s">
        <v>14176</v>
      </c>
      <c r="D4916" t="s">
        <v>20</v>
      </c>
      <c r="E4916" t="s">
        <v>11</v>
      </c>
      <c r="F4916">
        <v>4634.454</v>
      </c>
      <c r="G4916">
        <v>18</v>
      </c>
      <c r="L4916" t="s">
        <v>14177</v>
      </c>
    </row>
    <row r="4917" spans="1:12" x14ac:dyDescent="0.25">
      <c r="A4917" t="s">
        <v>18</v>
      </c>
      <c r="B4917" t="s">
        <v>14177</v>
      </c>
      <c r="C4917" t="s">
        <v>14178</v>
      </c>
      <c r="D4917" t="s">
        <v>20</v>
      </c>
      <c r="E4917" t="s">
        <v>11</v>
      </c>
      <c r="F4917">
        <v>4634.454</v>
      </c>
      <c r="G4917">
        <v>18</v>
      </c>
      <c r="L4917" t="s">
        <v>14179</v>
      </c>
    </row>
    <row r="4918" spans="1:12" x14ac:dyDescent="0.25">
      <c r="A4918" t="s">
        <v>18</v>
      </c>
      <c r="B4918" t="s">
        <v>14179</v>
      </c>
      <c r="C4918" t="s">
        <v>14180</v>
      </c>
      <c r="D4918" t="s">
        <v>20</v>
      </c>
      <c r="E4918" t="s">
        <v>11</v>
      </c>
      <c r="F4918">
        <v>4634.454</v>
      </c>
      <c r="G4918">
        <v>18</v>
      </c>
      <c r="L4918" t="s">
        <v>14181</v>
      </c>
    </row>
    <row r="4919" spans="1:12" x14ac:dyDescent="0.25">
      <c r="A4919" t="s">
        <v>18</v>
      </c>
      <c r="B4919" t="s">
        <v>14181</v>
      </c>
      <c r="C4919" t="s">
        <v>14182</v>
      </c>
      <c r="D4919" t="s">
        <v>20</v>
      </c>
      <c r="E4919" t="s">
        <v>11</v>
      </c>
      <c r="F4919">
        <v>27545.628</v>
      </c>
      <c r="G4919">
        <v>18</v>
      </c>
      <c r="L4919" t="s">
        <v>14183</v>
      </c>
    </row>
    <row r="4920" spans="1:12" x14ac:dyDescent="0.25">
      <c r="A4920" t="s">
        <v>18</v>
      </c>
      <c r="B4920" t="s">
        <v>14183</v>
      </c>
      <c r="C4920" t="s">
        <v>14184</v>
      </c>
      <c r="D4920" t="s">
        <v>20</v>
      </c>
      <c r="E4920" t="s">
        <v>11</v>
      </c>
      <c r="F4920">
        <v>20104.391999999996</v>
      </c>
      <c r="G4920">
        <v>18</v>
      </c>
      <c r="L4920" t="s">
        <v>14185</v>
      </c>
    </row>
    <row r="4921" spans="1:12" x14ac:dyDescent="0.25">
      <c r="A4921" t="s">
        <v>18</v>
      </c>
      <c r="B4921" t="s">
        <v>14185</v>
      </c>
      <c r="C4921" t="s">
        <v>14186</v>
      </c>
      <c r="D4921" t="s">
        <v>20</v>
      </c>
      <c r="E4921" t="s">
        <v>11</v>
      </c>
      <c r="F4921">
        <v>20104.391999999996</v>
      </c>
      <c r="G4921">
        <v>18</v>
      </c>
      <c r="L4921" t="s">
        <v>14187</v>
      </c>
    </row>
    <row r="4922" spans="1:12" x14ac:dyDescent="0.25">
      <c r="A4922" t="s">
        <v>18</v>
      </c>
      <c r="B4922" t="s">
        <v>14187</v>
      </c>
      <c r="C4922" t="s">
        <v>14188</v>
      </c>
      <c r="D4922" t="s">
        <v>20</v>
      </c>
      <c r="E4922" t="s">
        <v>11</v>
      </c>
      <c r="F4922">
        <v>5678.838</v>
      </c>
      <c r="G4922">
        <v>18</v>
      </c>
      <c r="L4922" t="s">
        <v>14189</v>
      </c>
    </row>
    <row r="4923" spans="1:12" x14ac:dyDescent="0.25">
      <c r="A4923" t="s">
        <v>18</v>
      </c>
      <c r="B4923" t="s">
        <v>14189</v>
      </c>
      <c r="C4923" t="s">
        <v>14190</v>
      </c>
      <c r="D4923" t="s">
        <v>20</v>
      </c>
      <c r="E4923" t="s">
        <v>11</v>
      </c>
      <c r="F4923">
        <v>5678.838</v>
      </c>
      <c r="G4923">
        <v>18</v>
      </c>
      <c r="L4923" t="s">
        <v>14191</v>
      </c>
    </row>
    <row r="4924" spans="1:12" x14ac:dyDescent="0.25">
      <c r="A4924" t="s">
        <v>18</v>
      </c>
      <c r="B4924" t="s">
        <v>14191</v>
      </c>
      <c r="C4924" t="s">
        <v>14192</v>
      </c>
      <c r="D4924" t="s">
        <v>20</v>
      </c>
      <c r="E4924" t="s">
        <v>11</v>
      </c>
      <c r="F4924">
        <v>5678.838</v>
      </c>
      <c r="G4924">
        <v>18</v>
      </c>
      <c r="L4924" t="s">
        <v>14193</v>
      </c>
    </row>
    <row r="4925" spans="1:12" x14ac:dyDescent="0.25">
      <c r="A4925" t="s">
        <v>18</v>
      </c>
      <c r="B4925" t="s">
        <v>14193</v>
      </c>
      <c r="C4925" t="s">
        <v>14194</v>
      </c>
      <c r="D4925" t="s">
        <v>20</v>
      </c>
      <c r="E4925" t="s">
        <v>11</v>
      </c>
      <c r="F4925">
        <v>5678.838</v>
      </c>
      <c r="G4925">
        <v>18</v>
      </c>
      <c r="L4925" t="s">
        <v>14195</v>
      </c>
    </row>
    <row r="4926" spans="1:12" x14ac:dyDescent="0.25">
      <c r="A4926" t="s">
        <v>18</v>
      </c>
      <c r="B4926" t="s">
        <v>14195</v>
      </c>
      <c r="C4926" t="s">
        <v>14196</v>
      </c>
      <c r="D4926" t="s">
        <v>20</v>
      </c>
      <c r="E4926" t="s">
        <v>11</v>
      </c>
      <c r="F4926">
        <v>5678.838</v>
      </c>
      <c r="G4926">
        <v>18</v>
      </c>
      <c r="L4926" t="s">
        <v>14197</v>
      </c>
    </row>
    <row r="4927" spans="1:12" x14ac:dyDescent="0.25">
      <c r="A4927" t="s">
        <v>18</v>
      </c>
      <c r="B4927" t="s">
        <v>14197</v>
      </c>
      <c r="C4927" t="s">
        <v>14198</v>
      </c>
      <c r="D4927" t="s">
        <v>20</v>
      </c>
      <c r="E4927" t="s">
        <v>11</v>
      </c>
      <c r="F4927">
        <v>5352.468</v>
      </c>
      <c r="G4927">
        <v>18</v>
      </c>
      <c r="L4927" t="s">
        <v>14199</v>
      </c>
    </row>
    <row r="4928" spans="1:12" x14ac:dyDescent="0.25">
      <c r="A4928" t="s">
        <v>18</v>
      </c>
      <c r="B4928" t="s">
        <v>14199</v>
      </c>
      <c r="C4928" t="s">
        <v>14200</v>
      </c>
      <c r="D4928" t="s">
        <v>20</v>
      </c>
      <c r="E4928" t="s">
        <v>11</v>
      </c>
      <c r="F4928">
        <v>5352.468</v>
      </c>
      <c r="G4928">
        <v>18</v>
      </c>
      <c r="L4928" t="s">
        <v>14201</v>
      </c>
    </row>
    <row r="4929" spans="1:12" x14ac:dyDescent="0.25">
      <c r="A4929" t="s">
        <v>18</v>
      </c>
      <c r="B4929" t="s">
        <v>14201</v>
      </c>
      <c r="C4929" t="s">
        <v>14202</v>
      </c>
      <c r="D4929" t="s">
        <v>20</v>
      </c>
      <c r="E4929" t="s">
        <v>11</v>
      </c>
      <c r="F4929">
        <v>5352.468</v>
      </c>
      <c r="G4929">
        <v>18</v>
      </c>
      <c r="L4929" t="s">
        <v>14203</v>
      </c>
    </row>
    <row r="4930" spans="1:12" x14ac:dyDescent="0.25">
      <c r="A4930" t="s">
        <v>18</v>
      </c>
      <c r="B4930" t="s">
        <v>14203</v>
      </c>
      <c r="C4930" t="s">
        <v>14204</v>
      </c>
      <c r="D4930" t="s">
        <v>20</v>
      </c>
      <c r="E4930" t="s">
        <v>11</v>
      </c>
      <c r="F4930">
        <v>5352.468</v>
      </c>
      <c r="G4930">
        <v>18</v>
      </c>
      <c r="L4930" t="s">
        <v>14205</v>
      </c>
    </row>
    <row r="4931" spans="1:12" x14ac:dyDescent="0.25">
      <c r="A4931" t="s">
        <v>18</v>
      </c>
      <c r="B4931" t="s">
        <v>14205</v>
      </c>
      <c r="C4931" t="s">
        <v>14206</v>
      </c>
      <c r="D4931" t="s">
        <v>20</v>
      </c>
      <c r="E4931" t="s">
        <v>11</v>
      </c>
      <c r="F4931">
        <v>5352.468</v>
      </c>
      <c r="G4931">
        <v>18</v>
      </c>
      <c r="L4931" t="s">
        <v>14207</v>
      </c>
    </row>
    <row r="4932" spans="1:12" x14ac:dyDescent="0.25">
      <c r="A4932" t="s">
        <v>18</v>
      </c>
      <c r="B4932" t="s">
        <v>14207</v>
      </c>
      <c r="C4932" t="s">
        <v>14208</v>
      </c>
      <c r="D4932" t="s">
        <v>20</v>
      </c>
      <c r="E4932" t="s">
        <v>11</v>
      </c>
      <c r="F4932">
        <v>5744.112</v>
      </c>
      <c r="G4932">
        <v>18</v>
      </c>
      <c r="L4932" t="s">
        <v>14209</v>
      </c>
    </row>
    <row r="4933" spans="1:12" x14ac:dyDescent="0.25">
      <c r="A4933" t="s">
        <v>18</v>
      </c>
      <c r="B4933" t="s">
        <v>14209</v>
      </c>
      <c r="C4933" t="s">
        <v>14210</v>
      </c>
      <c r="D4933" t="s">
        <v>20</v>
      </c>
      <c r="E4933" t="s">
        <v>11</v>
      </c>
      <c r="F4933">
        <v>5744.112</v>
      </c>
      <c r="G4933">
        <v>18</v>
      </c>
      <c r="L4933" t="s">
        <v>14211</v>
      </c>
    </row>
    <row r="4934" spans="1:12" x14ac:dyDescent="0.25">
      <c r="A4934" t="s">
        <v>18</v>
      </c>
      <c r="B4934" t="s">
        <v>14211</v>
      </c>
      <c r="C4934" t="s">
        <v>14212</v>
      </c>
      <c r="D4934" t="s">
        <v>20</v>
      </c>
      <c r="E4934" t="s">
        <v>11</v>
      </c>
      <c r="F4934">
        <v>5744.112</v>
      </c>
      <c r="G4934">
        <v>18</v>
      </c>
      <c r="L4934" t="s">
        <v>14213</v>
      </c>
    </row>
    <row r="4935" spans="1:12" x14ac:dyDescent="0.25">
      <c r="A4935" t="s">
        <v>18</v>
      </c>
      <c r="B4935" t="s">
        <v>14213</v>
      </c>
      <c r="C4935" t="s">
        <v>14214</v>
      </c>
      <c r="D4935" t="s">
        <v>20</v>
      </c>
      <c r="E4935" t="s">
        <v>11</v>
      </c>
      <c r="F4935">
        <v>5744.112</v>
      </c>
      <c r="G4935">
        <v>18</v>
      </c>
      <c r="L4935" t="s">
        <v>14215</v>
      </c>
    </row>
    <row r="4936" spans="1:12" x14ac:dyDescent="0.25">
      <c r="A4936" t="s">
        <v>18</v>
      </c>
      <c r="B4936" t="s">
        <v>14215</v>
      </c>
      <c r="C4936" t="s">
        <v>14216</v>
      </c>
      <c r="D4936" t="s">
        <v>20</v>
      </c>
      <c r="E4936" t="s">
        <v>11</v>
      </c>
      <c r="F4936">
        <v>5744.112</v>
      </c>
      <c r="G4936">
        <v>18</v>
      </c>
      <c r="L4936" t="s">
        <v>14217</v>
      </c>
    </row>
    <row r="4937" spans="1:12" x14ac:dyDescent="0.25">
      <c r="A4937" t="s">
        <v>18</v>
      </c>
      <c r="B4937" t="s">
        <v>14217</v>
      </c>
      <c r="C4937" t="s">
        <v>14218</v>
      </c>
      <c r="D4937" t="s">
        <v>20</v>
      </c>
      <c r="E4937" t="s">
        <v>11</v>
      </c>
      <c r="F4937">
        <v>5744.112</v>
      </c>
      <c r="G4937">
        <v>18</v>
      </c>
      <c r="L4937" t="s">
        <v>14219</v>
      </c>
    </row>
    <row r="4938" spans="1:12" x14ac:dyDescent="0.25">
      <c r="A4938" t="s">
        <v>18</v>
      </c>
      <c r="B4938" t="s">
        <v>14219</v>
      </c>
      <c r="C4938" t="s">
        <v>14220</v>
      </c>
      <c r="D4938" t="s">
        <v>20</v>
      </c>
      <c r="E4938" t="s">
        <v>11</v>
      </c>
      <c r="F4938">
        <v>5744.112</v>
      </c>
      <c r="G4938">
        <v>18</v>
      </c>
      <c r="L4938" t="s">
        <v>14221</v>
      </c>
    </row>
    <row r="4939" spans="1:12" x14ac:dyDescent="0.25">
      <c r="A4939" t="s">
        <v>18</v>
      </c>
      <c r="B4939" t="s">
        <v>14221</v>
      </c>
      <c r="C4939" t="s">
        <v>14222</v>
      </c>
      <c r="D4939" t="s">
        <v>20</v>
      </c>
      <c r="E4939" t="s">
        <v>11</v>
      </c>
      <c r="F4939">
        <v>5744.112</v>
      </c>
      <c r="G4939">
        <v>18</v>
      </c>
      <c r="L4939" t="s">
        <v>14223</v>
      </c>
    </row>
    <row r="4940" spans="1:12" x14ac:dyDescent="0.25">
      <c r="A4940" t="s">
        <v>18</v>
      </c>
      <c r="B4940" t="s">
        <v>14223</v>
      </c>
      <c r="C4940" t="s">
        <v>14224</v>
      </c>
      <c r="D4940" t="s">
        <v>20</v>
      </c>
      <c r="E4940" t="s">
        <v>11</v>
      </c>
      <c r="F4940">
        <v>5744.112</v>
      </c>
      <c r="G4940">
        <v>18</v>
      </c>
      <c r="L4940" t="s">
        <v>14225</v>
      </c>
    </row>
    <row r="4941" spans="1:12" x14ac:dyDescent="0.25">
      <c r="A4941" t="s">
        <v>18</v>
      </c>
      <c r="B4941" t="s">
        <v>14225</v>
      </c>
      <c r="C4941" t="s">
        <v>14226</v>
      </c>
      <c r="D4941" t="s">
        <v>20</v>
      </c>
      <c r="E4941" t="s">
        <v>11</v>
      </c>
      <c r="F4941">
        <v>5744.112</v>
      </c>
      <c r="G4941">
        <v>18</v>
      </c>
      <c r="L4941" t="s">
        <v>14227</v>
      </c>
    </row>
    <row r="4942" spans="1:12" x14ac:dyDescent="0.25">
      <c r="A4942" t="s">
        <v>18</v>
      </c>
      <c r="B4942" t="s">
        <v>14227</v>
      </c>
      <c r="C4942" t="s">
        <v>14228</v>
      </c>
      <c r="D4942" t="s">
        <v>20</v>
      </c>
      <c r="E4942" t="s">
        <v>11</v>
      </c>
      <c r="F4942">
        <v>5026.097999999999</v>
      </c>
      <c r="G4942">
        <v>18</v>
      </c>
      <c r="L4942" t="s">
        <v>14229</v>
      </c>
    </row>
    <row r="4943" spans="1:12" x14ac:dyDescent="0.25">
      <c r="A4943" t="s">
        <v>18</v>
      </c>
      <c r="B4943" t="s">
        <v>14229</v>
      </c>
      <c r="C4943" t="s">
        <v>14230</v>
      </c>
      <c r="D4943" t="s">
        <v>20</v>
      </c>
      <c r="E4943" t="s">
        <v>11</v>
      </c>
      <c r="F4943">
        <v>5026.097999999999</v>
      </c>
      <c r="G4943">
        <v>18</v>
      </c>
      <c r="L4943" t="s">
        <v>14231</v>
      </c>
    </row>
    <row r="4944" spans="1:12" x14ac:dyDescent="0.25">
      <c r="A4944" t="s">
        <v>18</v>
      </c>
      <c r="B4944" t="s">
        <v>14231</v>
      </c>
      <c r="C4944" t="s">
        <v>14232</v>
      </c>
      <c r="D4944" t="s">
        <v>20</v>
      </c>
      <c r="E4944" t="s">
        <v>11</v>
      </c>
      <c r="F4944">
        <v>5026.097999999999</v>
      </c>
      <c r="G4944">
        <v>18</v>
      </c>
      <c r="L4944" t="s">
        <v>14233</v>
      </c>
    </row>
    <row r="4945" spans="1:12" x14ac:dyDescent="0.25">
      <c r="A4945" t="s">
        <v>18</v>
      </c>
      <c r="B4945" t="s">
        <v>14233</v>
      </c>
      <c r="C4945" t="s">
        <v>14234</v>
      </c>
      <c r="D4945" t="s">
        <v>20</v>
      </c>
      <c r="E4945" t="s">
        <v>11</v>
      </c>
      <c r="F4945">
        <v>5026.097999999999</v>
      </c>
      <c r="G4945">
        <v>18</v>
      </c>
      <c r="L4945" t="s">
        <v>14235</v>
      </c>
    </row>
    <row r="4946" spans="1:12" x14ac:dyDescent="0.25">
      <c r="A4946" t="s">
        <v>18</v>
      </c>
      <c r="B4946" t="s">
        <v>14235</v>
      </c>
      <c r="C4946" t="s">
        <v>14236</v>
      </c>
      <c r="D4946" t="s">
        <v>20</v>
      </c>
      <c r="E4946" t="s">
        <v>11</v>
      </c>
      <c r="F4946">
        <v>5026.097999999999</v>
      </c>
      <c r="G4946">
        <v>18</v>
      </c>
      <c r="L4946" t="s">
        <v>14237</v>
      </c>
    </row>
    <row r="4947" spans="1:12" x14ac:dyDescent="0.25">
      <c r="A4947" t="s">
        <v>18</v>
      </c>
      <c r="B4947" t="s">
        <v>14237</v>
      </c>
      <c r="C4947" t="s">
        <v>14238</v>
      </c>
      <c r="D4947" t="s">
        <v>20</v>
      </c>
      <c r="E4947" t="s">
        <v>11</v>
      </c>
      <c r="F4947">
        <v>4830.276</v>
      </c>
      <c r="G4947">
        <v>18</v>
      </c>
      <c r="L4947" t="s">
        <v>14239</v>
      </c>
    </row>
    <row r="4948" spans="1:12" x14ac:dyDescent="0.25">
      <c r="A4948" t="s">
        <v>18</v>
      </c>
      <c r="B4948" t="s">
        <v>14239</v>
      </c>
      <c r="C4948" t="s">
        <v>14240</v>
      </c>
      <c r="D4948" t="s">
        <v>20</v>
      </c>
      <c r="E4948" t="s">
        <v>11</v>
      </c>
      <c r="F4948">
        <v>5744.112</v>
      </c>
      <c r="G4948">
        <v>18</v>
      </c>
      <c r="L4948" t="s">
        <v>14241</v>
      </c>
    </row>
    <row r="4949" spans="1:12" x14ac:dyDescent="0.25">
      <c r="A4949" t="s">
        <v>18</v>
      </c>
      <c r="B4949" t="s">
        <v>14241</v>
      </c>
      <c r="C4949" t="s">
        <v>14242</v>
      </c>
      <c r="D4949" t="s">
        <v>20</v>
      </c>
      <c r="E4949" t="s">
        <v>11</v>
      </c>
      <c r="F4949">
        <v>5744.112</v>
      </c>
      <c r="G4949">
        <v>18</v>
      </c>
      <c r="L4949" t="s">
        <v>14243</v>
      </c>
    </row>
    <row r="4950" spans="1:12" x14ac:dyDescent="0.25">
      <c r="A4950" t="s">
        <v>18</v>
      </c>
      <c r="B4950" t="s">
        <v>14243</v>
      </c>
      <c r="C4950" t="s">
        <v>14244</v>
      </c>
      <c r="D4950" t="s">
        <v>20</v>
      </c>
      <c r="E4950" t="s">
        <v>11</v>
      </c>
      <c r="F4950">
        <v>5744.112</v>
      </c>
      <c r="G4950">
        <v>18</v>
      </c>
      <c r="L4950" t="s">
        <v>14245</v>
      </c>
    </row>
    <row r="4951" spans="1:12" x14ac:dyDescent="0.25">
      <c r="A4951" t="s">
        <v>18</v>
      </c>
      <c r="B4951" t="s">
        <v>14245</v>
      </c>
      <c r="C4951" t="s">
        <v>14246</v>
      </c>
      <c r="D4951" t="s">
        <v>20</v>
      </c>
      <c r="E4951" t="s">
        <v>11</v>
      </c>
      <c r="F4951">
        <v>5744.112</v>
      </c>
      <c r="G4951">
        <v>18</v>
      </c>
      <c r="L4951" t="s">
        <v>14247</v>
      </c>
    </row>
    <row r="4952" spans="1:12" x14ac:dyDescent="0.25">
      <c r="A4952" t="s">
        <v>18</v>
      </c>
      <c r="B4952" t="s">
        <v>14247</v>
      </c>
      <c r="C4952" t="s">
        <v>14248</v>
      </c>
      <c r="D4952" t="s">
        <v>20</v>
      </c>
      <c r="E4952" t="s">
        <v>11</v>
      </c>
      <c r="F4952">
        <v>5744.112</v>
      </c>
      <c r="G4952">
        <v>18</v>
      </c>
      <c r="L4952" t="s">
        <v>14249</v>
      </c>
    </row>
    <row r="4953" spans="1:12" x14ac:dyDescent="0.25">
      <c r="A4953" t="s">
        <v>18</v>
      </c>
      <c r="B4953" t="s">
        <v>14249</v>
      </c>
      <c r="C4953" t="s">
        <v>14250</v>
      </c>
      <c r="D4953" t="s">
        <v>20</v>
      </c>
      <c r="E4953" t="s">
        <v>11</v>
      </c>
      <c r="F4953">
        <v>5744.112</v>
      </c>
      <c r="G4953">
        <v>18</v>
      </c>
      <c r="L4953" t="s">
        <v>14251</v>
      </c>
    </row>
    <row r="4954" spans="1:12" x14ac:dyDescent="0.25">
      <c r="A4954" t="s">
        <v>18</v>
      </c>
      <c r="B4954" t="s">
        <v>14251</v>
      </c>
      <c r="C4954" t="s">
        <v>14252</v>
      </c>
      <c r="D4954" t="s">
        <v>20</v>
      </c>
      <c r="E4954" t="s">
        <v>11</v>
      </c>
      <c r="F4954">
        <v>5744.112</v>
      </c>
      <c r="G4954">
        <v>18</v>
      </c>
      <c r="L4954" t="s">
        <v>14253</v>
      </c>
    </row>
    <row r="4955" spans="1:12" x14ac:dyDescent="0.25">
      <c r="A4955" t="s">
        <v>18</v>
      </c>
      <c r="B4955" t="s">
        <v>14253</v>
      </c>
      <c r="C4955" t="s">
        <v>14254</v>
      </c>
      <c r="D4955" t="s">
        <v>20</v>
      </c>
      <c r="E4955" t="s">
        <v>11</v>
      </c>
      <c r="F4955">
        <v>5744.112</v>
      </c>
      <c r="G4955">
        <v>18</v>
      </c>
      <c r="L4955" t="s">
        <v>14255</v>
      </c>
    </row>
    <row r="4956" spans="1:12" x14ac:dyDescent="0.25">
      <c r="A4956" t="s">
        <v>18</v>
      </c>
      <c r="B4956" t="s">
        <v>14255</v>
      </c>
      <c r="C4956" t="s">
        <v>14256</v>
      </c>
      <c r="D4956" t="s">
        <v>20</v>
      </c>
      <c r="E4956" t="s">
        <v>11</v>
      </c>
      <c r="F4956">
        <v>5744.112</v>
      </c>
      <c r="G4956">
        <v>18</v>
      </c>
      <c r="L4956" t="s">
        <v>14257</v>
      </c>
    </row>
    <row r="4957" spans="1:12" x14ac:dyDescent="0.25">
      <c r="A4957" t="s">
        <v>18</v>
      </c>
      <c r="B4957" t="s">
        <v>14257</v>
      </c>
      <c r="C4957" t="s">
        <v>14258</v>
      </c>
      <c r="D4957" t="s">
        <v>20</v>
      </c>
      <c r="E4957" t="s">
        <v>11</v>
      </c>
      <c r="F4957">
        <v>5744.112</v>
      </c>
      <c r="G4957">
        <v>18</v>
      </c>
      <c r="L4957" t="s">
        <v>14259</v>
      </c>
    </row>
    <row r="4958" spans="1:12" x14ac:dyDescent="0.25">
      <c r="A4958" t="s">
        <v>18</v>
      </c>
      <c r="B4958" t="s">
        <v>14259</v>
      </c>
      <c r="C4958" t="s">
        <v>14260</v>
      </c>
      <c r="D4958" t="s">
        <v>20</v>
      </c>
      <c r="E4958" t="s">
        <v>11</v>
      </c>
      <c r="F4958">
        <v>4895.55</v>
      </c>
      <c r="G4958">
        <v>18</v>
      </c>
      <c r="L4958" t="s">
        <v>14261</v>
      </c>
    </row>
    <row r="4959" spans="1:12" x14ac:dyDescent="0.25">
      <c r="A4959" t="s">
        <v>18</v>
      </c>
      <c r="B4959" t="s">
        <v>14261</v>
      </c>
      <c r="C4959" t="s">
        <v>14262</v>
      </c>
      <c r="D4959" t="s">
        <v>20</v>
      </c>
      <c r="E4959" t="s">
        <v>11</v>
      </c>
      <c r="F4959">
        <v>4895.55</v>
      </c>
      <c r="G4959">
        <v>18</v>
      </c>
      <c r="L4959" t="s">
        <v>14263</v>
      </c>
    </row>
    <row r="4960" spans="1:12" x14ac:dyDescent="0.25">
      <c r="A4960" t="s">
        <v>18</v>
      </c>
      <c r="B4960" t="s">
        <v>14263</v>
      </c>
      <c r="C4960" t="s">
        <v>14264</v>
      </c>
      <c r="D4960" t="s">
        <v>20</v>
      </c>
      <c r="E4960" t="s">
        <v>11</v>
      </c>
      <c r="F4960">
        <v>4895.55</v>
      </c>
      <c r="G4960">
        <v>18</v>
      </c>
      <c r="L4960" t="s">
        <v>14265</v>
      </c>
    </row>
    <row r="4961" spans="1:12" x14ac:dyDescent="0.25">
      <c r="A4961" t="s">
        <v>18</v>
      </c>
      <c r="B4961" t="s">
        <v>14265</v>
      </c>
      <c r="C4961" t="s">
        <v>14266</v>
      </c>
      <c r="D4961" t="s">
        <v>20</v>
      </c>
      <c r="E4961" t="s">
        <v>11</v>
      </c>
      <c r="F4961">
        <v>5744.112</v>
      </c>
      <c r="G4961">
        <v>18</v>
      </c>
      <c r="L4961" t="s">
        <v>14267</v>
      </c>
    </row>
    <row r="4962" spans="1:12" x14ac:dyDescent="0.25">
      <c r="A4962" t="s">
        <v>18</v>
      </c>
      <c r="B4962" t="s">
        <v>14267</v>
      </c>
      <c r="C4962" t="s">
        <v>14268</v>
      </c>
      <c r="D4962" t="s">
        <v>20</v>
      </c>
      <c r="E4962" t="s">
        <v>11</v>
      </c>
      <c r="F4962">
        <v>5744.112</v>
      </c>
      <c r="G4962">
        <v>18</v>
      </c>
      <c r="L4962" t="s">
        <v>14269</v>
      </c>
    </row>
    <row r="4963" spans="1:12" x14ac:dyDescent="0.25">
      <c r="A4963" t="s">
        <v>18</v>
      </c>
      <c r="B4963" t="s">
        <v>14269</v>
      </c>
      <c r="C4963" t="s">
        <v>14270</v>
      </c>
      <c r="D4963" t="s">
        <v>20</v>
      </c>
      <c r="E4963" t="s">
        <v>11</v>
      </c>
      <c r="F4963">
        <v>5744.112</v>
      </c>
      <c r="G4963">
        <v>18</v>
      </c>
      <c r="L4963" t="s">
        <v>14271</v>
      </c>
    </row>
    <row r="4964" spans="1:12" x14ac:dyDescent="0.25">
      <c r="A4964" t="s">
        <v>18</v>
      </c>
      <c r="B4964" t="s">
        <v>14271</v>
      </c>
      <c r="C4964" t="s">
        <v>14272</v>
      </c>
      <c r="D4964" t="s">
        <v>20</v>
      </c>
      <c r="E4964" t="s">
        <v>11</v>
      </c>
      <c r="F4964">
        <v>5744.112</v>
      </c>
      <c r="G4964">
        <v>18</v>
      </c>
      <c r="L4964" t="s">
        <v>14273</v>
      </c>
    </row>
    <row r="4965" spans="1:12" x14ac:dyDescent="0.25">
      <c r="A4965" t="s">
        <v>18</v>
      </c>
      <c r="B4965" t="s">
        <v>14273</v>
      </c>
      <c r="C4965" t="s">
        <v>14274</v>
      </c>
      <c r="D4965" t="s">
        <v>20</v>
      </c>
      <c r="E4965" t="s">
        <v>11</v>
      </c>
      <c r="F4965">
        <v>5744.112</v>
      </c>
      <c r="G4965">
        <v>18</v>
      </c>
      <c r="L4965" t="s">
        <v>14275</v>
      </c>
    </row>
    <row r="4966" spans="1:12" x14ac:dyDescent="0.25">
      <c r="A4966" t="s">
        <v>18</v>
      </c>
      <c r="B4966" t="s">
        <v>14275</v>
      </c>
      <c r="C4966" t="s">
        <v>14276</v>
      </c>
      <c r="D4966" t="s">
        <v>20</v>
      </c>
      <c r="E4966" t="s">
        <v>11</v>
      </c>
      <c r="F4966">
        <v>5744.112</v>
      </c>
      <c r="G4966">
        <v>18</v>
      </c>
      <c r="L4966" t="s">
        <v>14277</v>
      </c>
    </row>
    <row r="4967" spans="1:12" x14ac:dyDescent="0.25">
      <c r="A4967" t="s">
        <v>18</v>
      </c>
      <c r="B4967" t="s">
        <v>14277</v>
      </c>
      <c r="C4967" t="s">
        <v>14278</v>
      </c>
      <c r="D4967" t="s">
        <v>20</v>
      </c>
      <c r="E4967" t="s">
        <v>11</v>
      </c>
      <c r="F4967">
        <v>7310.688</v>
      </c>
      <c r="G4967">
        <v>18</v>
      </c>
      <c r="L4967" t="s">
        <v>14279</v>
      </c>
    </row>
    <row r="4968" spans="1:12" x14ac:dyDescent="0.25">
      <c r="A4968" t="s">
        <v>18</v>
      </c>
      <c r="B4968" t="s">
        <v>14279</v>
      </c>
      <c r="C4968" t="s">
        <v>14280</v>
      </c>
      <c r="D4968" t="s">
        <v>20</v>
      </c>
      <c r="E4968" t="s">
        <v>11</v>
      </c>
      <c r="F4968">
        <v>7310.688</v>
      </c>
      <c r="G4968">
        <v>18</v>
      </c>
      <c r="L4968" t="s">
        <v>14281</v>
      </c>
    </row>
    <row r="4969" spans="1:12" x14ac:dyDescent="0.25">
      <c r="A4969" t="s">
        <v>18</v>
      </c>
      <c r="B4969" t="s">
        <v>14281</v>
      </c>
      <c r="C4969" t="s">
        <v>14282</v>
      </c>
      <c r="D4969" t="s">
        <v>20</v>
      </c>
      <c r="E4969" t="s">
        <v>11</v>
      </c>
      <c r="F4969">
        <v>7310.688</v>
      </c>
      <c r="G4969">
        <v>18</v>
      </c>
      <c r="L4969" t="s">
        <v>14283</v>
      </c>
    </row>
    <row r="4970" spans="1:12" x14ac:dyDescent="0.25">
      <c r="A4970" t="s">
        <v>18</v>
      </c>
      <c r="B4970" t="s">
        <v>14283</v>
      </c>
      <c r="C4970" t="s">
        <v>14284</v>
      </c>
      <c r="D4970" t="s">
        <v>20</v>
      </c>
      <c r="E4970" t="s">
        <v>11</v>
      </c>
      <c r="F4970">
        <v>7310.688</v>
      </c>
      <c r="G4970">
        <v>18</v>
      </c>
      <c r="L4970" t="s">
        <v>14285</v>
      </c>
    </row>
    <row r="4971" spans="1:12" x14ac:dyDescent="0.25">
      <c r="A4971" t="s">
        <v>18</v>
      </c>
      <c r="B4971" t="s">
        <v>14285</v>
      </c>
      <c r="C4971" t="s">
        <v>14286</v>
      </c>
      <c r="D4971" t="s">
        <v>20</v>
      </c>
      <c r="E4971" t="s">
        <v>11</v>
      </c>
      <c r="F4971">
        <v>7310.688</v>
      </c>
      <c r="G4971">
        <v>18</v>
      </c>
      <c r="L4971" t="s">
        <v>14287</v>
      </c>
    </row>
    <row r="4972" spans="1:12" x14ac:dyDescent="0.25">
      <c r="A4972" t="s">
        <v>18</v>
      </c>
      <c r="B4972" t="s">
        <v>14287</v>
      </c>
      <c r="C4972" t="s">
        <v>14288</v>
      </c>
      <c r="D4972" t="s">
        <v>20</v>
      </c>
      <c r="E4972" t="s">
        <v>11</v>
      </c>
      <c r="F4972">
        <v>7506.51</v>
      </c>
      <c r="G4972">
        <v>18</v>
      </c>
      <c r="L4972" t="s">
        <v>14289</v>
      </c>
    </row>
    <row r="4973" spans="1:12" x14ac:dyDescent="0.25">
      <c r="A4973" t="s">
        <v>18</v>
      </c>
      <c r="B4973" t="s">
        <v>14289</v>
      </c>
      <c r="C4973" t="s">
        <v>14290</v>
      </c>
      <c r="D4973" t="s">
        <v>20</v>
      </c>
      <c r="E4973" t="s">
        <v>11</v>
      </c>
      <c r="F4973">
        <v>7506.51</v>
      </c>
      <c r="G4973">
        <v>18</v>
      </c>
      <c r="L4973" t="s">
        <v>14291</v>
      </c>
    </row>
    <row r="4974" spans="1:12" x14ac:dyDescent="0.25">
      <c r="A4974" t="s">
        <v>18</v>
      </c>
      <c r="B4974" t="s">
        <v>14291</v>
      </c>
      <c r="C4974" t="s">
        <v>14292</v>
      </c>
      <c r="D4974" t="s">
        <v>20</v>
      </c>
      <c r="E4974" t="s">
        <v>11</v>
      </c>
      <c r="F4974">
        <v>7506.51</v>
      </c>
      <c r="G4974">
        <v>18</v>
      </c>
      <c r="L4974" t="s">
        <v>14293</v>
      </c>
    </row>
    <row r="4975" spans="1:12" x14ac:dyDescent="0.25">
      <c r="A4975" t="s">
        <v>18</v>
      </c>
      <c r="B4975" t="s">
        <v>14293</v>
      </c>
      <c r="C4975" t="s">
        <v>14294</v>
      </c>
      <c r="D4975" t="s">
        <v>20</v>
      </c>
      <c r="E4975" t="s">
        <v>11</v>
      </c>
      <c r="F4975">
        <v>7506.51</v>
      </c>
      <c r="G4975">
        <v>18</v>
      </c>
      <c r="L4975" t="s">
        <v>14295</v>
      </c>
    </row>
    <row r="4976" spans="1:12" x14ac:dyDescent="0.25">
      <c r="A4976" t="s">
        <v>18</v>
      </c>
      <c r="B4976" t="s">
        <v>14295</v>
      </c>
      <c r="C4976" t="s">
        <v>14296</v>
      </c>
      <c r="D4976" t="s">
        <v>20</v>
      </c>
      <c r="E4976" t="s">
        <v>11</v>
      </c>
      <c r="F4976">
        <v>7506.51</v>
      </c>
      <c r="G4976">
        <v>18</v>
      </c>
      <c r="L4976" t="s">
        <v>14297</v>
      </c>
    </row>
    <row r="4977" spans="1:12" x14ac:dyDescent="0.25">
      <c r="A4977" t="s">
        <v>18</v>
      </c>
      <c r="B4977" t="s">
        <v>14297</v>
      </c>
      <c r="C4977" t="s">
        <v>14298</v>
      </c>
      <c r="D4977" t="s">
        <v>20</v>
      </c>
      <c r="E4977" t="s">
        <v>11</v>
      </c>
      <c r="F4977">
        <v>7571.784</v>
      </c>
      <c r="G4977">
        <v>18</v>
      </c>
      <c r="L4977" t="s">
        <v>14299</v>
      </c>
    </row>
    <row r="4978" spans="1:12" x14ac:dyDescent="0.25">
      <c r="A4978" t="s">
        <v>18</v>
      </c>
      <c r="B4978" t="s">
        <v>14299</v>
      </c>
      <c r="C4978" t="s">
        <v>14300</v>
      </c>
      <c r="D4978" t="s">
        <v>20</v>
      </c>
      <c r="E4978" t="s">
        <v>11</v>
      </c>
      <c r="F4978">
        <v>7571.784</v>
      </c>
      <c r="G4978">
        <v>18</v>
      </c>
      <c r="L4978" t="s">
        <v>14301</v>
      </c>
    </row>
    <row r="4979" spans="1:12" x14ac:dyDescent="0.25">
      <c r="A4979" t="s">
        <v>18</v>
      </c>
      <c r="B4979" t="s">
        <v>14301</v>
      </c>
      <c r="C4979" t="s">
        <v>14302</v>
      </c>
      <c r="D4979" t="s">
        <v>20</v>
      </c>
      <c r="E4979" t="s">
        <v>11</v>
      </c>
      <c r="F4979">
        <v>7571.784</v>
      </c>
      <c r="G4979">
        <v>18</v>
      </c>
      <c r="L4979" t="s">
        <v>14303</v>
      </c>
    </row>
    <row r="4980" spans="1:12" x14ac:dyDescent="0.25">
      <c r="A4980" t="s">
        <v>18</v>
      </c>
      <c r="B4980" t="s">
        <v>14303</v>
      </c>
      <c r="C4980" t="s">
        <v>14304</v>
      </c>
      <c r="D4980" t="s">
        <v>20</v>
      </c>
      <c r="E4980" t="s">
        <v>11</v>
      </c>
      <c r="F4980">
        <v>7571.784</v>
      </c>
      <c r="G4980">
        <v>18</v>
      </c>
      <c r="L4980" t="s">
        <v>14305</v>
      </c>
    </row>
    <row r="4981" spans="1:12" x14ac:dyDescent="0.25">
      <c r="A4981" t="s">
        <v>18</v>
      </c>
      <c r="B4981" t="s">
        <v>14305</v>
      </c>
      <c r="C4981" t="s">
        <v>14306</v>
      </c>
      <c r="D4981" t="s">
        <v>20</v>
      </c>
      <c r="E4981" t="s">
        <v>11</v>
      </c>
      <c r="F4981">
        <v>7571.784</v>
      </c>
      <c r="G4981">
        <v>18</v>
      </c>
      <c r="L4981" t="s">
        <v>14307</v>
      </c>
    </row>
    <row r="4982" spans="1:12" x14ac:dyDescent="0.25">
      <c r="A4982" t="s">
        <v>18</v>
      </c>
      <c r="B4982" t="s">
        <v>14307</v>
      </c>
      <c r="C4982" t="s">
        <v>14308</v>
      </c>
      <c r="D4982" t="s">
        <v>20</v>
      </c>
      <c r="E4982" t="s">
        <v>11</v>
      </c>
      <c r="F4982">
        <v>4438.632</v>
      </c>
      <c r="G4982">
        <v>18</v>
      </c>
      <c r="L4982" t="s">
        <v>14309</v>
      </c>
    </row>
    <row r="4983" spans="1:12" x14ac:dyDescent="0.25">
      <c r="A4983" t="s">
        <v>18</v>
      </c>
      <c r="B4983" t="s">
        <v>14309</v>
      </c>
      <c r="C4983" t="s">
        <v>14310</v>
      </c>
      <c r="D4983" t="s">
        <v>20</v>
      </c>
      <c r="E4983" t="s">
        <v>11</v>
      </c>
      <c r="F4983">
        <v>4634.454</v>
      </c>
      <c r="G4983">
        <v>18</v>
      </c>
      <c r="L4983" t="s">
        <v>14311</v>
      </c>
    </row>
    <row r="4984" spans="1:12" x14ac:dyDescent="0.25">
      <c r="A4984" t="s">
        <v>18</v>
      </c>
      <c r="B4984" t="s">
        <v>14311</v>
      </c>
      <c r="C4984" t="s">
        <v>14312</v>
      </c>
      <c r="D4984" t="s">
        <v>20</v>
      </c>
      <c r="E4984" t="s">
        <v>11</v>
      </c>
      <c r="F4984">
        <v>5352.468</v>
      </c>
      <c r="G4984">
        <v>18</v>
      </c>
      <c r="L4984" t="s">
        <v>14313</v>
      </c>
    </row>
    <row r="4985" spans="1:12" x14ac:dyDescent="0.25">
      <c r="A4985" t="s">
        <v>18</v>
      </c>
      <c r="B4985" t="s">
        <v>14313</v>
      </c>
      <c r="C4985" t="s">
        <v>14314</v>
      </c>
      <c r="D4985" t="s">
        <v>20</v>
      </c>
      <c r="E4985" t="s">
        <v>11</v>
      </c>
      <c r="F4985">
        <v>5352.468</v>
      </c>
      <c r="G4985">
        <v>18</v>
      </c>
      <c r="L4985" t="s">
        <v>14315</v>
      </c>
    </row>
    <row r="4986" spans="1:12" x14ac:dyDescent="0.25">
      <c r="A4986" t="s">
        <v>18</v>
      </c>
      <c r="B4986" t="s">
        <v>14315</v>
      </c>
      <c r="C4986" t="s">
        <v>14316</v>
      </c>
      <c r="D4986" t="s">
        <v>20</v>
      </c>
      <c r="E4986" t="s">
        <v>11</v>
      </c>
      <c r="F4986">
        <v>4112.262</v>
      </c>
      <c r="G4986">
        <v>18</v>
      </c>
      <c r="L4986" t="s">
        <v>14317</v>
      </c>
    </row>
    <row r="4987" spans="1:12" x14ac:dyDescent="0.25">
      <c r="A4987" t="s">
        <v>18</v>
      </c>
      <c r="B4987" t="s">
        <v>14317</v>
      </c>
      <c r="C4987" t="s">
        <v>14318</v>
      </c>
      <c r="D4987" t="s">
        <v>20</v>
      </c>
      <c r="E4987" t="s">
        <v>11</v>
      </c>
      <c r="F4987">
        <v>7702.332</v>
      </c>
      <c r="G4987">
        <v>18</v>
      </c>
      <c r="L4987" t="s">
        <v>14319</v>
      </c>
    </row>
    <row r="4988" spans="1:12" x14ac:dyDescent="0.25">
      <c r="A4988" t="s">
        <v>18</v>
      </c>
      <c r="B4988" t="s">
        <v>14319</v>
      </c>
      <c r="C4988" t="s">
        <v>14320</v>
      </c>
      <c r="D4988" t="s">
        <v>20</v>
      </c>
      <c r="E4988" t="s">
        <v>11</v>
      </c>
      <c r="F4988">
        <v>4699.727999999999</v>
      </c>
      <c r="G4988">
        <v>18</v>
      </c>
      <c r="L4988" t="s">
        <v>14321</v>
      </c>
    </row>
    <row r="4989" spans="1:12" x14ac:dyDescent="0.25">
      <c r="A4989" t="s">
        <v>18</v>
      </c>
      <c r="B4989" t="s">
        <v>14321</v>
      </c>
      <c r="C4989" t="s">
        <v>14322</v>
      </c>
      <c r="D4989" t="s">
        <v>20</v>
      </c>
      <c r="E4989" t="s">
        <v>11</v>
      </c>
      <c r="F4989">
        <v>9203.633999999998</v>
      </c>
      <c r="G4989">
        <v>18</v>
      </c>
      <c r="L4989" t="s">
        <v>14323</v>
      </c>
    </row>
    <row r="4990" spans="1:12" x14ac:dyDescent="0.25">
      <c r="A4990" t="s">
        <v>18</v>
      </c>
      <c r="B4990" t="s">
        <v>14323</v>
      </c>
      <c r="C4990" t="s">
        <v>14324</v>
      </c>
      <c r="D4990" t="s">
        <v>20</v>
      </c>
      <c r="E4990" t="s">
        <v>11</v>
      </c>
      <c r="F4990">
        <v>4699.727999999999</v>
      </c>
      <c r="G4990">
        <v>18</v>
      </c>
      <c r="L4990" t="s">
        <v>14325</v>
      </c>
    </row>
    <row r="4991" spans="1:12" x14ac:dyDescent="0.25">
      <c r="A4991" t="s">
        <v>18</v>
      </c>
      <c r="B4991" t="s">
        <v>14325</v>
      </c>
      <c r="C4991" t="s">
        <v>14326</v>
      </c>
      <c r="D4991" t="s">
        <v>20</v>
      </c>
      <c r="E4991" t="s">
        <v>11</v>
      </c>
      <c r="F4991">
        <v>4699.727999999999</v>
      </c>
      <c r="G4991">
        <v>18</v>
      </c>
      <c r="L4991" t="s">
        <v>14327</v>
      </c>
    </row>
    <row r="4992" spans="1:12" x14ac:dyDescent="0.25">
      <c r="A4992" t="s">
        <v>18</v>
      </c>
      <c r="B4992" t="s">
        <v>14327</v>
      </c>
      <c r="C4992" t="s">
        <v>14328</v>
      </c>
      <c r="D4992" t="s">
        <v>20</v>
      </c>
      <c r="E4992" t="s">
        <v>11</v>
      </c>
      <c r="F4992">
        <v>4112.262</v>
      </c>
      <c r="G4992">
        <v>18</v>
      </c>
      <c r="L4992" t="s">
        <v>14329</v>
      </c>
    </row>
    <row r="4993" spans="1:12" x14ac:dyDescent="0.25">
      <c r="A4993" t="s">
        <v>18</v>
      </c>
      <c r="B4993" t="s">
        <v>14329</v>
      </c>
      <c r="C4993" t="s">
        <v>14330</v>
      </c>
      <c r="D4993" t="s">
        <v>20</v>
      </c>
      <c r="E4993" t="s">
        <v>11</v>
      </c>
      <c r="F4993">
        <v>4699.727999999999</v>
      </c>
      <c r="G4993">
        <v>18</v>
      </c>
      <c r="L4993" t="s">
        <v>14331</v>
      </c>
    </row>
    <row r="4994" spans="1:12" x14ac:dyDescent="0.25">
      <c r="A4994" t="s">
        <v>18</v>
      </c>
      <c r="B4994" t="s">
        <v>14331</v>
      </c>
      <c r="C4994" t="s">
        <v>14332</v>
      </c>
      <c r="D4994" t="s">
        <v>20</v>
      </c>
      <c r="E4994" t="s">
        <v>11</v>
      </c>
      <c r="F4994">
        <v>4112.262</v>
      </c>
      <c r="G4994">
        <v>18</v>
      </c>
      <c r="L4994" t="s">
        <v>14333</v>
      </c>
    </row>
    <row r="4995" spans="1:12" x14ac:dyDescent="0.25">
      <c r="A4995" t="s">
        <v>18</v>
      </c>
      <c r="B4995" t="s">
        <v>14333</v>
      </c>
      <c r="C4995" t="s">
        <v>14334</v>
      </c>
      <c r="D4995" t="s">
        <v>20</v>
      </c>
      <c r="E4995" t="s">
        <v>11</v>
      </c>
      <c r="F4995">
        <v>4699.727999999999</v>
      </c>
      <c r="G4995">
        <v>18</v>
      </c>
      <c r="L4995" t="s">
        <v>14335</v>
      </c>
    </row>
    <row r="4996" spans="1:12" x14ac:dyDescent="0.25">
      <c r="A4996" t="s">
        <v>18</v>
      </c>
      <c r="B4996" t="s">
        <v>14335</v>
      </c>
      <c r="C4996" t="s">
        <v>14336</v>
      </c>
      <c r="D4996" t="s">
        <v>20</v>
      </c>
      <c r="E4996" t="s">
        <v>11</v>
      </c>
      <c r="F4996">
        <v>5352.468</v>
      </c>
      <c r="G4996">
        <v>18</v>
      </c>
      <c r="L4996" t="s">
        <v>14337</v>
      </c>
    </row>
    <row r="4997" spans="1:12" x14ac:dyDescent="0.25">
      <c r="A4997" t="s">
        <v>18</v>
      </c>
      <c r="B4997" t="s">
        <v>14337</v>
      </c>
      <c r="C4997" t="s">
        <v>14338</v>
      </c>
      <c r="D4997" t="s">
        <v>20</v>
      </c>
      <c r="E4997" t="s">
        <v>11</v>
      </c>
      <c r="F4997">
        <v>4046.988</v>
      </c>
      <c r="G4997">
        <v>18</v>
      </c>
      <c r="L4997" t="s">
        <v>14339</v>
      </c>
    </row>
    <row r="4998" spans="1:12" x14ac:dyDescent="0.25">
      <c r="A4998" t="s">
        <v>18</v>
      </c>
      <c r="B4998" t="s">
        <v>14339</v>
      </c>
      <c r="C4998" t="s">
        <v>14340</v>
      </c>
      <c r="D4998" t="s">
        <v>20</v>
      </c>
      <c r="E4998" t="s">
        <v>11</v>
      </c>
      <c r="F4998">
        <v>2937.3300000000004</v>
      </c>
      <c r="G4998">
        <v>18</v>
      </c>
      <c r="L4998" t="s">
        <v>14341</v>
      </c>
    </row>
    <row r="4999" spans="1:12" x14ac:dyDescent="0.25">
      <c r="A4999" t="s">
        <v>18</v>
      </c>
      <c r="B4999" t="s">
        <v>14341</v>
      </c>
      <c r="C4999" t="s">
        <v>14342</v>
      </c>
      <c r="D4999" t="s">
        <v>20</v>
      </c>
      <c r="E4999" t="s">
        <v>11</v>
      </c>
      <c r="F4999">
        <v>4399.164</v>
      </c>
      <c r="G4999">
        <v>18</v>
      </c>
      <c r="L4999" t="s">
        <v>14343</v>
      </c>
    </row>
    <row r="5000" spans="1:12" x14ac:dyDescent="0.25">
      <c r="A5000" t="s">
        <v>18</v>
      </c>
      <c r="B5000" t="s">
        <v>14343</v>
      </c>
      <c r="C5000" t="s">
        <v>14344</v>
      </c>
      <c r="D5000" t="s">
        <v>20</v>
      </c>
      <c r="E5000" t="s">
        <v>11</v>
      </c>
      <c r="F5000">
        <v>2545.6859999999997</v>
      </c>
      <c r="G5000">
        <v>18</v>
      </c>
      <c r="L5000" t="s">
        <v>14345</v>
      </c>
    </row>
    <row r="5001" spans="1:12" x14ac:dyDescent="0.25">
      <c r="A5001" t="s">
        <v>18</v>
      </c>
      <c r="B5001" t="s">
        <v>14345</v>
      </c>
      <c r="C5001" t="s">
        <v>14346</v>
      </c>
      <c r="D5001" t="s">
        <v>20</v>
      </c>
      <c r="E5001" t="s">
        <v>11</v>
      </c>
      <c r="F5001">
        <v>4308.084</v>
      </c>
      <c r="G5001">
        <v>18</v>
      </c>
      <c r="L5001" t="s">
        <v>14347</v>
      </c>
    </row>
    <row r="5002" spans="1:12" x14ac:dyDescent="0.25">
      <c r="A5002" t="s">
        <v>18</v>
      </c>
      <c r="B5002" t="s">
        <v>14347</v>
      </c>
      <c r="C5002" t="s">
        <v>14348</v>
      </c>
      <c r="D5002" t="s">
        <v>20</v>
      </c>
      <c r="E5002" t="s">
        <v>11</v>
      </c>
      <c r="F5002">
        <v>2415.138</v>
      </c>
      <c r="G5002">
        <v>18</v>
      </c>
      <c r="L5002" t="s">
        <v>14349</v>
      </c>
    </row>
    <row r="5003" spans="1:12" x14ac:dyDescent="0.25">
      <c r="A5003" t="s">
        <v>18</v>
      </c>
      <c r="B5003" t="s">
        <v>14349</v>
      </c>
      <c r="C5003" t="s">
        <v>14350</v>
      </c>
      <c r="D5003" t="s">
        <v>20</v>
      </c>
      <c r="E5003" t="s">
        <v>11</v>
      </c>
      <c r="F5003">
        <v>2284.59</v>
      </c>
      <c r="G5003">
        <v>18</v>
      </c>
      <c r="L5003" t="s">
        <v>14351</v>
      </c>
    </row>
    <row r="5004" spans="1:12" x14ac:dyDescent="0.25">
      <c r="A5004" t="s">
        <v>18</v>
      </c>
      <c r="B5004" t="s">
        <v>14351</v>
      </c>
      <c r="C5004" t="s">
        <v>14352</v>
      </c>
      <c r="D5004" t="s">
        <v>20</v>
      </c>
      <c r="E5004" t="s">
        <v>11</v>
      </c>
      <c r="F5004">
        <v>2937.3300000000004</v>
      </c>
      <c r="G5004">
        <v>18</v>
      </c>
      <c r="L5004" t="s">
        <v>14353</v>
      </c>
    </row>
    <row r="5005" spans="1:12" x14ac:dyDescent="0.25">
      <c r="A5005" t="s">
        <v>18</v>
      </c>
      <c r="B5005" t="s">
        <v>14353</v>
      </c>
      <c r="C5005" t="s">
        <v>14354</v>
      </c>
      <c r="D5005" t="s">
        <v>20</v>
      </c>
      <c r="E5005" t="s">
        <v>11</v>
      </c>
      <c r="F5005">
        <v>2872.056</v>
      </c>
      <c r="G5005">
        <v>18</v>
      </c>
      <c r="L5005" t="s">
        <v>14355</v>
      </c>
    </row>
    <row r="5006" spans="1:12" x14ac:dyDescent="0.25">
      <c r="A5006" t="s">
        <v>18</v>
      </c>
      <c r="B5006" t="s">
        <v>14355</v>
      </c>
      <c r="C5006" t="s">
        <v>14356</v>
      </c>
      <c r="D5006" t="s">
        <v>20</v>
      </c>
      <c r="E5006" t="s">
        <v>11</v>
      </c>
      <c r="F5006">
        <v>2937.3300000000004</v>
      </c>
      <c r="G5006">
        <v>18</v>
      </c>
      <c r="L5006" t="s">
        <v>14357</v>
      </c>
    </row>
    <row r="5007" spans="1:12" x14ac:dyDescent="0.25">
      <c r="A5007" t="s">
        <v>18</v>
      </c>
      <c r="B5007" t="s">
        <v>14357</v>
      </c>
      <c r="C5007" t="s">
        <v>14358</v>
      </c>
      <c r="D5007" t="s">
        <v>20</v>
      </c>
      <c r="E5007" t="s">
        <v>11</v>
      </c>
      <c r="F5007">
        <v>9791.1</v>
      </c>
      <c r="G5007">
        <v>18</v>
      </c>
      <c r="L5007" t="s">
        <v>14359</v>
      </c>
    </row>
    <row r="5008" spans="1:12" x14ac:dyDescent="0.25">
      <c r="A5008" t="s">
        <v>18</v>
      </c>
      <c r="B5008" t="s">
        <v>14359</v>
      </c>
      <c r="C5008" t="s">
        <v>14360</v>
      </c>
      <c r="D5008" t="s">
        <v>20</v>
      </c>
      <c r="E5008" t="s">
        <v>11</v>
      </c>
      <c r="F5008">
        <v>9791.1</v>
      </c>
      <c r="G5008">
        <v>18</v>
      </c>
      <c r="L5008" t="s">
        <v>14361</v>
      </c>
    </row>
    <row r="5009" spans="1:12" x14ac:dyDescent="0.25">
      <c r="A5009" t="s">
        <v>18</v>
      </c>
      <c r="B5009" t="s">
        <v>14361</v>
      </c>
      <c r="C5009" t="s">
        <v>14362</v>
      </c>
      <c r="D5009" t="s">
        <v>20</v>
      </c>
      <c r="E5009" t="s">
        <v>11</v>
      </c>
      <c r="F5009">
        <v>2284.59</v>
      </c>
      <c r="G5009">
        <v>18</v>
      </c>
      <c r="L5009" t="s">
        <v>14363</v>
      </c>
    </row>
    <row r="5010" spans="1:12" x14ac:dyDescent="0.25">
      <c r="A5010" t="s">
        <v>18</v>
      </c>
      <c r="B5010" t="s">
        <v>14363</v>
      </c>
      <c r="C5010" t="s">
        <v>14364</v>
      </c>
      <c r="D5010" t="s">
        <v>20</v>
      </c>
      <c r="E5010" t="s">
        <v>11</v>
      </c>
      <c r="F5010">
        <v>9399.455999999998</v>
      </c>
      <c r="G5010">
        <v>18</v>
      </c>
      <c r="L5010" t="s">
        <v>14365</v>
      </c>
    </row>
    <row r="5011" spans="1:12" x14ac:dyDescent="0.25">
      <c r="A5011" t="s">
        <v>18</v>
      </c>
      <c r="B5011" t="s">
        <v>14365</v>
      </c>
      <c r="C5011" t="s">
        <v>14366</v>
      </c>
      <c r="D5011" t="s">
        <v>20</v>
      </c>
      <c r="E5011" t="s">
        <v>11</v>
      </c>
      <c r="F5011">
        <v>9399.455999999998</v>
      </c>
      <c r="G5011">
        <v>18</v>
      </c>
      <c r="L5011" t="s">
        <v>14367</v>
      </c>
    </row>
    <row r="5012" spans="1:12" x14ac:dyDescent="0.25">
      <c r="A5012" t="s">
        <v>18</v>
      </c>
      <c r="B5012" t="s">
        <v>14367</v>
      </c>
      <c r="C5012" t="s">
        <v>14368</v>
      </c>
      <c r="D5012" t="s">
        <v>20</v>
      </c>
      <c r="E5012" t="s">
        <v>11</v>
      </c>
      <c r="F5012">
        <v>5678.838</v>
      </c>
      <c r="G5012">
        <v>18</v>
      </c>
      <c r="L5012" t="s">
        <v>14369</v>
      </c>
    </row>
    <row r="5013" spans="1:12" x14ac:dyDescent="0.25">
      <c r="A5013" t="s">
        <v>18</v>
      </c>
      <c r="B5013" t="s">
        <v>14369</v>
      </c>
      <c r="C5013" t="s">
        <v>14370</v>
      </c>
      <c r="D5013" t="s">
        <v>20</v>
      </c>
      <c r="E5013" t="s">
        <v>11</v>
      </c>
      <c r="F5013">
        <v>5678.838</v>
      </c>
      <c r="G5013">
        <v>18</v>
      </c>
      <c r="L5013" t="s">
        <v>14371</v>
      </c>
    </row>
    <row r="5014" spans="1:12" x14ac:dyDescent="0.25">
      <c r="A5014" t="s">
        <v>18</v>
      </c>
      <c r="B5014" t="s">
        <v>14371</v>
      </c>
      <c r="C5014" t="s">
        <v>14372</v>
      </c>
      <c r="D5014" t="s">
        <v>20</v>
      </c>
      <c r="E5014" t="s">
        <v>11</v>
      </c>
      <c r="F5014">
        <v>5678.838</v>
      </c>
      <c r="G5014">
        <v>18</v>
      </c>
      <c r="L5014" t="s">
        <v>14373</v>
      </c>
    </row>
    <row r="5015" spans="1:12" x14ac:dyDescent="0.25">
      <c r="A5015" t="s">
        <v>18</v>
      </c>
      <c r="B5015" t="s">
        <v>14373</v>
      </c>
      <c r="C5015" t="s">
        <v>14374</v>
      </c>
      <c r="D5015" t="s">
        <v>20</v>
      </c>
      <c r="E5015" t="s">
        <v>11</v>
      </c>
      <c r="F5015">
        <v>5678.838</v>
      </c>
      <c r="G5015">
        <v>18</v>
      </c>
      <c r="L5015" t="s">
        <v>14375</v>
      </c>
    </row>
    <row r="5016" spans="1:12" x14ac:dyDescent="0.25">
      <c r="A5016" t="s">
        <v>18</v>
      </c>
      <c r="B5016" t="s">
        <v>14375</v>
      </c>
      <c r="C5016" t="s">
        <v>14376</v>
      </c>
      <c r="D5016" t="s">
        <v>20</v>
      </c>
      <c r="E5016" t="s">
        <v>11</v>
      </c>
      <c r="F5016">
        <v>5678.838</v>
      </c>
      <c r="G5016">
        <v>18</v>
      </c>
      <c r="L5016" t="s">
        <v>14377</v>
      </c>
    </row>
    <row r="5017" spans="1:12" x14ac:dyDescent="0.25">
      <c r="A5017" t="s">
        <v>18</v>
      </c>
      <c r="B5017" t="s">
        <v>14377</v>
      </c>
      <c r="C5017" t="s">
        <v>14378</v>
      </c>
      <c r="D5017" t="s">
        <v>20</v>
      </c>
      <c r="E5017" t="s">
        <v>11</v>
      </c>
      <c r="F5017">
        <v>5678.838</v>
      </c>
      <c r="G5017">
        <v>18</v>
      </c>
      <c r="L5017" t="s">
        <v>14379</v>
      </c>
    </row>
    <row r="5018" spans="1:12" x14ac:dyDescent="0.25">
      <c r="A5018" t="s">
        <v>18</v>
      </c>
      <c r="B5018" t="s">
        <v>14379</v>
      </c>
      <c r="C5018" t="s">
        <v>14380</v>
      </c>
      <c r="D5018" t="s">
        <v>20</v>
      </c>
      <c r="E5018" t="s">
        <v>11</v>
      </c>
      <c r="F5018">
        <v>5678.838</v>
      </c>
      <c r="G5018">
        <v>18</v>
      </c>
      <c r="L5018" t="s">
        <v>14381</v>
      </c>
    </row>
    <row r="5019" spans="1:12" x14ac:dyDescent="0.25">
      <c r="A5019" t="s">
        <v>18</v>
      </c>
      <c r="B5019" t="s">
        <v>14381</v>
      </c>
      <c r="C5019" t="s">
        <v>14382</v>
      </c>
      <c r="D5019" t="s">
        <v>20</v>
      </c>
      <c r="E5019" t="s">
        <v>11</v>
      </c>
      <c r="F5019">
        <v>5678.838</v>
      </c>
      <c r="G5019">
        <v>18</v>
      </c>
      <c r="L5019" t="s">
        <v>14383</v>
      </c>
    </row>
    <row r="5020" spans="1:12" x14ac:dyDescent="0.25">
      <c r="A5020" t="s">
        <v>18</v>
      </c>
      <c r="B5020" t="s">
        <v>14383</v>
      </c>
      <c r="C5020" t="s">
        <v>14384</v>
      </c>
      <c r="D5020" t="s">
        <v>20</v>
      </c>
      <c r="E5020" t="s">
        <v>11</v>
      </c>
      <c r="F5020">
        <v>7310.688</v>
      </c>
      <c r="G5020">
        <v>18</v>
      </c>
      <c r="L5020" t="s">
        <v>14385</v>
      </c>
    </row>
    <row r="5021" spans="1:12" x14ac:dyDescent="0.25">
      <c r="A5021" t="s">
        <v>18</v>
      </c>
      <c r="B5021" t="s">
        <v>14385</v>
      </c>
      <c r="C5021" t="s">
        <v>14386</v>
      </c>
      <c r="D5021" t="s">
        <v>20</v>
      </c>
      <c r="E5021" t="s">
        <v>11</v>
      </c>
      <c r="F5021">
        <v>7310.688</v>
      </c>
      <c r="G5021">
        <v>18</v>
      </c>
      <c r="L5021" t="s">
        <v>14387</v>
      </c>
    </row>
    <row r="5022" spans="1:12" x14ac:dyDescent="0.25">
      <c r="A5022" t="s">
        <v>18</v>
      </c>
      <c r="B5022" t="s">
        <v>14387</v>
      </c>
      <c r="C5022" t="s">
        <v>14388</v>
      </c>
      <c r="D5022" t="s">
        <v>20</v>
      </c>
      <c r="E5022" t="s">
        <v>11</v>
      </c>
      <c r="F5022">
        <v>6005.208</v>
      </c>
      <c r="G5022">
        <v>18</v>
      </c>
      <c r="L5022" t="s">
        <v>14389</v>
      </c>
    </row>
    <row r="5023" spans="1:12" x14ac:dyDescent="0.25">
      <c r="A5023" t="s">
        <v>18</v>
      </c>
      <c r="B5023" t="s">
        <v>14389</v>
      </c>
      <c r="C5023" t="s">
        <v>14390</v>
      </c>
      <c r="D5023" t="s">
        <v>20</v>
      </c>
      <c r="E5023" t="s">
        <v>11</v>
      </c>
      <c r="F5023">
        <v>7506.51</v>
      </c>
      <c r="G5023">
        <v>18</v>
      </c>
      <c r="L5023" t="s">
        <v>14391</v>
      </c>
    </row>
    <row r="5024" spans="1:12" x14ac:dyDescent="0.25">
      <c r="A5024" t="s">
        <v>18</v>
      </c>
      <c r="B5024" t="s">
        <v>14391</v>
      </c>
      <c r="C5024" t="s">
        <v>14392</v>
      </c>
      <c r="D5024" t="s">
        <v>20</v>
      </c>
      <c r="E5024" t="s">
        <v>11</v>
      </c>
      <c r="F5024">
        <v>7571.784</v>
      </c>
      <c r="G5024">
        <v>18</v>
      </c>
      <c r="L5024" t="s">
        <v>14393</v>
      </c>
    </row>
    <row r="5025" spans="1:12" x14ac:dyDescent="0.25">
      <c r="A5025" t="s">
        <v>18</v>
      </c>
      <c r="B5025" t="s">
        <v>14393</v>
      </c>
      <c r="C5025" t="s">
        <v>14394</v>
      </c>
      <c r="D5025" t="s">
        <v>20</v>
      </c>
      <c r="E5025" t="s">
        <v>11</v>
      </c>
      <c r="F5025">
        <v>7571.784</v>
      </c>
      <c r="G5025">
        <v>18</v>
      </c>
      <c r="L5025" t="s">
        <v>14395</v>
      </c>
    </row>
    <row r="5026" spans="1:12" x14ac:dyDescent="0.25">
      <c r="A5026" t="s">
        <v>18</v>
      </c>
      <c r="B5026" t="s">
        <v>14395</v>
      </c>
      <c r="C5026" t="s">
        <v>14396</v>
      </c>
      <c r="D5026" t="s">
        <v>20</v>
      </c>
      <c r="E5026" t="s">
        <v>11</v>
      </c>
      <c r="F5026">
        <v>7571.784</v>
      </c>
      <c r="G5026">
        <v>18</v>
      </c>
      <c r="L5026" t="s">
        <v>14397</v>
      </c>
    </row>
    <row r="5027" spans="1:12" x14ac:dyDescent="0.25">
      <c r="A5027" t="s">
        <v>18</v>
      </c>
      <c r="B5027" t="s">
        <v>14397</v>
      </c>
      <c r="C5027" t="s">
        <v>14398</v>
      </c>
      <c r="D5027" t="s">
        <v>20</v>
      </c>
      <c r="E5027" t="s">
        <v>11</v>
      </c>
      <c r="F5027">
        <v>6788.495999999999</v>
      </c>
      <c r="G5027">
        <v>18</v>
      </c>
      <c r="L5027" t="s">
        <v>14399</v>
      </c>
    </row>
    <row r="5028" spans="1:12" x14ac:dyDescent="0.25">
      <c r="A5028" t="s">
        <v>18</v>
      </c>
      <c r="B5028" t="s">
        <v>14399</v>
      </c>
      <c r="C5028" t="s">
        <v>14400</v>
      </c>
      <c r="D5028" t="s">
        <v>20</v>
      </c>
      <c r="E5028" t="s">
        <v>11</v>
      </c>
      <c r="F5028">
        <v>6788.495999999999</v>
      </c>
      <c r="G5028">
        <v>18</v>
      </c>
      <c r="L5028" t="s">
        <v>14401</v>
      </c>
    </row>
    <row r="5029" spans="1:12" x14ac:dyDescent="0.25">
      <c r="A5029" t="s">
        <v>18</v>
      </c>
      <c r="B5029" t="s">
        <v>14401</v>
      </c>
      <c r="C5029" t="s">
        <v>14402</v>
      </c>
      <c r="D5029" t="s">
        <v>20</v>
      </c>
      <c r="E5029" t="s">
        <v>11</v>
      </c>
      <c r="F5029">
        <v>6788.495999999999</v>
      </c>
      <c r="G5029">
        <v>18</v>
      </c>
      <c r="L5029" t="s">
        <v>14403</v>
      </c>
    </row>
    <row r="5030" spans="1:12" x14ac:dyDescent="0.25">
      <c r="A5030" t="s">
        <v>18</v>
      </c>
      <c r="B5030" t="s">
        <v>14403</v>
      </c>
      <c r="C5030" t="s">
        <v>14404</v>
      </c>
      <c r="D5030" t="s">
        <v>20</v>
      </c>
      <c r="E5030" t="s">
        <v>11</v>
      </c>
      <c r="F5030">
        <v>7571.784</v>
      </c>
      <c r="G5030">
        <v>18</v>
      </c>
      <c r="L5030" t="s">
        <v>14405</v>
      </c>
    </row>
    <row r="5031" spans="1:12" x14ac:dyDescent="0.25">
      <c r="A5031" t="s">
        <v>18</v>
      </c>
      <c r="B5031" t="s">
        <v>14405</v>
      </c>
      <c r="C5031" t="s">
        <v>14406</v>
      </c>
      <c r="D5031" t="s">
        <v>20</v>
      </c>
      <c r="E5031" t="s">
        <v>11</v>
      </c>
      <c r="F5031">
        <v>7571.784</v>
      </c>
      <c r="G5031">
        <v>18</v>
      </c>
      <c r="L5031" t="s">
        <v>14407</v>
      </c>
    </row>
    <row r="5032" spans="1:12" x14ac:dyDescent="0.25">
      <c r="A5032" t="s">
        <v>18</v>
      </c>
      <c r="B5032" t="s">
        <v>14407</v>
      </c>
      <c r="C5032" t="s">
        <v>14408</v>
      </c>
      <c r="D5032" t="s">
        <v>20</v>
      </c>
      <c r="E5032" t="s">
        <v>11</v>
      </c>
      <c r="F5032">
        <v>7571.784</v>
      </c>
      <c r="G5032">
        <v>18</v>
      </c>
      <c r="L5032" t="s">
        <v>14409</v>
      </c>
    </row>
    <row r="5033" spans="1:12" x14ac:dyDescent="0.25">
      <c r="A5033" t="s">
        <v>18</v>
      </c>
      <c r="B5033" t="s">
        <v>14409</v>
      </c>
      <c r="C5033" t="s">
        <v>14410</v>
      </c>
      <c r="D5033" t="s">
        <v>20</v>
      </c>
      <c r="E5033" t="s">
        <v>11</v>
      </c>
      <c r="F5033">
        <v>7571.784</v>
      </c>
      <c r="G5033">
        <v>18</v>
      </c>
      <c r="L5033" t="s">
        <v>14411</v>
      </c>
    </row>
    <row r="5034" spans="1:12" x14ac:dyDescent="0.25">
      <c r="A5034" t="s">
        <v>18</v>
      </c>
      <c r="B5034" t="s">
        <v>14411</v>
      </c>
      <c r="C5034" t="s">
        <v>14412</v>
      </c>
      <c r="D5034" t="s">
        <v>20</v>
      </c>
      <c r="E5034" t="s">
        <v>11</v>
      </c>
      <c r="F5034">
        <v>6788.495999999999</v>
      </c>
      <c r="G5034">
        <v>18</v>
      </c>
      <c r="L5034" t="s">
        <v>14413</v>
      </c>
    </row>
    <row r="5035" spans="1:12" x14ac:dyDescent="0.25">
      <c r="A5035" t="s">
        <v>18</v>
      </c>
      <c r="B5035" t="s">
        <v>14413</v>
      </c>
      <c r="C5035" t="s">
        <v>14414</v>
      </c>
      <c r="D5035" t="s">
        <v>20</v>
      </c>
      <c r="E5035" t="s">
        <v>11</v>
      </c>
      <c r="F5035">
        <v>7571.784</v>
      </c>
      <c r="G5035">
        <v>18</v>
      </c>
      <c r="L5035" t="s">
        <v>14415</v>
      </c>
    </row>
    <row r="5036" spans="1:12" x14ac:dyDescent="0.25">
      <c r="A5036" t="s">
        <v>18</v>
      </c>
      <c r="B5036" t="s">
        <v>14415</v>
      </c>
      <c r="C5036" t="s">
        <v>14416</v>
      </c>
      <c r="D5036" t="s">
        <v>20</v>
      </c>
      <c r="E5036" t="s">
        <v>11</v>
      </c>
      <c r="F5036">
        <v>7571.784</v>
      </c>
      <c r="G5036">
        <v>18</v>
      </c>
      <c r="L5036" t="s">
        <v>14417</v>
      </c>
    </row>
    <row r="5037" spans="1:12" x14ac:dyDescent="0.25">
      <c r="A5037" t="s">
        <v>18</v>
      </c>
      <c r="B5037" t="s">
        <v>14417</v>
      </c>
      <c r="C5037" t="s">
        <v>14418</v>
      </c>
      <c r="D5037" t="s">
        <v>20</v>
      </c>
      <c r="E5037" t="s">
        <v>11</v>
      </c>
      <c r="F5037">
        <v>6788.495999999999</v>
      </c>
      <c r="G5037">
        <v>18</v>
      </c>
      <c r="L5037" t="s">
        <v>14419</v>
      </c>
    </row>
    <row r="5038" spans="1:12" x14ac:dyDescent="0.25">
      <c r="A5038" t="s">
        <v>18</v>
      </c>
      <c r="B5038" t="s">
        <v>14419</v>
      </c>
      <c r="C5038" t="s">
        <v>14420</v>
      </c>
      <c r="D5038" t="s">
        <v>20</v>
      </c>
      <c r="E5038" t="s">
        <v>11</v>
      </c>
      <c r="F5038">
        <v>6788.495999999999</v>
      </c>
      <c r="G5038">
        <v>18</v>
      </c>
      <c r="L5038" t="s">
        <v>14421</v>
      </c>
    </row>
    <row r="5039" spans="1:12" x14ac:dyDescent="0.25">
      <c r="A5039" t="s">
        <v>18</v>
      </c>
      <c r="B5039" t="s">
        <v>14421</v>
      </c>
      <c r="C5039" t="s">
        <v>14422</v>
      </c>
      <c r="D5039" t="s">
        <v>20</v>
      </c>
      <c r="E5039" t="s">
        <v>11</v>
      </c>
      <c r="F5039">
        <v>7571.784</v>
      </c>
      <c r="G5039">
        <v>18</v>
      </c>
      <c r="L5039" t="s">
        <v>14423</v>
      </c>
    </row>
    <row r="5040" spans="1:12" x14ac:dyDescent="0.25">
      <c r="A5040" t="s">
        <v>18</v>
      </c>
      <c r="B5040" t="s">
        <v>14423</v>
      </c>
      <c r="C5040" t="s">
        <v>14424</v>
      </c>
      <c r="D5040" t="s">
        <v>20</v>
      </c>
      <c r="E5040" t="s">
        <v>11</v>
      </c>
      <c r="F5040">
        <v>7571.784</v>
      </c>
      <c r="G5040">
        <v>18</v>
      </c>
      <c r="L5040" t="s">
        <v>14425</v>
      </c>
    </row>
    <row r="5041" spans="1:12" x14ac:dyDescent="0.25">
      <c r="A5041" t="s">
        <v>18</v>
      </c>
      <c r="B5041" t="s">
        <v>14425</v>
      </c>
      <c r="C5041" t="s">
        <v>14426</v>
      </c>
      <c r="D5041" t="s">
        <v>20</v>
      </c>
      <c r="E5041" t="s">
        <v>11</v>
      </c>
      <c r="F5041">
        <v>7571.784</v>
      </c>
      <c r="G5041">
        <v>18</v>
      </c>
      <c r="L5041" t="s">
        <v>14427</v>
      </c>
    </row>
    <row r="5042" spans="1:12" x14ac:dyDescent="0.25">
      <c r="A5042" t="s">
        <v>18</v>
      </c>
      <c r="B5042" t="s">
        <v>14427</v>
      </c>
      <c r="C5042" t="s">
        <v>14428</v>
      </c>
      <c r="D5042" t="s">
        <v>20</v>
      </c>
      <c r="E5042" t="s">
        <v>11</v>
      </c>
      <c r="F5042">
        <v>7571.784</v>
      </c>
      <c r="G5042">
        <v>18</v>
      </c>
      <c r="L5042" t="s">
        <v>14429</v>
      </c>
    </row>
    <row r="5043" spans="1:12" x14ac:dyDescent="0.25">
      <c r="A5043" t="s">
        <v>18</v>
      </c>
      <c r="B5043" t="s">
        <v>14429</v>
      </c>
      <c r="C5043" t="s">
        <v>14430</v>
      </c>
      <c r="D5043" t="s">
        <v>20</v>
      </c>
      <c r="E5043" t="s">
        <v>11</v>
      </c>
      <c r="F5043">
        <v>7571.784</v>
      </c>
      <c r="G5043">
        <v>18</v>
      </c>
      <c r="L5043" t="s">
        <v>14431</v>
      </c>
    </row>
    <row r="5044" spans="1:12" x14ac:dyDescent="0.25">
      <c r="A5044" t="s">
        <v>18</v>
      </c>
      <c r="B5044" t="s">
        <v>14431</v>
      </c>
      <c r="C5044" t="s">
        <v>14432</v>
      </c>
      <c r="D5044" t="s">
        <v>20</v>
      </c>
      <c r="E5044" t="s">
        <v>11</v>
      </c>
      <c r="F5044">
        <v>587.4659999999999</v>
      </c>
      <c r="G5044">
        <v>18</v>
      </c>
      <c r="L5044" t="s">
        <v>14433</v>
      </c>
    </row>
    <row r="5045" spans="1:12" x14ac:dyDescent="0.25">
      <c r="A5045" t="s">
        <v>18</v>
      </c>
      <c r="B5045" t="s">
        <v>14433</v>
      </c>
      <c r="C5045" t="s">
        <v>14434</v>
      </c>
      <c r="D5045" t="s">
        <v>20</v>
      </c>
      <c r="E5045" t="s">
        <v>11</v>
      </c>
      <c r="F5045">
        <v>2610.96</v>
      </c>
      <c r="G5045">
        <v>18</v>
      </c>
      <c r="L5045" t="s">
        <v>14435</v>
      </c>
    </row>
    <row r="5046" spans="1:12" x14ac:dyDescent="0.25">
      <c r="A5046" t="s">
        <v>18</v>
      </c>
      <c r="B5046" t="s">
        <v>14435</v>
      </c>
      <c r="C5046" t="s">
        <v>14436</v>
      </c>
      <c r="D5046" t="s">
        <v>20</v>
      </c>
      <c r="E5046" t="s">
        <v>11</v>
      </c>
      <c r="F5046">
        <v>2610.96</v>
      </c>
      <c r="G5046">
        <v>18</v>
      </c>
      <c r="L5046" t="s">
        <v>14437</v>
      </c>
    </row>
    <row r="5047" spans="1:12" x14ac:dyDescent="0.25">
      <c r="A5047" t="s">
        <v>18</v>
      </c>
      <c r="B5047" t="s">
        <v>14437</v>
      </c>
      <c r="C5047" t="s">
        <v>14438</v>
      </c>
      <c r="D5047" t="s">
        <v>20</v>
      </c>
      <c r="E5047" t="s">
        <v>11</v>
      </c>
      <c r="F5047">
        <v>2610.96</v>
      </c>
      <c r="G5047">
        <v>18</v>
      </c>
      <c r="L5047" t="s">
        <v>14439</v>
      </c>
    </row>
    <row r="5048" spans="1:12" x14ac:dyDescent="0.25">
      <c r="A5048" t="s">
        <v>18</v>
      </c>
      <c r="B5048" t="s">
        <v>14439</v>
      </c>
      <c r="C5048" t="s">
        <v>14440</v>
      </c>
      <c r="D5048" t="s">
        <v>20</v>
      </c>
      <c r="E5048" t="s">
        <v>11</v>
      </c>
      <c r="F5048">
        <v>2937.3300000000004</v>
      </c>
      <c r="G5048">
        <v>18</v>
      </c>
      <c r="L5048" t="s">
        <v>14441</v>
      </c>
    </row>
    <row r="5049" spans="1:12" x14ac:dyDescent="0.25">
      <c r="A5049" t="s">
        <v>18</v>
      </c>
      <c r="B5049" t="s">
        <v>14441</v>
      </c>
      <c r="C5049" t="s">
        <v>14442</v>
      </c>
      <c r="D5049" t="s">
        <v>20</v>
      </c>
      <c r="E5049" t="s">
        <v>11</v>
      </c>
      <c r="F5049">
        <v>2937.3300000000004</v>
      </c>
      <c r="G5049">
        <v>18</v>
      </c>
      <c r="L5049" t="s">
        <v>14443</v>
      </c>
    </row>
    <row r="5050" spans="1:12" x14ac:dyDescent="0.25">
      <c r="A5050" t="s">
        <v>18</v>
      </c>
      <c r="B5050" t="s">
        <v>14443</v>
      </c>
      <c r="C5050" t="s">
        <v>14444</v>
      </c>
      <c r="D5050" t="s">
        <v>20</v>
      </c>
      <c r="E5050" t="s">
        <v>11</v>
      </c>
      <c r="F5050">
        <v>2937.3300000000004</v>
      </c>
      <c r="G5050">
        <v>18</v>
      </c>
      <c r="L5050" t="s">
        <v>14445</v>
      </c>
    </row>
    <row r="5051" spans="1:12" x14ac:dyDescent="0.25">
      <c r="A5051" t="s">
        <v>18</v>
      </c>
      <c r="B5051" t="s">
        <v>14445</v>
      </c>
      <c r="C5051" t="s">
        <v>14446</v>
      </c>
      <c r="D5051" t="s">
        <v>20</v>
      </c>
      <c r="E5051" t="s">
        <v>11</v>
      </c>
      <c r="F5051">
        <v>2937.3300000000004</v>
      </c>
      <c r="G5051">
        <v>18</v>
      </c>
      <c r="L5051" t="s">
        <v>14447</v>
      </c>
    </row>
    <row r="5052" spans="1:12" x14ac:dyDescent="0.25">
      <c r="A5052" t="s">
        <v>18</v>
      </c>
      <c r="B5052" t="s">
        <v>14447</v>
      </c>
      <c r="C5052" t="s">
        <v>14448</v>
      </c>
      <c r="D5052" t="s">
        <v>20</v>
      </c>
      <c r="E5052" t="s">
        <v>11</v>
      </c>
      <c r="F5052">
        <v>3133.1519999999996</v>
      </c>
      <c r="G5052">
        <v>18</v>
      </c>
      <c r="L5052" t="s">
        <v>14449</v>
      </c>
    </row>
    <row r="5053" spans="1:12" x14ac:dyDescent="0.25">
      <c r="A5053" t="s">
        <v>18</v>
      </c>
      <c r="B5053" t="s">
        <v>14449</v>
      </c>
      <c r="C5053" t="s">
        <v>14450</v>
      </c>
      <c r="D5053" t="s">
        <v>20</v>
      </c>
      <c r="E5053" t="s">
        <v>11</v>
      </c>
      <c r="F5053">
        <v>3133.1519999999996</v>
      </c>
      <c r="G5053">
        <v>18</v>
      </c>
      <c r="L5053" t="s">
        <v>14451</v>
      </c>
    </row>
    <row r="5054" spans="1:12" x14ac:dyDescent="0.25">
      <c r="A5054" t="s">
        <v>18</v>
      </c>
      <c r="B5054" t="s">
        <v>14451</v>
      </c>
      <c r="C5054" t="s">
        <v>14452</v>
      </c>
      <c r="D5054" t="s">
        <v>20</v>
      </c>
      <c r="E5054" t="s">
        <v>11</v>
      </c>
      <c r="F5054">
        <v>3133.1519999999996</v>
      </c>
      <c r="G5054">
        <v>18</v>
      </c>
      <c r="L5054" t="s">
        <v>14453</v>
      </c>
    </row>
    <row r="5055" spans="1:12" x14ac:dyDescent="0.25">
      <c r="A5055" t="s">
        <v>18</v>
      </c>
      <c r="B5055" t="s">
        <v>14453</v>
      </c>
      <c r="C5055" t="s">
        <v>14454</v>
      </c>
      <c r="D5055" t="s">
        <v>20</v>
      </c>
      <c r="E5055" t="s">
        <v>11</v>
      </c>
      <c r="F5055">
        <v>3133.1519999999996</v>
      </c>
      <c r="G5055">
        <v>18</v>
      </c>
      <c r="L5055" t="s">
        <v>14455</v>
      </c>
    </row>
    <row r="5056" spans="1:12" x14ac:dyDescent="0.25">
      <c r="A5056" t="s">
        <v>18</v>
      </c>
      <c r="B5056" t="s">
        <v>14455</v>
      </c>
      <c r="C5056" t="s">
        <v>14456</v>
      </c>
      <c r="D5056" t="s">
        <v>20</v>
      </c>
      <c r="E5056" t="s">
        <v>11</v>
      </c>
      <c r="F5056">
        <v>4503.906</v>
      </c>
      <c r="G5056">
        <v>18</v>
      </c>
      <c r="L5056" t="s">
        <v>14457</v>
      </c>
    </row>
    <row r="5057" spans="1:12" x14ac:dyDescent="0.25">
      <c r="A5057" t="s">
        <v>18</v>
      </c>
      <c r="B5057" t="s">
        <v>14457</v>
      </c>
      <c r="C5057" t="s">
        <v>14458</v>
      </c>
      <c r="D5057" t="s">
        <v>20</v>
      </c>
      <c r="E5057" t="s">
        <v>11</v>
      </c>
      <c r="F5057">
        <v>3590.0699999999997</v>
      </c>
      <c r="G5057">
        <v>18</v>
      </c>
      <c r="L5057" t="s">
        <v>14459</v>
      </c>
    </row>
    <row r="5058" spans="1:12" x14ac:dyDescent="0.25">
      <c r="A5058" t="s">
        <v>18</v>
      </c>
      <c r="B5058" t="s">
        <v>14459</v>
      </c>
      <c r="C5058" t="s">
        <v>14460</v>
      </c>
      <c r="D5058" t="s">
        <v>20</v>
      </c>
      <c r="E5058" t="s">
        <v>11</v>
      </c>
      <c r="F5058">
        <v>3590.0699999999997</v>
      </c>
      <c r="G5058">
        <v>18</v>
      </c>
      <c r="L5058" t="s">
        <v>14461</v>
      </c>
    </row>
    <row r="5059" spans="1:12" x14ac:dyDescent="0.25">
      <c r="A5059" t="s">
        <v>18</v>
      </c>
      <c r="B5059" t="s">
        <v>14461</v>
      </c>
      <c r="C5059" t="s">
        <v>14462</v>
      </c>
      <c r="D5059" t="s">
        <v>20</v>
      </c>
      <c r="E5059" t="s">
        <v>11</v>
      </c>
      <c r="F5059">
        <v>4503.906</v>
      </c>
      <c r="G5059">
        <v>18</v>
      </c>
      <c r="L5059" t="s">
        <v>14463</v>
      </c>
    </row>
    <row r="5060" spans="1:12" x14ac:dyDescent="0.25">
      <c r="A5060" t="s">
        <v>18</v>
      </c>
      <c r="B5060" t="s">
        <v>14463</v>
      </c>
      <c r="C5060" t="s">
        <v>14464</v>
      </c>
      <c r="D5060" t="s">
        <v>20</v>
      </c>
      <c r="E5060" t="s">
        <v>11</v>
      </c>
      <c r="F5060">
        <v>4503.906</v>
      </c>
      <c r="G5060">
        <v>18</v>
      </c>
      <c r="L5060" t="s">
        <v>14465</v>
      </c>
    </row>
    <row r="5061" spans="1:12" x14ac:dyDescent="0.25">
      <c r="A5061" t="s">
        <v>18</v>
      </c>
      <c r="B5061" t="s">
        <v>14465</v>
      </c>
      <c r="C5061" t="s">
        <v>14466</v>
      </c>
      <c r="D5061" t="s">
        <v>20</v>
      </c>
      <c r="E5061" t="s">
        <v>11</v>
      </c>
      <c r="F5061">
        <v>3590.0699999999997</v>
      </c>
      <c r="G5061">
        <v>18</v>
      </c>
      <c r="L5061" t="s">
        <v>14467</v>
      </c>
    </row>
    <row r="5062" spans="1:12" x14ac:dyDescent="0.25">
      <c r="A5062" t="s">
        <v>18</v>
      </c>
      <c r="B5062" t="s">
        <v>14467</v>
      </c>
      <c r="C5062" t="s">
        <v>14468</v>
      </c>
      <c r="D5062" t="s">
        <v>20</v>
      </c>
      <c r="E5062" t="s">
        <v>11</v>
      </c>
      <c r="F5062">
        <v>3590.0699999999997</v>
      </c>
      <c r="G5062">
        <v>18</v>
      </c>
      <c r="L5062" t="s">
        <v>14469</v>
      </c>
    </row>
    <row r="5063" spans="1:12" x14ac:dyDescent="0.25">
      <c r="A5063" t="s">
        <v>18</v>
      </c>
      <c r="B5063" t="s">
        <v>14469</v>
      </c>
      <c r="C5063" t="s">
        <v>14470</v>
      </c>
      <c r="D5063" t="s">
        <v>20</v>
      </c>
      <c r="E5063" t="s">
        <v>11</v>
      </c>
      <c r="F5063">
        <v>4503.906</v>
      </c>
      <c r="G5063">
        <v>18</v>
      </c>
      <c r="L5063" t="s">
        <v>14471</v>
      </c>
    </row>
    <row r="5064" spans="1:12" x14ac:dyDescent="0.25">
      <c r="A5064" t="s">
        <v>18</v>
      </c>
      <c r="B5064" t="s">
        <v>14471</v>
      </c>
      <c r="C5064" t="s">
        <v>14472</v>
      </c>
      <c r="D5064" t="s">
        <v>20</v>
      </c>
      <c r="E5064" t="s">
        <v>11</v>
      </c>
      <c r="F5064">
        <v>4503.906</v>
      </c>
      <c r="G5064">
        <v>18</v>
      </c>
      <c r="L5064" t="s">
        <v>14473</v>
      </c>
    </row>
    <row r="5065" spans="1:12" x14ac:dyDescent="0.25">
      <c r="A5065" t="s">
        <v>18</v>
      </c>
      <c r="B5065" t="s">
        <v>14473</v>
      </c>
      <c r="C5065" t="s">
        <v>14474</v>
      </c>
      <c r="D5065" t="s">
        <v>20</v>
      </c>
      <c r="E5065" t="s">
        <v>11</v>
      </c>
      <c r="F5065">
        <v>4503.906</v>
      </c>
      <c r="G5065">
        <v>18</v>
      </c>
      <c r="L5065" t="s">
        <v>14475</v>
      </c>
    </row>
    <row r="5066" spans="1:12" x14ac:dyDescent="0.25">
      <c r="A5066" t="s">
        <v>18</v>
      </c>
      <c r="B5066" t="s">
        <v>14475</v>
      </c>
      <c r="C5066" t="s">
        <v>14476</v>
      </c>
      <c r="D5066" t="s">
        <v>20</v>
      </c>
      <c r="E5066" t="s">
        <v>11</v>
      </c>
      <c r="F5066">
        <v>4503.906</v>
      </c>
      <c r="G5066">
        <v>18</v>
      </c>
      <c r="L5066" t="s">
        <v>14477</v>
      </c>
    </row>
    <row r="5067" spans="1:12" x14ac:dyDescent="0.25">
      <c r="A5067" t="s">
        <v>18</v>
      </c>
      <c r="B5067" t="s">
        <v>14477</v>
      </c>
      <c r="C5067" t="s">
        <v>14478</v>
      </c>
      <c r="D5067" t="s">
        <v>20</v>
      </c>
      <c r="E5067" t="s">
        <v>11</v>
      </c>
      <c r="F5067">
        <v>4830.276</v>
      </c>
      <c r="G5067">
        <v>18</v>
      </c>
      <c r="L5067" t="s">
        <v>14479</v>
      </c>
    </row>
    <row r="5068" spans="1:12" x14ac:dyDescent="0.25">
      <c r="A5068" t="s">
        <v>18</v>
      </c>
      <c r="B5068" t="s">
        <v>14479</v>
      </c>
      <c r="C5068" t="s">
        <v>14480</v>
      </c>
      <c r="D5068" t="s">
        <v>20</v>
      </c>
      <c r="E5068" t="s">
        <v>11</v>
      </c>
      <c r="F5068">
        <v>4830.276</v>
      </c>
      <c r="G5068">
        <v>18</v>
      </c>
      <c r="L5068" t="s">
        <v>14481</v>
      </c>
    </row>
    <row r="5069" spans="1:12" x14ac:dyDescent="0.25">
      <c r="A5069" t="s">
        <v>18</v>
      </c>
      <c r="B5069" t="s">
        <v>14481</v>
      </c>
      <c r="C5069" t="s">
        <v>14482</v>
      </c>
      <c r="D5069" t="s">
        <v>20</v>
      </c>
      <c r="E5069" t="s">
        <v>11</v>
      </c>
      <c r="F5069">
        <v>4830.276</v>
      </c>
      <c r="G5069">
        <v>18</v>
      </c>
      <c r="L5069" t="s">
        <v>14483</v>
      </c>
    </row>
    <row r="5070" spans="1:12" x14ac:dyDescent="0.25">
      <c r="A5070" t="s">
        <v>18</v>
      </c>
      <c r="B5070" t="s">
        <v>14483</v>
      </c>
      <c r="C5070" t="s">
        <v>14484</v>
      </c>
      <c r="D5070" t="s">
        <v>20</v>
      </c>
      <c r="E5070" t="s">
        <v>11</v>
      </c>
      <c r="F5070">
        <v>4830.276</v>
      </c>
      <c r="G5070">
        <v>18</v>
      </c>
      <c r="L5070" t="s">
        <v>14485</v>
      </c>
    </row>
    <row r="5071" spans="1:12" x14ac:dyDescent="0.25">
      <c r="A5071" t="s">
        <v>18</v>
      </c>
      <c r="B5071" t="s">
        <v>14485</v>
      </c>
      <c r="C5071" t="s">
        <v>14486</v>
      </c>
      <c r="D5071" t="s">
        <v>20</v>
      </c>
      <c r="E5071" t="s">
        <v>11</v>
      </c>
      <c r="F5071">
        <v>5091.371999999999</v>
      </c>
      <c r="G5071">
        <v>18</v>
      </c>
      <c r="L5071" t="s">
        <v>14487</v>
      </c>
    </row>
    <row r="5072" spans="1:12" x14ac:dyDescent="0.25">
      <c r="A5072" t="s">
        <v>18</v>
      </c>
      <c r="B5072" t="s">
        <v>14487</v>
      </c>
      <c r="C5072" t="s">
        <v>14488</v>
      </c>
      <c r="D5072" t="s">
        <v>20</v>
      </c>
      <c r="E5072" t="s">
        <v>11</v>
      </c>
      <c r="F5072">
        <v>5091.371999999999</v>
      </c>
      <c r="G5072">
        <v>18</v>
      </c>
      <c r="L5072" t="s">
        <v>14489</v>
      </c>
    </row>
    <row r="5073" spans="1:12" x14ac:dyDescent="0.25">
      <c r="A5073" t="s">
        <v>18</v>
      </c>
      <c r="B5073" t="s">
        <v>14489</v>
      </c>
      <c r="C5073" t="s">
        <v>14490</v>
      </c>
      <c r="D5073" t="s">
        <v>20</v>
      </c>
      <c r="E5073" t="s">
        <v>11</v>
      </c>
      <c r="F5073">
        <v>5091.371999999999</v>
      </c>
      <c r="G5073">
        <v>18</v>
      </c>
      <c r="L5073" t="s">
        <v>14491</v>
      </c>
    </row>
    <row r="5074" spans="1:12" x14ac:dyDescent="0.25">
      <c r="A5074" t="s">
        <v>18</v>
      </c>
      <c r="B5074" t="s">
        <v>14491</v>
      </c>
      <c r="C5074" t="s">
        <v>14492</v>
      </c>
      <c r="D5074" t="s">
        <v>20</v>
      </c>
      <c r="E5074" t="s">
        <v>11</v>
      </c>
      <c r="F5074">
        <v>8028.701999999999</v>
      </c>
      <c r="G5074">
        <v>18</v>
      </c>
      <c r="L5074" t="s">
        <v>14493</v>
      </c>
    </row>
    <row r="5075" spans="1:12" x14ac:dyDescent="0.25">
      <c r="A5075" t="s">
        <v>18</v>
      </c>
      <c r="B5075" t="s">
        <v>14493</v>
      </c>
      <c r="C5075" t="s">
        <v>14494</v>
      </c>
      <c r="D5075" t="s">
        <v>20</v>
      </c>
      <c r="E5075" t="s">
        <v>11</v>
      </c>
      <c r="F5075">
        <v>8028.701999999999</v>
      </c>
      <c r="G5075">
        <v>18</v>
      </c>
      <c r="L5075" t="s">
        <v>14495</v>
      </c>
    </row>
    <row r="5076" spans="1:12" x14ac:dyDescent="0.25">
      <c r="A5076" t="s">
        <v>18</v>
      </c>
      <c r="B5076" t="s">
        <v>14495</v>
      </c>
      <c r="C5076" t="s">
        <v>14496</v>
      </c>
      <c r="D5076" t="s">
        <v>20</v>
      </c>
      <c r="E5076" t="s">
        <v>11</v>
      </c>
      <c r="F5076">
        <v>8028.701999999999</v>
      </c>
      <c r="G5076">
        <v>18</v>
      </c>
      <c r="L5076" t="s">
        <v>14497</v>
      </c>
    </row>
    <row r="5077" spans="1:12" x14ac:dyDescent="0.25">
      <c r="A5077" t="s">
        <v>18</v>
      </c>
      <c r="B5077" t="s">
        <v>14497</v>
      </c>
      <c r="C5077" t="s">
        <v>14498</v>
      </c>
      <c r="D5077" t="s">
        <v>20</v>
      </c>
      <c r="E5077" t="s">
        <v>11</v>
      </c>
      <c r="F5077">
        <v>8028.701999999999</v>
      </c>
      <c r="G5077">
        <v>18</v>
      </c>
      <c r="L5077" t="s">
        <v>14499</v>
      </c>
    </row>
    <row r="5078" spans="1:12" x14ac:dyDescent="0.25">
      <c r="A5078" t="s">
        <v>18</v>
      </c>
      <c r="B5078" t="s">
        <v>14499</v>
      </c>
      <c r="C5078" t="s">
        <v>14500</v>
      </c>
      <c r="D5078" t="s">
        <v>20</v>
      </c>
      <c r="E5078" t="s">
        <v>11</v>
      </c>
      <c r="F5078">
        <v>3981.714</v>
      </c>
      <c r="G5078">
        <v>18</v>
      </c>
      <c r="L5078" t="s">
        <v>14501</v>
      </c>
    </row>
    <row r="5079" spans="1:12" x14ac:dyDescent="0.25">
      <c r="A5079" t="s">
        <v>18</v>
      </c>
      <c r="B5079" t="s">
        <v>14501</v>
      </c>
      <c r="C5079" t="s">
        <v>14502</v>
      </c>
      <c r="D5079" t="s">
        <v>20</v>
      </c>
      <c r="E5079" t="s">
        <v>11</v>
      </c>
      <c r="F5079">
        <v>5026.097999999999</v>
      </c>
      <c r="G5079">
        <v>18</v>
      </c>
      <c r="L5079" t="s">
        <v>14503</v>
      </c>
    </row>
    <row r="5080" spans="1:12" x14ac:dyDescent="0.25">
      <c r="A5080" t="s">
        <v>18</v>
      </c>
      <c r="B5080" t="s">
        <v>14503</v>
      </c>
      <c r="C5080" t="s">
        <v>14504</v>
      </c>
      <c r="D5080" t="s">
        <v>20</v>
      </c>
      <c r="E5080" t="s">
        <v>11</v>
      </c>
      <c r="F5080">
        <v>5026.097999999999</v>
      </c>
      <c r="G5080">
        <v>18</v>
      </c>
      <c r="L5080" t="s">
        <v>14505</v>
      </c>
    </row>
    <row r="5081" spans="1:12" x14ac:dyDescent="0.25">
      <c r="A5081" t="s">
        <v>18</v>
      </c>
      <c r="B5081" t="s">
        <v>14505</v>
      </c>
      <c r="C5081" t="s">
        <v>14506</v>
      </c>
      <c r="D5081" t="s">
        <v>20</v>
      </c>
      <c r="E5081" t="s">
        <v>11</v>
      </c>
      <c r="F5081">
        <v>5026.097999999999</v>
      </c>
      <c r="G5081">
        <v>18</v>
      </c>
      <c r="L5081" t="s">
        <v>14507</v>
      </c>
    </row>
    <row r="5082" spans="1:12" x14ac:dyDescent="0.25">
      <c r="A5082" t="s">
        <v>18</v>
      </c>
      <c r="B5082" t="s">
        <v>14507</v>
      </c>
      <c r="C5082" t="s">
        <v>14508</v>
      </c>
      <c r="D5082" t="s">
        <v>20</v>
      </c>
      <c r="E5082" t="s">
        <v>11</v>
      </c>
      <c r="F5082">
        <v>5026.097999999999</v>
      </c>
      <c r="G5082">
        <v>18</v>
      </c>
      <c r="L5082" t="s">
        <v>14509</v>
      </c>
    </row>
    <row r="5083" spans="1:12" x14ac:dyDescent="0.25">
      <c r="A5083" t="s">
        <v>18</v>
      </c>
      <c r="B5083" t="s">
        <v>14509</v>
      </c>
      <c r="C5083" t="s">
        <v>14510</v>
      </c>
      <c r="D5083" t="s">
        <v>20</v>
      </c>
      <c r="E5083" t="s">
        <v>11</v>
      </c>
      <c r="F5083">
        <v>3981.714</v>
      </c>
      <c r="G5083">
        <v>18</v>
      </c>
      <c r="L5083" t="s">
        <v>14511</v>
      </c>
    </row>
    <row r="5084" spans="1:12" x14ac:dyDescent="0.25">
      <c r="A5084" t="s">
        <v>18</v>
      </c>
      <c r="B5084" t="s">
        <v>14511</v>
      </c>
      <c r="C5084" t="s">
        <v>14512</v>
      </c>
      <c r="D5084" t="s">
        <v>20</v>
      </c>
      <c r="E5084" t="s">
        <v>11</v>
      </c>
      <c r="F5084">
        <v>3981.714</v>
      </c>
      <c r="G5084">
        <v>18</v>
      </c>
      <c r="L5084" t="s">
        <v>14513</v>
      </c>
    </row>
    <row r="5085" spans="1:12" x14ac:dyDescent="0.25">
      <c r="A5085" t="s">
        <v>18</v>
      </c>
      <c r="B5085" t="s">
        <v>14513</v>
      </c>
      <c r="C5085" t="s">
        <v>14514</v>
      </c>
      <c r="D5085" t="s">
        <v>20</v>
      </c>
      <c r="E5085" t="s">
        <v>11</v>
      </c>
      <c r="F5085">
        <v>3981.714</v>
      </c>
      <c r="G5085">
        <v>18</v>
      </c>
      <c r="L5085" t="s">
        <v>14515</v>
      </c>
    </row>
    <row r="5086" spans="1:12" x14ac:dyDescent="0.25">
      <c r="A5086" t="s">
        <v>18</v>
      </c>
      <c r="B5086" t="s">
        <v>14515</v>
      </c>
      <c r="C5086" t="s">
        <v>14516</v>
      </c>
      <c r="D5086" t="s">
        <v>20</v>
      </c>
      <c r="E5086" t="s">
        <v>11</v>
      </c>
      <c r="F5086">
        <v>2415.138</v>
      </c>
      <c r="G5086">
        <v>18</v>
      </c>
      <c r="L5086" t="s">
        <v>14517</v>
      </c>
    </row>
    <row r="5087" spans="1:12" x14ac:dyDescent="0.25">
      <c r="A5087" t="s">
        <v>18</v>
      </c>
      <c r="B5087" t="s">
        <v>14517</v>
      </c>
      <c r="C5087" t="s">
        <v>14518</v>
      </c>
      <c r="D5087" t="s">
        <v>20</v>
      </c>
      <c r="E5087" t="s">
        <v>11</v>
      </c>
      <c r="F5087">
        <v>4634.454</v>
      </c>
      <c r="G5087">
        <v>18</v>
      </c>
      <c r="L5087" t="s">
        <v>14519</v>
      </c>
    </row>
    <row r="5088" spans="1:12" x14ac:dyDescent="0.25">
      <c r="A5088" t="s">
        <v>18</v>
      </c>
      <c r="B5088" t="s">
        <v>14519</v>
      </c>
      <c r="C5088" t="s">
        <v>14520</v>
      </c>
      <c r="D5088" t="s">
        <v>20</v>
      </c>
      <c r="E5088" t="s">
        <v>11</v>
      </c>
      <c r="F5088">
        <v>4634.454</v>
      </c>
      <c r="G5088">
        <v>18</v>
      </c>
      <c r="L5088" t="s">
        <v>14521</v>
      </c>
    </row>
    <row r="5089" spans="1:12" x14ac:dyDescent="0.25">
      <c r="A5089" t="s">
        <v>18</v>
      </c>
      <c r="B5089" t="s">
        <v>14521</v>
      </c>
      <c r="C5089" t="s">
        <v>14522</v>
      </c>
      <c r="D5089" t="s">
        <v>20</v>
      </c>
      <c r="E5089" t="s">
        <v>11</v>
      </c>
      <c r="F5089">
        <v>4634.454</v>
      </c>
      <c r="G5089">
        <v>18</v>
      </c>
      <c r="L5089" t="s">
        <v>14523</v>
      </c>
    </row>
    <row r="5090" spans="1:12" x14ac:dyDescent="0.25">
      <c r="A5090" t="s">
        <v>18</v>
      </c>
      <c r="B5090" t="s">
        <v>14523</v>
      </c>
      <c r="C5090" t="s">
        <v>14524</v>
      </c>
      <c r="D5090" t="s">
        <v>20</v>
      </c>
      <c r="E5090" t="s">
        <v>11</v>
      </c>
      <c r="F5090">
        <v>4634.454</v>
      </c>
      <c r="G5090">
        <v>18</v>
      </c>
      <c r="L5090" t="s">
        <v>14525</v>
      </c>
    </row>
    <row r="5091" spans="1:12" x14ac:dyDescent="0.25">
      <c r="A5091" t="s">
        <v>18</v>
      </c>
      <c r="B5091" t="s">
        <v>14525</v>
      </c>
      <c r="C5091" t="s">
        <v>14526</v>
      </c>
      <c r="D5091" t="s">
        <v>20</v>
      </c>
      <c r="E5091" t="s">
        <v>11</v>
      </c>
      <c r="F5091">
        <v>2415.138</v>
      </c>
      <c r="G5091">
        <v>18</v>
      </c>
      <c r="L5091" t="s">
        <v>14527</v>
      </c>
    </row>
    <row r="5092" spans="1:12" x14ac:dyDescent="0.25">
      <c r="A5092" t="s">
        <v>18</v>
      </c>
      <c r="B5092" t="s">
        <v>14527</v>
      </c>
      <c r="C5092" t="s">
        <v>14528</v>
      </c>
      <c r="D5092" t="s">
        <v>20</v>
      </c>
      <c r="E5092" t="s">
        <v>11</v>
      </c>
      <c r="F5092">
        <v>2415.138</v>
      </c>
      <c r="G5092">
        <v>18</v>
      </c>
      <c r="L5092" t="s">
        <v>14529</v>
      </c>
    </row>
    <row r="5093" spans="1:12" x14ac:dyDescent="0.25">
      <c r="A5093" t="s">
        <v>18</v>
      </c>
      <c r="B5093" t="s">
        <v>14529</v>
      </c>
      <c r="C5093" t="s">
        <v>14530</v>
      </c>
      <c r="D5093" t="s">
        <v>20</v>
      </c>
      <c r="E5093" t="s">
        <v>11</v>
      </c>
      <c r="F5093">
        <v>2610.96</v>
      </c>
      <c r="G5093">
        <v>18</v>
      </c>
      <c r="L5093" t="s">
        <v>14531</v>
      </c>
    </row>
    <row r="5094" spans="1:12" x14ac:dyDescent="0.25">
      <c r="A5094" t="s">
        <v>18</v>
      </c>
      <c r="B5094" t="s">
        <v>14531</v>
      </c>
      <c r="C5094" t="s">
        <v>14532</v>
      </c>
      <c r="D5094" t="s">
        <v>20</v>
      </c>
      <c r="E5094" t="s">
        <v>11</v>
      </c>
      <c r="F5094">
        <v>2415.138</v>
      </c>
      <c r="G5094">
        <v>18</v>
      </c>
      <c r="L5094" t="s">
        <v>14533</v>
      </c>
    </row>
    <row r="5095" spans="1:12" x14ac:dyDescent="0.25">
      <c r="A5095" t="s">
        <v>18</v>
      </c>
      <c r="B5095" t="s">
        <v>14533</v>
      </c>
      <c r="C5095" t="s">
        <v>14534</v>
      </c>
      <c r="D5095" t="s">
        <v>20</v>
      </c>
      <c r="E5095" t="s">
        <v>11</v>
      </c>
      <c r="F5095">
        <v>2415.138</v>
      </c>
      <c r="G5095">
        <v>18</v>
      </c>
      <c r="L5095" t="s">
        <v>14535</v>
      </c>
    </row>
    <row r="5096" spans="1:12" x14ac:dyDescent="0.25">
      <c r="A5096" t="s">
        <v>18</v>
      </c>
      <c r="B5096" t="s">
        <v>14535</v>
      </c>
      <c r="C5096" t="s">
        <v>14536</v>
      </c>
      <c r="D5096" t="s">
        <v>20</v>
      </c>
      <c r="E5096" t="s">
        <v>11</v>
      </c>
      <c r="F5096">
        <v>3133.1519999999996</v>
      </c>
      <c r="G5096">
        <v>18</v>
      </c>
      <c r="L5096" t="s">
        <v>14537</v>
      </c>
    </row>
    <row r="5097" spans="1:12" x14ac:dyDescent="0.25">
      <c r="A5097" t="s">
        <v>18</v>
      </c>
      <c r="B5097" t="s">
        <v>14537</v>
      </c>
      <c r="C5097" t="s">
        <v>14538</v>
      </c>
      <c r="D5097" t="s">
        <v>20</v>
      </c>
      <c r="E5097" t="s">
        <v>11</v>
      </c>
      <c r="F5097">
        <v>2415.138</v>
      </c>
      <c r="G5097">
        <v>18</v>
      </c>
      <c r="L5097" t="s">
        <v>14539</v>
      </c>
    </row>
    <row r="5098" spans="1:12" x14ac:dyDescent="0.25">
      <c r="A5098" t="s">
        <v>18</v>
      </c>
      <c r="B5098" t="s">
        <v>14539</v>
      </c>
      <c r="C5098" t="s">
        <v>14540</v>
      </c>
      <c r="D5098" t="s">
        <v>20</v>
      </c>
      <c r="E5098" t="s">
        <v>11</v>
      </c>
      <c r="F5098">
        <v>2610.96</v>
      </c>
      <c r="G5098">
        <v>18</v>
      </c>
      <c r="L5098" t="s">
        <v>14541</v>
      </c>
    </row>
    <row r="5099" spans="1:12" x14ac:dyDescent="0.25">
      <c r="A5099" t="s">
        <v>18</v>
      </c>
      <c r="B5099" t="s">
        <v>14541</v>
      </c>
      <c r="C5099" t="s">
        <v>14542</v>
      </c>
      <c r="D5099" t="s">
        <v>20</v>
      </c>
      <c r="E5099" t="s">
        <v>11</v>
      </c>
      <c r="F5099">
        <v>2872.056</v>
      </c>
      <c r="G5099">
        <v>18</v>
      </c>
      <c r="L5099" t="s">
        <v>14543</v>
      </c>
    </row>
    <row r="5100" spans="1:12" x14ac:dyDescent="0.25">
      <c r="A5100" t="s">
        <v>18</v>
      </c>
      <c r="B5100" t="s">
        <v>14543</v>
      </c>
      <c r="C5100" t="s">
        <v>14544</v>
      </c>
      <c r="D5100" t="s">
        <v>20</v>
      </c>
      <c r="E5100" t="s">
        <v>11</v>
      </c>
      <c r="F5100">
        <v>2937.3300000000004</v>
      </c>
      <c r="G5100">
        <v>18</v>
      </c>
      <c r="L5100" t="s">
        <v>14545</v>
      </c>
    </row>
    <row r="5101" spans="1:12" x14ac:dyDescent="0.25">
      <c r="A5101" t="s">
        <v>18</v>
      </c>
      <c r="B5101" t="s">
        <v>14545</v>
      </c>
      <c r="C5101" t="s">
        <v>14546</v>
      </c>
      <c r="D5101" t="s">
        <v>20</v>
      </c>
      <c r="E5101" t="s">
        <v>11</v>
      </c>
      <c r="F5101">
        <v>3590.0699999999997</v>
      </c>
      <c r="G5101">
        <v>18</v>
      </c>
      <c r="L5101" t="s">
        <v>14547</v>
      </c>
    </row>
    <row r="5102" spans="1:12" x14ac:dyDescent="0.25">
      <c r="A5102" t="s">
        <v>18</v>
      </c>
      <c r="B5102" t="s">
        <v>14547</v>
      </c>
      <c r="C5102" t="s">
        <v>14548</v>
      </c>
      <c r="D5102" t="s">
        <v>20</v>
      </c>
      <c r="E5102" t="s">
        <v>11</v>
      </c>
      <c r="F5102">
        <v>3981.714</v>
      </c>
      <c r="G5102">
        <v>18</v>
      </c>
      <c r="L5102" t="s">
        <v>14549</v>
      </c>
    </row>
    <row r="5103" spans="1:12" x14ac:dyDescent="0.25">
      <c r="A5103" t="s">
        <v>18</v>
      </c>
      <c r="B5103" t="s">
        <v>14549</v>
      </c>
      <c r="C5103" t="s">
        <v>14550</v>
      </c>
      <c r="D5103" t="s">
        <v>20</v>
      </c>
      <c r="E5103" t="s">
        <v>11</v>
      </c>
      <c r="F5103">
        <v>4503.906</v>
      </c>
      <c r="G5103">
        <v>18</v>
      </c>
      <c r="L5103" t="s">
        <v>14551</v>
      </c>
    </row>
    <row r="5104" spans="1:12" x14ac:dyDescent="0.25">
      <c r="A5104" t="s">
        <v>18</v>
      </c>
      <c r="B5104" t="s">
        <v>14551</v>
      </c>
      <c r="C5104" t="s">
        <v>14552</v>
      </c>
      <c r="D5104" t="s">
        <v>20</v>
      </c>
      <c r="E5104" t="s">
        <v>11</v>
      </c>
      <c r="F5104">
        <v>4634.454</v>
      </c>
      <c r="G5104">
        <v>18</v>
      </c>
      <c r="L5104" t="s">
        <v>14553</v>
      </c>
    </row>
    <row r="5105" spans="1:12" x14ac:dyDescent="0.25">
      <c r="A5105" t="s">
        <v>18</v>
      </c>
      <c r="B5105" t="s">
        <v>14553</v>
      </c>
      <c r="C5105" t="s">
        <v>14554</v>
      </c>
      <c r="D5105" t="s">
        <v>20</v>
      </c>
      <c r="E5105" t="s">
        <v>11</v>
      </c>
      <c r="F5105">
        <v>4830.276</v>
      </c>
      <c r="G5105">
        <v>18</v>
      </c>
      <c r="L5105" t="s">
        <v>14555</v>
      </c>
    </row>
    <row r="5106" spans="1:12" x14ac:dyDescent="0.25">
      <c r="A5106" t="s">
        <v>18</v>
      </c>
      <c r="B5106" t="s">
        <v>14555</v>
      </c>
      <c r="C5106" t="s">
        <v>14556</v>
      </c>
      <c r="D5106" t="s">
        <v>20</v>
      </c>
      <c r="E5106" t="s">
        <v>11</v>
      </c>
      <c r="F5106">
        <v>5091.371999999999</v>
      </c>
      <c r="G5106">
        <v>18</v>
      </c>
      <c r="L5106" t="s">
        <v>14557</v>
      </c>
    </row>
    <row r="5107" spans="1:12" x14ac:dyDescent="0.25">
      <c r="A5107" t="s">
        <v>18</v>
      </c>
      <c r="B5107" t="s">
        <v>14557</v>
      </c>
      <c r="C5107" t="s">
        <v>14558</v>
      </c>
      <c r="D5107" t="s">
        <v>20</v>
      </c>
      <c r="E5107" t="s">
        <v>11</v>
      </c>
      <c r="F5107">
        <v>8028.701999999999</v>
      </c>
      <c r="G5107">
        <v>18</v>
      </c>
      <c r="L5107" t="s">
        <v>14559</v>
      </c>
    </row>
    <row r="5108" spans="1:12" x14ac:dyDescent="0.25">
      <c r="A5108" t="s">
        <v>18</v>
      </c>
      <c r="B5108" t="s">
        <v>14559</v>
      </c>
      <c r="C5108" t="s">
        <v>14560</v>
      </c>
      <c r="D5108" t="s">
        <v>20</v>
      </c>
      <c r="E5108" t="s">
        <v>11</v>
      </c>
      <c r="F5108">
        <v>3328.9739999999997</v>
      </c>
      <c r="G5108">
        <v>18</v>
      </c>
      <c r="L5108" t="s">
        <v>14561</v>
      </c>
    </row>
    <row r="5109" spans="1:12" x14ac:dyDescent="0.25">
      <c r="A5109" t="s">
        <v>18</v>
      </c>
      <c r="B5109" t="s">
        <v>14561</v>
      </c>
      <c r="C5109" t="s">
        <v>14562</v>
      </c>
      <c r="D5109" t="s">
        <v>20</v>
      </c>
      <c r="E5109" t="s">
        <v>11</v>
      </c>
      <c r="F5109">
        <v>3981.714</v>
      </c>
      <c r="G5109">
        <v>18</v>
      </c>
      <c r="L5109" t="s">
        <v>14563</v>
      </c>
    </row>
    <row r="5110" spans="1:12" x14ac:dyDescent="0.25">
      <c r="A5110" t="s">
        <v>18</v>
      </c>
      <c r="B5110" t="s">
        <v>14563</v>
      </c>
      <c r="C5110" t="s">
        <v>14564</v>
      </c>
      <c r="D5110" t="s">
        <v>20</v>
      </c>
      <c r="E5110" t="s">
        <v>11</v>
      </c>
      <c r="F5110">
        <v>3002.604</v>
      </c>
      <c r="G5110">
        <v>18</v>
      </c>
      <c r="L5110" t="s">
        <v>14565</v>
      </c>
    </row>
    <row r="5111" spans="1:12" x14ac:dyDescent="0.25">
      <c r="A5111" t="s">
        <v>18</v>
      </c>
      <c r="B5111" t="s">
        <v>14565</v>
      </c>
      <c r="C5111" t="s">
        <v>14566</v>
      </c>
      <c r="D5111" t="s">
        <v>20</v>
      </c>
      <c r="E5111" t="s">
        <v>11</v>
      </c>
      <c r="F5111">
        <v>3002.604</v>
      </c>
      <c r="G5111">
        <v>18</v>
      </c>
      <c r="L5111" t="s">
        <v>14567</v>
      </c>
    </row>
    <row r="5112" spans="1:12" x14ac:dyDescent="0.25">
      <c r="A5112" t="s">
        <v>18</v>
      </c>
      <c r="B5112" t="s">
        <v>14567</v>
      </c>
      <c r="C5112" t="s">
        <v>14568</v>
      </c>
      <c r="D5112" t="s">
        <v>20</v>
      </c>
      <c r="E5112" t="s">
        <v>11</v>
      </c>
      <c r="F5112">
        <v>3002.604</v>
      </c>
      <c r="G5112">
        <v>18</v>
      </c>
      <c r="L5112" t="s">
        <v>14569</v>
      </c>
    </row>
    <row r="5113" spans="1:12" x14ac:dyDescent="0.25">
      <c r="A5113" t="s">
        <v>18</v>
      </c>
      <c r="B5113" t="s">
        <v>14569</v>
      </c>
      <c r="C5113" t="s">
        <v>14570</v>
      </c>
      <c r="D5113" t="s">
        <v>20</v>
      </c>
      <c r="E5113" t="s">
        <v>11</v>
      </c>
      <c r="F5113">
        <v>6331.5779999999995</v>
      </c>
      <c r="G5113">
        <v>18</v>
      </c>
      <c r="L5113" t="s">
        <v>14571</v>
      </c>
    </row>
    <row r="5114" spans="1:12" x14ac:dyDescent="0.25">
      <c r="A5114" t="s">
        <v>18</v>
      </c>
      <c r="B5114" t="s">
        <v>14571</v>
      </c>
      <c r="C5114" t="s">
        <v>14572</v>
      </c>
      <c r="D5114" t="s">
        <v>20</v>
      </c>
      <c r="E5114" t="s">
        <v>11</v>
      </c>
      <c r="F5114">
        <v>3002.604</v>
      </c>
      <c r="G5114">
        <v>18</v>
      </c>
      <c r="L5114" t="s">
        <v>14573</v>
      </c>
    </row>
    <row r="5115" spans="1:12" x14ac:dyDescent="0.25">
      <c r="A5115" t="s">
        <v>18</v>
      </c>
      <c r="B5115" t="s">
        <v>14573</v>
      </c>
      <c r="C5115" t="s">
        <v>14574</v>
      </c>
      <c r="D5115" t="s">
        <v>20</v>
      </c>
      <c r="E5115" t="s">
        <v>11</v>
      </c>
      <c r="F5115">
        <v>4634.454</v>
      </c>
      <c r="G5115">
        <v>18</v>
      </c>
      <c r="L5115" t="s">
        <v>14575</v>
      </c>
    </row>
    <row r="5116" spans="1:12" x14ac:dyDescent="0.25">
      <c r="A5116" t="s">
        <v>18</v>
      </c>
      <c r="B5116" t="s">
        <v>14575</v>
      </c>
      <c r="C5116" t="s">
        <v>14576</v>
      </c>
      <c r="D5116" t="s">
        <v>20</v>
      </c>
      <c r="E5116" t="s">
        <v>11</v>
      </c>
      <c r="F5116">
        <v>3916.44</v>
      </c>
      <c r="G5116">
        <v>18</v>
      </c>
      <c r="L5116" t="s">
        <v>14577</v>
      </c>
    </row>
    <row r="5117" spans="1:12" x14ac:dyDescent="0.25">
      <c r="A5117" t="s">
        <v>18</v>
      </c>
      <c r="B5117" t="s">
        <v>14577</v>
      </c>
      <c r="C5117" t="s">
        <v>14578</v>
      </c>
      <c r="D5117" t="s">
        <v>20</v>
      </c>
      <c r="E5117" t="s">
        <v>11</v>
      </c>
      <c r="F5117">
        <v>3916.44</v>
      </c>
      <c r="G5117">
        <v>18</v>
      </c>
      <c r="L5117" t="s">
        <v>14579</v>
      </c>
    </row>
    <row r="5118" spans="1:12" x14ac:dyDescent="0.25">
      <c r="A5118" t="s">
        <v>18</v>
      </c>
      <c r="B5118" t="s">
        <v>14579</v>
      </c>
      <c r="C5118" t="s">
        <v>14580</v>
      </c>
      <c r="D5118" t="s">
        <v>20</v>
      </c>
      <c r="E5118" t="s">
        <v>11</v>
      </c>
      <c r="F5118">
        <v>3916.44</v>
      </c>
      <c r="G5118">
        <v>18</v>
      </c>
      <c r="L5118" t="s">
        <v>14581</v>
      </c>
    </row>
    <row r="5119" spans="1:12" x14ac:dyDescent="0.25">
      <c r="A5119" t="s">
        <v>18</v>
      </c>
      <c r="B5119" t="s">
        <v>14581</v>
      </c>
      <c r="C5119" t="s">
        <v>14580</v>
      </c>
      <c r="D5119" t="s">
        <v>20</v>
      </c>
      <c r="E5119" t="s">
        <v>11</v>
      </c>
      <c r="F5119">
        <v>3916.44</v>
      </c>
      <c r="G5119">
        <v>18</v>
      </c>
      <c r="L5119" t="s">
        <v>14582</v>
      </c>
    </row>
    <row r="5120" spans="1:12" x14ac:dyDescent="0.25">
      <c r="A5120" t="s">
        <v>18</v>
      </c>
      <c r="B5120" t="s">
        <v>14582</v>
      </c>
      <c r="C5120" t="s">
        <v>14583</v>
      </c>
      <c r="D5120" t="s">
        <v>20</v>
      </c>
      <c r="E5120" t="s">
        <v>11</v>
      </c>
      <c r="F5120">
        <v>4177.536</v>
      </c>
      <c r="G5120">
        <v>18</v>
      </c>
      <c r="L5120" t="s">
        <v>14584</v>
      </c>
    </row>
    <row r="5121" spans="1:12" x14ac:dyDescent="0.25">
      <c r="A5121" t="s">
        <v>18</v>
      </c>
      <c r="B5121" t="s">
        <v>14584</v>
      </c>
      <c r="C5121" t="s">
        <v>14585</v>
      </c>
      <c r="D5121" t="s">
        <v>20</v>
      </c>
      <c r="E5121" t="s">
        <v>11</v>
      </c>
      <c r="F5121">
        <v>4177.536</v>
      </c>
      <c r="G5121">
        <v>18</v>
      </c>
      <c r="L5121" t="s">
        <v>14586</v>
      </c>
    </row>
    <row r="5122" spans="1:12" x14ac:dyDescent="0.25">
      <c r="A5122" t="s">
        <v>18</v>
      </c>
      <c r="B5122" t="s">
        <v>14586</v>
      </c>
      <c r="C5122" t="s">
        <v>14587</v>
      </c>
      <c r="D5122" t="s">
        <v>20</v>
      </c>
      <c r="E5122" t="s">
        <v>11</v>
      </c>
      <c r="F5122">
        <v>4177.536</v>
      </c>
      <c r="G5122">
        <v>18</v>
      </c>
      <c r="L5122" t="s">
        <v>14588</v>
      </c>
    </row>
    <row r="5123" spans="1:12" x14ac:dyDescent="0.25">
      <c r="A5123" t="s">
        <v>18</v>
      </c>
      <c r="B5123" t="s">
        <v>14588</v>
      </c>
      <c r="C5123" t="s">
        <v>14589</v>
      </c>
      <c r="D5123" t="s">
        <v>20</v>
      </c>
      <c r="E5123" t="s">
        <v>11</v>
      </c>
      <c r="F5123">
        <v>4177.536</v>
      </c>
      <c r="G5123">
        <v>18</v>
      </c>
      <c r="L5123" t="s">
        <v>14590</v>
      </c>
    </row>
    <row r="5124" spans="1:12" x14ac:dyDescent="0.25">
      <c r="A5124" t="s">
        <v>18</v>
      </c>
      <c r="B5124" t="s">
        <v>14590</v>
      </c>
      <c r="C5124" t="s">
        <v>14591</v>
      </c>
      <c r="D5124" t="s">
        <v>20</v>
      </c>
      <c r="E5124" t="s">
        <v>11</v>
      </c>
      <c r="F5124">
        <v>5417.742</v>
      </c>
      <c r="G5124">
        <v>18</v>
      </c>
      <c r="L5124" t="s">
        <v>14592</v>
      </c>
    </row>
    <row r="5125" spans="1:12" x14ac:dyDescent="0.25">
      <c r="A5125" t="s">
        <v>18</v>
      </c>
      <c r="B5125" t="s">
        <v>14592</v>
      </c>
      <c r="C5125" t="s">
        <v>14593</v>
      </c>
      <c r="D5125" t="s">
        <v>20</v>
      </c>
      <c r="E5125" t="s">
        <v>11</v>
      </c>
      <c r="F5125">
        <v>5417.742</v>
      </c>
      <c r="G5125">
        <v>18</v>
      </c>
      <c r="L5125" t="s">
        <v>14594</v>
      </c>
    </row>
    <row r="5126" spans="1:12" x14ac:dyDescent="0.25">
      <c r="A5126" t="s">
        <v>18</v>
      </c>
      <c r="B5126" t="s">
        <v>14594</v>
      </c>
      <c r="C5126" t="s">
        <v>14595</v>
      </c>
      <c r="D5126" t="s">
        <v>20</v>
      </c>
      <c r="E5126" t="s">
        <v>11</v>
      </c>
      <c r="F5126">
        <v>5417.742</v>
      </c>
      <c r="G5126">
        <v>18</v>
      </c>
      <c r="L5126" t="s">
        <v>14596</v>
      </c>
    </row>
    <row r="5127" spans="1:12" x14ac:dyDescent="0.25">
      <c r="A5127" t="s">
        <v>18</v>
      </c>
      <c r="B5127" t="s">
        <v>14596</v>
      </c>
      <c r="C5127" t="s">
        <v>14597</v>
      </c>
      <c r="D5127" t="s">
        <v>20</v>
      </c>
      <c r="E5127" t="s">
        <v>11</v>
      </c>
      <c r="F5127">
        <v>5417.742</v>
      </c>
      <c r="G5127">
        <v>18</v>
      </c>
      <c r="L5127" t="s">
        <v>14598</v>
      </c>
    </row>
    <row r="5128" spans="1:12" x14ac:dyDescent="0.25">
      <c r="A5128" t="s">
        <v>18</v>
      </c>
      <c r="B5128" t="s">
        <v>14598</v>
      </c>
      <c r="C5128" t="s">
        <v>14599</v>
      </c>
      <c r="D5128" t="s">
        <v>20</v>
      </c>
      <c r="E5128" t="s">
        <v>11</v>
      </c>
      <c r="F5128">
        <v>5548.29</v>
      </c>
      <c r="G5128">
        <v>18</v>
      </c>
      <c r="L5128" t="s">
        <v>14600</v>
      </c>
    </row>
    <row r="5129" spans="1:12" x14ac:dyDescent="0.25">
      <c r="A5129" t="s">
        <v>18</v>
      </c>
      <c r="B5129" t="s">
        <v>14600</v>
      </c>
      <c r="C5129" t="s">
        <v>14601</v>
      </c>
      <c r="D5129" t="s">
        <v>20</v>
      </c>
      <c r="E5129" t="s">
        <v>11</v>
      </c>
      <c r="F5129">
        <v>5548.29</v>
      </c>
      <c r="G5129">
        <v>18</v>
      </c>
      <c r="L5129" t="s">
        <v>14602</v>
      </c>
    </row>
    <row r="5130" spans="1:12" x14ac:dyDescent="0.25">
      <c r="A5130" t="s">
        <v>18</v>
      </c>
      <c r="B5130" t="s">
        <v>14602</v>
      </c>
      <c r="C5130" t="s">
        <v>14603</v>
      </c>
      <c r="D5130" t="s">
        <v>20</v>
      </c>
      <c r="E5130" t="s">
        <v>11</v>
      </c>
      <c r="F5130">
        <v>5548.29</v>
      </c>
      <c r="G5130">
        <v>18</v>
      </c>
      <c r="L5130" t="s">
        <v>14604</v>
      </c>
    </row>
    <row r="5131" spans="1:12" x14ac:dyDescent="0.25">
      <c r="A5131" t="s">
        <v>18</v>
      </c>
      <c r="B5131" t="s">
        <v>14604</v>
      </c>
      <c r="C5131" t="s">
        <v>14603</v>
      </c>
      <c r="D5131" t="s">
        <v>20</v>
      </c>
      <c r="E5131" t="s">
        <v>11</v>
      </c>
      <c r="F5131">
        <v>5548.29</v>
      </c>
      <c r="G5131">
        <v>18</v>
      </c>
      <c r="L5131" t="s">
        <v>14605</v>
      </c>
    </row>
    <row r="5132" spans="1:12" x14ac:dyDescent="0.25">
      <c r="A5132" t="s">
        <v>18</v>
      </c>
      <c r="B5132" t="s">
        <v>14605</v>
      </c>
      <c r="C5132" t="s">
        <v>14606</v>
      </c>
      <c r="D5132" t="s">
        <v>20</v>
      </c>
      <c r="E5132" t="s">
        <v>11</v>
      </c>
      <c r="F5132">
        <v>5744.112</v>
      </c>
      <c r="G5132">
        <v>18</v>
      </c>
      <c r="L5132" t="s">
        <v>14607</v>
      </c>
    </row>
    <row r="5133" spans="1:12" x14ac:dyDescent="0.25">
      <c r="A5133" t="s">
        <v>18</v>
      </c>
      <c r="B5133" t="s">
        <v>14607</v>
      </c>
      <c r="C5133" t="s">
        <v>14608</v>
      </c>
      <c r="D5133" t="s">
        <v>20</v>
      </c>
      <c r="E5133" t="s">
        <v>11</v>
      </c>
      <c r="F5133">
        <v>5744.112</v>
      </c>
      <c r="G5133">
        <v>18</v>
      </c>
      <c r="L5133" t="s">
        <v>14609</v>
      </c>
    </row>
    <row r="5134" spans="1:12" x14ac:dyDescent="0.25">
      <c r="A5134" t="s">
        <v>18</v>
      </c>
      <c r="B5134" t="s">
        <v>14609</v>
      </c>
      <c r="C5134" t="s">
        <v>14610</v>
      </c>
      <c r="D5134" t="s">
        <v>20</v>
      </c>
      <c r="E5134" t="s">
        <v>11</v>
      </c>
      <c r="F5134">
        <v>5744.112</v>
      </c>
      <c r="G5134">
        <v>18</v>
      </c>
      <c r="L5134" t="s">
        <v>14611</v>
      </c>
    </row>
    <row r="5135" spans="1:12" x14ac:dyDescent="0.25">
      <c r="A5135" t="s">
        <v>18</v>
      </c>
      <c r="B5135" t="s">
        <v>14611</v>
      </c>
      <c r="C5135" t="s">
        <v>14610</v>
      </c>
      <c r="D5135" t="s">
        <v>20</v>
      </c>
      <c r="E5135" t="s">
        <v>11</v>
      </c>
      <c r="F5135">
        <v>5744.112</v>
      </c>
      <c r="G5135">
        <v>18</v>
      </c>
      <c r="L5135" t="s">
        <v>14612</v>
      </c>
    </row>
    <row r="5136" spans="1:12" x14ac:dyDescent="0.25">
      <c r="A5136" t="s">
        <v>18</v>
      </c>
      <c r="B5136" t="s">
        <v>14612</v>
      </c>
      <c r="C5136" t="s">
        <v>14613</v>
      </c>
      <c r="D5136" t="s">
        <v>20</v>
      </c>
      <c r="E5136" t="s">
        <v>11</v>
      </c>
      <c r="F5136">
        <v>6201.030000000001</v>
      </c>
      <c r="G5136">
        <v>18</v>
      </c>
      <c r="L5136" t="s">
        <v>14614</v>
      </c>
    </row>
    <row r="5137" spans="1:12" x14ac:dyDescent="0.25">
      <c r="A5137" t="s">
        <v>18</v>
      </c>
      <c r="B5137" t="s">
        <v>14614</v>
      </c>
      <c r="C5137" t="s">
        <v>14615</v>
      </c>
      <c r="D5137" t="s">
        <v>20</v>
      </c>
      <c r="E5137" t="s">
        <v>11</v>
      </c>
      <c r="F5137">
        <v>6201.030000000001</v>
      </c>
      <c r="G5137">
        <v>18</v>
      </c>
      <c r="L5137" t="s">
        <v>14616</v>
      </c>
    </row>
    <row r="5138" spans="1:12" x14ac:dyDescent="0.25">
      <c r="A5138" t="s">
        <v>18</v>
      </c>
      <c r="B5138" t="s">
        <v>14616</v>
      </c>
      <c r="C5138" t="s">
        <v>14617</v>
      </c>
      <c r="D5138" t="s">
        <v>20</v>
      </c>
      <c r="E5138" t="s">
        <v>11</v>
      </c>
      <c r="F5138">
        <v>6201.030000000001</v>
      </c>
      <c r="G5138">
        <v>18</v>
      </c>
      <c r="L5138" t="s">
        <v>14618</v>
      </c>
    </row>
    <row r="5139" spans="1:12" x14ac:dyDescent="0.25">
      <c r="A5139" t="s">
        <v>18</v>
      </c>
      <c r="B5139" t="s">
        <v>14618</v>
      </c>
      <c r="C5139" t="s">
        <v>14617</v>
      </c>
      <c r="D5139" t="s">
        <v>20</v>
      </c>
      <c r="E5139" t="s">
        <v>11</v>
      </c>
      <c r="F5139">
        <v>6201.030000000001</v>
      </c>
      <c r="G5139">
        <v>18</v>
      </c>
      <c r="L5139" t="s">
        <v>14619</v>
      </c>
    </row>
    <row r="5140" spans="1:12" x14ac:dyDescent="0.25">
      <c r="A5140" t="s">
        <v>18</v>
      </c>
      <c r="B5140" t="s">
        <v>14619</v>
      </c>
      <c r="C5140" t="s">
        <v>14620</v>
      </c>
      <c r="D5140" t="s">
        <v>20</v>
      </c>
      <c r="E5140" t="s">
        <v>11</v>
      </c>
      <c r="F5140">
        <v>6396.852</v>
      </c>
      <c r="G5140">
        <v>18</v>
      </c>
      <c r="L5140" t="s">
        <v>14621</v>
      </c>
    </row>
    <row r="5141" spans="1:12" x14ac:dyDescent="0.25">
      <c r="A5141" t="s">
        <v>18</v>
      </c>
      <c r="B5141" t="s">
        <v>14621</v>
      </c>
      <c r="C5141" t="s">
        <v>14622</v>
      </c>
      <c r="D5141" t="s">
        <v>20</v>
      </c>
      <c r="E5141" t="s">
        <v>11</v>
      </c>
      <c r="F5141">
        <v>6396.852</v>
      </c>
      <c r="G5141">
        <v>18</v>
      </c>
      <c r="L5141" t="s">
        <v>14623</v>
      </c>
    </row>
    <row r="5142" spans="1:12" x14ac:dyDescent="0.25">
      <c r="A5142" t="s">
        <v>18</v>
      </c>
      <c r="B5142" t="s">
        <v>14623</v>
      </c>
      <c r="C5142" t="s">
        <v>14624</v>
      </c>
      <c r="D5142" t="s">
        <v>20</v>
      </c>
      <c r="E5142" t="s">
        <v>11</v>
      </c>
      <c r="F5142">
        <v>6396.852</v>
      </c>
      <c r="G5142">
        <v>18</v>
      </c>
      <c r="L5142" t="s">
        <v>14625</v>
      </c>
    </row>
    <row r="5143" spans="1:12" x14ac:dyDescent="0.25">
      <c r="A5143" t="s">
        <v>18</v>
      </c>
      <c r="B5143" t="s">
        <v>14625</v>
      </c>
      <c r="C5143" t="s">
        <v>14626</v>
      </c>
      <c r="D5143" t="s">
        <v>20</v>
      </c>
      <c r="E5143" t="s">
        <v>11</v>
      </c>
      <c r="F5143">
        <v>6592.673999999999</v>
      </c>
      <c r="G5143">
        <v>18</v>
      </c>
      <c r="L5143" t="s">
        <v>14627</v>
      </c>
    </row>
    <row r="5144" spans="1:12" x14ac:dyDescent="0.25">
      <c r="A5144" t="s">
        <v>18</v>
      </c>
      <c r="B5144" t="s">
        <v>14627</v>
      </c>
      <c r="C5144" t="s">
        <v>14628</v>
      </c>
      <c r="D5144" t="s">
        <v>20</v>
      </c>
      <c r="E5144" t="s">
        <v>11</v>
      </c>
      <c r="F5144">
        <v>6592.673999999999</v>
      </c>
      <c r="G5144">
        <v>18</v>
      </c>
      <c r="L5144" t="s">
        <v>14629</v>
      </c>
    </row>
    <row r="5145" spans="1:12" x14ac:dyDescent="0.25">
      <c r="A5145" t="s">
        <v>18</v>
      </c>
      <c r="B5145" t="s">
        <v>14629</v>
      </c>
      <c r="C5145" t="s">
        <v>14630</v>
      </c>
      <c r="D5145" t="s">
        <v>20</v>
      </c>
      <c r="E5145" t="s">
        <v>11</v>
      </c>
      <c r="F5145">
        <v>6592.673999999999</v>
      </c>
      <c r="G5145">
        <v>18</v>
      </c>
      <c r="L5145" t="s">
        <v>14631</v>
      </c>
    </row>
    <row r="5146" spans="1:12" x14ac:dyDescent="0.25">
      <c r="A5146" t="s">
        <v>18</v>
      </c>
      <c r="B5146" t="s">
        <v>14631</v>
      </c>
      <c r="C5146" t="s">
        <v>14632</v>
      </c>
      <c r="D5146" t="s">
        <v>20</v>
      </c>
      <c r="E5146" t="s">
        <v>11</v>
      </c>
      <c r="F5146">
        <v>5613.563999999999</v>
      </c>
      <c r="G5146">
        <v>18</v>
      </c>
      <c r="L5146" t="s">
        <v>14633</v>
      </c>
    </row>
    <row r="5147" spans="1:12" x14ac:dyDescent="0.25">
      <c r="A5147" t="s">
        <v>18</v>
      </c>
      <c r="B5147" t="s">
        <v>14633</v>
      </c>
      <c r="C5147" t="s">
        <v>14634</v>
      </c>
      <c r="D5147" t="s">
        <v>20</v>
      </c>
      <c r="E5147" t="s">
        <v>11</v>
      </c>
      <c r="F5147">
        <v>3720.6179999999995</v>
      </c>
      <c r="G5147">
        <v>18</v>
      </c>
      <c r="L5147" t="s">
        <v>14635</v>
      </c>
    </row>
    <row r="5148" spans="1:12" x14ac:dyDescent="0.25">
      <c r="A5148" t="s">
        <v>18</v>
      </c>
      <c r="B5148" t="s">
        <v>14635</v>
      </c>
      <c r="C5148" t="s">
        <v>14636</v>
      </c>
      <c r="D5148" t="s">
        <v>20</v>
      </c>
      <c r="E5148" t="s">
        <v>11</v>
      </c>
      <c r="F5148">
        <v>4046.988</v>
      </c>
      <c r="G5148">
        <v>18</v>
      </c>
      <c r="L5148" t="s">
        <v>14637</v>
      </c>
    </row>
    <row r="5149" spans="1:12" x14ac:dyDescent="0.25">
      <c r="A5149" t="s">
        <v>18</v>
      </c>
      <c r="B5149" t="s">
        <v>14637</v>
      </c>
      <c r="C5149" t="s">
        <v>14638</v>
      </c>
      <c r="D5149" t="s">
        <v>20</v>
      </c>
      <c r="E5149" t="s">
        <v>11</v>
      </c>
      <c r="F5149">
        <v>4046.988</v>
      </c>
      <c r="G5149">
        <v>18</v>
      </c>
      <c r="L5149" t="s">
        <v>14639</v>
      </c>
    </row>
    <row r="5150" spans="1:12" x14ac:dyDescent="0.25">
      <c r="A5150" t="s">
        <v>18</v>
      </c>
      <c r="B5150" t="s">
        <v>14639</v>
      </c>
      <c r="C5150" t="s">
        <v>14640</v>
      </c>
      <c r="D5150" t="s">
        <v>20</v>
      </c>
      <c r="E5150" t="s">
        <v>11</v>
      </c>
      <c r="F5150">
        <v>4046.988</v>
      </c>
      <c r="G5150">
        <v>18</v>
      </c>
      <c r="L5150" t="s">
        <v>14641</v>
      </c>
    </row>
    <row r="5151" spans="1:12" x14ac:dyDescent="0.25">
      <c r="A5151" t="s">
        <v>18</v>
      </c>
      <c r="B5151" t="s">
        <v>14641</v>
      </c>
      <c r="C5151" t="s">
        <v>14642</v>
      </c>
      <c r="D5151" t="s">
        <v>20</v>
      </c>
      <c r="E5151" t="s">
        <v>11</v>
      </c>
      <c r="F5151">
        <v>4046.988</v>
      </c>
      <c r="G5151">
        <v>18</v>
      </c>
      <c r="L5151" t="s">
        <v>14643</v>
      </c>
    </row>
    <row r="5152" spans="1:12" x14ac:dyDescent="0.25">
      <c r="A5152" t="s">
        <v>18</v>
      </c>
      <c r="B5152" t="s">
        <v>14643</v>
      </c>
      <c r="C5152" t="s">
        <v>14644</v>
      </c>
      <c r="D5152" t="s">
        <v>20</v>
      </c>
      <c r="E5152" t="s">
        <v>11</v>
      </c>
      <c r="F5152">
        <v>5613.563999999999</v>
      </c>
      <c r="G5152">
        <v>18</v>
      </c>
      <c r="L5152" t="s">
        <v>14645</v>
      </c>
    </row>
    <row r="5153" spans="1:12" x14ac:dyDescent="0.25">
      <c r="A5153" t="s">
        <v>18</v>
      </c>
      <c r="B5153" t="s">
        <v>14645</v>
      </c>
      <c r="C5153" t="s">
        <v>14646</v>
      </c>
      <c r="D5153" t="s">
        <v>20</v>
      </c>
      <c r="E5153" t="s">
        <v>11</v>
      </c>
      <c r="F5153">
        <v>5613.563999999999</v>
      </c>
      <c r="G5153">
        <v>18</v>
      </c>
      <c r="L5153" t="s">
        <v>14647</v>
      </c>
    </row>
    <row r="5154" spans="1:12" x14ac:dyDescent="0.25">
      <c r="A5154" t="s">
        <v>18</v>
      </c>
      <c r="B5154" t="s">
        <v>14647</v>
      </c>
      <c r="C5154" t="s">
        <v>14648</v>
      </c>
      <c r="D5154" t="s">
        <v>20</v>
      </c>
      <c r="E5154" t="s">
        <v>11</v>
      </c>
      <c r="F5154">
        <v>5613.563999999999</v>
      </c>
      <c r="G5154">
        <v>18</v>
      </c>
      <c r="L5154" t="s">
        <v>14649</v>
      </c>
    </row>
    <row r="5155" spans="1:12" x14ac:dyDescent="0.25">
      <c r="A5155" t="s">
        <v>18</v>
      </c>
      <c r="B5155" t="s">
        <v>14649</v>
      </c>
      <c r="C5155" t="s">
        <v>14650</v>
      </c>
      <c r="D5155" t="s">
        <v>20</v>
      </c>
      <c r="E5155" t="s">
        <v>11</v>
      </c>
      <c r="F5155">
        <v>5939.933999999999</v>
      </c>
      <c r="G5155">
        <v>18</v>
      </c>
      <c r="L5155" t="s">
        <v>14651</v>
      </c>
    </row>
    <row r="5156" spans="1:12" x14ac:dyDescent="0.25">
      <c r="A5156" t="s">
        <v>18</v>
      </c>
      <c r="B5156" t="s">
        <v>14651</v>
      </c>
      <c r="C5156" t="s">
        <v>14652</v>
      </c>
      <c r="D5156" t="s">
        <v>20</v>
      </c>
      <c r="E5156" t="s">
        <v>11</v>
      </c>
      <c r="F5156">
        <v>5939.933999999999</v>
      </c>
      <c r="G5156">
        <v>18</v>
      </c>
      <c r="L5156" t="s">
        <v>14653</v>
      </c>
    </row>
    <row r="5157" spans="1:12" x14ac:dyDescent="0.25">
      <c r="A5157" t="s">
        <v>18</v>
      </c>
      <c r="B5157" t="s">
        <v>14653</v>
      </c>
      <c r="C5157" t="s">
        <v>14654</v>
      </c>
      <c r="D5157" t="s">
        <v>20</v>
      </c>
      <c r="E5157" t="s">
        <v>11</v>
      </c>
      <c r="F5157">
        <v>5939.933999999999</v>
      </c>
      <c r="G5157">
        <v>18</v>
      </c>
      <c r="L5157" t="s">
        <v>14655</v>
      </c>
    </row>
    <row r="5158" spans="1:12" x14ac:dyDescent="0.25">
      <c r="A5158" t="s">
        <v>18</v>
      </c>
      <c r="B5158" t="s">
        <v>14655</v>
      </c>
      <c r="C5158" t="s">
        <v>14656</v>
      </c>
      <c r="D5158" t="s">
        <v>20</v>
      </c>
      <c r="E5158" t="s">
        <v>11</v>
      </c>
      <c r="F5158">
        <v>5939.933999999999</v>
      </c>
      <c r="G5158">
        <v>18</v>
      </c>
      <c r="L5158" t="s">
        <v>14657</v>
      </c>
    </row>
    <row r="5159" spans="1:12" x14ac:dyDescent="0.25">
      <c r="A5159" t="s">
        <v>18</v>
      </c>
      <c r="B5159" t="s">
        <v>14657</v>
      </c>
      <c r="C5159" t="s">
        <v>14658</v>
      </c>
      <c r="D5159" t="s">
        <v>20</v>
      </c>
      <c r="E5159" t="s">
        <v>11</v>
      </c>
      <c r="F5159">
        <v>3720.6179999999995</v>
      </c>
      <c r="G5159">
        <v>18</v>
      </c>
      <c r="L5159" t="s">
        <v>14659</v>
      </c>
    </row>
    <row r="5160" spans="1:12" x14ac:dyDescent="0.25">
      <c r="A5160" t="s">
        <v>18</v>
      </c>
      <c r="B5160" t="s">
        <v>14659</v>
      </c>
      <c r="C5160" t="s">
        <v>14660</v>
      </c>
      <c r="D5160" t="s">
        <v>20</v>
      </c>
      <c r="E5160" t="s">
        <v>11</v>
      </c>
      <c r="F5160">
        <v>3720.6179999999995</v>
      </c>
      <c r="G5160">
        <v>18</v>
      </c>
      <c r="L5160" t="s">
        <v>14661</v>
      </c>
    </row>
    <row r="5161" spans="1:12" x14ac:dyDescent="0.25">
      <c r="A5161" t="s">
        <v>18</v>
      </c>
      <c r="B5161" t="s">
        <v>14661</v>
      </c>
      <c r="C5161" t="s">
        <v>14662</v>
      </c>
      <c r="D5161" t="s">
        <v>20</v>
      </c>
      <c r="E5161" t="s">
        <v>11</v>
      </c>
      <c r="F5161">
        <v>3916.44</v>
      </c>
      <c r="G5161">
        <v>18</v>
      </c>
      <c r="L5161" t="s">
        <v>14663</v>
      </c>
    </row>
    <row r="5162" spans="1:12" x14ac:dyDescent="0.25">
      <c r="A5162" t="s">
        <v>18</v>
      </c>
      <c r="B5162" t="s">
        <v>14663</v>
      </c>
      <c r="C5162" t="s">
        <v>14664</v>
      </c>
      <c r="D5162" t="s">
        <v>20</v>
      </c>
      <c r="E5162" t="s">
        <v>11</v>
      </c>
      <c r="F5162">
        <v>3720.6179999999995</v>
      </c>
      <c r="G5162">
        <v>18</v>
      </c>
      <c r="L5162" t="s">
        <v>14665</v>
      </c>
    </row>
    <row r="5163" spans="1:12" x14ac:dyDescent="0.25">
      <c r="A5163" t="s">
        <v>18</v>
      </c>
      <c r="B5163" t="s">
        <v>14665</v>
      </c>
      <c r="C5163" t="s">
        <v>14666</v>
      </c>
      <c r="D5163" t="s">
        <v>20</v>
      </c>
      <c r="E5163" t="s">
        <v>11</v>
      </c>
      <c r="F5163">
        <v>3720.6179999999995</v>
      </c>
      <c r="G5163">
        <v>18</v>
      </c>
      <c r="L5163" t="s">
        <v>14667</v>
      </c>
    </row>
    <row r="5164" spans="1:12" x14ac:dyDescent="0.25">
      <c r="A5164" t="s">
        <v>18</v>
      </c>
      <c r="B5164" t="s">
        <v>14667</v>
      </c>
      <c r="C5164" t="s">
        <v>14668</v>
      </c>
      <c r="D5164" t="s">
        <v>20</v>
      </c>
      <c r="E5164" t="s">
        <v>11</v>
      </c>
      <c r="F5164">
        <v>4046.988</v>
      </c>
      <c r="G5164">
        <v>18</v>
      </c>
      <c r="L5164" t="s">
        <v>14669</v>
      </c>
    </row>
    <row r="5165" spans="1:12" x14ac:dyDescent="0.25">
      <c r="A5165" t="s">
        <v>18</v>
      </c>
      <c r="B5165" t="s">
        <v>14669</v>
      </c>
      <c r="C5165" t="s">
        <v>14670</v>
      </c>
      <c r="D5165" t="s">
        <v>20</v>
      </c>
      <c r="E5165" t="s">
        <v>11</v>
      </c>
      <c r="F5165">
        <v>4177.536</v>
      </c>
      <c r="G5165">
        <v>18</v>
      </c>
      <c r="L5165" t="s">
        <v>14671</v>
      </c>
    </row>
    <row r="5166" spans="1:12" x14ac:dyDescent="0.25">
      <c r="A5166" t="s">
        <v>18</v>
      </c>
      <c r="B5166" t="s">
        <v>14671</v>
      </c>
      <c r="C5166" t="s">
        <v>14672</v>
      </c>
      <c r="D5166" t="s">
        <v>20</v>
      </c>
      <c r="E5166" t="s">
        <v>11</v>
      </c>
      <c r="F5166">
        <v>5417.742</v>
      </c>
      <c r="G5166">
        <v>18</v>
      </c>
      <c r="L5166" t="s">
        <v>14673</v>
      </c>
    </row>
    <row r="5167" spans="1:12" x14ac:dyDescent="0.25">
      <c r="A5167" t="s">
        <v>18</v>
      </c>
      <c r="B5167" t="s">
        <v>14673</v>
      </c>
      <c r="C5167" t="s">
        <v>14674</v>
      </c>
      <c r="D5167" t="s">
        <v>20</v>
      </c>
      <c r="E5167" t="s">
        <v>11</v>
      </c>
      <c r="F5167">
        <v>5548.29</v>
      </c>
      <c r="G5167">
        <v>18</v>
      </c>
      <c r="L5167" t="s">
        <v>14675</v>
      </c>
    </row>
    <row r="5168" spans="1:12" x14ac:dyDescent="0.25">
      <c r="A5168" t="s">
        <v>18</v>
      </c>
      <c r="B5168" t="s">
        <v>14675</v>
      </c>
      <c r="C5168" t="s">
        <v>14676</v>
      </c>
      <c r="D5168" t="s">
        <v>20</v>
      </c>
      <c r="E5168" t="s">
        <v>11</v>
      </c>
      <c r="F5168">
        <v>5613.563999999999</v>
      </c>
      <c r="G5168">
        <v>18</v>
      </c>
      <c r="L5168" t="s">
        <v>14677</v>
      </c>
    </row>
    <row r="5169" spans="1:12" x14ac:dyDescent="0.25">
      <c r="A5169" t="s">
        <v>18</v>
      </c>
      <c r="B5169" t="s">
        <v>14677</v>
      </c>
      <c r="C5169" t="s">
        <v>14678</v>
      </c>
      <c r="D5169" t="s">
        <v>20</v>
      </c>
      <c r="E5169" t="s">
        <v>11</v>
      </c>
      <c r="F5169">
        <v>5744.112</v>
      </c>
      <c r="G5169">
        <v>18</v>
      </c>
      <c r="L5169" t="s">
        <v>14679</v>
      </c>
    </row>
    <row r="5170" spans="1:12" x14ac:dyDescent="0.25">
      <c r="A5170" t="s">
        <v>18</v>
      </c>
      <c r="B5170" t="s">
        <v>14679</v>
      </c>
      <c r="C5170" t="s">
        <v>14680</v>
      </c>
      <c r="D5170" t="s">
        <v>20</v>
      </c>
      <c r="E5170" t="s">
        <v>11</v>
      </c>
      <c r="F5170">
        <v>5939.933999999999</v>
      </c>
      <c r="G5170">
        <v>18</v>
      </c>
      <c r="L5170" t="s">
        <v>14681</v>
      </c>
    </row>
    <row r="5171" spans="1:12" x14ac:dyDescent="0.25">
      <c r="A5171" t="s">
        <v>18</v>
      </c>
      <c r="B5171" t="s">
        <v>14681</v>
      </c>
      <c r="C5171" t="s">
        <v>14682</v>
      </c>
      <c r="D5171" t="s">
        <v>20</v>
      </c>
      <c r="E5171" t="s">
        <v>11</v>
      </c>
      <c r="F5171">
        <v>6201.030000000001</v>
      </c>
      <c r="G5171">
        <v>18</v>
      </c>
      <c r="L5171" t="s">
        <v>14683</v>
      </c>
    </row>
    <row r="5172" spans="1:12" x14ac:dyDescent="0.25">
      <c r="A5172" t="s">
        <v>18</v>
      </c>
      <c r="B5172" t="s">
        <v>14683</v>
      </c>
      <c r="C5172" t="s">
        <v>14684</v>
      </c>
      <c r="D5172" t="s">
        <v>20</v>
      </c>
      <c r="E5172" t="s">
        <v>11</v>
      </c>
      <c r="F5172">
        <v>6396.852</v>
      </c>
      <c r="G5172">
        <v>18</v>
      </c>
      <c r="L5172" t="s">
        <v>14685</v>
      </c>
    </row>
    <row r="5173" spans="1:12" x14ac:dyDescent="0.25">
      <c r="A5173" t="s">
        <v>18</v>
      </c>
      <c r="B5173" t="s">
        <v>14685</v>
      </c>
      <c r="C5173" t="s">
        <v>14686</v>
      </c>
      <c r="D5173" t="s">
        <v>20</v>
      </c>
      <c r="E5173" t="s">
        <v>11</v>
      </c>
      <c r="F5173">
        <v>6592.673999999999</v>
      </c>
      <c r="G5173">
        <v>18</v>
      </c>
      <c r="L5173" t="s">
        <v>14687</v>
      </c>
    </row>
    <row r="5174" spans="1:12" x14ac:dyDescent="0.25">
      <c r="A5174" t="s">
        <v>18</v>
      </c>
      <c r="B5174" t="s">
        <v>14687</v>
      </c>
      <c r="C5174" t="s">
        <v>14688</v>
      </c>
      <c r="D5174" t="s">
        <v>20</v>
      </c>
      <c r="E5174" t="s">
        <v>11</v>
      </c>
      <c r="F5174">
        <v>2937.3300000000004</v>
      </c>
      <c r="G5174">
        <v>18</v>
      </c>
      <c r="L5174" t="s">
        <v>14689</v>
      </c>
    </row>
    <row r="5175" spans="1:12" x14ac:dyDescent="0.25">
      <c r="A5175" t="s">
        <v>18</v>
      </c>
      <c r="B5175" t="s">
        <v>14689</v>
      </c>
      <c r="C5175" t="s">
        <v>14690</v>
      </c>
      <c r="D5175" t="s">
        <v>20</v>
      </c>
      <c r="E5175" t="s">
        <v>11</v>
      </c>
      <c r="F5175">
        <v>3002.604</v>
      </c>
      <c r="G5175">
        <v>18</v>
      </c>
      <c r="L5175" t="s">
        <v>14691</v>
      </c>
    </row>
    <row r="5176" spans="1:12" x14ac:dyDescent="0.25">
      <c r="A5176" t="s">
        <v>18</v>
      </c>
      <c r="B5176" t="s">
        <v>14691</v>
      </c>
      <c r="C5176" t="s">
        <v>14692</v>
      </c>
      <c r="D5176" t="s">
        <v>20</v>
      </c>
      <c r="E5176" t="s">
        <v>11</v>
      </c>
      <c r="F5176">
        <v>3720.6179999999995</v>
      </c>
      <c r="G5176">
        <v>18</v>
      </c>
      <c r="L5176" t="s">
        <v>14693</v>
      </c>
    </row>
    <row r="5177" spans="1:12" x14ac:dyDescent="0.25">
      <c r="A5177" t="s">
        <v>18</v>
      </c>
      <c r="B5177" t="s">
        <v>14693</v>
      </c>
      <c r="C5177" t="s">
        <v>14694</v>
      </c>
      <c r="D5177" t="s">
        <v>20</v>
      </c>
      <c r="E5177" t="s">
        <v>11</v>
      </c>
      <c r="F5177">
        <v>4112.262</v>
      </c>
      <c r="G5177">
        <v>18</v>
      </c>
      <c r="L5177" t="s">
        <v>14695</v>
      </c>
    </row>
    <row r="5178" spans="1:12" x14ac:dyDescent="0.25">
      <c r="A5178" t="s">
        <v>18</v>
      </c>
      <c r="B5178" t="s">
        <v>14695</v>
      </c>
      <c r="C5178" t="s">
        <v>14696</v>
      </c>
      <c r="D5178" t="s">
        <v>20</v>
      </c>
      <c r="E5178" t="s">
        <v>11</v>
      </c>
      <c r="F5178">
        <v>4634.454</v>
      </c>
      <c r="G5178">
        <v>18</v>
      </c>
      <c r="L5178" t="s">
        <v>14697</v>
      </c>
    </row>
    <row r="5179" spans="1:12" x14ac:dyDescent="0.25">
      <c r="A5179" t="s">
        <v>18</v>
      </c>
      <c r="B5179" t="s">
        <v>14697</v>
      </c>
      <c r="C5179" t="s">
        <v>14698</v>
      </c>
      <c r="D5179" t="s">
        <v>20</v>
      </c>
      <c r="E5179" t="s">
        <v>11</v>
      </c>
      <c r="F5179">
        <v>4830.276</v>
      </c>
      <c r="G5179">
        <v>18</v>
      </c>
      <c r="L5179" t="s">
        <v>14699</v>
      </c>
    </row>
    <row r="5180" spans="1:12" x14ac:dyDescent="0.25">
      <c r="A5180" t="s">
        <v>18</v>
      </c>
      <c r="B5180" t="s">
        <v>14699</v>
      </c>
      <c r="C5180" t="s">
        <v>14700</v>
      </c>
      <c r="D5180" t="s">
        <v>20</v>
      </c>
      <c r="E5180" t="s">
        <v>11</v>
      </c>
      <c r="F5180">
        <v>4960.8240000000005</v>
      </c>
      <c r="G5180">
        <v>18</v>
      </c>
      <c r="L5180" t="s">
        <v>14701</v>
      </c>
    </row>
    <row r="5181" spans="1:12" x14ac:dyDescent="0.25">
      <c r="A5181" t="s">
        <v>18</v>
      </c>
      <c r="B5181" t="s">
        <v>14701</v>
      </c>
      <c r="C5181" t="s">
        <v>14702</v>
      </c>
      <c r="D5181" t="s">
        <v>20</v>
      </c>
      <c r="E5181" t="s">
        <v>11</v>
      </c>
      <c r="F5181">
        <v>5939.933999999999</v>
      </c>
      <c r="G5181">
        <v>18</v>
      </c>
      <c r="L5181" t="s">
        <v>14703</v>
      </c>
    </row>
    <row r="5182" spans="1:12" x14ac:dyDescent="0.25">
      <c r="A5182" t="s">
        <v>18</v>
      </c>
      <c r="B5182" t="s">
        <v>14703</v>
      </c>
      <c r="C5182" t="s">
        <v>14704</v>
      </c>
      <c r="D5182" t="s">
        <v>20</v>
      </c>
      <c r="E5182" t="s">
        <v>11</v>
      </c>
      <c r="F5182">
        <v>3981.714</v>
      </c>
      <c r="G5182">
        <v>18</v>
      </c>
      <c r="L5182" t="s">
        <v>14705</v>
      </c>
    </row>
    <row r="5183" spans="1:12" x14ac:dyDescent="0.25">
      <c r="A5183" t="s">
        <v>18</v>
      </c>
      <c r="B5183" t="s">
        <v>14705</v>
      </c>
      <c r="C5183" t="s">
        <v>14706</v>
      </c>
      <c r="D5183" t="s">
        <v>20</v>
      </c>
      <c r="E5183" t="s">
        <v>11</v>
      </c>
      <c r="F5183">
        <v>3002.604</v>
      </c>
      <c r="G5183">
        <v>18</v>
      </c>
      <c r="L5183" t="s">
        <v>14707</v>
      </c>
    </row>
    <row r="5184" spans="1:12" x14ac:dyDescent="0.25">
      <c r="A5184" t="s">
        <v>18</v>
      </c>
      <c r="B5184" t="s">
        <v>14707</v>
      </c>
      <c r="C5184" t="s">
        <v>14708</v>
      </c>
      <c r="D5184" t="s">
        <v>20</v>
      </c>
      <c r="E5184" t="s">
        <v>11</v>
      </c>
      <c r="F5184">
        <v>2676.234</v>
      </c>
      <c r="G5184">
        <v>18</v>
      </c>
      <c r="L5184" t="s">
        <v>14709</v>
      </c>
    </row>
    <row r="5185" spans="1:12" x14ac:dyDescent="0.25">
      <c r="A5185" t="s">
        <v>18</v>
      </c>
      <c r="B5185" t="s">
        <v>14709</v>
      </c>
      <c r="C5185" t="s">
        <v>14710</v>
      </c>
      <c r="D5185" t="s">
        <v>20</v>
      </c>
      <c r="E5185" t="s">
        <v>11</v>
      </c>
      <c r="F5185">
        <v>4960.8240000000005</v>
      </c>
      <c r="G5185">
        <v>18</v>
      </c>
      <c r="L5185" t="s">
        <v>14711</v>
      </c>
    </row>
    <row r="5186" spans="1:12" x14ac:dyDescent="0.25">
      <c r="A5186" t="s">
        <v>18</v>
      </c>
      <c r="B5186" t="s">
        <v>14711</v>
      </c>
      <c r="C5186" t="s">
        <v>14712</v>
      </c>
      <c r="D5186" t="s">
        <v>20</v>
      </c>
      <c r="E5186" t="s">
        <v>11</v>
      </c>
      <c r="F5186">
        <v>2806.7819999999997</v>
      </c>
      <c r="G5186">
        <v>18</v>
      </c>
      <c r="L5186" t="s">
        <v>14713</v>
      </c>
    </row>
    <row r="5187" spans="1:12" x14ac:dyDescent="0.25">
      <c r="A5187" t="s">
        <v>18</v>
      </c>
      <c r="B5187" t="s">
        <v>14713</v>
      </c>
      <c r="C5187" t="s">
        <v>14714</v>
      </c>
      <c r="D5187" t="s">
        <v>20</v>
      </c>
      <c r="E5187" t="s">
        <v>11</v>
      </c>
      <c r="F5187">
        <v>2872.056</v>
      </c>
      <c r="G5187">
        <v>18</v>
      </c>
      <c r="L5187" t="s">
        <v>14715</v>
      </c>
    </row>
    <row r="5188" spans="1:12" x14ac:dyDescent="0.25">
      <c r="A5188" t="s">
        <v>18</v>
      </c>
      <c r="B5188" t="s">
        <v>14715</v>
      </c>
      <c r="C5188" t="s">
        <v>14716</v>
      </c>
      <c r="D5188" t="s">
        <v>20</v>
      </c>
      <c r="E5188" t="s">
        <v>11</v>
      </c>
      <c r="F5188">
        <v>2937.3300000000004</v>
      </c>
      <c r="G5188">
        <v>18</v>
      </c>
      <c r="L5188" t="s">
        <v>14717</v>
      </c>
    </row>
    <row r="5189" spans="1:12" x14ac:dyDescent="0.25">
      <c r="A5189" t="s">
        <v>18</v>
      </c>
      <c r="B5189" t="s">
        <v>14717</v>
      </c>
      <c r="C5189" t="s">
        <v>14718</v>
      </c>
      <c r="D5189" t="s">
        <v>20</v>
      </c>
      <c r="E5189" t="s">
        <v>11</v>
      </c>
      <c r="F5189">
        <v>5026.097999999999</v>
      </c>
      <c r="G5189">
        <v>18</v>
      </c>
      <c r="L5189" t="s">
        <v>14719</v>
      </c>
    </row>
    <row r="5190" spans="1:12" x14ac:dyDescent="0.25">
      <c r="A5190" t="s">
        <v>18</v>
      </c>
      <c r="B5190" t="s">
        <v>14719</v>
      </c>
      <c r="C5190" t="s">
        <v>14720</v>
      </c>
      <c r="D5190" t="s">
        <v>20</v>
      </c>
      <c r="E5190" t="s">
        <v>11</v>
      </c>
      <c r="F5190">
        <v>2741.508</v>
      </c>
      <c r="G5190">
        <v>18</v>
      </c>
      <c r="L5190" t="s">
        <v>14721</v>
      </c>
    </row>
    <row r="5191" spans="1:12" x14ac:dyDescent="0.25">
      <c r="A5191" t="s">
        <v>18</v>
      </c>
      <c r="B5191" t="s">
        <v>14721</v>
      </c>
      <c r="C5191" t="s">
        <v>14722</v>
      </c>
      <c r="D5191" t="s">
        <v>20</v>
      </c>
      <c r="E5191" t="s">
        <v>11</v>
      </c>
      <c r="F5191">
        <v>2937.3300000000004</v>
      </c>
      <c r="G5191">
        <v>18</v>
      </c>
      <c r="L5191" t="s">
        <v>14723</v>
      </c>
    </row>
    <row r="5192" spans="1:12" x14ac:dyDescent="0.25">
      <c r="A5192" t="s">
        <v>18</v>
      </c>
      <c r="B5192" t="s">
        <v>14723</v>
      </c>
      <c r="C5192" t="s">
        <v>14724</v>
      </c>
      <c r="D5192" t="s">
        <v>20</v>
      </c>
      <c r="E5192" t="s">
        <v>11</v>
      </c>
      <c r="F5192">
        <v>3002.604</v>
      </c>
      <c r="G5192">
        <v>18</v>
      </c>
      <c r="L5192" t="s">
        <v>14725</v>
      </c>
    </row>
    <row r="5193" spans="1:12" x14ac:dyDescent="0.25">
      <c r="A5193" t="s">
        <v>18</v>
      </c>
      <c r="B5193" t="s">
        <v>14725</v>
      </c>
      <c r="C5193" t="s">
        <v>14726</v>
      </c>
      <c r="D5193" t="s">
        <v>20</v>
      </c>
      <c r="E5193" t="s">
        <v>11</v>
      </c>
      <c r="F5193">
        <v>3851.166</v>
      </c>
      <c r="G5193">
        <v>18</v>
      </c>
      <c r="L5193" t="s">
        <v>14727</v>
      </c>
    </row>
    <row r="5194" spans="1:12" x14ac:dyDescent="0.25">
      <c r="A5194" t="s">
        <v>18</v>
      </c>
      <c r="B5194" t="s">
        <v>14727</v>
      </c>
      <c r="C5194" t="s">
        <v>14728</v>
      </c>
      <c r="D5194" t="s">
        <v>20</v>
      </c>
      <c r="E5194" t="s">
        <v>11</v>
      </c>
      <c r="F5194">
        <v>3851.166</v>
      </c>
      <c r="G5194">
        <v>18</v>
      </c>
      <c r="L5194" t="s">
        <v>14729</v>
      </c>
    </row>
    <row r="5195" spans="1:12" x14ac:dyDescent="0.25">
      <c r="A5195" t="s">
        <v>18</v>
      </c>
      <c r="B5195" t="s">
        <v>14729</v>
      </c>
      <c r="C5195" t="s">
        <v>14730</v>
      </c>
      <c r="D5195" t="s">
        <v>20</v>
      </c>
      <c r="E5195" t="s">
        <v>11</v>
      </c>
      <c r="F5195">
        <v>3002.604</v>
      </c>
      <c r="G5195">
        <v>18</v>
      </c>
      <c r="L5195" t="s">
        <v>14731</v>
      </c>
    </row>
    <row r="5196" spans="1:12" x14ac:dyDescent="0.25">
      <c r="A5196" t="s">
        <v>18</v>
      </c>
      <c r="B5196" t="s">
        <v>14731</v>
      </c>
      <c r="C5196" t="s">
        <v>14732</v>
      </c>
      <c r="D5196" t="s">
        <v>20</v>
      </c>
      <c r="E5196" t="s">
        <v>11</v>
      </c>
      <c r="F5196">
        <v>2937.3300000000004</v>
      </c>
      <c r="G5196">
        <v>18</v>
      </c>
      <c r="L5196" t="s">
        <v>14733</v>
      </c>
    </row>
    <row r="5197" spans="1:12" x14ac:dyDescent="0.25">
      <c r="A5197" t="s">
        <v>18</v>
      </c>
      <c r="B5197" t="s">
        <v>14733</v>
      </c>
      <c r="C5197" t="s">
        <v>14734</v>
      </c>
      <c r="D5197" t="s">
        <v>20</v>
      </c>
      <c r="E5197" t="s">
        <v>11</v>
      </c>
      <c r="F5197">
        <v>3851.166</v>
      </c>
      <c r="G5197">
        <v>18</v>
      </c>
      <c r="L5197" t="s">
        <v>14735</v>
      </c>
    </row>
    <row r="5198" spans="1:12" x14ac:dyDescent="0.25">
      <c r="A5198" t="s">
        <v>18</v>
      </c>
      <c r="B5198" t="s">
        <v>14735</v>
      </c>
      <c r="C5198" t="s">
        <v>14736</v>
      </c>
      <c r="D5198" t="s">
        <v>20</v>
      </c>
      <c r="E5198" t="s">
        <v>11</v>
      </c>
      <c r="F5198">
        <v>3328.9739999999997</v>
      </c>
      <c r="G5198">
        <v>18</v>
      </c>
      <c r="L5198" t="s">
        <v>14737</v>
      </c>
    </row>
    <row r="5199" spans="1:12" x14ac:dyDescent="0.25">
      <c r="A5199" t="s">
        <v>18</v>
      </c>
      <c r="B5199" t="s">
        <v>14737</v>
      </c>
      <c r="C5199" t="s">
        <v>14738</v>
      </c>
      <c r="D5199" t="s">
        <v>20</v>
      </c>
      <c r="E5199" t="s">
        <v>11</v>
      </c>
      <c r="F5199">
        <v>4960.8240000000005</v>
      </c>
      <c r="G5199">
        <v>18</v>
      </c>
      <c r="L5199" t="s">
        <v>14739</v>
      </c>
    </row>
    <row r="5200" spans="1:12" x14ac:dyDescent="0.25">
      <c r="A5200" t="s">
        <v>18</v>
      </c>
      <c r="B5200" t="s">
        <v>14739</v>
      </c>
      <c r="C5200" t="s">
        <v>14740</v>
      </c>
      <c r="D5200" t="s">
        <v>20</v>
      </c>
      <c r="E5200" t="s">
        <v>11</v>
      </c>
      <c r="F5200">
        <v>2937.3300000000004</v>
      </c>
      <c r="G5200">
        <v>18</v>
      </c>
      <c r="L5200" t="s">
        <v>14741</v>
      </c>
    </row>
    <row r="5201" spans="1:12" x14ac:dyDescent="0.25">
      <c r="A5201" t="s">
        <v>18</v>
      </c>
      <c r="B5201" t="s">
        <v>14741</v>
      </c>
      <c r="C5201" t="s">
        <v>14742</v>
      </c>
      <c r="D5201" t="s">
        <v>20</v>
      </c>
      <c r="E5201" t="s">
        <v>11</v>
      </c>
      <c r="F5201">
        <v>3328.9739999999997</v>
      </c>
      <c r="G5201">
        <v>18</v>
      </c>
      <c r="L5201" t="s">
        <v>14743</v>
      </c>
    </row>
    <row r="5202" spans="1:12" x14ac:dyDescent="0.25">
      <c r="A5202" t="s">
        <v>18</v>
      </c>
      <c r="B5202" t="s">
        <v>14743</v>
      </c>
      <c r="C5202" t="s">
        <v>14744</v>
      </c>
      <c r="D5202" t="s">
        <v>20</v>
      </c>
      <c r="E5202" t="s">
        <v>11</v>
      </c>
      <c r="F5202">
        <v>3133.1519999999996</v>
      </c>
      <c r="G5202">
        <v>18</v>
      </c>
      <c r="L5202" t="s">
        <v>14745</v>
      </c>
    </row>
    <row r="5203" spans="1:12" x14ac:dyDescent="0.25">
      <c r="A5203" t="s">
        <v>18</v>
      </c>
      <c r="B5203" t="s">
        <v>14745</v>
      </c>
      <c r="C5203" t="s">
        <v>14746</v>
      </c>
      <c r="D5203" t="s">
        <v>20</v>
      </c>
      <c r="E5203" t="s">
        <v>11</v>
      </c>
      <c r="F5203">
        <v>4830.276</v>
      </c>
      <c r="G5203">
        <v>18</v>
      </c>
      <c r="L5203" t="s">
        <v>14747</v>
      </c>
    </row>
    <row r="5204" spans="1:12" x14ac:dyDescent="0.25">
      <c r="A5204" t="s">
        <v>18</v>
      </c>
      <c r="B5204" t="s">
        <v>14747</v>
      </c>
      <c r="C5204" t="s">
        <v>14748</v>
      </c>
      <c r="D5204" t="s">
        <v>20</v>
      </c>
      <c r="E5204" t="s">
        <v>11</v>
      </c>
      <c r="F5204">
        <v>4830.276</v>
      </c>
      <c r="G5204">
        <v>18</v>
      </c>
      <c r="L5204" t="s">
        <v>14749</v>
      </c>
    </row>
    <row r="5205" spans="1:12" x14ac:dyDescent="0.25">
      <c r="A5205" t="s">
        <v>18</v>
      </c>
      <c r="B5205" t="s">
        <v>14749</v>
      </c>
      <c r="C5205" t="s">
        <v>14750</v>
      </c>
      <c r="D5205" t="s">
        <v>20</v>
      </c>
      <c r="E5205" t="s">
        <v>11</v>
      </c>
      <c r="F5205">
        <v>2676.234</v>
      </c>
      <c r="G5205">
        <v>18</v>
      </c>
      <c r="L5205" t="s">
        <v>14751</v>
      </c>
    </row>
    <row r="5206" spans="1:12" x14ac:dyDescent="0.25">
      <c r="A5206" t="s">
        <v>18</v>
      </c>
      <c r="B5206" t="s">
        <v>14751</v>
      </c>
      <c r="C5206" t="s">
        <v>14752</v>
      </c>
      <c r="D5206" t="s">
        <v>20</v>
      </c>
      <c r="E5206" t="s">
        <v>11</v>
      </c>
      <c r="F5206">
        <v>4177.536</v>
      </c>
      <c r="G5206">
        <v>18</v>
      </c>
      <c r="L5206" t="s">
        <v>14753</v>
      </c>
    </row>
    <row r="5207" spans="1:12" x14ac:dyDescent="0.25">
      <c r="A5207" t="s">
        <v>18</v>
      </c>
      <c r="B5207" t="s">
        <v>14753</v>
      </c>
      <c r="C5207" t="s">
        <v>14754</v>
      </c>
      <c r="D5207" t="s">
        <v>20</v>
      </c>
      <c r="E5207" t="s">
        <v>11</v>
      </c>
      <c r="F5207">
        <v>4634.454</v>
      </c>
      <c r="G5207">
        <v>18</v>
      </c>
      <c r="L5207" t="s">
        <v>14755</v>
      </c>
    </row>
    <row r="5208" spans="1:12" x14ac:dyDescent="0.25">
      <c r="A5208" t="s">
        <v>18</v>
      </c>
      <c r="B5208" t="s">
        <v>14755</v>
      </c>
      <c r="C5208" t="s">
        <v>14756</v>
      </c>
      <c r="D5208" t="s">
        <v>20</v>
      </c>
      <c r="E5208" t="s">
        <v>11</v>
      </c>
      <c r="F5208">
        <v>4634.454</v>
      </c>
      <c r="G5208">
        <v>18</v>
      </c>
      <c r="L5208" t="s">
        <v>14757</v>
      </c>
    </row>
    <row r="5209" spans="1:12" x14ac:dyDescent="0.25">
      <c r="A5209" t="s">
        <v>18</v>
      </c>
      <c r="B5209" t="s">
        <v>14757</v>
      </c>
      <c r="C5209" t="s">
        <v>14758</v>
      </c>
      <c r="D5209" t="s">
        <v>20</v>
      </c>
      <c r="E5209" t="s">
        <v>11</v>
      </c>
      <c r="F5209">
        <v>4634.454</v>
      </c>
      <c r="G5209">
        <v>18</v>
      </c>
      <c r="L5209" t="s">
        <v>14759</v>
      </c>
    </row>
    <row r="5210" spans="1:12" x14ac:dyDescent="0.25">
      <c r="A5210" t="s">
        <v>18</v>
      </c>
      <c r="B5210" t="s">
        <v>14759</v>
      </c>
      <c r="C5210" t="s">
        <v>14760</v>
      </c>
      <c r="D5210" t="s">
        <v>20</v>
      </c>
      <c r="E5210" t="s">
        <v>11</v>
      </c>
      <c r="F5210">
        <v>4634.454</v>
      </c>
      <c r="G5210">
        <v>18</v>
      </c>
      <c r="L5210" t="s">
        <v>14761</v>
      </c>
    </row>
    <row r="5211" spans="1:12" x14ac:dyDescent="0.25">
      <c r="A5211" t="s">
        <v>18</v>
      </c>
      <c r="B5211" t="s">
        <v>14761</v>
      </c>
      <c r="C5211" t="s">
        <v>14762</v>
      </c>
      <c r="D5211" t="s">
        <v>20</v>
      </c>
      <c r="E5211" t="s">
        <v>11</v>
      </c>
      <c r="F5211">
        <v>2937.3300000000004</v>
      </c>
      <c r="G5211">
        <v>18</v>
      </c>
      <c r="L5211" t="s">
        <v>14763</v>
      </c>
    </row>
    <row r="5212" spans="1:12" x14ac:dyDescent="0.25">
      <c r="A5212" t="s">
        <v>18</v>
      </c>
      <c r="B5212" t="s">
        <v>14763</v>
      </c>
      <c r="C5212" t="s">
        <v>14764</v>
      </c>
      <c r="D5212" t="s">
        <v>20</v>
      </c>
      <c r="E5212" t="s">
        <v>11</v>
      </c>
      <c r="F5212">
        <v>2937.3300000000004</v>
      </c>
      <c r="G5212">
        <v>18</v>
      </c>
      <c r="L5212" t="s">
        <v>14765</v>
      </c>
    </row>
    <row r="5213" spans="1:12" x14ac:dyDescent="0.25">
      <c r="A5213" t="s">
        <v>18</v>
      </c>
      <c r="B5213" t="s">
        <v>14765</v>
      </c>
      <c r="C5213" t="s">
        <v>14766</v>
      </c>
      <c r="D5213" t="s">
        <v>20</v>
      </c>
      <c r="E5213" t="s">
        <v>11</v>
      </c>
      <c r="F5213">
        <v>3002.604</v>
      </c>
      <c r="G5213">
        <v>18</v>
      </c>
      <c r="L5213" t="s">
        <v>14767</v>
      </c>
    </row>
    <row r="5214" spans="1:12" x14ac:dyDescent="0.25">
      <c r="A5214" t="s">
        <v>18</v>
      </c>
      <c r="B5214" t="s">
        <v>14767</v>
      </c>
      <c r="C5214" t="s">
        <v>14768</v>
      </c>
      <c r="D5214" t="s">
        <v>20</v>
      </c>
      <c r="E5214" t="s">
        <v>11</v>
      </c>
      <c r="F5214">
        <v>3328.9739999999997</v>
      </c>
      <c r="G5214">
        <v>18</v>
      </c>
      <c r="L5214" t="s">
        <v>14769</v>
      </c>
    </row>
    <row r="5215" spans="1:12" x14ac:dyDescent="0.25">
      <c r="A5215" t="s">
        <v>18</v>
      </c>
      <c r="B5215" t="s">
        <v>14769</v>
      </c>
      <c r="C5215" t="s">
        <v>14770</v>
      </c>
      <c r="D5215" t="s">
        <v>20</v>
      </c>
      <c r="E5215" t="s">
        <v>11</v>
      </c>
      <c r="F5215">
        <v>3720.6179999999995</v>
      </c>
      <c r="G5215">
        <v>18</v>
      </c>
      <c r="L5215" t="s">
        <v>14771</v>
      </c>
    </row>
    <row r="5216" spans="1:12" x14ac:dyDescent="0.25">
      <c r="A5216" t="s">
        <v>18</v>
      </c>
      <c r="B5216" t="s">
        <v>14771</v>
      </c>
      <c r="C5216" t="s">
        <v>14772</v>
      </c>
      <c r="D5216" t="s">
        <v>20</v>
      </c>
      <c r="E5216" t="s">
        <v>11</v>
      </c>
      <c r="F5216">
        <v>4634.454</v>
      </c>
      <c r="G5216">
        <v>18</v>
      </c>
      <c r="L5216" t="s">
        <v>14773</v>
      </c>
    </row>
    <row r="5217" spans="1:12" x14ac:dyDescent="0.25">
      <c r="A5217" t="s">
        <v>18</v>
      </c>
      <c r="B5217" t="s">
        <v>14773</v>
      </c>
      <c r="C5217" t="s">
        <v>14774</v>
      </c>
      <c r="D5217" t="s">
        <v>20</v>
      </c>
      <c r="E5217" t="s">
        <v>11</v>
      </c>
      <c r="F5217">
        <v>4634.454</v>
      </c>
      <c r="G5217">
        <v>18</v>
      </c>
      <c r="L5217" t="s">
        <v>14775</v>
      </c>
    </row>
    <row r="5218" spans="1:12" x14ac:dyDescent="0.25">
      <c r="A5218" t="s">
        <v>18</v>
      </c>
      <c r="B5218" t="s">
        <v>14775</v>
      </c>
      <c r="C5218" t="s">
        <v>14776</v>
      </c>
      <c r="D5218" t="s">
        <v>20</v>
      </c>
      <c r="E5218" t="s">
        <v>11</v>
      </c>
      <c r="F5218">
        <v>2610.96</v>
      </c>
      <c r="G5218">
        <v>18</v>
      </c>
      <c r="L5218" t="s">
        <v>14777</v>
      </c>
    </row>
    <row r="5219" spans="1:12" x14ac:dyDescent="0.25">
      <c r="A5219" t="s">
        <v>18</v>
      </c>
      <c r="B5219" t="s">
        <v>14777</v>
      </c>
      <c r="C5219" t="s">
        <v>14778</v>
      </c>
      <c r="D5219" t="s">
        <v>20</v>
      </c>
      <c r="E5219" t="s">
        <v>11</v>
      </c>
      <c r="F5219">
        <v>2741.508</v>
      </c>
      <c r="G5219">
        <v>18</v>
      </c>
      <c r="L5219" t="s">
        <v>14779</v>
      </c>
    </row>
    <row r="5220" spans="1:12" x14ac:dyDescent="0.25">
      <c r="A5220" t="s">
        <v>18</v>
      </c>
      <c r="B5220" t="s">
        <v>14779</v>
      </c>
      <c r="C5220" t="s">
        <v>14780</v>
      </c>
      <c r="D5220" t="s">
        <v>20</v>
      </c>
      <c r="E5220" t="s">
        <v>11</v>
      </c>
      <c r="F5220">
        <v>2741.508</v>
      </c>
      <c r="G5220">
        <v>18</v>
      </c>
      <c r="L5220" t="s">
        <v>14781</v>
      </c>
    </row>
    <row r="5221" spans="1:12" x14ac:dyDescent="0.25">
      <c r="A5221" t="s">
        <v>18</v>
      </c>
      <c r="B5221" t="s">
        <v>14781</v>
      </c>
      <c r="C5221" t="s">
        <v>14782</v>
      </c>
      <c r="D5221" t="s">
        <v>20</v>
      </c>
      <c r="E5221" t="s">
        <v>11</v>
      </c>
      <c r="F5221">
        <v>3263.7</v>
      </c>
      <c r="G5221">
        <v>18</v>
      </c>
      <c r="L5221" t="s">
        <v>14783</v>
      </c>
    </row>
    <row r="5222" spans="1:12" x14ac:dyDescent="0.25">
      <c r="A5222" t="s">
        <v>18</v>
      </c>
      <c r="B5222" t="s">
        <v>14783</v>
      </c>
      <c r="C5222" t="s">
        <v>14784</v>
      </c>
      <c r="D5222" t="s">
        <v>20</v>
      </c>
      <c r="E5222" t="s">
        <v>11</v>
      </c>
      <c r="F5222">
        <v>4765.0019999999995</v>
      </c>
      <c r="G5222">
        <v>18</v>
      </c>
      <c r="L5222" t="s">
        <v>14785</v>
      </c>
    </row>
    <row r="5223" spans="1:12" x14ac:dyDescent="0.25">
      <c r="A5223" t="s">
        <v>18</v>
      </c>
      <c r="B5223" t="s">
        <v>14785</v>
      </c>
      <c r="C5223" t="s">
        <v>14786</v>
      </c>
      <c r="D5223" t="s">
        <v>20</v>
      </c>
      <c r="E5223" t="s">
        <v>11</v>
      </c>
      <c r="F5223">
        <v>2937.3300000000004</v>
      </c>
      <c r="G5223">
        <v>18</v>
      </c>
      <c r="L5223" t="s">
        <v>14787</v>
      </c>
    </row>
    <row r="5224" spans="1:12" x14ac:dyDescent="0.25">
      <c r="A5224" t="s">
        <v>18</v>
      </c>
      <c r="B5224" t="s">
        <v>14787</v>
      </c>
      <c r="C5224" t="s">
        <v>14788</v>
      </c>
      <c r="D5224" t="s">
        <v>20</v>
      </c>
      <c r="E5224" t="s">
        <v>11</v>
      </c>
      <c r="F5224">
        <v>3133.1519999999996</v>
      </c>
      <c r="G5224">
        <v>18</v>
      </c>
      <c r="L5224" t="s">
        <v>14789</v>
      </c>
    </row>
    <row r="5225" spans="1:12" x14ac:dyDescent="0.25">
      <c r="A5225" t="s">
        <v>18</v>
      </c>
      <c r="B5225" t="s">
        <v>14789</v>
      </c>
      <c r="C5225" t="s">
        <v>14790</v>
      </c>
      <c r="D5225" t="s">
        <v>20</v>
      </c>
      <c r="E5225" t="s">
        <v>11</v>
      </c>
      <c r="F5225">
        <v>3133.1519999999996</v>
      </c>
      <c r="G5225">
        <v>18</v>
      </c>
      <c r="L5225" t="s">
        <v>14791</v>
      </c>
    </row>
    <row r="5226" spans="1:12" x14ac:dyDescent="0.25">
      <c r="A5226" t="s">
        <v>18</v>
      </c>
      <c r="B5226" t="s">
        <v>14791</v>
      </c>
      <c r="C5226" t="s">
        <v>14792</v>
      </c>
      <c r="D5226" t="s">
        <v>20</v>
      </c>
      <c r="E5226" t="s">
        <v>11</v>
      </c>
      <c r="F5226">
        <v>2741.508</v>
      </c>
      <c r="G5226">
        <v>18</v>
      </c>
      <c r="L5226" t="s">
        <v>14793</v>
      </c>
    </row>
    <row r="5227" spans="1:12" x14ac:dyDescent="0.25">
      <c r="A5227" t="s">
        <v>18</v>
      </c>
      <c r="B5227" t="s">
        <v>14793</v>
      </c>
      <c r="C5227" t="s">
        <v>14794</v>
      </c>
      <c r="D5227" t="s">
        <v>20</v>
      </c>
      <c r="E5227" t="s">
        <v>11</v>
      </c>
      <c r="F5227">
        <v>2937.3300000000004</v>
      </c>
      <c r="G5227">
        <v>18</v>
      </c>
      <c r="L5227" t="s">
        <v>14795</v>
      </c>
    </row>
    <row r="5228" spans="1:12" x14ac:dyDescent="0.25">
      <c r="A5228" t="s">
        <v>18</v>
      </c>
      <c r="B5228" t="s">
        <v>14795</v>
      </c>
      <c r="C5228" t="s">
        <v>14796</v>
      </c>
      <c r="D5228" t="s">
        <v>20</v>
      </c>
      <c r="E5228" t="s">
        <v>11</v>
      </c>
      <c r="F5228">
        <v>3002.604</v>
      </c>
      <c r="G5228">
        <v>18</v>
      </c>
      <c r="L5228" t="s">
        <v>14797</v>
      </c>
    </row>
    <row r="5229" spans="1:12" x14ac:dyDescent="0.25">
      <c r="A5229" t="s">
        <v>18</v>
      </c>
      <c r="B5229" t="s">
        <v>14797</v>
      </c>
      <c r="C5229" t="s">
        <v>14798</v>
      </c>
      <c r="D5229" t="s">
        <v>20</v>
      </c>
      <c r="E5229" t="s">
        <v>11</v>
      </c>
      <c r="F5229">
        <v>3328.9739999999997</v>
      </c>
      <c r="G5229">
        <v>18</v>
      </c>
      <c r="L5229" t="s">
        <v>14799</v>
      </c>
    </row>
    <row r="5230" spans="1:12" x14ac:dyDescent="0.25">
      <c r="A5230" t="s">
        <v>18</v>
      </c>
      <c r="B5230" t="s">
        <v>14799</v>
      </c>
      <c r="C5230" t="s">
        <v>14800</v>
      </c>
      <c r="D5230" t="s">
        <v>20</v>
      </c>
      <c r="E5230" t="s">
        <v>11</v>
      </c>
      <c r="F5230">
        <v>3720.6179999999995</v>
      </c>
      <c r="G5230">
        <v>18</v>
      </c>
      <c r="L5230" t="s">
        <v>14801</v>
      </c>
    </row>
    <row r="5231" spans="1:12" x14ac:dyDescent="0.25">
      <c r="A5231" t="s">
        <v>18</v>
      </c>
      <c r="B5231" t="s">
        <v>14801</v>
      </c>
      <c r="C5231" t="s">
        <v>14802</v>
      </c>
      <c r="D5231" t="s">
        <v>20</v>
      </c>
      <c r="E5231" t="s">
        <v>11</v>
      </c>
      <c r="F5231">
        <v>4112.262</v>
      </c>
      <c r="G5231">
        <v>18</v>
      </c>
      <c r="L5231" t="s">
        <v>14803</v>
      </c>
    </row>
    <row r="5232" spans="1:12" x14ac:dyDescent="0.25">
      <c r="A5232" t="s">
        <v>18</v>
      </c>
      <c r="B5232" t="s">
        <v>14803</v>
      </c>
      <c r="C5232" t="s">
        <v>14804</v>
      </c>
      <c r="D5232" t="s">
        <v>20</v>
      </c>
      <c r="E5232" t="s">
        <v>11</v>
      </c>
      <c r="F5232">
        <v>4634.454</v>
      </c>
      <c r="G5232">
        <v>18</v>
      </c>
      <c r="L5232" t="s">
        <v>14805</v>
      </c>
    </row>
    <row r="5233" spans="1:12" x14ac:dyDescent="0.25">
      <c r="A5233" t="s">
        <v>18</v>
      </c>
      <c r="B5233" t="s">
        <v>14805</v>
      </c>
      <c r="C5233" t="s">
        <v>14806</v>
      </c>
      <c r="D5233" t="s">
        <v>20</v>
      </c>
      <c r="E5233" t="s">
        <v>11</v>
      </c>
      <c r="F5233">
        <v>2741.508</v>
      </c>
      <c r="G5233">
        <v>18</v>
      </c>
      <c r="L5233" t="s">
        <v>14807</v>
      </c>
    </row>
    <row r="5234" spans="1:12" x14ac:dyDescent="0.25">
      <c r="A5234" t="s">
        <v>18</v>
      </c>
      <c r="B5234" t="s">
        <v>14807</v>
      </c>
      <c r="C5234" t="s">
        <v>14808</v>
      </c>
      <c r="D5234" t="s">
        <v>20</v>
      </c>
      <c r="E5234" t="s">
        <v>11</v>
      </c>
      <c r="F5234">
        <v>2872.056</v>
      </c>
      <c r="G5234">
        <v>18</v>
      </c>
      <c r="L5234" t="s">
        <v>14809</v>
      </c>
    </row>
    <row r="5235" spans="1:12" x14ac:dyDescent="0.25">
      <c r="A5235" t="s">
        <v>18</v>
      </c>
      <c r="B5235" t="s">
        <v>14809</v>
      </c>
      <c r="C5235" t="s">
        <v>14810</v>
      </c>
      <c r="D5235" t="s">
        <v>20</v>
      </c>
      <c r="E5235" t="s">
        <v>11</v>
      </c>
      <c r="F5235">
        <v>3002.604</v>
      </c>
      <c r="G5235">
        <v>18</v>
      </c>
      <c r="L5235" t="s">
        <v>14811</v>
      </c>
    </row>
    <row r="5236" spans="1:12" x14ac:dyDescent="0.25">
      <c r="A5236" t="s">
        <v>18</v>
      </c>
      <c r="B5236" t="s">
        <v>14811</v>
      </c>
      <c r="C5236" t="s">
        <v>14812</v>
      </c>
      <c r="D5236" t="s">
        <v>20</v>
      </c>
      <c r="E5236" t="s">
        <v>11</v>
      </c>
      <c r="F5236">
        <v>3328.9739999999997</v>
      </c>
      <c r="G5236">
        <v>18</v>
      </c>
      <c r="L5236" t="s">
        <v>14813</v>
      </c>
    </row>
    <row r="5237" spans="1:12" x14ac:dyDescent="0.25">
      <c r="A5237" t="s">
        <v>18</v>
      </c>
      <c r="B5237" t="s">
        <v>14813</v>
      </c>
      <c r="C5237" t="s">
        <v>14814</v>
      </c>
      <c r="D5237" t="s">
        <v>20</v>
      </c>
      <c r="E5237" t="s">
        <v>11</v>
      </c>
      <c r="F5237">
        <v>3720.6179999999995</v>
      </c>
      <c r="G5237">
        <v>18</v>
      </c>
      <c r="L5237" t="s">
        <v>14815</v>
      </c>
    </row>
    <row r="5238" spans="1:12" x14ac:dyDescent="0.25">
      <c r="A5238" t="s">
        <v>18</v>
      </c>
      <c r="B5238" t="s">
        <v>14815</v>
      </c>
      <c r="C5238" t="s">
        <v>14816</v>
      </c>
      <c r="D5238" t="s">
        <v>20</v>
      </c>
      <c r="E5238" t="s">
        <v>11</v>
      </c>
      <c r="F5238">
        <v>4112.262</v>
      </c>
      <c r="G5238">
        <v>18</v>
      </c>
      <c r="L5238" t="s">
        <v>14817</v>
      </c>
    </row>
    <row r="5239" spans="1:12" x14ac:dyDescent="0.25">
      <c r="A5239" t="s">
        <v>18</v>
      </c>
      <c r="B5239" t="s">
        <v>14817</v>
      </c>
      <c r="C5239" t="s">
        <v>14818</v>
      </c>
      <c r="D5239" t="s">
        <v>20</v>
      </c>
      <c r="E5239" t="s">
        <v>11</v>
      </c>
      <c r="F5239">
        <v>4830.276</v>
      </c>
      <c r="G5239">
        <v>18</v>
      </c>
      <c r="L5239" t="s">
        <v>14819</v>
      </c>
    </row>
    <row r="5240" spans="1:12" x14ac:dyDescent="0.25">
      <c r="A5240" t="s">
        <v>18</v>
      </c>
      <c r="B5240" t="s">
        <v>14819</v>
      </c>
      <c r="C5240" t="s">
        <v>14820</v>
      </c>
      <c r="D5240" t="s">
        <v>20</v>
      </c>
      <c r="E5240" t="s">
        <v>11</v>
      </c>
      <c r="F5240">
        <v>2937.3300000000004</v>
      </c>
      <c r="G5240">
        <v>18</v>
      </c>
      <c r="L5240" t="s">
        <v>14821</v>
      </c>
    </row>
    <row r="5241" spans="1:12" x14ac:dyDescent="0.25">
      <c r="A5241" t="s">
        <v>18</v>
      </c>
      <c r="B5241" t="s">
        <v>14821</v>
      </c>
      <c r="C5241" t="s">
        <v>14822</v>
      </c>
      <c r="D5241" t="s">
        <v>20</v>
      </c>
      <c r="E5241" t="s">
        <v>11</v>
      </c>
      <c r="F5241">
        <v>2872.056</v>
      </c>
      <c r="G5241">
        <v>18</v>
      </c>
      <c r="L5241" t="s">
        <v>14823</v>
      </c>
    </row>
    <row r="5242" spans="1:12" x14ac:dyDescent="0.25">
      <c r="A5242" t="s">
        <v>18</v>
      </c>
      <c r="B5242" t="s">
        <v>14823</v>
      </c>
      <c r="C5242" t="s">
        <v>14824</v>
      </c>
      <c r="D5242" t="s">
        <v>20</v>
      </c>
      <c r="E5242" t="s">
        <v>11</v>
      </c>
      <c r="F5242">
        <v>2741.508</v>
      </c>
      <c r="G5242">
        <v>18</v>
      </c>
      <c r="L5242" t="s">
        <v>14825</v>
      </c>
    </row>
    <row r="5243" spans="1:12" x14ac:dyDescent="0.25">
      <c r="A5243" t="s">
        <v>18</v>
      </c>
      <c r="B5243" t="s">
        <v>14825</v>
      </c>
      <c r="C5243" t="s">
        <v>14826</v>
      </c>
      <c r="D5243" t="s">
        <v>20</v>
      </c>
      <c r="E5243" t="s">
        <v>11</v>
      </c>
      <c r="F5243">
        <v>6135.755999999999</v>
      </c>
      <c r="G5243">
        <v>18</v>
      </c>
      <c r="L5243" t="s">
        <v>14827</v>
      </c>
    </row>
    <row r="5244" spans="1:12" x14ac:dyDescent="0.25">
      <c r="A5244" t="s">
        <v>18</v>
      </c>
      <c r="B5244" t="s">
        <v>14827</v>
      </c>
      <c r="C5244" t="s">
        <v>14828</v>
      </c>
      <c r="D5244" t="s">
        <v>20</v>
      </c>
      <c r="E5244" t="s">
        <v>11</v>
      </c>
      <c r="F5244">
        <v>3002.604</v>
      </c>
      <c r="G5244">
        <v>18</v>
      </c>
      <c r="L5244" t="s">
        <v>14829</v>
      </c>
    </row>
    <row r="5245" spans="1:12" x14ac:dyDescent="0.25">
      <c r="A5245" t="s">
        <v>18</v>
      </c>
      <c r="B5245" t="s">
        <v>14829</v>
      </c>
      <c r="C5245" t="s">
        <v>14830</v>
      </c>
      <c r="D5245" t="s">
        <v>20</v>
      </c>
      <c r="E5245" t="s">
        <v>11</v>
      </c>
      <c r="F5245">
        <v>3328.9739999999997</v>
      </c>
      <c r="G5245">
        <v>18</v>
      </c>
      <c r="L5245" t="s">
        <v>14831</v>
      </c>
    </row>
    <row r="5246" spans="1:12" x14ac:dyDescent="0.25">
      <c r="A5246" t="s">
        <v>18</v>
      </c>
      <c r="B5246" t="s">
        <v>14831</v>
      </c>
      <c r="C5246" t="s">
        <v>14832</v>
      </c>
      <c r="D5246" t="s">
        <v>20</v>
      </c>
      <c r="E5246" t="s">
        <v>11</v>
      </c>
      <c r="F5246">
        <v>3720.6179999999995</v>
      </c>
      <c r="G5246">
        <v>18</v>
      </c>
      <c r="L5246" t="s">
        <v>14833</v>
      </c>
    </row>
    <row r="5247" spans="1:12" x14ac:dyDescent="0.25">
      <c r="A5247" t="s">
        <v>18</v>
      </c>
      <c r="B5247" t="s">
        <v>14833</v>
      </c>
      <c r="C5247" t="s">
        <v>14834</v>
      </c>
      <c r="D5247" t="s">
        <v>20</v>
      </c>
      <c r="E5247" t="s">
        <v>11</v>
      </c>
      <c r="F5247">
        <v>2741.508</v>
      </c>
      <c r="G5247">
        <v>18</v>
      </c>
      <c r="L5247" t="s">
        <v>14835</v>
      </c>
    </row>
    <row r="5248" spans="1:12" x14ac:dyDescent="0.25">
      <c r="A5248" t="s">
        <v>18</v>
      </c>
      <c r="B5248" t="s">
        <v>14835</v>
      </c>
      <c r="C5248" t="s">
        <v>14836</v>
      </c>
      <c r="D5248" t="s">
        <v>20</v>
      </c>
      <c r="E5248" t="s">
        <v>11</v>
      </c>
      <c r="F5248">
        <v>7049.592000000001</v>
      </c>
      <c r="G5248">
        <v>18</v>
      </c>
      <c r="L5248" t="s">
        <v>14837</v>
      </c>
    </row>
    <row r="5249" spans="1:12" x14ac:dyDescent="0.25">
      <c r="A5249" t="s">
        <v>18</v>
      </c>
      <c r="B5249" t="s">
        <v>14837</v>
      </c>
      <c r="C5249" t="s">
        <v>14838</v>
      </c>
      <c r="D5249" t="s">
        <v>20</v>
      </c>
      <c r="E5249" t="s">
        <v>11</v>
      </c>
      <c r="F5249">
        <v>3720.6179999999995</v>
      </c>
      <c r="G5249">
        <v>18</v>
      </c>
      <c r="L5249" t="s">
        <v>14839</v>
      </c>
    </row>
    <row r="5250" spans="1:12" x14ac:dyDescent="0.25">
      <c r="A5250" t="s">
        <v>18</v>
      </c>
      <c r="B5250" t="s">
        <v>14839</v>
      </c>
      <c r="C5250" t="s">
        <v>14840</v>
      </c>
      <c r="D5250" t="s">
        <v>20</v>
      </c>
      <c r="E5250" t="s">
        <v>11</v>
      </c>
      <c r="F5250">
        <v>3263.7</v>
      </c>
      <c r="G5250">
        <v>18</v>
      </c>
      <c r="L5250" t="s">
        <v>14841</v>
      </c>
    </row>
    <row r="5251" spans="1:12" x14ac:dyDescent="0.25">
      <c r="A5251" t="s">
        <v>18</v>
      </c>
      <c r="B5251" t="s">
        <v>14841</v>
      </c>
      <c r="C5251" t="s">
        <v>14842</v>
      </c>
      <c r="D5251" t="s">
        <v>20</v>
      </c>
      <c r="E5251" t="s">
        <v>11</v>
      </c>
      <c r="F5251">
        <v>2088.768</v>
      </c>
      <c r="G5251">
        <v>18</v>
      </c>
      <c r="L5251" t="s">
        <v>14843</v>
      </c>
    </row>
    <row r="5252" spans="1:12" x14ac:dyDescent="0.25">
      <c r="A5252" t="s">
        <v>18</v>
      </c>
      <c r="B5252" t="s">
        <v>14843</v>
      </c>
      <c r="C5252" t="s">
        <v>14844</v>
      </c>
      <c r="D5252" t="s">
        <v>20</v>
      </c>
      <c r="E5252" t="s">
        <v>11</v>
      </c>
      <c r="F5252">
        <v>3720.6179999999995</v>
      </c>
      <c r="G5252">
        <v>18</v>
      </c>
      <c r="L5252" t="s">
        <v>14845</v>
      </c>
    </row>
    <row r="5253" spans="1:12" x14ac:dyDescent="0.25">
      <c r="A5253" t="s">
        <v>18</v>
      </c>
      <c r="B5253" t="s">
        <v>14845</v>
      </c>
      <c r="C5253" t="s">
        <v>14846</v>
      </c>
      <c r="D5253" t="s">
        <v>20</v>
      </c>
      <c r="E5253" t="s">
        <v>11</v>
      </c>
      <c r="F5253">
        <v>3720.6179999999995</v>
      </c>
      <c r="G5253">
        <v>18</v>
      </c>
      <c r="L5253" t="s">
        <v>14847</v>
      </c>
    </row>
    <row r="5254" spans="1:12" x14ac:dyDescent="0.25">
      <c r="A5254" t="s">
        <v>18</v>
      </c>
      <c r="B5254" t="s">
        <v>14847</v>
      </c>
      <c r="C5254" t="s">
        <v>14848</v>
      </c>
      <c r="D5254" t="s">
        <v>20</v>
      </c>
      <c r="E5254" t="s">
        <v>11</v>
      </c>
      <c r="F5254">
        <v>3394.2479999999996</v>
      </c>
      <c r="G5254">
        <v>18</v>
      </c>
      <c r="L5254" t="s">
        <v>14849</v>
      </c>
    </row>
    <row r="5255" spans="1:12" x14ac:dyDescent="0.25">
      <c r="A5255" t="s">
        <v>18</v>
      </c>
      <c r="B5255" t="s">
        <v>14849</v>
      </c>
      <c r="C5255" t="s">
        <v>14850</v>
      </c>
      <c r="D5255" t="s">
        <v>20</v>
      </c>
      <c r="E5255" t="s">
        <v>11</v>
      </c>
      <c r="F5255">
        <v>3394.2479999999996</v>
      </c>
      <c r="G5255">
        <v>18</v>
      </c>
      <c r="L5255" t="s">
        <v>14851</v>
      </c>
    </row>
    <row r="5256" spans="1:12" x14ac:dyDescent="0.25">
      <c r="A5256" t="s">
        <v>18</v>
      </c>
      <c r="B5256" t="s">
        <v>14851</v>
      </c>
      <c r="C5256" t="s">
        <v>14852</v>
      </c>
      <c r="D5256" t="s">
        <v>20</v>
      </c>
      <c r="E5256" t="s">
        <v>11</v>
      </c>
      <c r="F5256">
        <v>6723.222000000001</v>
      </c>
      <c r="G5256">
        <v>18</v>
      </c>
      <c r="L5256" t="s">
        <v>14853</v>
      </c>
    </row>
    <row r="5257" spans="1:12" x14ac:dyDescent="0.25">
      <c r="A5257" t="s">
        <v>18</v>
      </c>
      <c r="B5257" t="s">
        <v>14853</v>
      </c>
      <c r="C5257" t="s">
        <v>14854</v>
      </c>
      <c r="D5257" t="s">
        <v>20</v>
      </c>
      <c r="E5257" t="s">
        <v>11</v>
      </c>
      <c r="F5257">
        <v>6723.222000000001</v>
      </c>
      <c r="G5257">
        <v>18</v>
      </c>
      <c r="L5257" t="s">
        <v>14855</v>
      </c>
    </row>
    <row r="5258" spans="1:12" x14ac:dyDescent="0.25">
      <c r="A5258" t="s">
        <v>18</v>
      </c>
      <c r="B5258" t="s">
        <v>14855</v>
      </c>
      <c r="C5258" t="s">
        <v>14856</v>
      </c>
      <c r="D5258" t="s">
        <v>20</v>
      </c>
      <c r="E5258" t="s">
        <v>11</v>
      </c>
      <c r="F5258">
        <v>4503.906</v>
      </c>
      <c r="G5258">
        <v>18</v>
      </c>
      <c r="L5258" t="s">
        <v>14857</v>
      </c>
    </row>
    <row r="5259" spans="1:12" x14ac:dyDescent="0.25">
      <c r="A5259" t="s">
        <v>18</v>
      </c>
      <c r="B5259" t="s">
        <v>14857</v>
      </c>
      <c r="C5259" t="s">
        <v>14858</v>
      </c>
      <c r="D5259" t="s">
        <v>20</v>
      </c>
      <c r="E5259" t="s">
        <v>11</v>
      </c>
      <c r="F5259">
        <v>6788.495999999999</v>
      </c>
      <c r="G5259">
        <v>18</v>
      </c>
      <c r="L5259" t="s">
        <v>14859</v>
      </c>
    </row>
    <row r="5260" spans="1:12" x14ac:dyDescent="0.25">
      <c r="A5260" t="s">
        <v>18</v>
      </c>
      <c r="B5260" t="s">
        <v>14859</v>
      </c>
      <c r="C5260" t="s">
        <v>14860</v>
      </c>
      <c r="D5260" t="s">
        <v>20</v>
      </c>
      <c r="E5260" t="s">
        <v>11</v>
      </c>
      <c r="F5260">
        <v>5483.016</v>
      </c>
      <c r="G5260">
        <v>18</v>
      </c>
      <c r="L5260" t="s">
        <v>14861</v>
      </c>
    </row>
    <row r="5261" spans="1:12" x14ac:dyDescent="0.25">
      <c r="A5261" t="s">
        <v>18</v>
      </c>
      <c r="B5261" t="s">
        <v>14861</v>
      </c>
      <c r="C5261" t="s">
        <v>14862</v>
      </c>
      <c r="D5261" t="s">
        <v>20</v>
      </c>
      <c r="E5261" t="s">
        <v>11</v>
      </c>
      <c r="F5261">
        <v>5483.016</v>
      </c>
      <c r="G5261">
        <v>18</v>
      </c>
      <c r="L5261" t="s">
        <v>14863</v>
      </c>
    </row>
    <row r="5262" spans="1:12" x14ac:dyDescent="0.25">
      <c r="A5262" t="s">
        <v>18</v>
      </c>
      <c r="B5262" t="s">
        <v>14863</v>
      </c>
      <c r="C5262" t="s">
        <v>14864</v>
      </c>
      <c r="D5262" t="s">
        <v>20</v>
      </c>
      <c r="E5262" t="s">
        <v>11</v>
      </c>
      <c r="F5262">
        <v>5483.016</v>
      </c>
      <c r="G5262">
        <v>18</v>
      </c>
      <c r="L5262" t="s">
        <v>14865</v>
      </c>
    </row>
    <row r="5263" spans="1:12" x14ac:dyDescent="0.25">
      <c r="A5263" t="s">
        <v>18</v>
      </c>
      <c r="B5263" t="s">
        <v>14865</v>
      </c>
      <c r="C5263" t="s">
        <v>14866</v>
      </c>
      <c r="D5263" t="s">
        <v>20</v>
      </c>
      <c r="E5263" t="s">
        <v>11</v>
      </c>
      <c r="F5263">
        <v>5809.3859999999995</v>
      </c>
      <c r="G5263">
        <v>18</v>
      </c>
      <c r="L5263" t="s">
        <v>14867</v>
      </c>
    </row>
    <row r="5264" spans="1:12" x14ac:dyDescent="0.25">
      <c r="A5264" t="s">
        <v>18</v>
      </c>
      <c r="B5264" t="s">
        <v>14867</v>
      </c>
      <c r="C5264" t="s">
        <v>14868</v>
      </c>
      <c r="D5264" t="s">
        <v>20</v>
      </c>
      <c r="E5264" t="s">
        <v>11</v>
      </c>
      <c r="F5264">
        <v>5809.3859999999995</v>
      </c>
      <c r="G5264">
        <v>18</v>
      </c>
      <c r="L5264" t="s">
        <v>14869</v>
      </c>
    </row>
    <row r="5265" spans="1:12" x14ac:dyDescent="0.25">
      <c r="A5265" t="s">
        <v>18</v>
      </c>
      <c r="B5265" t="s">
        <v>14869</v>
      </c>
      <c r="C5265" t="s">
        <v>14870</v>
      </c>
      <c r="D5265" t="s">
        <v>20</v>
      </c>
      <c r="E5265" t="s">
        <v>11</v>
      </c>
      <c r="F5265">
        <v>5809.3859999999995</v>
      </c>
      <c r="G5265">
        <v>18</v>
      </c>
      <c r="L5265" t="s">
        <v>14871</v>
      </c>
    </row>
    <row r="5266" spans="1:12" x14ac:dyDescent="0.25">
      <c r="A5266" t="s">
        <v>18</v>
      </c>
      <c r="B5266" t="s">
        <v>14871</v>
      </c>
      <c r="C5266" t="s">
        <v>14872</v>
      </c>
      <c r="D5266" t="s">
        <v>20</v>
      </c>
      <c r="E5266" t="s">
        <v>11</v>
      </c>
      <c r="F5266">
        <v>5483.016</v>
      </c>
      <c r="G5266">
        <v>18</v>
      </c>
      <c r="L5266" t="s">
        <v>14873</v>
      </c>
    </row>
    <row r="5267" spans="1:12" x14ac:dyDescent="0.25">
      <c r="A5267" t="s">
        <v>18</v>
      </c>
      <c r="B5267" t="s">
        <v>14873</v>
      </c>
      <c r="C5267" t="s">
        <v>14874</v>
      </c>
      <c r="D5267" t="s">
        <v>20</v>
      </c>
      <c r="E5267" t="s">
        <v>11</v>
      </c>
      <c r="F5267">
        <v>5809.3859999999995</v>
      </c>
      <c r="G5267">
        <v>18</v>
      </c>
      <c r="L5267" t="s">
        <v>14875</v>
      </c>
    </row>
    <row r="5268" spans="1:12" x14ac:dyDescent="0.25">
      <c r="A5268" t="s">
        <v>18</v>
      </c>
      <c r="B5268" t="s">
        <v>14875</v>
      </c>
      <c r="C5268" t="s">
        <v>14876</v>
      </c>
      <c r="D5268" t="s">
        <v>20</v>
      </c>
      <c r="E5268" t="s">
        <v>11</v>
      </c>
      <c r="F5268">
        <v>4765.0019999999995</v>
      </c>
      <c r="G5268">
        <v>18</v>
      </c>
      <c r="L5268" t="s">
        <v>14877</v>
      </c>
    </row>
    <row r="5269" spans="1:12" x14ac:dyDescent="0.25">
      <c r="A5269" t="s">
        <v>18</v>
      </c>
      <c r="B5269" t="s">
        <v>14877</v>
      </c>
      <c r="C5269" t="s">
        <v>14878</v>
      </c>
      <c r="D5269" t="s">
        <v>20</v>
      </c>
      <c r="E5269" t="s">
        <v>11</v>
      </c>
      <c r="F5269">
        <v>4765.0019999999995</v>
      </c>
      <c r="G5269">
        <v>18</v>
      </c>
      <c r="L5269" t="s">
        <v>14879</v>
      </c>
    </row>
    <row r="5270" spans="1:12" x14ac:dyDescent="0.25">
      <c r="A5270" t="s">
        <v>18</v>
      </c>
      <c r="B5270" t="s">
        <v>14879</v>
      </c>
      <c r="C5270" t="s">
        <v>14880</v>
      </c>
      <c r="D5270" t="s">
        <v>20</v>
      </c>
      <c r="E5270" t="s">
        <v>11</v>
      </c>
      <c r="F5270">
        <v>4438.632</v>
      </c>
      <c r="G5270">
        <v>18</v>
      </c>
      <c r="L5270" t="s">
        <v>14881</v>
      </c>
    </row>
    <row r="5271" spans="1:12" x14ac:dyDescent="0.25">
      <c r="A5271" t="s">
        <v>18</v>
      </c>
      <c r="B5271" t="s">
        <v>14881</v>
      </c>
      <c r="C5271" t="s">
        <v>14882</v>
      </c>
      <c r="D5271" t="s">
        <v>20</v>
      </c>
      <c r="E5271" t="s">
        <v>11</v>
      </c>
      <c r="F5271">
        <v>4438.632</v>
      </c>
      <c r="G5271">
        <v>18</v>
      </c>
      <c r="L5271" t="s">
        <v>14883</v>
      </c>
    </row>
    <row r="5272" spans="1:12" x14ac:dyDescent="0.25">
      <c r="A5272" t="s">
        <v>18</v>
      </c>
      <c r="B5272" t="s">
        <v>14883</v>
      </c>
      <c r="C5272" t="s">
        <v>14884</v>
      </c>
      <c r="D5272" t="s">
        <v>20</v>
      </c>
      <c r="E5272" t="s">
        <v>11</v>
      </c>
      <c r="F5272">
        <v>4765.0019999999995</v>
      </c>
      <c r="G5272">
        <v>18</v>
      </c>
      <c r="L5272" t="s">
        <v>14885</v>
      </c>
    </row>
    <row r="5273" spans="1:12" x14ac:dyDescent="0.25">
      <c r="A5273" t="s">
        <v>18</v>
      </c>
      <c r="B5273" t="s">
        <v>14885</v>
      </c>
      <c r="C5273" t="s">
        <v>14886</v>
      </c>
      <c r="D5273" t="s">
        <v>20</v>
      </c>
      <c r="E5273" t="s">
        <v>11</v>
      </c>
      <c r="F5273">
        <v>4765.0019999999995</v>
      </c>
      <c r="G5273">
        <v>18</v>
      </c>
      <c r="L5273" t="s">
        <v>14887</v>
      </c>
    </row>
    <row r="5274" spans="1:12" x14ac:dyDescent="0.25">
      <c r="A5274" t="s">
        <v>18</v>
      </c>
      <c r="B5274" t="s">
        <v>14887</v>
      </c>
      <c r="C5274" t="s">
        <v>14888</v>
      </c>
      <c r="D5274" t="s">
        <v>20</v>
      </c>
      <c r="E5274" t="s">
        <v>11</v>
      </c>
      <c r="F5274">
        <v>2806.7819999999997</v>
      </c>
      <c r="G5274">
        <v>18</v>
      </c>
      <c r="L5274" t="s">
        <v>14889</v>
      </c>
    </row>
    <row r="5275" spans="1:12" x14ac:dyDescent="0.25">
      <c r="A5275" t="s">
        <v>18</v>
      </c>
      <c r="B5275" t="s">
        <v>14889</v>
      </c>
      <c r="C5275" t="s">
        <v>14890</v>
      </c>
      <c r="D5275" t="s">
        <v>20</v>
      </c>
      <c r="E5275" t="s">
        <v>11</v>
      </c>
      <c r="F5275">
        <v>2806.7819999999997</v>
      </c>
      <c r="G5275">
        <v>18</v>
      </c>
      <c r="L5275" t="s">
        <v>14891</v>
      </c>
    </row>
    <row r="5276" spans="1:12" x14ac:dyDescent="0.25">
      <c r="A5276" t="s">
        <v>18</v>
      </c>
      <c r="B5276" t="s">
        <v>14891</v>
      </c>
      <c r="C5276" t="s">
        <v>14892</v>
      </c>
      <c r="D5276" t="s">
        <v>20</v>
      </c>
      <c r="E5276" t="s">
        <v>11</v>
      </c>
      <c r="F5276">
        <v>2806.7819999999997</v>
      </c>
      <c r="G5276">
        <v>18</v>
      </c>
      <c r="L5276" t="s">
        <v>14893</v>
      </c>
    </row>
    <row r="5277" spans="1:12" x14ac:dyDescent="0.25">
      <c r="A5277" t="s">
        <v>18</v>
      </c>
      <c r="B5277" t="s">
        <v>14893</v>
      </c>
      <c r="C5277" t="s">
        <v>14894</v>
      </c>
      <c r="D5277" t="s">
        <v>20</v>
      </c>
      <c r="E5277" t="s">
        <v>11</v>
      </c>
      <c r="F5277">
        <v>2937.3300000000004</v>
      </c>
      <c r="G5277">
        <v>18</v>
      </c>
      <c r="L5277" t="s">
        <v>14895</v>
      </c>
    </row>
    <row r="5278" spans="1:12" x14ac:dyDescent="0.25">
      <c r="A5278" t="s">
        <v>18</v>
      </c>
      <c r="B5278" t="s">
        <v>14895</v>
      </c>
      <c r="C5278" t="s">
        <v>14896</v>
      </c>
      <c r="D5278" t="s">
        <v>20</v>
      </c>
      <c r="E5278" t="s">
        <v>11</v>
      </c>
      <c r="F5278">
        <v>2937.3300000000004</v>
      </c>
      <c r="G5278">
        <v>18</v>
      </c>
      <c r="L5278" t="s">
        <v>14897</v>
      </c>
    </row>
    <row r="5279" spans="1:12" x14ac:dyDescent="0.25">
      <c r="A5279" t="s">
        <v>18</v>
      </c>
      <c r="B5279" t="s">
        <v>14897</v>
      </c>
      <c r="C5279" t="s">
        <v>14898</v>
      </c>
      <c r="D5279" t="s">
        <v>20</v>
      </c>
      <c r="E5279" t="s">
        <v>11</v>
      </c>
      <c r="F5279">
        <v>2937.3300000000004</v>
      </c>
      <c r="G5279">
        <v>18</v>
      </c>
      <c r="L5279" t="s">
        <v>14899</v>
      </c>
    </row>
    <row r="5280" spans="1:12" x14ac:dyDescent="0.25">
      <c r="A5280" t="s">
        <v>18</v>
      </c>
      <c r="B5280" t="s">
        <v>14899</v>
      </c>
      <c r="C5280" t="s">
        <v>14900</v>
      </c>
      <c r="D5280" t="s">
        <v>20</v>
      </c>
      <c r="E5280" t="s">
        <v>11</v>
      </c>
      <c r="F5280">
        <v>3002.604</v>
      </c>
      <c r="G5280">
        <v>18</v>
      </c>
      <c r="L5280" t="s">
        <v>14901</v>
      </c>
    </row>
    <row r="5281" spans="1:12" x14ac:dyDescent="0.25">
      <c r="A5281" t="s">
        <v>18</v>
      </c>
      <c r="B5281" t="s">
        <v>14901</v>
      </c>
      <c r="C5281" t="s">
        <v>14902</v>
      </c>
      <c r="D5281" t="s">
        <v>20</v>
      </c>
      <c r="E5281" t="s">
        <v>11</v>
      </c>
      <c r="F5281">
        <v>3002.604</v>
      </c>
      <c r="G5281">
        <v>18</v>
      </c>
      <c r="L5281" t="s">
        <v>14903</v>
      </c>
    </row>
    <row r="5282" spans="1:12" x14ac:dyDescent="0.25">
      <c r="A5282" t="s">
        <v>18</v>
      </c>
      <c r="B5282" t="s">
        <v>14903</v>
      </c>
      <c r="C5282" t="s">
        <v>14904</v>
      </c>
      <c r="D5282" t="s">
        <v>20</v>
      </c>
      <c r="E5282" t="s">
        <v>11</v>
      </c>
      <c r="F5282">
        <v>3002.604</v>
      </c>
      <c r="G5282">
        <v>18</v>
      </c>
      <c r="L5282" t="s">
        <v>14905</v>
      </c>
    </row>
    <row r="5283" spans="1:12" x14ac:dyDescent="0.25">
      <c r="A5283" t="s">
        <v>18</v>
      </c>
      <c r="B5283" t="s">
        <v>14905</v>
      </c>
      <c r="C5283" t="s">
        <v>14906</v>
      </c>
      <c r="D5283" t="s">
        <v>20</v>
      </c>
      <c r="E5283" t="s">
        <v>11</v>
      </c>
      <c r="F5283">
        <v>3133.1519999999996</v>
      </c>
      <c r="G5283">
        <v>18</v>
      </c>
      <c r="L5283" t="s">
        <v>14907</v>
      </c>
    </row>
    <row r="5284" spans="1:12" x14ac:dyDescent="0.25">
      <c r="A5284" t="s">
        <v>18</v>
      </c>
      <c r="B5284" t="s">
        <v>14907</v>
      </c>
      <c r="C5284" t="s">
        <v>14908</v>
      </c>
      <c r="D5284" t="s">
        <v>20</v>
      </c>
      <c r="E5284" t="s">
        <v>11</v>
      </c>
      <c r="F5284">
        <v>3133.1519999999996</v>
      </c>
      <c r="G5284">
        <v>18</v>
      </c>
      <c r="L5284" t="s">
        <v>14909</v>
      </c>
    </row>
    <row r="5285" spans="1:12" x14ac:dyDescent="0.25">
      <c r="A5285" t="s">
        <v>18</v>
      </c>
      <c r="B5285" t="s">
        <v>14909</v>
      </c>
      <c r="C5285" t="s">
        <v>14910</v>
      </c>
      <c r="D5285" t="s">
        <v>20</v>
      </c>
      <c r="E5285" t="s">
        <v>11</v>
      </c>
      <c r="F5285">
        <v>3133.1519999999996</v>
      </c>
      <c r="G5285">
        <v>18</v>
      </c>
      <c r="L5285" t="s">
        <v>14911</v>
      </c>
    </row>
    <row r="5286" spans="1:12" x14ac:dyDescent="0.25">
      <c r="A5286" t="s">
        <v>18</v>
      </c>
      <c r="B5286" t="s">
        <v>14911</v>
      </c>
      <c r="C5286" t="s">
        <v>14912</v>
      </c>
      <c r="D5286" t="s">
        <v>20</v>
      </c>
      <c r="E5286" t="s">
        <v>11</v>
      </c>
      <c r="F5286">
        <v>3590.0699999999997</v>
      </c>
      <c r="G5286">
        <v>18</v>
      </c>
      <c r="L5286" t="s">
        <v>14913</v>
      </c>
    </row>
    <row r="5287" spans="1:12" x14ac:dyDescent="0.25">
      <c r="A5287" t="s">
        <v>18</v>
      </c>
      <c r="B5287" t="s">
        <v>14913</v>
      </c>
      <c r="C5287" t="s">
        <v>14914</v>
      </c>
      <c r="D5287" t="s">
        <v>20</v>
      </c>
      <c r="E5287" t="s">
        <v>11</v>
      </c>
      <c r="F5287">
        <v>3590.0699999999997</v>
      </c>
      <c r="G5287">
        <v>18</v>
      </c>
      <c r="L5287" t="s">
        <v>14915</v>
      </c>
    </row>
    <row r="5288" spans="1:12" x14ac:dyDescent="0.25">
      <c r="A5288" t="s">
        <v>18</v>
      </c>
      <c r="B5288" t="s">
        <v>14915</v>
      </c>
      <c r="C5288" t="s">
        <v>14916</v>
      </c>
      <c r="D5288" t="s">
        <v>20</v>
      </c>
      <c r="E5288" t="s">
        <v>11</v>
      </c>
      <c r="F5288">
        <v>3590.0699999999997</v>
      </c>
      <c r="G5288">
        <v>18</v>
      </c>
      <c r="L5288" t="s">
        <v>14917</v>
      </c>
    </row>
    <row r="5289" spans="1:12" x14ac:dyDescent="0.25">
      <c r="A5289" t="s">
        <v>18</v>
      </c>
      <c r="B5289" t="s">
        <v>14917</v>
      </c>
      <c r="C5289" t="s">
        <v>14918</v>
      </c>
      <c r="D5289" t="s">
        <v>20</v>
      </c>
      <c r="E5289" t="s">
        <v>11</v>
      </c>
      <c r="F5289">
        <v>3851.166</v>
      </c>
      <c r="G5289">
        <v>18</v>
      </c>
      <c r="L5289" t="s">
        <v>14919</v>
      </c>
    </row>
    <row r="5290" spans="1:12" x14ac:dyDescent="0.25">
      <c r="A5290" t="s">
        <v>18</v>
      </c>
      <c r="B5290" t="s">
        <v>14919</v>
      </c>
      <c r="C5290" t="s">
        <v>14920</v>
      </c>
      <c r="D5290" t="s">
        <v>20</v>
      </c>
      <c r="E5290" t="s">
        <v>11</v>
      </c>
      <c r="F5290">
        <v>3851.166</v>
      </c>
      <c r="G5290">
        <v>18</v>
      </c>
      <c r="L5290" t="s">
        <v>14921</v>
      </c>
    </row>
    <row r="5291" spans="1:12" x14ac:dyDescent="0.25">
      <c r="A5291" t="s">
        <v>18</v>
      </c>
      <c r="B5291" t="s">
        <v>14921</v>
      </c>
      <c r="C5291" t="s">
        <v>14922</v>
      </c>
      <c r="D5291" t="s">
        <v>20</v>
      </c>
      <c r="E5291" t="s">
        <v>11</v>
      </c>
      <c r="F5291">
        <v>3851.166</v>
      </c>
      <c r="G5291">
        <v>18</v>
      </c>
      <c r="L5291" t="s">
        <v>14923</v>
      </c>
    </row>
    <row r="5292" spans="1:12" x14ac:dyDescent="0.25">
      <c r="A5292" t="s">
        <v>18</v>
      </c>
      <c r="B5292" t="s">
        <v>14923</v>
      </c>
      <c r="C5292" t="s">
        <v>14924</v>
      </c>
      <c r="D5292" t="s">
        <v>20</v>
      </c>
      <c r="E5292" t="s">
        <v>11</v>
      </c>
      <c r="F5292">
        <v>4242.8099999999995</v>
      </c>
      <c r="G5292">
        <v>18</v>
      </c>
      <c r="L5292" t="s">
        <v>14925</v>
      </c>
    </row>
    <row r="5293" spans="1:12" x14ac:dyDescent="0.25">
      <c r="A5293" t="s">
        <v>18</v>
      </c>
      <c r="B5293" t="s">
        <v>14925</v>
      </c>
      <c r="C5293" t="s">
        <v>14926</v>
      </c>
      <c r="D5293" t="s">
        <v>20</v>
      </c>
      <c r="E5293" t="s">
        <v>11</v>
      </c>
      <c r="F5293">
        <v>4242.8099999999995</v>
      </c>
      <c r="G5293">
        <v>18</v>
      </c>
      <c r="L5293" t="s">
        <v>14927</v>
      </c>
    </row>
    <row r="5294" spans="1:12" x14ac:dyDescent="0.25">
      <c r="A5294" t="s">
        <v>18</v>
      </c>
      <c r="B5294" t="s">
        <v>14927</v>
      </c>
      <c r="C5294" t="s">
        <v>14928</v>
      </c>
      <c r="D5294" t="s">
        <v>20</v>
      </c>
      <c r="E5294" t="s">
        <v>11</v>
      </c>
      <c r="F5294">
        <v>4242.8099999999995</v>
      </c>
      <c r="G5294">
        <v>18</v>
      </c>
      <c r="L5294" t="s">
        <v>14929</v>
      </c>
    </row>
    <row r="5295" spans="1:12" x14ac:dyDescent="0.25">
      <c r="A5295" t="s">
        <v>18</v>
      </c>
      <c r="B5295" t="s">
        <v>14929</v>
      </c>
      <c r="C5295" t="s">
        <v>14930</v>
      </c>
      <c r="D5295" t="s">
        <v>20</v>
      </c>
      <c r="E5295" t="s">
        <v>11</v>
      </c>
      <c r="F5295">
        <v>4699.727999999999</v>
      </c>
      <c r="G5295">
        <v>18</v>
      </c>
      <c r="L5295" t="s">
        <v>14931</v>
      </c>
    </row>
    <row r="5296" spans="1:12" x14ac:dyDescent="0.25">
      <c r="A5296" t="s">
        <v>18</v>
      </c>
      <c r="B5296" t="s">
        <v>14931</v>
      </c>
      <c r="C5296" t="s">
        <v>14932</v>
      </c>
      <c r="D5296" t="s">
        <v>20</v>
      </c>
      <c r="E5296" t="s">
        <v>11</v>
      </c>
      <c r="F5296">
        <v>4699.727999999999</v>
      </c>
      <c r="G5296">
        <v>18</v>
      </c>
      <c r="L5296" t="s">
        <v>14933</v>
      </c>
    </row>
    <row r="5297" spans="1:12" x14ac:dyDescent="0.25">
      <c r="A5297" t="s">
        <v>18</v>
      </c>
      <c r="B5297" t="s">
        <v>14933</v>
      </c>
      <c r="C5297" t="s">
        <v>14934</v>
      </c>
      <c r="D5297" t="s">
        <v>20</v>
      </c>
      <c r="E5297" t="s">
        <v>11</v>
      </c>
      <c r="F5297">
        <v>4699.727999999999</v>
      </c>
      <c r="G5297">
        <v>18</v>
      </c>
      <c r="L5297" t="s">
        <v>14935</v>
      </c>
    </row>
    <row r="5298" spans="1:12" x14ac:dyDescent="0.25">
      <c r="A5298" t="s">
        <v>18</v>
      </c>
      <c r="B5298" t="s">
        <v>14935</v>
      </c>
      <c r="C5298" t="s">
        <v>14936</v>
      </c>
      <c r="D5298" t="s">
        <v>20</v>
      </c>
      <c r="E5298" t="s">
        <v>11</v>
      </c>
      <c r="F5298">
        <v>4960.8240000000005</v>
      </c>
      <c r="G5298">
        <v>18</v>
      </c>
      <c r="L5298" t="s">
        <v>14937</v>
      </c>
    </row>
    <row r="5299" spans="1:12" x14ac:dyDescent="0.25">
      <c r="A5299" t="s">
        <v>18</v>
      </c>
      <c r="B5299" t="s">
        <v>14937</v>
      </c>
      <c r="C5299" t="s">
        <v>14938</v>
      </c>
      <c r="D5299" t="s">
        <v>20</v>
      </c>
      <c r="E5299" t="s">
        <v>11</v>
      </c>
      <c r="F5299">
        <v>4960.8240000000005</v>
      </c>
      <c r="G5299">
        <v>18</v>
      </c>
      <c r="L5299" t="s">
        <v>14939</v>
      </c>
    </row>
    <row r="5300" spans="1:12" x14ac:dyDescent="0.25">
      <c r="A5300" t="s">
        <v>18</v>
      </c>
      <c r="B5300" t="s">
        <v>14939</v>
      </c>
      <c r="C5300" t="s">
        <v>14940</v>
      </c>
      <c r="D5300" t="s">
        <v>20</v>
      </c>
      <c r="E5300" t="s">
        <v>11</v>
      </c>
      <c r="F5300">
        <v>5091.371999999999</v>
      </c>
      <c r="G5300">
        <v>18</v>
      </c>
      <c r="L5300" t="s">
        <v>14941</v>
      </c>
    </row>
    <row r="5301" spans="1:12" x14ac:dyDescent="0.25">
      <c r="A5301" t="s">
        <v>18</v>
      </c>
      <c r="B5301" t="s">
        <v>14941</v>
      </c>
      <c r="C5301" t="s">
        <v>14942</v>
      </c>
      <c r="D5301" t="s">
        <v>20</v>
      </c>
      <c r="E5301" t="s">
        <v>11</v>
      </c>
      <c r="F5301">
        <v>5091.371999999999</v>
      </c>
      <c r="G5301">
        <v>18</v>
      </c>
      <c r="L5301" t="s">
        <v>14943</v>
      </c>
    </row>
    <row r="5302" spans="1:12" x14ac:dyDescent="0.25">
      <c r="A5302" t="s">
        <v>18</v>
      </c>
      <c r="B5302" t="s">
        <v>14943</v>
      </c>
      <c r="C5302" t="s">
        <v>14944</v>
      </c>
      <c r="D5302" t="s">
        <v>20</v>
      </c>
      <c r="E5302" t="s">
        <v>11</v>
      </c>
      <c r="F5302">
        <v>5548.29</v>
      </c>
      <c r="G5302">
        <v>18</v>
      </c>
      <c r="L5302" t="s">
        <v>14945</v>
      </c>
    </row>
    <row r="5303" spans="1:12" x14ac:dyDescent="0.25">
      <c r="A5303" t="s">
        <v>18</v>
      </c>
      <c r="B5303" t="s">
        <v>14945</v>
      </c>
      <c r="C5303" t="s">
        <v>14946</v>
      </c>
      <c r="D5303" t="s">
        <v>20</v>
      </c>
      <c r="E5303" t="s">
        <v>11</v>
      </c>
      <c r="F5303">
        <v>5548.29</v>
      </c>
      <c r="G5303">
        <v>18</v>
      </c>
      <c r="L5303" t="s">
        <v>14947</v>
      </c>
    </row>
    <row r="5304" spans="1:12" x14ac:dyDescent="0.25">
      <c r="A5304" t="s">
        <v>18</v>
      </c>
      <c r="B5304" t="s">
        <v>14947</v>
      </c>
      <c r="C5304" t="s">
        <v>14948</v>
      </c>
      <c r="D5304" t="s">
        <v>20</v>
      </c>
      <c r="E5304" t="s">
        <v>11</v>
      </c>
      <c r="F5304">
        <v>6135.755999999999</v>
      </c>
      <c r="G5304">
        <v>18</v>
      </c>
      <c r="L5304" t="s">
        <v>14949</v>
      </c>
    </row>
    <row r="5305" spans="1:12" x14ac:dyDescent="0.25">
      <c r="A5305" t="s">
        <v>18</v>
      </c>
      <c r="B5305" t="s">
        <v>14949</v>
      </c>
      <c r="C5305" t="s">
        <v>14950</v>
      </c>
      <c r="D5305" t="s">
        <v>20</v>
      </c>
      <c r="E5305" t="s">
        <v>11</v>
      </c>
      <c r="F5305">
        <v>6135.755999999999</v>
      </c>
      <c r="G5305">
        <v>18</v>
      </c>
      <c r="L5305" t="s">
        <v>14951</v>
      </c>
    </row>
    <row r="5306" spans="1:12" x14ac:dyDescent="0.25">
      <c r="A5306" t="s">
        <v>18</v>
      </c>
      <c r="B5306" t="s">
        <v>14951</v>
      </c>
      <c r="C5306" t="s">
        <v>14952</v>
      </c>
      <c r="D5306" t="s">
        <v>20</v>
      </c>
      <c r="E5306" t="s">
        <v>11</v>
      </c>
      <c r="F5306">
        <v>15535.211999999998</v>
      </c>
      <c r="G5306">
        <v>18</v>
      </c>
      <c r="L5306" t="s">
        <v>14953</v>
      </c>
    </row>
    <row r="5307" spans="1:12" x14ac:dyDescent="0.25">
      <c r="A5307" t="s">
        <v>18</v>
      </c>
      <c r="B5307" t="s">
        <v>14953</v>
      </c>
      <c r="C5307" t="s">
        <v>14954</v>
      </c>
      <c r="D5307" t="s">
        <v>20</v>
      </c>
      <c r="E5307" t="s">
        <v>11</v>
      </c>
      <c r="F5307">
        <v>4830.276</v>
      </c>
      <c r="G5307">
        <v>18</v>
      </c>
      <c r="L5307" t="s">
        <v>14955</v>
      </c>
    </row>
    <row r="5308" spans="1:12" x14ac:dyDescent="0.25">
      <c r="A5308" t="s">
        <v>18</v>
      </c>
      <c r="B5308" t="s">
        <v>14955</v>
      </c>
      <c r="C5308" t="s">
        <v>14956</v>
      </c>
      <c r="D5308" t="s">
        <v>20</v>
      </c>
      <c r="E5308" t="s">
        <v>11</v>
      </c>
      <c r="F5308">
        <v>9464.73</v>
      </c>
      <c r="G5308">
        <v>18</v>
      </c>
      <c r="L5308" t="s">
        <v>14957</v>
      </c>
    </row>
    <row r="5309" spans="1:12" x14ac:dyDescent="0.25">
      <c r="A5309" t="s">
        <v>18</v>
      </c>
      <c r="B5309" t="s">
        <v>14957</v>
      </c>
      <c r="C5309" t="s">
        <v>14958</v>
      </c>
      <c r="D5309" t="s">
        <v>20</v>
      </c>
      <c r="E5309" t="s">
        <v>11</v>
      </c>
      <c r="F5309">
        <v>10509.114</v>
      </c>
      <c r="G5309">
        <v>18</v>
      </c>
      <c r="L5309" t="s">
        <v>14959</v>
      </c>
    </row>
    <row r="5310" spans="1:12" x14ac:dyDescent="0.25">
      <c r="A5310" t="s">
        <v>18</v>
      </c>
      <c r="B5310" t="s">
        <v>14959</v>
      </c>
      <c r="C5310" t="s">
        <v>14960</v>
      </c>
      <c r="D5310" t="s">
        <v>20</v>
      </c>
      <c r="E5310" t="s">
        <v>11</v>
      </c>
      <c r="F5310">
        <v>5091.371999999999</v>
      </c>
      <c r="G5310">
        <v>18</v>
      </c>
      <c r="L5310" t="s">
        <v>14961</v>
      </c>
    </row>
    <row r="5311" spans="1:12" x14ac:dyDescent="0.25">
      <c r="A5311" t="s">
        <v>18</v>
      </c>
      <c r="B5311" t="s">
        <v>14961</v>
      </c>
      <c r="C5311" t="s">
        <v>14962</v>
      </c>
      <c r="D5311" t="s">
        <v>20</v>
      </c>
      <c r="E5311" t="s">
        <v>11</v>
      </c>
      <c r="F5311">
        <v>2741.508</v>
      </c>
      <c r="G5311">
        <v>18</v>
      </c>
      <c r="L5311" t="s">
        <v>14963</v>
      </c>
    </row>
    <row r="5312" spans="1:12" x14ac:dyDescent="0.25">
      <c r="A5312" t="s">
        <v>18</v>
      </c>
      <c r="B5312" t="s">
        <v>14963</v>
      </c>
      <c r="C5312" t="s">
        <v>14964</v>
      </c>
      <c r="D5312" t="s">
        <v>20</v>
      </c>
      <c r="E5312" t="s">
        <v>11</v>
      </c>
      <c r="F5312">
        <v>2741.508</v>
      </c>
      <c r="G5312">
        <v>18</v>
      </c>
      <c r="L5312" t="s">
        <v>14965</v>
      </c>
    </row>
    <row r="5313" spans="1:12" x14ac:dyDescent="0.25">
      <c r="A5313" t="s">
        <v>18</v>
      </c>
      <c r="B5313" t="s">
        <v>14965</v>
      </c>
      <c r="C5313" t="s">
        <v>14966</v>
      </c>
      <c r="D5313" t="s">
        <v>20</v>
      </c>
      <c r="E5313" t="s">
        <v>11</v>
      </c>
      <c r="F5313">
        <v>2741.508</v>
      </c>
      <c r="G5313">
        <v>18</v>
      </c>
      <c r="L5313" t="s">
        <v>14967</v>
      </c>
    </row>
    <row r="5314" spans="1:12" x14ac:dyDescent="0.25">
      <c r="A5314" t="s">
        <v>18</v>
      </c>
      <c r="B5314" t="s">
        <v>14967</v>
      </c>
      <c r="C5314" t="s">
        <v>14968</v>
      </c>
      <c r="D5314" t="s">
        <v>20</v>
      </c>
      <c r="E5314" t="s">
        <v>11</v>
      </c>
      <c r="F5314">
        <v>2741.508</v>
      </c>
      <c r="G5314">
        <v>18</v>
      </c>
      <c r="L5314" t="s">
        <v>14969</v>
      </c>
    </row>
    <row r="5315" spans="1:12" x14ac:dyDescent="0.25">
      <c r="A5315" t="s">
        <v>18</v>
      </c>
      <c r="B5315" t="s">
        <v>14969</v>
      </c>
      <c r="C5315" t="s">
        <v>14970</v>
      </c>
      <c r="D5315" t="s">
        <v>20</v>
      </c>
      <c r="E5315" t="s">
        <v>11</v>
      </c>
      <c r="F5315">
        <v>2741.508</v>
      </c>
      <c r="G5315">
        <v>18</v>
      </c>
      <c r="L5315" t="s">
        <v>14971</v>
      </c>
    </row>
    <row r="5316" spans="1:12" x14ac:dyDescent="0.25">
      <c r="A5316" t="s">
        <v>18</v>
      </c>
      <c r="B5316" t="s">
        <v>14971</v>
      </c>
      <c r="C5316" t="s">
        <v>14972</v>
      </c>
      <c r="D5316" t="s">
        <v>20</v>
      </c>
      <c r="E5316" t="s">
        <v>11</v>
      </c>
      <c r="F5316">
        <v>2937.3300000000004</v>
      </c>
      <c r="G5316">
        <v>18</v>
      </c>
      <c r="L5316" t="s">
        <v>14973</v>
      </c>
    </row>
    <row r="5317" spans="1:12" x14ac:dyDescent="0.25">
      <c r="A5317" t="s">
        <v>18</v>
      </c>
      <c r="B5317" t="s">
        <v>14973</v>
      </c>
      <c r="C5317" t="s">
        <v>14974</v>
      </c>
      <c r="D5317" t="s">
        <v>20</v>
      </c>
      <c r="E5317" t="s">
        <v>11</v>
      </c>
      <c r="F5317">
        <v>3655.344</v>
      </c>
      <c r="G5317">
        <v>18</v>
      </c>
      <c r="L5317" t="s">
        <v>14975</v>
      </c>
    </row>
    <row r="5318" spans="1:12" x14ac:dyDescent="0.25">
      <c r="A5318" t="s">
        <v>18</v>
      </c>
      <c r="B5318" t="s">
        <v>14975</v>
      </c>
      <c r="C5318" t="s">
        <v>14976</v>
      </c>
      <c r="D5318" t="s">
        <v>20</v>
      </c>
      <c r="E5318" t="s">
        <v>11</v>
      </c>
      <c r="F5318">
        <v>3785.892</v>
      </c>
      <c r="G5318">
        <v>18</v>
      </c>
      <c r="L5318" t="s">
        <v>14977</v>
      </c>
    </row>
    <row r="5319" spans="1:12" x14ac:dyDescent="0.25">
      <c r="A5319" t="s">
        <v>18</v>
      </c>
      <c r="B5319" t="s">
        <v>14977</v>
      </c>
      <c r="C5319" t="s">
        <v>14978</v>
      </c>
      <c r="D5319" t="s">
        <v>20</v>
      </c>
      <c r="E5319" t="s">
        <v>11</v>
      </c>
      <c r="F5319">
        <v>3981.714</v>
      </c>
      <c r="G5319">
        <v>18</v>
      </c>
      <c r="L5319" t="s">
        <v>14979</v>
      </c>
    </row>
    <row r="5320" spans="1:12" x14ac:dyDescent="0.25">
      <c r="A5320" t="s">
        <v>18</v>
      </c>
      <c r="B5320" t="s">
        <v>14979</v>
      </c>
      <c r="C5320" t="s">
        <v>14980</v>
      </c>
      <c r="D5320" t="s">
        <v>20</v>
      </c>
      <c r="E5320" t="s">
        <v>11</v>
      </c>
      <c r="F5320">
        <v>4177.536</v>
      </c>
      <c r="G5320">
        <v>18</v>
      </c>
      <c r="L5320" t="s">
        <v>14981</v>
      </c>
    </row>
    <row r="5321" spans="1:12" x14ac:dyDescent="0.25">
      <c r="A5321" t="s">
        <v>18</v>
      </c>
      <c r="B5321" t="s">
        <v>14981</v>
      </c>
      <c r="C5321" t="s">
        <v>14982</v>
      </c>
      <c r="D5321" t="s">
        <v>20</v>
      </c>
      <c r="E5321" t="s">
        <v>11</v>
      </c>
      <c r="F5321">
        <v>4634.454</v>
      </c>
      <c r="G5321">
        <v>18</v>
      </c>
      <c r="L5321" t="s">
        <v>14983</v>
      </c>
    </row>
    <row r="5322" spans="1:12" x14ac:dyDescent="0.25">
      <c r="A5322" t="s">
        <v>18</v>
      </c>
      <c r="B5322" t="s">
        <v>14983</v>
      </c>
      <c r="C5322" t="s">
        <v>14984</v>
      </c>
      <c r="D5322" t="s">
        <v>20</v>
      </c>
      <c r="E5322" t="s">
        <v>11</v>
      </c>
      <c r="F5322">
        <v>2937.3300000000004</v>
      </c>
      <c r="G5322">
        <v>18</v>
      </c>
      <c r="L5322" t="s">
        <v>14985</v>
      </c>
    </row>
    <row r="5323" spans="1:12" x14ac:dyDescent="0.25">
      <c r="A5323" t="s">
        <v>18</v>
      </c>
      <c r="B5323" t="s">
        <v>14985</v>
      </c>
      <c r="C5323" t="s">
        <v>14986</v>
      </c>
      <c r="D5323" t="s">
        <v>20</v>
      </c>
      <c r="E5323" t="s">
        <v>11</v>
      </c>
      <c r="F5323">
        <v>3133.1519999999996</v>
      </c>
      <c r="G5323">
        <v>18</v>
      </c>
      <c r="L5323" t="s">
        <v>14987</v>
      </c>
    </row>
    <row r="5324" spans="1:12" x14ac:dyDescent="0.25">
      <c r="A5324" t="s">
        <v>18</v>
      </c>
      <c r="B5324" t="s">
        <v>14987</v>
      </c>
      <c r="C5324" t="s">
        <v>14988</v>
      </c>
      <c r="D5324" t="s">
        <v>20</v>
      </c>
      <c r="E5324" t="s">
        <v>11</v>
      </c>
      <c r="F5324">
        <v>2480.4120000000003</v>
      </c>
      <c r="G5324">
        <v>18</v>
      </c>
      <c r="L5324" t="s">
        <v>14989</v>
      </c>
    </row>
    <row r="5325" spans="1:12" x14ac:dyDescent="0.25">
      <c r="A5325" t="s">
        <v>18</v>
      </c>
      <c r="B5325" t="s">
        <v>14989</v>
      </c>
      <c r="C5325" t="s">
        <v>14990</v>
      </c>
      <c r="D5325" t="s">
        <v>20</v>
      </c>
      <c r="E5325" t="s">
        <v>11</v>
      </c>
      <c r="F5325">
        <v>2480.4120000000003</v>
      </c>
      <c r="G5325">
        <v>18</v>
      </c>
      <c r="L5325" t="s">
        <v>14991</v>
      </c>
    </row>
    <row r="5326" spans="1:12" x14ac:dyDescent="0.25">
      <c r="A5326" t="s">
        <v>18</v>
      </c>
      <c r="B5326" t="s">
        <v>14991</v>
      </c>
      <c r="C5326" t="s">
        <v>14992</v>
      </c>
      <c r="D5326" t="s">
        <v>20</v>
      </c>
      <c r="E5326" t="s">
        <v>11</v>
      </c>
      <c r="F5326">
        <v>2480.4120000000003</v>
      </c>
      <c r="G5326">
        <v>18</v>
      </c>
      <c r="L5326" t="s">
        <v>14993</v>
      </c>
    </row>
    <row r="5327" spans="1:12" x14ac:dyDescent="0.25">
      <c r="A5327" t="s">
        <v>18</v>
      </c>
      <c r="B5327" t="s">
        <v>14993</v>
      </c>
      <c r="C5327" t="s">
        <v>14994</v>
      </c>
      <c r="D5327" t="s">
        <v>20</v>
      </c>
      <c r="E5327" t="s">
        <v>11</v>
      </c>
      <c r="F5327">
        <v>14556.101999999999</v>
      </c>
      <c r="G5327">
        <v>18</v>
      </c>
      <c r="L5327" t="s">
        <v>14995</v>
      </c>
    </row>
    <row r="5328" spans="1:12" x14ac:dyDescent="0.25">
      <c r="A5328" t="s">
        <v>18</v>
      </c>
      <c r="B5328" t="s">
        <v>14995</v>
      </c>
      <c r="C5328" t="s">
        <v>14996</v>
      </c>
      <c r="D5328" t="s">
        <v>20</v>
      </c>
      <c r="E5328" t="s">
        <v>11</v>
      </c>
      <c r="F5328">
        <v>28263.641999999996</v>
      </c>
      <c r="G5328">
        <v>18</v>
      </c>
      <c r="L5328" t="s">
        <v>14997</v>
      </c>
    </row>
    <row r="5329" spans="1:12" x14ac:dyDescent="0.25">
      <c r="A5329" t="s">
        <v>18</v>
      </c>
      <c r="B5329" t="s">
        <v>14997</v>
      </c>
      <c r="C5329" t="s">
        <v>14998</v>
      </c>
      <c r="D5329" t="s">
        <v>20</v>
      </c>
      <c r="E5329" t="s">
        <v>11</v>
      </c>
      <c r="F5329">
        <v>1892.946</v>
      </c>
      <c r="G5329">
        <v>18</v>
      </c>
      <c r="L5329" t="s">
        <v>14999</v>
      </c>
    </row>
    <row r="5330" spans="1:12" x14ac:dyDescent="0.25">
      <c r="A5330" t="s">
        <v>18</v>
      </c>
      <c r="B5330" t="s">
        <v>14999</v>
      </c>
      <c r="C5330" t="s">
        <v>15000</v>
      </c>
      <c r="D5330" t="s">
        <v>20</v>
      </c>
      <c r="E5330" t="s">
        <v>11</v>
      </c>
      <c r="F5330">
        <v>1892.946</v>
      </c>
      <c r="G5330">
        <v>18</v>
      </c>
      <c r="L5330" t="s">
        <v>15001</v>
      </c>
    </row>
    <row r="5331" spans="1:12" x14ac:dyDescent="0.25">
      <c r="A5331" t="s">
        <v>18</v>
      </c>
      <c r="B5331" t="s">
        <v>15001</v>
      </c>
      <c r="C5331" t="s">
        <v>15002</v>
      </c>
      <c r="D5331" t="s">
        <v>20</v>
      </c>
      <c r="E5331" t="s">
        <v>11</v>
      </c>
      <c r="F5331">
        <v>3655.344</v>
      </c>
      <c r="G5331">
        <v>18</v>
      </c>
      <c r="L5331" t="s">
        <v>15003</v>
      </c>
    </row>
    <row r="5332" spans="1:12" x14ac:dyDescent="0.25">
      <c r="A5332" t="s">
        <v>18</v>
      </c>
      <c r="B5332" t="s">
        <v>15003</v>
      </c>
      <c r="C5332" t="s">
        <v>15004</v>
      </c>
      <c r="D5332" t="s">
        <v>20</v>
      </c>
      <c r="E5332" t="s">
        <v>11</v>
      </c>
      <c r="F5332">
        <v>1892.946</v>
      </c>
      <c r="G5332">
        <v>18</v>
      </c>
      <c r="L5332" t="s">
        <v>15005</v>
      </c>
    </row>
    <row r="5333" spans="1:12" x14ac:dyDescent="0.25">
      <c r="A5333" t="s">
        <v>18</v>
      </c>
      <c r="B5333" t="s">
        <v>15005</v>
      </c>
      <c r="C5333" t="s">
        <v>15006</v>
      </c>
      <c r="D5333" t="s">
        <v>20</v>
      </c>
      <c r="E5333" t="s">
        <v>11</v>
      </c>
      <c r="F5333">
        <v>1827.672</v>
      </c>
      <c r="G5333">
        <v>18</v>
      </c>
      <c r="L5333" t="s">
        <v>15007</v>
      </c>
    </row>
    <row r="5334" spans="1:12" x14ac:dyDescent="0.25">
      <c r="A5334" t="s">
        <v>18</v>
      </c>
      <c r="B5334" t="s">
        <v>15007</v>
      </c>
      <c r="C5334" t="s">
        <v>15008</v>
      </c>
      <c r="D5334" t="s">
        <v>20</v>
      </c>
      <c r="E5334" t="s">
        <v>11</v>
      </c>
      <c r="F5334">
        <v>4308.084</v>
      </c>
      <c r="G5334">
        <v>18</v>
      </c>
      <c r="L5334" t="s">
        <v>15009</v>
      </c>
    </row>
    <row r="5335" spans="1:12" x14ac:dyDescent="0.25">
      <c r="A5335" t="s">
        <v>18</v>
      </c>
      <c r="B5335" t="s">
        <v>15009</v>
      </c>
      <c r="C5335" t="s">
        <v>15010</v>
      </c>
      <c r="D5335" t="s">
        <v>20</v>
      </c>
      <c r="E5335" t="s">
        <v>11</v>
      </c>
      <c r="F5335">
        <v>1436.028</v>
      </c>
      <c r="G5335">
        <v>18</v>
      </c>
      <c r="L5335" t="s">
        <v>15011</v>
      </c>
    </row>
    <row r="5336" spans="1:12" x14ac:dyDescent="0.25">
      <c r="A5336" t="s">
        <v>18</v>
      </c>
      <c r="B5336" t="s">
        <v>15011</v>
      </c>
      <c r="C5336" t="s">
        <v>15012</v>
      </c>
      <c r="D5336" t="s">
        <v>20</v>
      </c>
      <c r="E5336" t="s">
        <v>11</v>
      </c>
      <c r="F5336">
        <v>2088.768</v>
      </c>
      <c r="G5336">
        <v>18</v>
      </c>
      <c r="L5336" t="s">
        <v>15013</v>
      </c>
    </row>
    <row r="5337" spans="1:12" x14ac:dyDescent="0.25">
      <c r="A5337" t="s">
        <v>18</v>
      </c>
      <c r="B5337" t="s">
        <v>15013</v>
      </c>
      <c r="C5337" t="s">
        <v>15014</v>
      </c>
      <c r="D5337" t="s">
        <v>20</v>
      </c>
      <c r="E5337" t="s">
        <v>11</v>
      </c>
      <c r="F5337">
        <v>2088.768</v>
      </c>
      <c r="G5337">
        <v>18</v>
      </c>
      <c r="L5337" t="s">
        <v>15015</v>
      </c>
    </row>
    <row r="5338" spans="1:12" x14ac:dyDescent="0.25">
      <c r="A5338" t="s">
        <v>18</v>
      </c>
      <c r="B5338" t="s">
        <v>15015</v>
      </c>
      <c r="C5338" t="s">
        <v>15016</v>
      </c>
      <c r="D5338" t="s">
        <v>20</v>
      </c>
      <c r="E5338" t="s">
        <v>11</v>
      </c>
      <c r="F5338">
        <v>2088.768</v>
      </c>
      <c r="G5338">
        <v>18</v>
      </c>
      <c r="L5338" t="s">
        <v>15017</v>
      </c>
    </row>
    <row r="5339" spans="1:12" x14ac:dyDescent="0.25">
      <c r="A5339" t="s">
        <v>18</v>
      </c>
      <c r="B5339" t="s">
        <v>15017</v>
      </c>
      <c r="C5339" t="s">
        <v>15018</v>
      </c>
      <c r="D5339" t="s">
        <v>20</v>
      </c>
      <c r="E5339" t="s">
        <v>11</v>
      </c>
      <c r="F5339">
        <v>2088.768</v>
      </c>
      <c r="G5339">
        <v>18</v>
      </c>
      <c r="L5339" t="s">
        <v>15019</v>
      </c>
    </row>
    <row r="5340" spans="1:12" x14ac:dyDescent="0.25">
      <c r="A5340" t="s">
        <v>18</v>
      </c>
      <c r="B5340" t="s">
        <v>15019</v>
      </c>
      <c r="C5340" t="s">
        <v>15020</v>
      </c>
      <c r="D5340" t="s">
        <v>20</v>
      </c>
      <c r="E5340" t="s">
        <v>11</v>
      </c>
      <c r="F5340">
        <v>1892.946</v>
      </c>
      <c r="G5340">
        <v>18</v>
      </c>
      <c r="L5340" t="s">
        <v>15021</v>
      </c>
    </row>
    <row r="5341" spans="1:12" x14ac:dyDescent="0.25">
      <c r="A5341" t="s">
        <v>18</v>
      </c>
      <c r="B5341" t="s">
        <v>15021</v>
      </c>
      <c r="C5341" t="s">
        <v>15022</v>
      </c>
      <c r="D5341" t="s">
        <v>20</v>
      </c>
      <c r="E5341" t="s">
        <v>11</v>
      </c>
      <c r="F5341">
        <v>1892.946</v>
      </c>
      <c r="G5341">
        <v>18</v>
      </c>
      <c r="L5341" t="s">
        <v>15023</v>
      </c>
    </row>
    <row r="5342" spans="1:12" x14ac:dyDescent="0.25">
      <c r="A5342" t="s">
        <v>18</v>
      </c>
      <c r="B5342" t="s">
        <v>15023</v>
      </c>
      <c r="C5342" t="s">
        <v>15024</v>
      </c>
      <c r="D5342" t="s">
        <v>20</v>
      </c>
      <c r="E5342" t="s">
        <v>11</v>
      </c>
      <c r="F5342">
        <v>3198.426</v>
      </c>
      <c r="G5342">
        <v>18</v>
      </c>
      <c r="L5342" t="s">
        <v>15025</v>
      </c>
    </row>
    <row r="5343" spans="1:12" x14ac:dyDescent="0.25">
      <c r="A5343" t="s">
        <v>18</v>
      </c>
      <c r="B5343" t="s">
        <v>15025</v>
      </c>
      <c r="C5343" t="s">
        <v>15026</v>
      </c>
      <c r="D5343" t="s">
        <v>20</v>
      </c>
      <c r="E5343" t="s">
        <v>11</v>
      </c>
      <c r="F5343">
        <v>1892.946</v>
      </c>
      <c r="G5343">
        <v>18</v>
      </c>
      <c r="L5343" t="s">
        <v>15027</v>
      </c>
    </row>
    <row r="5344" spans="1:12" x14ac:dyDescent="0.25">
      <c r="A5344" t="s">
        <v>18</v>
      </c>
      <c r="B5344" t="s">
        <v>15027</v>
      </c>
      <c r="C5344" t="s">
        <v>15028</v>
      </c>
      <c r="D5344" t="s">
        <v>20</v>
      </c>
      <c r="E5344" t="s">
        <v>11</v>
      </c>
      <c r="F5344">
        <v>1892.946</v>
      </c>
      <c r="G5344">
        <v>18</v>
      </c>
      <c r="L5344" t="s">
        <v>15029</v>
      </c>
    </row>
    <row r="5345" spans="1:12" x14ac:dyDescent="0.25">
      <c r="A5345" t="s">
        <v>18</v>
      </c>
      <c r="B5345" t="s">
        <v>15029</v>
      </c>
      <c r="C5345" t="s">
        <v>15030</v>
      </c>
      <c r="D5345" t="s">
        <v>20</v>
      </c>
      <c r="E5345" t="s">
        <v>11</v>
      </c>
      <c r="F5345">
        <v>1892.946</v>
      </c>
      <c r="G5345">
        <v>18</v>
      </c>
      <c r="L5345" t="s">
        <v>15031</v>
      </c>
    </row>
    <row r="5346" spans="1:12" x14ac:dyDescent="0.25">
      <c r="A5346" t="s">
        <v>18</v>
      </c>
      <c r="B5346" t="s">
        <v>15031</v>
      </c>
      <c r="C5346" t="s">
        <v>15032</v>
      </c>
      <c r="D5346" t="s">
        <v>20</v>
      </c>
      <c r="E5346" t="s">
        <v>11</v>
      </c>
      <c r="F5346">
        <v>1892.946</v>
      </c>
      <c r="G5346">
        <v>18</v>
      </c>
      <c r="L5346" t="s">
        <v>15033</v>
      </c>
    </row>
    <row r="5347" spans="1:12" x14ac:dyDescent="0.25">
      <c r="A5347" t="s">
        <v>18</v>
      </c>
      <c r="B5347" t="s">
        <v>15033</v>
      </c>
      <c r="C5347" t="s">
        <v>15034</v>
      </c>
      <c r="D5347" t="s">
        <v>20</v>
      </c>
      <c r="E5347" t="s">
        <v>11</v>
      </c>
      <c r="F5347">
        <v>1892.946</v>
      </c>
      <c r="G5347">
        <v>18</v>
      </c>
      <c r="L5347" t="s">
        <v>15035</v>
      </c>
    </row>
    <row r="5348" spans="1:12" x14ac:dyDescent="0.25">
      <c r="A5348" t="s">
        <v>18</v>
      </c>
      <c r="B5348" t="s">
        <v>15035</v>
      </c>
      <c r="C5348" t="s">
        <v>15036</v>
      </c>
      <c r="D5348" t="s">
        <v>20</v>
      </c>
      <c r="E5348" t="s">
        <v>11</v>
      </c>
      <c r="F5348">
        <v>1892.946</v>
      </c>
      <c r="G5348">
        <v>18</v>
      </c>
      <c r="L5348" t="s">
        <v>15037</v>
      </c>
    </row>
    <row r="5349" spans="1:12" x14ac:dyDescent="0.25">
      <c r="A5349" t="s">
        <v>18</v>
      </c>
      <c r="B5349" t="s">
        <v>15037</v>
      </c>
      <c r="C5349" t="s">
        <v>15038</v>
      </c>
      <c r="D5349" t="s">
        <v>20</v>
      </c>
      <c r="E5349" t="s">
        <v>11</v>
      </c>
      <c r="F5349">
        <v>1892.946</v>
      </c>
      <c r="G5349">
        <v>18</v>
      </c>
      <c r="L5349" t="s">
        <v>15039</v>
      </c>
    </row>
    <row r="5350" spans="1:12" x14ac:dyDescent="0.25">
      <c r="A5350" t="s">
        <v>18</v>
      </c>
      <c r="B5350" t="s">
        <v>15039</v>
      </c>
      <c r="C5350" t="s">
        <v>15038</v>
      </c>
      <c r="D5350" t="s">
        <v>20</v>
      </c>
      <c r="E5350" t="s">
        <v>11</v>
      </c>
      <c r="F5350">
        <v>1892.946</v>
      </c>
      <c r="G5350">
        <v>18</v>
      </c>
      <c r="L5350" t="s">
        <v>15040</v>
      </c>
    </row>
    <row r="5351" spans="1:12" x14ac:dyDescent="0.25">
      <c r="A5351" t="s">
        <v>18</v>
      </c>
      <c r="B5351" t="s">
        <v>15040</v>
      </c>
      <c r="C5351" t="s">
        <v>15041</v>
      </c>
      <c r="D5351" t="s">
        <v>20</v>
      </c>
      <c r="E5351" t="s">
        <v>11</v>
      </c>
      <c r="F5351">
        <v>4895.55</v>
      </c>
      <c r="G5351">
        <v>18</v>
      </c>
      <c r="L5351" t="s">
        <v>15042</v>
      </c>
    </row>
    <row r="5352" spans="1:12" x14ac:dyDescent="0.25">
      <c r="A5352" t="s">
        <v>18</v>
      </c>
      <c r="B5352" t="s">
        <v>15042</v>
      </c>
      <c r="C5352" t="s">
        <v>15043</v>
      </c>
      <c r="D5352" t="s">
        <v>20</v>
      </c>
      <c r="E5352" t="s">
        <v>11</v>
      </c>
      <c r="F5352">
        <v>4242.8099999999995</v>
      </c>
      <c r="G5352">
        <v>18</v>
      </c>
      <c r="L5352" t="s">
        <v>15044</v>
      </c>
    </row>
    <row r="5353" spans="1:12" x14ac:dyDescent="0.25">
      <c r="A5353" t="s">
        <v>18</v>
      </c>
      <c r="B5353" t="s">
        <v>15044</v>
      </c>
      <c r="C5353" t="s">
        <v>15045</v>
      </c>
      <c r="D5353" t="s">
        <v>20</v>
      </c>
      <c r="E5353" t="s">
        <v>11</v>
      </c>
      <c r="F5353">
        <v>1892.946</v>
      </c>
      <c r="G5353">
        <v>18</v>
      </c>
      <c r="L5353" t="s">
        <v>15046</v>
      </c>
    </row>
    <row r="5354" spans="1:12" x14ac:dyDescent="0.25">
      <c r="A5354" t="s">
        <v>18</v>
      </c>
      <c r="B5354" t="s">
        <v>15046</v>
      </c>
      <c r="C5354" t="s">
        <v>15047</v>
      </c>
      <c r="D5354" t="s">
        <v>20</v>
      </c>
      <c r="E5354" t="s">
        <v>11</v>
      </c>
      <c r="F5354">
        <v>3720.6179999999995</v>
      </c>
      <c r="G5354">
        <v>18</v>
      </c>
      <c r="L5354" t="s">
        <v>15048</v>
      </c>
    </row>
    <row r="5355" spans="1:12" x14ac:dyDescent="0.25">
      <c r="A5355" t="s">
        <v>18</v>
      </c>
      <c r="B5355" t="s">
        <v>15048</v>
      </c>
      <c r="C5355" t="s">
        <v>15049</v>
      </c>
      <c r="D5355" t="s">
        <v>20</v>
      </c>
      <c r="E5355" t="s">
        <v>11</v>
      </c>
      <c r="F5355">
        <v>1892.946</v>
      </c>
      <c r="G5355">
        <v>18</v>
      </c>
      <c r="L5355" t="s">
        <v>15050</v>
      </c>
    </row>
    <row r="5356" spans="1:12" x14ac:dyDescent="0.25">
      <c r="A5356" t="s">
        <v>18</v>
      </c>
      <c r="B5356" t="s">
        <v>15050</v>
      </c>
      <c r="C5356" t="s">
        <v>15051</v>
      </c>
      <c r="D5356" t="s">
        <v>20</v>
      </c>
      <c r="E5356" t="s">
        <v>11</v>
      </c>
      <c r="F5356">
        <v>1892.946</v>
      </c>
      <c r="G5356">
        <v>18</v>
      </c>
      <c r="L5356" t="s">
        <v>15052</v>
      </c>
    </row>
    <row r="5357" spans="1:12" x14ac:dyDescent="0.25">
      <c r="A5357" t="s">
        <v>18</v>
      </c>
      <c r="B5357" t="s">
        <v>15052</v>
      </c>
      <c r="C5357" t="s">
        <v>15053</v>
      </c>
      <c r="D5357" t="s">
        <v>20</v>
      </c>
      <c r="E5357" t="s">
        <v>11</v>
      </c>
      <c r="F5357">
        <v>1892.946</v>
      </c>
      <c r="G5357">
        <v>18</v>
      </c>
      <c r="L5357" t="s">
        <v>15054</v>
      </c>
    </row>
    <row r="5358" spans="1:12" x14ac:dyDescent="0.25">
      <c r="A5358" t="s">
        <v>18</v>
      </c>
      <c r="B5358" t="s">
        <v>15054</v>
      </c>
      <c r="C5358" t="s">
        <v>15055</v>
      </c>
      <c r="D5358" t="s">
        <v>20</v>
      </c>
      <c r="E5358" t="s">
        <v>11</v>
      </c>
      <c r="F5358">
        <v>1892.946</v>
      </c>
      <c r="G5358">
        <v>18</v>
      </c>
      <c r="L5358" t="s">
        <v>15056</v>
      </c>
    </row>
    <row r="5359" spans="1:12" x14ac:dyDescent="0.25">
      <c r="A5359" t="s">
        <v>18</v>
      </c>
      <c r="B5359" t="s">
        <v>15056</v>
      </c>
      <c r="C5359" t="s">
        <v>15057</v>
      </c>
      <c r="D5359" t="s">
        <v>20</v>
      </c>
      <c r="E5359" t="s">
        <v>11</v>
      </c>
      <c r="F5359">
        <v>1892.946</v>
      </c>
      <c r="G5359">
        <v>18</v>
      </c>
      <c r="L5359" t="s">
        <v>15058</v>
      </c>
    </row>
    <row r="5360" spans="1:12" x14ac:dyDescent="0.25">
      <c r="A5360" t="s">
        <v>18</v>
      </c>
      <c r="B5360" t="s">
        <v>15058</v>
      </c>
      <c r="C5360" t="s">
        <v>15059</v>
      </c>
      <c r="D5360" t="s">
        <v>20</v>
      </c>
      <c r="E5360" t="s">
        <v>11</v>
      </c>
      <c r="F5360">
        <v>2088.768</v>
      </c>
      <c r="G5360">
        <v>18</v>
      </c>
      <c r="L5360" t="s">
        <v>15060</v>
      </c>
    </row>
    <row r="5361" spans="1:12" x14ac:dyDescent="0.25">
      <c r="A5361" t="s">
        <v>18</v>
      </c>
      <c r="B5361" t="s">
        <v>15060</v>
      </c>
      <c r="C5361" t="s">
        <v>15061</v>
      </c>
      <c r="D5361" t="s">
        <v>20</v>
      </c>
      <c r="E5361" t="s">
        <v>11</v>
      </c>
      <c r="F5361">
        <v>2088.768</v>
      </c>
      <c r="G5361">
        <v>18</v>
      </c>
      <c r="L5361" t="s">
        <v>15062</v>
      </c>
    </row>
    <row r="5362" spans="1:12" x14ac:dyDescent="0.25">
      <c r="A5362" t="s">
        <v>18</v>
      </c>
      <c r="B5362" t="s">
        <v>15062</v>
      </c>
      <c r="C5362" t="s">
        <v>15063</v>
      </c>
      <c r="D5362" t="s">
        <v>20</v>
      </c>
      <c r="E5362" t="s">
        <v>11</v>
      </c>
      <c r="F5362">
        <v>2088.768</v>
      </c>
      <c r="G5362">
        <v>18</v>
      </c>
      <c r="L5362" t="s">
        <v>15064</v>
      </c>
    </row>
    <row r="5363" spans="1:12" x14ac:dyDescent="0.25">
      <c r="A5363" t="s">
        <v>18</v>
      </c>
      <c r="B5363" t="s">
        <v>15064</v>
      </c>
      <c r="C5363" t="s">
        <v>15065</v>
      </c>
      <c r="D5363" t="s">
        <v>20</v>
      </c>
      <c r="E5363" t="s">
        <v>11</v>
      </c>
      <c r="F5363">
        <v>3851.166</v>
      </c>
      <c r="G5363">
        <v>18</v>
      </c>
      <c r="L5363" t="s">
        <v>15066</v>
      </c>
    </row>
    <row r="5364" spans="1:12" x14ac:dyDescent="0.25">
      <c r="A5364" t="s">
        <v>18</v>
      </c>
      <c r="B5364" t="s">
        <v>15066</v>
      </c>
      <c r="C5364" t="s">
        <v>15067</v>
      </c>
      <c r="D5364" t="s">
        <v>20</v>
      </c>
      <c r="E5364" t="s">
        <v>11</v>
      </c>
      <c r="F5364">
        <v>2088.768</v>
      </c>
      <c r="G5364">
        <v>18</v>
      </c>
      <c r="L5364" t="s">
        <v>15068</v>
      </c>
    </row>
    <row r="5365" spans="1:12" x14ac:dyDescent="0.25">
      <c r="A5365" t="s">
        <v>18</v>
      </c>
      <c r="B5365" t="s">
        <v>15068</v>
      </c>
      <c r="C5365" t="s">
        <v>15069</v>
      </c>
      <c r="D5365" t="s">
        <v>20</v>
      </c>
      <c r="E5365" t="s">
        <v>11</v>
      </c>
      <c r="F5365">
        <v>2088.768</v>
      </c>
      <c r="G5365">
        <v>18</v>
      </c>
      <c r="L5365" t="s">
        <v>15070</v>
      </c>
    </row>
    <row r="5366" spans="1:12" x14ac:dyDescent="0.25">
      <c r="A5366" t="s">
        <v>18</v>
      </c>
      <c r="B5366" t="s">
        <v>15070</v>
      </c>
      <c r="C5366" t="s">
        <v>15071</v>
      </c>
      <c r="D5366" t="s">
        <v>20</v>
      </c>
      <c r="E5366" t="s">
        <v>11</v>
      </c>
      <c r="F5366">
        <v>2088.768</v>
      </c>
      <c r="G5366">
        <v>18</v>
      </c>
      <c r="L5366" t="s">
        <v>15072</v>
      </c>
    </row>
    <row r="5367" spans="1:12" x14ac:dyDescent="0.25">
      <c r="A5367" t="s">
        <v>18</v>
      </c>
      <c r="B5367" t="s">
        <v>15072</v>
      </c>
      <c r="C5367" t="s">
        <v>15073</v>
      </c>
      <c r="D5367" t="s">
        <v>20</v>
      </c>
      <c r="E5367" t="s">
        <v>11</v>
      </c>
      <c r="F5367">
        <v>2088.768</v>
      </c>
      <c r="G5367">
        <v>18</v>
      </c>
      <c r="L5367" t="s">
        <v>15074</v>
      </c>
    </row>
    <row r="5368" spans="1:12" x14ac:dyDescent="0.25">
      <c r="A5368" t="s">
        <v>18</v>
      </c>
      <c r="B5368" t="s">
        <v>15074</v>
      </c>
      <c r="C5368" t="s">
        <v>15075</v>
      </c>
      <c r="D5368" t="s">
        <v>20</v>
      </c>
      <c r="E5368" t="s">
        <v>11</v>
      </c>
      <c r="F5368">
        <v>2088.768</v>
      </c>
      <c r="G5368">
        <v>18</v>
      </c>
      <c r="L5368" t="s">
        <v>15076</v>
      </c>
    </row>
    <row r="5369" spans="1:12" x14ac:dyDescent="0.25">
      <c r="A5369" t="s">
        <v>18</v>
      </c>
      <c r="B5369" t="s">
        <v>15076</v>
      </c>
      <c r="C5369" t="s">
        <v>15077</v>
      </c>
      <c r="D5369" t="s">
        <v>20</v>
      </c>
      <c r="E5369" t="s">
        <v>11</v>
      </c>
      <c r="F5369">
        <v>2088.768</v>
      </c>
      <c r="G5369">
        <v>18</v>
      </c>
      <c r="L5369" t="s">
        <v>15078</v>
      </c>
    </row>
    <row r="5370" spans="1:12" x14ac:dyDescent="0.25">
      <c r="A5370" t="s">
        <v>18</v>
      </c>
      <c r="B5370" t="s">
        <v>15078</v>
      </c>
      <c r="C5370" t="s">
        <v>15079</v>
      </c>
      <c r="D5370" t="s">
        <v>20</v>
      </c>
      <c r="E5370" t="s">
        <v>11</v>
      </c>
      <c r="F5370">
        <v>2219.316</v>
      </c>
      <c r="G5370">
        <v>18</v>
      </c>
      <c r="L5370" t="s">
        <v>15080</v>
      </c>
    </row>
    <row r="5371" spans="1:12" x14ac:dyDescent="0.25">
      <c r="A5371" t="s">
        <v>18</v>
      </c>
      <c r="B5371" t="s">
        <v>15080</v>
      </c>
      <c r="C5371" t="s">
        <v>15081</v>
      </c>
      <c r="D5371" t="s">
        <v>20</v>
      </c>
      <c r="E5371" t="s">
        <v>11</v>
      </c>
      <c r="F5371">
        <v>2219.316</v>
      </c>
      <c r="G5371">
        <v>18</v>
      </c>
      <c r="L5371" t="s">
        <v>15082</v>
      </c>
    </row>
    <row r="5372" spans="1:12" x14ac:dyDescent="0.25">
      <c r="A5372" t="s">
        <v>18</v>
      </c>
      <c r="B5372" t="s">
        <v>15082</v>
      </c>
      <c r="C5372" t="s">
        <v>15083</v>
      </c>
      <c r="D5372" t="s">
        <v>20</v>
      </c>
      <c r="E5372" t="s">
        <v>11</v>
      </c>
      <c r="F5372">
        <v>2088.768</v>
      </c>
      <c r="G5372">
        <v>18</v>
      </c>
      <c r="L5372" t="s">
        <v>15084</v>
      </c>
    </row>
    <row r="5373" spans="1:12" x14ac:dyDescent="0.25">
      <c r="A5373" t="s">
        <v>18</v>
      </c>
      <c r="B5373" t="s">
        <v>15084</v>
      </c>
      <c r="C5373" t="s">
        <v>15085</v>
      </c>
      <c r="D5373" t="s">
        <v>20</v>
      </c>
      <c r="E5373" t="s">
        <v>11</v>
      </c>
      <c r="F5373">
        <v>2088.768</v>
      </c>
      <c r="G5373">
        <v>18</v>
      </c>
      <c r="L5373" t="s">
        <v>15086</v>
      </c>
    </row>
    <row r="5374" spans="1:12" x14ac:dyDescent="0.25">
      <c r="A5374" t="s">
        <v>18</v>
      </c>
      <c r="B5374" t="s">
        <v>15086</v>
      </c>
      <c r="C5374" t="s">
        <v>15087</v>
      </c>
      <c r="D5374" t="s">
        <v>20</v>
      </c>
      <c r="E5374" t="s">
        <v>11</v>
      </c>
      <c r="F5374">
        <v>2088.768</v>
      </c>
      <c r="G5374">
        <v>18</v>
      </c>
      <c r="L5374" t="s">
        <v>15088</v>
      </c>
    </row>
    <row r="5375" spans="1:12" x14ac:dyDescent="0.25">
      <c r="A5375" t="s">
        <v>18</v>
      </c>
      <c r="B5375" t="s">
        <v>15088</v>
      </c>
      <c r="C5375" t="s">
        <v>15089</v>
      </c>
      <c r="D5375" t="s">
        <v>20</v>
      </c>
      <c r="E5375" t="s">
        <v>11</v>
      </c>
      <c r="F5375">
        <v>2088.768</v>
      </c>
      <c r="G5375">
        <v>18</v>
      </c>
      <c r="L5375" t="s">
        <v>15090</v>
      </c>
    </row>
    <row r="5376" spans="1:12" x14ac:dyDescent="0.25">
      <c r="A5376" t="s">
        <v>18</v>
      </c>
      <c r="B5376" t="s">
        <v>15090</v>
      </c>
      <c r="C5376" t="s">
        <v>15091</v>
      </c>
      <c r="D5376" t="s">
        <v>20</v>
      </c>
      <c r="E5376" t="s">
        <v>11</v>
      </c>
      <c r="F5376">
        <v>2219.316</v>
      </c>
      <c r="G5376">
        <v>18</v>
      </c>
      <c r="L5376" t="s">
        <v>15092</v>
      </c>
    </row>
    <row r="5377" spans="1:12" x14ac:dyDescent="0.25">
      <c r="A5377" t="s">
        <v>18</v>
      </c>
      <c r="B5377" t="s">
        <v>15092</v>
      </c>
      <c r="C5377" t="s">
        <v>15093</v>
      </c>
      <c r="D5377" t="s">
        <v>20</v>
      </c>
      <c r="E5377" t="s">
        <v>11</v>
      </c>
      <c r="F5377">
        <v>2219.316</v>
      </c>
      <c r="G5377">
        <v>18</v>
      </c>
      <c r="L5377" t="s">
        <v>15094</v>
      </c>
    </row>
    <row r="5378" spans="1:12" x14ac:dyDescent="0.25">
      <c r="A5378" t="s">
        <v>18</v>
      </c>
      <c r="B5378" t="s">
        <v>15094</v>
      </c>
      <c r="C5378" t="s">
        <v>15095</v>
      </c>
      <c r="D5378" t="s">
        <v>20</v>
      </c>
      <c r="E5378" t="s">
        <v>11</v>
      </c>
      <c r="F5378">
        <v>2480.4120000000003</v>
      </c>
      <c r="G5378">
        <v>18</v>
      </c>
      <c r="L5378" t="s">
        <v>15096</v>
      </c>
    </row>
    <row r="5379" spans="1:12" x14ac:dyDescent="0.25">
      <c r="A5379" t="s">
        <v>18</v>
      </c>
      <c r="B5379" t="s">
        <v>15096</v>
      </c>
      <c r="C5379" t="s">
        <v>15097</v>
      </c>
      <c r="D5379" t="s">
        <v>20</v>
      </c>
      <c r="E5379" t="s">
        <v>11</v>
      </c>
      <c r="F5379">
        <v>2480.4120000000003</v>
      </c>
      <c r="G5379">
        <v>18</v>
      </c>
      <c r="L5379" t="s">
        <v>15098</v>
      </c>
    </row>
    <row r="5380" spans="1:12" x14ac:dyDescent="0.25">
      <c r="A5380" t="s">
        <v>18</v>
      </c>
      <c r="B5380" t="s">
        <v>15098</v>
      </c>
      <c r="C5380" t="s">
        <v>15099</v>
      </c>
      <c r="D5380" t="s">
        <v>20</v>
      </c>
      <c r="E5380" t="s">
        <v>11</v>
      </c>
      <c r="F5380">
        <v>2480.4120000000003</v>
      </c>
      <c r="G5380">
        <v>18</v>
      </c>
      <c r="L5380" t="s">
        <v>15100</v>
      </c>
    </row>
    <row r="5381" spans="1:12" x14ac:dyDescent="0.25">
      <c r="A5381" t="s">
        <v>18</v>
      </c>
      <c r="B5381" t="s">
        <v>15100</v>
      </c>
      <c r="C5381" t="s">
        <v>15101</v>
      </c>
      <c r="D5381" t="s">
        <v>20</v>
      </c>
      <c r="E5381" t="s">
        <v>11</v>
      </c>
      <c r="F5381">
        <v>2088.768</v>
      </c>
      <c r="G5381">
        <v>18</v>
      </c>
      <c r="L5381" t="s">
        <v>15102</v>
      </c>
    </row>
    <row r="5382" spans="1:12" x14ac:dyDescent="0.25">
      <c r="A5382" t="s">
        <v>18</v>
      </c>
      <c r="B5382" t="s">
        <v>15102</v>
      </c>
      <c r="C5382" t="s">
        <v>15103</v>
      </c>
      <c r="D5382" t="s">
        <v>20</v>
      </c>
      <c r="E5382" t="s">
        <v>11</v>
      </c>
      <c r="F5382">
        <v>2088.768</v>
      </c>
      <c r="G5382">
        <v>18</v>
      </c>
      <c r="L5382" t="s">
        <v>15104</v>
      </c>
    </row>
    <row r="5383" spans="1:12" x14ac:dyDescent="0.25">
      <c r="A5383" t="s">
        <v>18</v>
      </c>
      <c r="B5383" t="s">
        <v>15104</v>
      </c>
      <c r="C5383" t="s">
        <v>15105</v>
      </c>
      <c r="D5383" t="s">
        <v>20</v>
      </c>
      <c r="E5383" t="s">
        <v>11</v>
      </c>
      <c r="F5383">
        <v>2088.768</v>
      </c>
      <c r="G5383">
        <v>18</v>
      </c>
      <c r="L5383" t="s">
        <v>15106</v>
      </c>
    </row>
    <row r="5384" spans="1:12" x14ac:dyDescent="0.25">
      <c r="A5384" t="s">
        <v>18</v>
      </c>
      <c r="B5384" t="s">
        <v>15106</v>
      </c>
      <c r="C5384" t="s">
        <v>15107</v>
      </c>
      <c r="D5384" t="s">
        <v>20</v>
      </c>
      <c r="E5384" t="s">
        <v>11</v>
      </c>
      <c r="F5384">
        <v>848.5619999999999</v>
      </c>
      <c r="G5384">
        <v>18</v>
      </c>
      <c r="L5384" t="s">
        <v>15108</v>
      </c>
    </row>
    <row r="5385" spans="1:12" x14ac:dyDescent="0.25">
      <c r="A5385" t="s">
        <v>18</v>
      </c>
      <c r="B5385" t="s">
        <v>15108</v>
      </c>
      <c r="C5385" t="s">
        <v>15109</v>
      </c>
      <c r="D5385" t="s">
        <v>20</v>
      </c>
      <c r="E5385" t="s">
        <v>11</v>
      </c>
      <c r="F5385">
        <v>3133.1519999999996</v>
      </c>
      <c r="G5385">
        <v>18</v>
      </c>
      <c r="L5385" t="s">
        <v>15110</v>
      </c>
    </row>
    <row r="5386" spans="1:12" x14ac:dyDescent="0.25">
      <c r="A5386" t="s">
        <v>18</v>
      </c>
      <c r="B5386" t="s">
        <v>15110</v>
      </c>
      <c r="C5386" t="s">
        <v>15111</v>
      </c>
      <c r="D5386" t="s">
        <v>20</v>
      </c>
      <c r="E5386" t="s">
        <v>11</v>
      </c>
      <c r="F5386">
        <v>8355.072</v>
      </c>
      <c r="G5386">
        <v>18</v>
      </c>
      <c r="L5386" t="s">
        <v>15112</v>
      </c>
    </row>
    <row r="5387" spans="1:12" x14ac:dyDescent="0.25">
      <c r="A5387" t="s">
        <v>18</v>
      </c>
      <c r="B5387" t="s">
        <v>15112</v>
      </c>
      <c r="C5387" t="s">
        <v>15113</v>
      </c>
      <c r="D5387" t="s">
        <v>20</v>
      </c>
      <c r="E5387" t="s">
        <v>11</v>
      </c>
      <c r="F5387">
        <v>41383.716</v>
      </c>
      <c r="G5387">
        <v>18</v>
      </c>
      <c r="L5387" t="s">
        <v>15114</v>
      </c>
    </row>
    <row r="5388" spans="1:12" x14ac:dyDescent="0.25">
      <c r="A5388" t="s">
        <v>18</v>
      </c>
      <c r="B5388" t="s">
        <v>15114</v>
      </c>
      <c r="C5388" t="s">
        <v>15115</v>
      </c>
      <c r="D5388" t="s">
        <v>20</v>
      </c>
      <c r="E5388" t="s">
        <v>11</v>
      </c>
      <c r="F5388">
        <v>12336.786</v>
      </c>
      <c r="G5388">
        <v>18</v>
      </c>
      <c r="L5388" t="s">
        <v>15116</v>
      </c>
    </row>
    <row r="5389" spans="1:12" x14ac:dyDescent="0.25">
      <c r="A5389" t="s">
        <v>18</v>
      </c>
      <c r="B5389" t="s">
        <v>15116</v>
      </c>
      <c r="C5389" t="s">
        <v>15117</v>
      </c>
      <c r="D5389" t="s">
        <v>20</v>
      </c>
      <c r="E5389" t="s">
        <v>11</v>
      </c>
      <c r="F5389">
        <v>71148.66</v>
      </c>
      <c r="G5389">
        <v>18</v>
      </c>
      <c r="L5389" t="s">
        <v>15118</v>
      </c>
    </row>
    <row r="5390" spans="1:12" x14ac:dyDescent="0.25">
      <c r="A5390" t="s">
        <v>18</v>
      </c>
      <c r="B5390" t="s">
        <v>15118</v>
      </c>
      <c r="C5390" t="s">
        <v>15119</v>
      </c>
      <c r="D5390" t="s">
        <v>20</v>
      </c>
      <c r="E5390" t="s">
        <v>11</v>
      </c>
      <c r="F5390">
        <v>15535.211999999998</v>
      </c>
      <c r="G5390">
        <v>18</v>
      </c>
      <c r="L5390" t="s">
        <v>15120</v>
      </c>
    </row>
    <row r="5391" spans="1:12" x14ac:dyDescent="0.25">
      <c r="A5391" t="s">
        <v>18</v>
      </c>
      <c r="B5391" t="s">
        <v>15120</v>
      </c>
      <c r="C5391" t="s">
        <v>15121</v>
      </c>
      <c r="D5391" t="s">
        <v>20</v>
      </c>
      <c r="E5391" t="s">
        <v>11</v>
      </c>
      <c r="F5391">
        <v>15535.211999999998</v>
      </c>
      <c r="G5391">
        <v>18</v>
      </c>
      <c r="L5391" t="s">
        <v>15122</v>
      </c>
    </row>
    <row r="5392" spans="1:12" x14ac:dyDescent="0.25">
      <c r="A5392" t="s">
        <v>18</v>
      </c>
      <c r="B5392" t="s">
        <v>15122</v>
      </c>
      <c r="C5392" t="s">
        <v>15123</v>
      </c>
      <c r="D5392" t="s">
        <v>20</v>
      </c>
      <c r="E5392" t="s">
        <v>11</v>
      </c>
      <c r="F5392">
        <v>16187.952</v>
      </c>
      <c r="G5392">
        <v>18</v>
      </c>
      <c r="L5392" t="s">
        <v>15124</v>
      </c>
    </row>
    <row r="5393" spans="1:12" x14ac:dyDescent="0.25">
      <c r="A5393" t="s">
        <v>18</v>
      </c>
      <c r="B5393" t="s">
        <v>15124</v>
      </c>
      <c r="C5393" t="s">
        <v>15125</v>
      </c>
      <c r="D5393" t="s">
        <v>20</v>
      </c>
      <c r="E5393" t="s">
        <v>11</v>
      </c>
      <c r="F5393">
        <v>15535.211999999998</v>
      </c>
      <c r="G5393">
        <v>18</v>
      </c>
      <c r="L5393" t="s">
        <v>15126</v>
      </c>
    </row>
    <row r="5394" spans="1:12" x14ac:dyDescent="0.25">
      <c r="A5394" t="s">
        <v>18</v>
      </c>
      <c r="B5394" t="s">
        <v>15126</v>
      </c>
      <c r="C5394" t="s">
        <v>15127</v>
      </c>
      <c r="D5394" t="s">
        <v>20</v>
      </c>
      <c r="E5394" t="s">
        <v>11</v>
      </c>
      <c r="F5394">
        <v>59790.984</v>
      </c>
      <c r="G5394">
        <v>18</v>
      </c>
      <c r="L5394" t="s">
        <v>15128</v>
      </c>
    </row>
    <row r="5395" spans="1:12" x14ac:dyDescent="0.25">
      <c r="A5395" t="s">
        <v>18</v>
      </c>
      <c r="B5395" t="s">
        <v>15128</v>
      </c>
      <c r="C5395" t="s">
        <v>15129</v>
      </c>
      <c r="D5395" t="s">
        <v>20</v>
      </c>
      <c r="E5395" t="s">
        <v>11</v>
      </c>
      <c r="F5395">
        <v>19255.829999999998</v>
      </c>
      <c r="G5395">
        <v>18</v>
      </c>
      <c r="L5395" t="s">
        <v>15130</v>
      </c>
    </row>
    <row r="5396" spans="1:12" x14ac:dyDescent="0.25">
      <c r="A5396" t="s">
        <v>18</v>
      </c>
      <c r="B5396" t="s">
        <v>15130</v>
      </c>
      <c r="C5396" t="s">
        <v>15131</v>
      </c>
      <c r="D5396" t="s">
        <v>20</v>
      </c>
      <c r="E5396" t="s">
        <v>11</v>
      </c>
      <c r="F5396">
        <v>21083.502</v>
      </c>
      <c r="G5396">
        <v>18</v>
      </c>
      <c r="L5396" t="s">
        <v>15132</v>
      </c>
    </row>
    <row r="5397" spans="1:12" x14ac:dyDescent="0.25">
      <c r="A5397" t="s">
        <v>18</v>
      </c>
      <c r="B5397" t="s">
        <v>15132</v>
      </c>
      <c r="C5397" t="s">
        <v>15133</v>
      </c>
      <c r="D5397" t="s">
        <v>20</v>
      </c>
      <c r="E5397" t="s">
        <v>11</v>
      </c>
      <c r="F5397">
        <v>27088.71</v>
      </c>
      <c r="G5397">
        <v>18</v>
      </c>
      <c r="L5397" t="s">
        <v>15134</v>
      </c>
    </row>
    <row r="5398" spans="1:12" x14ac:dyDescent="0.25">
      <c r="A5398" t="s">
        <v>18</v>
      </c>
      <c r="B5398" t="s">
        <v>15134</v>
      </c>
      <c r="C5398" t="s">
        <v>15135</v>
      </c>
      <c r="D5398" t="s">
        <v>20</v>
      </c>
      <c r="E5398" t="s">
        <v>11</v>
      </c>
      <c r="F5398">
        <v>27088.71</v>
      </c>
      <c r="G5398">
        <v>18</v>
      </c>
      <c r="L5398" t="s">
        <v>15136</v>
      </c>
    </row>
    <row r="5399" spans="1:12" x14ac:dyDescent="0.25">
      <c r="A5399" t="s">
        <v>18</v>
      </c>
      <c r="B5399" t="s">
        <v>15136</v>
      </c>
      <c r="C5399" t="s">
        <v>15137</v>
      </c>
      <c r="D5399" t="s">
        <v>20</v>
      </c>
      <c r="E5399" t="s">
        <v>11</v>
      </c>
      <c r="F5399">
        <v>28981.656</v>
      </c>
      <c r="G5399">
        <v>18</v>
      </c>
      <c r="L5399" t="s">
        <v>15138</v>
      </c>
    </row>
    <row r="5400" spans="1:12" x14ac:dyDescent="0.25">
      <c r="A5400" t="s">
        <v>18</v>
      </c>
      <c r="B5400" t="s">
        <v>15138</v>
      </c>
      <c r="C5400" t="s">
        <v>15139</v>
      </c>
      <c r="D5400" t="s">
        <v>20</v>
      </c>
      <c r="E5400" t="s">
        <v>11</v>
      </c>
      <c r="F5400">
        <v>32898.096</v>
      </c>
      <c r="G5400">
        <v>18</v>
      </c>
      <c r="L5400" t="s">
        <v>15140</v>
      </c>
    </row>
    <row r="5401" spans="1:12" x14ac:dyDescent="0.25">
      <c r="A5401" t="s">
        <v>18</v>
      </c>
      <c r="B5401" t="s">
        <v>15140</v>
      </c>
      <c r="C5401" t="s">
        <v>15141</v>
      </c>
      <c r="D5401" t="s">
        <v>20</v>
      </c>
      <c r="E5401" t="s">
        <v>11</v>
      </c>
      <c r="F5401">
        <v>9921.648000000001</v>
      </c>
      <c r="G5401">
        <v>18</v>
      </c>
      <c r="L5401" t="s">
        <v>15142</v>
      </c>
    </row>
    <row r="5402" spans="1:12" x14ac:dyDescent="0.25">
      <c r="A5402" t="s">
        <v>18</v>
      </c>
      <c r="B5402" t="s">
        <v>15142</v>
      </c>
      <c r="C5402" t="s">
        <v>15143</v>
      </c>
      <c r="D5402" t="s">
        <v>20</v>
      </c>
      <c r="E5402" t="s">
        <v>11</v>
      </c>
      <c r="F5402">
        <v>26370.695999999996</v>
      </c>
      <c r="G5402">
        <v>18</v>
      </c>
      <c r="L5402" t="s">
        <v>15144</v>
      </c>
    </row>
    <row r="5403" spans="1:12" x14ac:dyDescent="0.25">
      <c r="A5403" t="s">
        <v>18</v>
      </c>
      <c r="B5403" t="s">
        <v>15144</v>
      </c>
      <c r="C5403" t="s">
        <v>15145</v>
      </c>
      <c r="D5403" t="s">
        <v>20</v>
      </c>
      <c r="E5403" t="s">
        <v>11</v>
      </c>
      <c r="F5403">
        <v>15796.307999999999</v>
      </c>
      <c r="G5403">
        <v>18</v>
      </c>
      <c r="L5403" t="s">
        <v>15146</v>
      </c>
    </row>
    <row r="5404" spans="1:12" x14ac:dyDescent="0.25">
      <c r="A5404" t="s">
        <v>18</v>
      </c>
      <c r="B5404" t="s">
        <v>15146</v>
      </c>
      <c r="C5404" t="s">
        <v>15147</v>
      </c>
      <c r="D5404" t="s">
        <v>20</v>
      </c>
      <c r="E5404" t="s">
        <v>11</v>
      </c>
      <c r="F5404">
        <v>2676.234</v>
      </c>
      <c r="G5404">
        <v>18</v>
      </c>
      <c r="L5404" t="s">
        <v>15148</v>
      </c>
    </row>
    <row r="5405" spans="1:12" x14ac:dyDescent="0.25">
      <c r="A5405" t="s">
        <v>18</v>
      </c>
      <c r="B5405" t="s">
        <v>15148</v>
      </c>
      <c r="C5405" t="s">
        <v>15149</v>
      </c>
      <c r="D5405" t="s">
        <v>20</v>
      </c>
      <c r="E5405" t="s">
        <v>11</v>
      </c>
      <c r="F5405">
        <v>7702.332</v>
      </c>
      <c r="G5405">
        <v>18</v>
      </c>
      <c r="L5405" t="s">
        <v>15150</v>
      </c>
    </row>
    <row r="5406" spans="1:12" x14ac:dyDescent="0.25">
      <c r="A5406" t="s">
        <v>18</v>
      </c>
      <c r="B5406" t="s">
        <v>15150</v>
      </c>
      <c r="C5406" t="s">
        <v>15151</v>
      </c>
      <c r="D5406" t="s">
        <v>20</v>
      </c>
      <c r="E5406" t="s">
        <v>11</v>
      </c>
      <c r="F5406">
        <v>2219.316</v>
      </c>
      <c r="G5406">
        <v>18</v>
      </c>
      <c r="L5406" t="s">
        <v>15152</v>
      </c>
    </row>
    <row r="5407" spans="1:12" x14ac:dyDescent="0.25">
      <c r="A5407" t="s">
        <v>18</v>
      </c>
      <c r="B5407" t="s">
        <v>15152</v>
      </c>
      <c r="C5407" t="s">
        <v>15153</v>
      </c>
      <c r="D5407" t="s">
        <v>20</v>
      </c>
      <c r="E5407" t="s">
        <v>11</v>
      </c>
      <c r="F5407">
        <v>25261.038</v>
      </c>
      <c r="G5407">
        <v>18</v>
      </c>
      <c r="L5407" t="s">
        <v>15154</v>
      </c>
    </row>
    <row r="5408" spans="1:12" x14ac:dyDescent="0.25">
      <c r="A5408" t="s">
        <v>18</v>
      </c>
      <c r="B5408" t="s">
        <v>15154</v>
      </c>
      <c r="C5408" t="s">
        <v>15155</v>
      </c>
      <c r="D5408" t="s">
        <v>20</v>
      </c>
      <c r="E5408" t="s">
        <v>11</v>
      </c>
      <c r="F5408">
        <v>11227.127999999999</v>
      </c>
      <c r="G5408">
        <v>18</v>
      </c>
      <c r="L5408" t="s">
        <v>15156</v>
      </c>
    </row>
    <row r="5409" spans="1:12" x14ac:dyDescent="0.25">
      <c r="A5409" t="s">
        <v>18</v>
      </c>
      <c r="B5409" t="s">
        <v>15156</v>
      </c>
      <c r="C5409" t="s">
        <v>15157</v>
      </c>
      <c r="D5409" t="s">
        <v>20</v>
      </c>
      <c r="E5409" t="s">
        <v>11</v>
      </c>
      <c r="F5409">
        <v>18994.733999999997</v>
      </c>
      <c r="G5409">
        <v>18</v>
      </c>
      <c r="L5409" t="s">
        <v>15158</v>
      </c>
    </row>
    <row r="5410" spans="1:12" x14ac:dyDescent="0.25">
      <c r="A5410" t="s">
        <v>18</v>
      </c>
      <c r="B5410" t="s">
        <v>15158</v>
      </c>
      <c r="C5410" t="s">
        <v>15159</v>
      </c>
      <c r="D5410" t="s">
        <v>20</v>
      </c>
      <c r="E5410" t="s">
        <v>11</v>
      </c>
      <c r="F5410">
        <v>32441.178</v>
      </c>
      <c r="G5410">
        <v>18</v>
      </c>
      <c r="L5410" t="s">
        <v>15160</v>
      </c>
    </row>
    <row r="5411" spans="1:12" x14ac:dyDescent="0.25">
      <c r="A5411" t="s">
        <v>18</v>
      </c>
      <c r="B5411" t="s">
        <v>15160</v>
      </c>
      <c r="C5411" t="s">
        <v>15161</v>
      </c>
      <c r="D5411" t="s">
        <v>20</v>
      </c>
      <c r="E5411" t="s">
        <v>11</v>
      </c>
      <c r="F5411">
        <v>4242.8099999999995</v>
      </c>
      <c r="G5411">
        <v>18</v>
      </c>
      <c r="L5411" t="s">
        <v>15162</v>
      </c>
    </row>
    <row r="5412" spans="1:12" x14ac:dyDescent="0.25">
      <c r="A5412" t="s">
        <v>18</v>
      </c>
      <c r="B5412" t="s">
        <v>15162</v>
      </c>
      <c r="C5412" t="s">
        <v>15163</v>
      </c>
      <c r="D5412" t="s">
        <v>20</v>
      </c>
      <c r="E5412" t="s">
        <v>11</v>
      </c>
      <c r="F5412">
        <v>18015.624</v>
      </c>
      <c r="G5412">
        <v>18</v>
      </c>
      <c r="L5412" t="s">
        <v>15164</v>
      </c>
    </row>
    <row r="5413" spans="1:12" x14ac:dyDescent="0.25">
      <c r="A5413" t="s">
        <v>18</v>
      </c>
      <c r="B5413" t="s">
        <v>15164</v>
      </c>
      <c r="C5413" t="s">
        <v>15165</v>
      </c>
      <c r="D5413" t="s">
        <v>20</v>
      </c>
      <c r="E5413" t="s">
        <v>11</v>
      </c>
      <c r="F5413">
        <v>5483.016</v>
      </c>
      <c r="G5413">
        <v>18</v>
      </c>
      <c r="L5413" t="s">
        <v>15166</v>
      </c>
    </row>
    <row r="5414" spans="1:12" x14ac:dyDescent="0.25">
      <c r="A5414" t="s">
        <v>18</v>
      </c>
      <c r="B5414" t="s">
        <v>15166</v>
      </c>
      <c r="C5414" t="s">
        <v>15167</v>
      </c>
      <c r="D5414" t="s">
        <v>20</v>
      </c>
      <c r="E5414" t="s">
        <v>11</v>
      </c>
      <c r="F5414">
        <v>783.2879999999999</v>
      </c>
      <c r="G5414">
        <v>18</v>
      </c>
      <c r="L5414" t="s">
        <v>15168</v>
      </c>
    </row>
    <row r="5415" spans="1:12" x14ac:dyDescent="0.25">
      <c r="A5415" t="s">
        <v>18</v>
      </c>
      <c r="B5415" t="s">
        <v>15168</v>
      </c>
      <c r="C5415" t="s">
        <v>15169</v>
      </c>
      <c r="D5415" t="s">
        <v>20</v>
      </c>
      <c r="E5415" t="s">
        <v>11</v>
      </c>
      <c r="F5415">
        <v>783.2879999999999</v>
      </c>
      <c r="G5415">
        <v>18</v>
      </c>
      <c r="L5415" t="s">
        <v>15170</v>
      </c>
    </row>
    <row r="5416" spans="1:12" x14ac:dyDescent="0.25">
      <c r="A5416" t="s">
        <v>18</v>
      </c>
      <c r="B5416" t="s">
        <v>15170</v>
      </c>
      <c r="C5416" t="s">
        <v>15171</v>
      </c>
      <c r="D5416" t="s">
        <v>20</v>
      </c>
      <c r="E5416" t="s">
        <v>11</v>
      </c>
      <c r="F5416">
        <v>1892.946</v>
      </c>
      <c r="G5416">
        <v>18</v>
      </c>
      <c r="L5416" t="s">
        <v>15172</v>
      </c>
    </row>
    <row r="5417" spans="1:12" x14ac:dyDescent="0.25">
      <c r="A5417" t="s">
        <v>18</v>
      </c>
      <c r="B5417" t="s">
        <v>15172</v>
      </c>
      <c r="C5417" t="s">
        <v>15173</v>
      </c>
      <c r="D5417" t="s">
        <v>20</v>
      </c>
      <c r="E5417" t="s">
        <v>11</v>
      </c>
      <c r="F5417">
        <v>1631.85</v>
      </c>
      <c r="G5417">
        <v>18</v>
      </c>
      <c r="L5417" t="s">
        <v>15174</v>
      </c>
    </row>
    <row r="5418" spans="1:12" x14ac:dyDescent="0.25">
      <c r="A5418" t="s">
        <v>18</v>
      </c>
      <c r="B5418" t="s">
        <v>15174</v>
      </c>
      <c r="C5418" t="s">
        <v>15175</v>
      </c>
      <c r="D5418" t="s">
        <v>20</v>
      </c>
      <c r="E5418" t="s">
        <v>11</v>
      </c>
      <c r="F5418">
        <v>2349.8639999999996</v>
      </c>
      <c r="G5418">
        <v>18</v>
      </c>
      <c r="L5418" t="s">
        <v>15176</v>
      </c>
    </row>
    <row r="5419" spans="1:12" x14ac:dyDescent="0.25">
      <c r="A5419" t="s">
        <v>18</v>
      </c>
      <c r="B5419" t="s">
        <v>15176</v>
      </c>
      <c r="C5419" t="s">
        <v>15177</v>
      </c>
      <c r="D5419" t="s">
        <v>20</v>
      </c>
      <c r="E5419" t="s">
        <v>11</v>
      </c>
      <c r="F5419">
        <v>1827.672</v>
      </c>
      <c r="G5419">
        <v>18</v>
      </c>
      <c r="L5419" t="s">
        <v>15178</v>
      </c>
    </row>
    <row r="5420" spans="1:12" x14ac:dyDescent="0.25">
      <c r="A5420" t="s">
        <v>18</v>
      </c>
      <c r="B5420" t="s">
        <v>15178</v>
      </c>
      <c r="C5420" t="s">
        <v>15179</v>
      </c>
      <c r="D5420" t="s">
        <v>20</v>
      </c>
      <c r="E5420" t="s">
        <v>11</v>
      </c>
      <c r="F5420">
        <v>2545.6859999999997</v>
      </c>
      <c r="G5420">
        <v>18</v>
      </c>
      <c r="L5420" t="s">
        <v>15180</v>
      </c>
    </row>
    <row r="5421" spans="1:12" x14ac:dyDescent="0.25">
      <c r="A5421" t="s">
        <v>18</v>
      </c>
      <c r="B5421" t="s">
        <v>15180</v>
      </c>
      <c r="C5421" t="s">
        <v>15181</v>
      </c>
      <c r="D5421" t="s">
        <v>20</v>
      </c>
      <c r="E5421" t="s">
        <v>11</v>
      </c>
      <c r="F5421">
        <v>1892.946</v>
      </c>
      <c r="G5421">
        <v>18</v>
      </c>
      <c r="L5421" t="s">
        <v>15182</v>
      </c>
    </row>
    <row r="5422" spans="1:12" x14ac:dyDescent="0.25">
      <c r="A5422" t="s">
        <v>18</v>
      </c>
      <c r="B5422" t="s">
        <v>15182</v>
      </c>
      <c r="C5422" t="s">
        <v>15183</v>
      </c>
      <c r="D5422" t="s">
        <v>20</v>
      </c>
      <c r="E5422" t="s">
        <v>11</v>
      </c>
      <c r="F5422">
        <v>1958.22</v>
      </c>
      <c r="G5422">
        <v>18</v>
      </c>
      <c r="L5422" t="s">
        <v>15184</v>
      </c>
    </row>
    <row r="5423" spans="1:12" x14ac:dyDescent="0.25">
      <c r="A5423" t="s">
        <v>18</v>
      </c>
      <c r="B5423" t="s">
        <v>15184</v>
      </c>
      <c r="C5423" t="s">
        <v>15185</v>
      </c>
      <c r="D5423" t="s">
        <v>20</v>
      </c>
      <c r="E5423" t="s">
        <v>11</v>
      </c>
      <c r="F5423">
        <v>3981.714</v>
      </c>
      <c r="G5423">
        <v>18</v>
      </c>
      <c r="L5423" t="s">
        <v>15186</v>
      </c>
    </row>
    <row r="5424" spans="1:12" x14ac:dyDescent="0.25">
      <c r="A5424" t="s">
        <v>18</v>
      </c>
      <c r="B5424" t="s">
        <v>15186</v>
      </c>
      <c r="C5424" t="s">
        <v>15187</v>
      </c>
      <c r="D5424" t="s">
        <v>20</v>
      </c>
      <c r="E5424" t="s">
        <v>11</v>
      </c>
      <c r="F5424">
        <v>5221.92</v>
      </c>
      <c r="G5424">
        <v>18</v>
      </c>
      <c r="L5424" t="s">
        <v>15188</v>
      </c>
    </row>
    <row r="5425" spans="1:12" x14ac:dyDescent="0.25">
      <c r="A5425" t="s">
        <v>18</v>
      </c>
      <c r="B5425" t="s">
        <v>15188</v>
      </c>
      <c r="C5425" t="s">
        <v>15189</v>
      </c>
      <c r="D5425" t="s">
        <v>20</v>
      </c>
      <c r="E5425" t="s">
        <v>11</v>
      </c>
      <c r="F5425">
        <v>6592.673999999999</v>
      </c>
      <c r="G5425">
        <v>18</v>
      </c>
      <c r="L5425" t="s">
        <v>15190</v>
      </c>
    </row>
    <row r="5426" spans="1:12" x14ac:dyDescent="0.25">
      <c r="A5426" t="s">
        <v>18</v>
      </c>
      <c r="B5426" t="s">
        <v>15190</v>
      </c>
      <c r="C5426" t="s">
        <v>15191</v>
      </c>
      <c r="D5426" t="s">
        <v>20</v>
      </c>
      <c r="E5426" t="s">
        <v>11</v>
      </c>
      <c r="F5426">
        <v>10770.210000000001</v>
      </c>
      <c r="G5426">
        <v>18</v>
      </c>
      <c r="L5426" t="s">
        <v>15192</v>
      </c>
    </row>
    <row r="5427" spans="1:12" x14ac:dyDescent="0.25">
      <c r="A5427" t="s">
        <v>18</v>
      </c>
      <c r="B5427" t="s">
        <v>15192</v>
      </c>
      <c r="C5427" t="s">
        <v>15193</v>
      </c>
      <c r="D5427" t="s">
        <v>20</v>
      </c>
      <c r="E5427" t="s">
        <v>11</v>
      </c>
      <c r="F5427">
        <v>10770.210000000001</v>
      </c>
      <c r="G5427">
        <v>18</v>
      </c>
      <c r="L5427" t="s">
        <v>15194</v>
      </c>
    </row>
    <row r="5428" spans="1:12" x14ac:dyDescent="0.25">
      <c r="A5428" t="s">
        <v>18</v>
      </c>
      <c r="B5428" t="s">
        <v>15194</v>
      </c>
      <c r="C5428" t="s">
        <v>15195</v>
      </c>
      <c r="D5428" t="s">
        <v>20</v>
      </c>
      <c r="E5428" t="s">
        <v>11</v>
      </c>
      <c r="F5428">
        <v>5026.097999999999</v>
      </c>
      <c r="G5428">
        <v>18</v>
      </c>
      <c r="L5428" t="s">
        <v>15196</v>
      </c>
    </row>
    <row r="5429" spans="1:12" x14ac:dyDescent="0.25">
      <c r="A5429" t="s">
        <v>18</v>
      </c>
      <c r="B5429" t="s">
        <v>15196</v>
      </c>
      <c r="C5429" t="s">
        <v>15197</v>
      </c>
      <c r="D5429" t="s">
        <v>20</v>
      </c>
      <c r="E5429" t="s">
        <v>11</v>
      </c>
      <c r="F5429">
        <v>5221.92</v>
      </c>
      <c r="G5429">
        <v>18</v>
      </c>
      <c r="L5429" t="s">
        <v>15198</v>
      </c>
    </row>
    <row r="5430" spans="1:12" x14ac:dyDescent="0.25">
      <c r="A5430" t="s">
        <v>18</v>
      </c>
      <c r="B5430" t="s">
        <v>15198</v>
      </c>
      <c r="C5430" t="s">
        <v>15199</v>
      </c>
      <c r="D5430" t="s">
        <v>20</v>
      </c>
      <c r="E5430" t="s">
        <v>11</v>
      </c>
      <c r="F5430">
        <v>5809.3859999999995</v>
      </c>
      <c r="G5430">
        <v>18</v>
      </c>
      <c r="L5430" t="s">
        <v>15200</v>
      </c>
    </row>
    <row r="5431" spans="1:12" x14ac:dyDescent="0.25">
      <c r="A5431" t="s">
        <v>18</v>
      </c>
      <c r="B5431" t="s">
        <v>15200</v>
      </c>
      <c r="C5431" t="s">
        <v>15201</v>
      </c>
      <c r="D5431" t="s">
        <v>20</v>
      </c>
      <c r="E5431" t="s">
        <v>11</v>
      </c>
      <c r="F5431">
        <v>5026.097999999999</v>
      </c>
      <c r="G5431">
        <v>18</v>
      </c>
      <c r="L5431" t="s">
        <v>15202</v>
      </c>
    </row>
    <row r="5432" spans="1:12" x14ac:dyDescent="0.25">
      <c r="A5432" t="s">
        <v>18</v>
      </c>
      <c r="B5432" t="s">
        <v>15202</v>
      </c>
      <c r="C5432" t="s">
        <v>15203</v>
      </c>
      <c r="D5432" t="s">
        <v>20</v>
      </c>
      <c r="E5432" t="s">
        <v>11</v>
      </c>
      <c r="F5432">
        <v>17167.061999999998</v>
      </c>
      <c r="G5432">
        <v>18</v>
      </c>
      <c r="L5432" t="s">
        <v>15204</v>
      </c>
    </row>
    <row r="5433" spans="1:12" x14ac:dyDescent="0.25">
      <c r="A5433" t="s">
        <v>18</v>
      </c>
      <c r="B5433" t="s">
        <v>15204</v>
      </c>
      <c r="C5433" t="s">
        <v>15205</v>
      </c>
      <c r="D5433" t="s">
        <v>20</v>
      </c>
      <c r="E5433" t="s">
        <v>11</v>
      </c>
      <c r="F5433">
        <v>6723.222000000001</v>
      </c>
      <c r="G5433">
        <v>18</v>
      </c>
      <c r="L5433" t="s">
        <v>15206</v>
      </c>
    </row>
    <row r="5434" spans="1:12" x14ac:dyDescent="0.25">
      <c r="A5434" t="s">
        <v>18</v>
      </c>
      <c r="B5434" t="s">
        <v>15206</v>
      </c>
      <c r="C5434" t="s">
        <v>15207</v>
      </c>
      <c r="D5434" t="s">
        <v>20</v>
      </c>
      <c r="E5434" t="s">
        <v>11</v>
      </c>
      <c r="F5434">
        <v>3590.0699999999997</v>
      </c>
      <c r="G5434">
        <v>18</v>
      </c>
      <c r="L5434" t="s">
        <v>15208</v>
      </c>
    </row>
    <row r="5435" spans="1:12" x14ac:dyDescent="0.25">
      <c r="A5435" t="s">
        <v>18</v>
      </c>
      <c r="B5435" t="s">
        <v>15208</v>
      </c>
      <c r="C5435" t="s">
        <v>15209</v>
      </c>
      <c r="D5435" t="s">
        <v>20</v>
      </c>
      <c r="E5435" t="s">
        <v>11</v>
      </c>
      <c r="F5435">
        <v>4634.454</v>
      </c>
      <c r="G5435">
        <v>18</v>
      </c>
      <c r="L5435" t="s">
        <v>15210</v>
      </c>
    </row>
    <row r="5436" spans="1:12" x14ac:dyDescent="0.25">
      <c r="A5436" t="s">
        <v>18</v>
      </c>
      <c r="B5436" t="s">
        <v>15210</v>
      </c>
      <c r="C5436" t="s">
        <v>15211</v>
      </c>
      <c r="D5436" t="s">
        <v>20</v>
      </c>
      <c r="E5436" t="s">
        <v>11</v>
      </c>
      <c r="F5436">
        <v>3328.9739999999997</v>
      </c>
      <c r="G5436">
        <v>18</v>
      </c>
      <c r="L5436" t="s">
        <v>15212</v>
      </c>
    </row>
    <row r="5437" spans="1:12" x14ac:dyDescent="0.25">
      <c r="A5437" t="s">
        <v>18</v>
      </c>
      <c r="B5437" t="s">
        <v>15212</v>
      </c>
      <c r="C5437" t="s">
        <v>15213</v>
      </c>
      <c r="D5437" t="s">
        <v>20</v>
      </c>
      <c r="E5437" t="s">
        <v>11</v>
      </c>
      <c r="F5437">
        <v>2284.59</v>
      </c>
      <c r="G5437">
        <v>18</v>
      </c>
      <c r="L5437" t="s">
        <v>15214</v>
      </c>
    </row>
    <row r="5438" spans="1:12" x14ac:dyDescent="0.25">
      <c r="A5438" t="s">
        <v>18</v>
      </c>
      <c r="B5438" t="s">
        <v>15214</v>
      </c>
      <c r="C5438" t="s">
        <v>15215</v>
      </c>
      <c r="D5438" t="s">
        <v>20</v>
      </c>
      <c r="E5438" t="s">
        <v>11</v>
      </c>
      <c r="F5438">
        <v>11879.867999999999</v>
      </c>
      <c r="G5438">
        <v>18</v>
      </c>
      <c r="L5438" t="s">
        <v>15216</v>
      </c>
    </row>
    <row r="5439" spans="1:12" x14ac:dyDescent="0.25">
      <c r="A5439" t="s">
        <v>18</v>
      </c>
      <c r="B5439" t="s">
        <v>15216</v>
      </c>
      <c r="C5439" t="s">
        <v>15217</v>
      </c>
      <c r="D5439" t="s">
        <v>20</v>
      </c>
      <c r="E5439" t="s">
        <v>11</v>
      </c>
      <c r="F5439">
        <v>1892.946</v>
      </c>
      <c r="G5439">
        <v>18</v>
      </c>
      <c r="L5439" t="s">
        <v>15218</v>
      </c>
    </row>
    <row r="5440" spans="1:12" x14ac:dyDescent="0.25">
      <c r="A5440" t="s">
        <v>18</v>
      </c>
      <c r="B5440" t="s">
        <v>15218</v>
      </c>
      <c r="C5440" t="s">
        <v>15211</v>
      </c>
      <c r="D5440" t="s">
        <v>20</v>
      </c>
      <c r="E5440" t="s">
        <v>11</v>
      </c>
      <c r="F5440">
        <v>2219.316</v>
      </c>
      <c r="G5440">
        <v>18</v>
      </c>
      <c r="L5440" t="s">
        <v>15219</v>
      </c>
    </row>
    <row r="5441" spans="1:12" x14ac:dyDescent="0.25">
      <c r="A5441" t="s">
        <v>18</v>
      </c>
      <c r="B5441" t="s">
        <v>15219</v>
      </c>
      <c r="C5441" t="s">
        <v>15220</v>
      </c>
      <c r="D5441" t="s">
        <v>20</v>
      </c>
      <c r="E5441" t="s">
        <v>11</v>
      </c>
      <c r="F5441">
        <v>1109.658</v>
      </c>
      <c r="G5441">
        <v>18</v>
      </c>
      <c r="L5441" t="s">
        <v>15221</v>
      </c>
    </row>
    <row r="5442" spans="1:12" x14ac:dyDescent="0.25">
      <c r="A5442" t="s">
        <v>18</v>
      </c>
      <c r="B5442" t="s">
        <v>15221</v>
      </c>
      <c r="C5442" t="s">
        <v>15222</v>
      </c>
      <c r="D5442" t="s">
        <v>20</v>
      </c>
      <c r="E5442" t="s">
        <v>11</v>
      </c>
      <c r="F5442">
        <v>718.014</v>
      </c>
      <c r="G5442">
        <v>18</v>
      </c>
      <c r="L5442" t="s">
        <v>15223</v>
      </c>
    </row>
    <row r="5443" spans="1:12" x14ac:dyDescent="0.25">
      <c r="A5443" t="s">
        <v>18</v>
      </c>
      <c r="B5443" t="s">
        <v>15223</v>
      </c>
      <c r="C5443" t="s">
        <v>15224</v>
      </c>
      <c r="D5443" t="s">
        <v>20</v>
      </c>
      <c r="E5443" t="s">
        <v>11</v>
      </c>
      <c r="F5443">
        <v>4046.988</v>
      </c>
      <c r="G5443">
        <v>18</v>
      </c>
      <c r="L5443" t="s">
        <v>15225</v>
      </c>
    </row>
    <row r="5444" spans="1:12" x14ac:dyDescent="0.25">
      <c r="A5444" t="s">
        <v>18</v>
      </c>
      <c r="B5444" t="s">
        <v>15225</v>
      </c>
      <c r="C5444" t="s">
        <v>15226</v>
      </c>
      <c r="D5444" t="s">
        <v>20</v>
      </c>
      <c r="E5444" t="s">
        <v>11</v>
      </c>
      <c r="F5444">
        <v>10248.018</v>
      </c>
      <c r="G5444">
        <v>18</v>
      </c>
      <c r="L5444" t="s">
        <v>15227</v>
      </c>
    </row>
    <row r="5445" spans="1:12" x14ac:dyDescent="0.25">
      <c r="A5445" t="s">
        <v>18</v>
      </c>
      <c r="B5445" t="s">
        <v>15227</v>
      </c>
      <c r="C5445" t="s">
        <v>15228</v>
      </c>
      <c r="D5445" t="s">
        <v>20</v>
      </c>
      <c r="E5445" t="s">
        <v>11</v>
      </c>
      <c r="F5445">
        <v>13185.347999999998</v>
      </c>
      <c r="G5445">
        <v>18</v>
      </c>
      <c r="L5445" t="s">
        <v>15229</v>
      </c>
    </row>
    <row r="5446" spans="1:12" x14ac:dyDescent="0.25">
      <c r="A5446" t="s">
        <v>18</v>
      </c>
      <c r="B5446" t="s">
        <v>15229</v>
      </c>
      <c r="C5446" t="s">
        <v>15230</v>
      </c>
      <c r="D5446" t="s">
        <v>20</v>
      </c>
      <c r="E5446" t="s">
        <v>11</v>
      </c>
      <c r="F5446">
        <v>3067.8779999999997</v>
      </c>
      <c r="G5446">
        <v>18</v>
      </c>
      <c r="L5446" t="s">
        <v>15231</v>
      </c>
    </row>
    <row r="5447" spans="1:12" x14ac:dyDescent="0.25">
      <c r="A5447" t="s">
        <v>18</v>
      </c>
      <c r="B5447" t="s">
        <v>15231</v>
      </c>
      <c r="C5447" t="s">
        <v>15232</v>
      </c>
      <c r="D5447" t="s">
        <v>20</v>
      </c>
      <c r="E5447" t="s">
        <v>11</v>
      </c>
      <c r="F5447">
        <v>3851.166</v>
      </c>
      <c r="G5447">
        <v>18</v>
      </c>
      <c r="L5447" t="s">
        <v>15233</v>
      </c>
    </row>
    <row r="5448" spans="1:12" x14ac:dyDescent="0.25">
      <c r="A5448" t="s">
        <v>18</v>
      </c>
      <c r="B5448" t="s">
        <v>15233</v>
      </c>
      <c r="C5448" t="s">
        <v>15234</v>
      </c>
      <c r="D5448" t="s">
        <v>20</v>
      </c>
      <c r="E5448" t="s">
        <v>11</v>
      </c>
      <c r="F5448">
        <v>3851.166</v>
      </c>
      <c r="G5448">
        <v>18</v>
      </c>
      <c r="L5448" t="s">
        <v>15235</v>
      </c>
    </row>
    <row r="5449" spans="1:12" x14ac:dyDescent="0.25">
      <c r="A5449" t="s">
        <v>18</v>
      </c>
      <c r="B5449" t="s">
        <v>15235</v>
      </c>
      <c r="C5449" t="s">
        <v>15236</v>
      </c>
      <c r="D5449" t="s">
        <v>20</v>
      </c>
      <c r="E5449" t="s">
        <v>11</v>
      </c>
      <c r="F5449">
        <v>3851.166</v>
      </c>
      <c r="G5449">
        <v>18</v>
      </c>
      <c r="L5449" t="s">
        <v>15237</v>
      </c>
    </row>
    <row r="5450" spans="1:12" x14ac:dyDescent="0.25">
      <c r="A5450" t="s">
        <v>18</v>
      </c>
      <c r="B5450" t="s">
        <v>15237</v>
      </c>
      <c r="C5450" t="s">
        <v>15238</v>
      </c>
      <c r="D5450" t="s">
        <v>20</v>
      </c>
      <c r="E5450" t="s">
        <v>11</v>
      </c>
      <c r="F5450">
        <v>3851.166</v>
      </c>
      <c r="G5450">
        <v>18</v>
      </c>
      <c r="L5450" t="s">
        <v>15239</v>
      </c>
    </row>
    <row r="5451" spans="1:12" x14ac:dyDescent="0.25">
      <c r="A5451" t="s">
        <v>18</v>
      </c>
      <c r="B5451" t="s">
        <v>15239</v>
      </c>
      <c r="C5451" t="s">
        <v>15240</v>
      </c>
      <c r="D5451" t="s">
        <v>20</v>
      </c>
      <c r="E5451" t="s">
        <v>11</v>
      </c>
      <c r="F5451">
        <v>1109.658</v>
      </c>
      <c r="G5451">
        <v>18</v>
      </c>
      <c r="L5451" t="s">
        <v>15241</v>
      </c>
    </row>
    <row r="5452" spans="1:12" x14ac:dyDescent="0.25">
      <c r="A5452" t="s">
        <v>18</v>
      </c>
      <c r="B5452" t="s">
        <v>15241</v>
      </c>
      <c r="C5452" t="s">
        <v>15242</v>
      </c>
      <c r="D5452" t="s">
        <v>20</v>
      </c>
      <c r="E5452" t="s">
        <v>11</v>
      </c>
      <c r="F5452">
        <v>2219.316</v>
      </c>
      <c r="G5452">
        <v>18</v>
      </c>
      <c r="L5452" t="s">
        <v>15243</v>
      </c>
    </row>
    <row r="5453" spans="1:12" x14ac:dyDescent="0.25">
      <c r="A5453" t="s">
        <v>18</v>
      </c>
      <c r="B5453" t="s">
        <v>15243</v>
      </c>
      <c r="C5453" t="s">
        <v>15244</v>
      </c>
      <c r="D5453" t="s">
        <v>20</v>
      </c>
      <c r="E5453" t="s">
        <v>11</v>
      </c>
      <c r="F5453">
        <v>10182.743999999999</v>
      </c>
      <c r="G5453">
        <v>18</v>
      </c>
      <c r="L5453" t="s">
        <v>15245</v>
      </c>
    </row>
    <row r="5454" spans="1:12" x14ac:dyDescent="0.25">
      <c r="A5454" t="s">
        <v>18</v>
      </c>
      <c r="B5454" t="s">
        <v>15245</v>
      </c>
      <c r="C5454" t="s">
        <v>15246</v>
      </c>
      <c r="D5454" t="s">
        <v>20</v>
      </c>
      <c r="E5454" t="s">
        <v>11</v>
      </c>
      <c r="F5454">
        <v>10574.387999999997</v>
      </c>
      <c r="G5454">
        <v>18</v>
      </c>
      <c r="L5454" t="s">
        <v>15247</v>
      </c>
    </row>
    <row r="5455" spans="1:12" x14ac:dyDescent="0.25">
      <c r="A5455" t="s">
        <v>18</v>
      </c>
      <c r="B5455" t="s">
        <v>15247</v>
      </c>
      <c r="C5455" t="s">
        <v>15246</v>
      </c>
      <c r="D5455" t="s">
        <v>20</v>
      </c>
      <c r="E5455" t="s">
        <v>11</v>
      </c>
      <c r="F5455">
        <v>10509.114</v>
      </c>
      <c r="G5455">
        <v>18</v>
      </c>
      <c r="L5455" t="s">
        <v>15248</v>
      </c>
    </row>
    <row r="5456" spans="1:12" x14ac:dyDescent="0.25">
      <c r="A5456" t="s">
        <v>18</v>
      </c>
      <c r="B5456" t="s">
        <v>15248</v>
      </c>
      <c r="C5456" t="s">
        <v>15249</v>
      </c>
      <c r="D5456" t="s">
        <v>20</v>
      </c>
      <c r="E5456" t="s">
        <v>11</v>
      </c>
      <c r="F5456">
        <v>718.014</v>
      </c>
      <c r="G5456">
        <v>18</v>
      </c>
      <c r="L5456" t="s">
        <v>15250</v>
      </c>
    </row>
    <row r="5457" spans="1:12" x14ac:dyDescent="0.25">
      <c r="A5457" t="s">
        <v>18</v>
      </c>
      <c r="B5457" t="s">
        <v>15250</v>
      </c>
      <c r="C5457" t="s">
        <v>15251</v>
      </c>
      <c r="D5457" t="s">
        <v>20</v>
      </c>
      <c r="E5457" t="s">
        <v>11</v>
      </c>
      <c r="F5457">
        <v>2219.316</v>
      </c>
      <c r="G5457">
        <v>18</v>
      </c>
      <c r="L5457" t="s">
        <v>15252</v>
      </c>
    </row>
    <row r="5458" spans="1:12" x14ac:dyDescent="0.25">
      <c r="A5458" t="s">
        <v>18</v>
      </c>
      <c r="B5458" t="s">
        <v>15252</v>
      </c>
      <c r="C5458" t="s">
        <v>15253</v>
      </c>
      <c r="D5458" t="s">
        <v>20</v>
      </c>
      <c r="E5458" t="s">
        <v>11</v>
      </c>
      <c r="F5458">
        <v>718.014</v>
      </c>
      <c r="G5458">
        <v>18</v>
      </c>
      <c r="L5458" t="s">
        <v>15254</v>
      </c>
    </row>
    <row r="5459" spans="1:12" x14ac:dyDescent="0.25">
      <c r="A5459" t="s">
        <v>18</v>
      </c>
      <c r="B5459" t="s">
        <v>15254</v>
      </c>
      <c r="C5459" t="s">
        <v>15255</v>
      </c>
      <c r="D5459" t="s">
        <v>20</v>
      </c>
      <c r="E5459" t="s">
        <v>11</v>
      </c>
      <c r="F5459">
        <v>718.014</v>
      </c>
      <c r="G5459">
        <v>18</v>
      </c>
      <c r="L5459" t="s">
        <v>15256</v>
      </c>
    </row>
    <row r="5460" spans="1:12" x14ac:dyDescent="0.25">
      <c r="A5460" t="s">
        <v>18</v>
      </c>
      <c r="B5460" t="s">
        <v>15256</v>
      </c>
      <c r="C5460" t="s">
        <v>15257</v>
      </c>
      <c r="D5460" t="s">
        <v>20</v>
      </c>
      <c r="E5460" t="s">
        <v>11</v>
      </c>
      <c r="F5460">
        <v>4765.0019999999995</v>
      </c>
      <c r="G5460">
        <v>18</v>
      </c>
      <c r="L5460" t="s">
        <v>15258</v>
      </c>
    </row>
    <row r="5461" spans="1:12" x14ac:dyDescent="0.25">
      <c r="A5461" t="s">
        <v>18</v>
      </c>
      <c r="B5461" t="s">
        <v>15258</v>
      </c>
      <c r="C5461" t="s">
        <v>15259</v>
      </c>
      <c r="D5461" t="s">
        <v>20</v>
      </c>
      <c r="E5461" t="s">
        <v>11</v>
      </c>
      <c r="F5461">
        <v>4242.8099999999995</v>
      </c>
      <c r="G5461">
        <v>18</v>
      </c>
      <c r="L5461" t="s">
        <v>15260</v>
      </c>
    </row>
    <row r="5462" spans="1:12" x14ac:dyDescent="0.25">
      <c r="A5462" t="s">
        <v>18</v>
      </c>
      <c r="B5462" t="s">
        <v>15260</v>
      </c>
      <c r="C5462" t="s">
        <v>15261</v>
      </c>
      <c r="D5462" t="s">
        <v>20</v>
      </c>
      <c r="E5462" t="s">
        <v>11</v>
      </c>
      <c r="F5462">
        <v>2284.59</v>
      </c>
      <c r="G5462">
        <v>18</v>
      </c>
      <c r="L5462" t="s">
        <v>15262</v>
      </c>
    </row>
    <row r="5463" spans="1:12" x14ac:dyDescent="0.25">
      <c r="A5463" t="s">
        <v>18</v>
      </c>
      <c r="B5463" t="s">
        <v>15262</v>
      </c>
      <c r="C5463" t="s">
        <v>15263</v>
      </c>
      <c r="D5463" t="s">
        <v>20</v>
      </c>
      <c r="E5463" t="s">
        <v>11</v>
      </c>
      <c r="F5463">
        <v>3981.714</v>
      </c>
      <c r="G5463">
        <v>18</v>
      </c>
      <c r="L5463" t="s">
        <v>15264</v>
      </c>
    </row>
    <row r="5464" spans="1:12" x14ac:dyDescent="0.25">
      <c r="A5464" t="s">
        <v>18</v>
      </c>
      <c r="B5464" t="s">
        <v>15264</v>
      </c>
      <c r="C5464" t="s">
        <v>15265</v>
      </c>
      <c r="D5464" t="s">
        <v>20</v>
      </c>
      <c r="E5464" t="s">
        <v>11</v>
      </c>
      <c r="F5464">
        <v>2284.59</v>
      </c>
      <c r="G5464">
        <v>18</v>
      </c>
      <c r="L5464" t="s">
        <v>15266</v>
      </c>
    </row>
    <row r="5465" spans="1:12" x14ac:dyDescent="0.25">
      <c r="A5465" t="s">
        <v>18</v>
      </c>
      <c r="B5465" t="s">
        <v>15266</v>
      </c>
      <c r="C5465" t="s">
        <v>15267</v>
      </c>
      <c r="D5465" t="s">
        <v>20</v>
      </c>
      <c r="E5465" t="s">
        <v>11</v>
      </c>
      <c r="F5465">
        <v>2284.59</v>
      </c>
      <c r="G5465">
        <v>18</v>
      </c>
      <c r="L5465" t="s">
        <v>15268</v>
      </c>
    </row>
    <row r="5466" spans="1:12" x14ac:dyDescent="0.25">
      <c r="A5466" t="s">
        <v>18</v>
      </c>
      <c r="B5466" t="s">
        <v>15268</v>
      </c>
      <c r="C5466" t="s">
        <v>15269</v>
      </c>
      <c r="D5466" t="s">
        <v>20</v>
      </c>
      <c r="E5466" t="s">
        <v>11</v>
      </c>
      <c r="F5466">
        <v>4242.8099999999995</v>
      </c>
      <c r="G5466">
        <v>18</v>
      </c>
      <c r="L5466" t="s">
        <v>15270</v>
      </c>
    </row>
    <row r="5467" spans="1:12" x14ac:dyDescent="0.25">
      <c r="A5467" t="s">
        <v>18</v>
      </c>
      <c r="B5467" t="s">
        <v>15270</v>
      </c>
      <c r="C5467" t="s">
        <v>15271</v>
      </c>
      <c r="D5467" t="s">
        <v>20</v>
      </c>
      <c r="E5467" t="s">
        <v>11</v>
      </c>
      <c r="F5467">
        <v>4242.8099999999995</v>
      </c>
      <c r="G5467">
        <v>18</v>
      </c>
      <c r="L5467" t="s">
        <v>15272</v>
      </c>
    </row>
    <row r="5468" spans="1:12" x14ac:dyDescent="0.25">
      <c r="A5468" t="s">
        <v>18</v>
      </c>
      <c r="B5468" t="s">
        <v>15272</v>
      </c>
      <c r="C5468" t="s">
        <v>15273</v>
      </c>
      <c r="D5468" t="s">
        <v>20</v>
      </c>
      <c r="E5468" t="s">
        <v>11</v>
      </c>
      <c r="F5468">
        <v>4242.8099999999995</v>
      </c>
      <c r="G5468">
        <v>18</v>
      </c>
      <c r="L5468" t="s">
        <v>15274</v>
      </c>
    </row>
    <row r="5469" spans="1:12" x14ac:dyDescent="0.25">
      <c r="A5469" t="s">
        <v>18</v>
      </c>
      <c r="B5469" t="s">
        <v>15274</v>
      </c>
      <c r="C5469" t="s">
        <v>15275</v>
      </c>
      <c r="D5469" t="s">
        <v>20</v>
      </c>
      <c r="E5469" t="s">
        <v>11</v>
      </c>
      <c r="F5469">
        <v>7114.866</v>
      </c>
      <c r="G5469">
        <v>18</v>
      </c>
      <c r="L5469" t="s">
        <v>15276</v>
      </c>
    </row>
    <row r="5470" spans="1:12" x14ac:dyDescent="0.25">
      <c r="A5470" t="s">
        <v>18</v>
      </c>
      <c r="B5470" t="s">
        <v>15276</v>
      </c>
      <c r="C5470" t="s">
        <v>15277</v>
      </c>
      <c r="D5470" t="s">
        <v>20</v>
      </c>
      <c r="E5470" t="s">
        <v>11</v>
      </c>
      <c r="F5470">
        <v>3851.166</v>
      </c>
      <c r="G5470">
        <v>18</v>
      </c>
      <c r="L5470" t="s">
        <v>15278</v>
      </c>
    </row>
    <row r="5471" spans="1:12" x14ac:dyDescent="0.25">
      <c r="A5471" t="s">
        <v>18</v>
      </c>
      <c r="B5471" t="s">
        <v>15278</v>
      </c>
      <c r="C5471" t="s">
        <v>15279</v>
      </c>
      <c r="D5471" t="s">
        <v>20</v>
      </c>
      <c r="E5471" t="s">
        <v>11</v>
      </c>
      <c r="F5471">
        <v>3851.166</v>
      </c>
      <c r="G5471">
        <v>18</v>
      </c>
      <c r="L5471" t="s">
        <v>15280</v>
      </c>
    </row>
    <row r="5472" spans="1:12" x14ac:dyDescent="0.25">
      <c r="A5472" t="s">
        <v>18</v>
      </c>
      <c r="B5472" t="s">
        <v>15280</v>
      </c>
      <c r="C5472" t="s">
        <v>15281</v>
      </c>
      <c r="D5472" t="s">
        <v>20</v>
      </c>
      <c r="E5472" t="s">
        <v>11</v>
      </c>
      <c r="F5472">
        <v>3851.166</v>
      </c>
      <c r="G5472">
        <v>18</v>
      </c>
      <c r="L5472" t="s">
        <v>15282</v>
      </c>
    </row>
    <row r="5473" spans="1:12" x14ac:dyDescent="0.25">
      <c r="A5473" t="s">
        <v>18</v>
      </c>
      <c r="B5473" t="s">
        <v>15282</v>
      </c>
      <c r="C5473" t="s">
        <v>15283</v>
      </c>
      <c r="D5473" t="s">
        <v>20</v>
      </c>
      <c r="E5473" t="s">
        <v>11</v>
      </c>
      <c r="F5473">
        <v>3851.166</v>
      </c>
      <c r="G5473">
        <v>18</v>
      </c>
      <c r="L5473" t="s">
        <v>15284</v>
      </c>
    </row>
    <row r="5474" spans="1:12" x14ac:dyDescent="0.25">
      <c r="A5474" t="s">
        <v>18</v>
      </c>
      <c r="B5474" t="s">
        <v>15284</v>
      </c>
      <c r="C5474" t="s">
        <v>15285</v>
      </c>
      <c r="D5474" t="s">
        <v>20</v>
      </c>
      <c r="E5474" t="s">
        <v>11</v>
      </c>
      <c r="F5474">
        <v>2806.7819999999997</v>
      </c>
      <c r="G5474">
        <v>18</v>
      </c>
      <c r="L5474" t="s">
        <v>15286</v>
      </c>
    </row>
    <row r="5475" spans="1:12" x14ac:dyDescent="0.25">
      <c r="A5475" t="s">
        <v>18</v>
      </c>
      <c r="B5475" t="s">
        <v>15286</v>
      </c>
      <c r="C5475" t="s">
        <v>15287</v>
      </c>
      <c r="D5475" t="s">
        <v>20</v>
      </c>
      <c r="E5475" t="s">
        <v>11</v>
      </c>
      <c r="F5475">
        <v>3851.166</v>
      </c>
      <c r="G5475">
        <v>18</v>
      </c>
      <c r="L5475" t="s">
        <v>15288</v>
      </c>
    </row>
    <row r="5476" spans="1:12" x14ac:dyDescent="0.25">
      <c r="A5476" t="s">
        <v>18</v>
      </c>
      <c r="B5476" t="s">
        <v>15288</v>
      </c>
      <c r="C5476" t="s">
        <v>15289</v>
      </c>
      <c r="D5476" t="s">
        <v>20</v>
      </c>
      <c r="E5476" t="s">
        <v>11</v>
      </c>
      <c r="F5476">
        <v>2023.494</v>
      </c>
      <c r="G5476">
        <v>18</v>
      </c>
      <c r="L5476" t="s">
        <v>15290</v>
      </c>
    </row>
    <row r="5477" spans="1:12" x14ac:dyDescent="0.25">
      <c r="A5477" t="s">
        <v>18</v>
      </c>
      <c r="B5477" t="s">
        <v>15290</v>
      </c>
      <c r="C5477" t="s">
        <v>15291</v>
      </c>
      <c r="D5477" t="s">
        <v>20</v>
      </c>
      <c r="E5477" t="s">
        <v>11</v>
      </c>
      <c r="F5477">
        <v>6853.7699999999995</v>
      </c>
      <c r="G5477">
        <v>18</v>
      </c>
      <c r="L5477" t="s">
        <v>15292</v>
      </c>
    </row>
    <row r="5478" spans="1:12" x14ac:dyDescent="0.25">
      <c r="A5478" t="s">
        <v>18</v>
      </c>
      <c r="B5478" t="s">
        <v>15292</v>
      </c>
      <c r="C5478" t="s">
        <v>15293</v>
      </c>
      <c r="D5478" t="s">
        <v>20</v>
      </c>
      <c r="E5478" t="s">
        <v>11</v>
      </c>
      <c r="F5478">
        <v>2610.96</v>
      </c>
      <c r="G5478">
        <v>18</v>
      </c>
      <c r="L5478" t="s">
        <v>15294</v>
      </c>
    </row>
    <row r="5479" spans="1:12" x14ac:dyDescent="0.25">
      <c r="A5479" t="s">
        <v>18</v>
      </c>
      <c r="B5479" t="s">
        <v>15294</v>
      </c>
      <c r="C5479" t="s">
        <v>15295</v>
      </c>
      <c r="D5479" t="s">
        <v>20</v>
      </c>
      <c r="E5479" t="s">
        <v>11</v>
      </c>
      <c r="F5479">
        <v>7375.962</v>
      </c>
      <c r="G5479">
        <v>18</v>
      </c>
      <c r="L5479" t="s">
        <v>15296</v>
      </c>
    </row>
    <row r="5480" spans="1:12" x14ac:dyDescent="0.25">
      <c r="A5480" t="s">
        <v>18</v>
      </c>
      <c r="B5480" t="s">
        <v>15296</v>
      </c>
      <c r="C5480" t="s">
        <v>15297</v>
      </c>
      <c r="D5480" t="s">
        <v>20</v>
      </c>
      <c r="E5480" t="s">
        <v>11</v>
      </c>
      <c r="F5480">
        <v>4960.8240000000005</v>
      </c>
      <c r="G5480">
        <v>18</v>
      </c>
      <c r="L5480" t="s">
        <v>15298</v>
      </c>
    </row>
    <row r="5481" spans="1:12" x14ac:dyDescent="0.25">
      <c r="A5481" t="s">
        <v>18</v>
      </c>
      <c r="B5481" t="s">
        <v>15298</v>
      </c>
      <c r="C5481" t="s">
        <v>15299</v>
      </c>
      <c r="D5481" t="s">
        <v>20</v>
      </c>
      <c r="E5481" t="s">
        <v>11</v>
      </c>
      <c r="F5481">
        <v>456.918</v>
      </c>
      <c r="G5481">
        <v>18</v>
      </c>
      <c r="L5481" t="s">
        <v>15300</v>
      </c>
    </row>
    <row r="5482" spans="1:12" x14ac:dyDescent="0.25">
      <c r="A5482" t="s">
        <v>18</v>
      </c>
      <c r="B5482" t="s">
        <v>15300</v>
      </c>
      <c r="C5482" t="s">
        <v>15301</v>
      </c>
      <c r="D5482" t="s">
        <v>20</v>
      </c>
      <c r="E5482" t="s">
        <v>11</v>
      </c>
      <c r="F5482">
        <v>456.918</v>
      </c>
      <c r="G5482">
        <v>18</v>
      </c>
      <c r="L5482" t="s">
        <v>15302</v>
      </c>
    </row>
    <row r="5483" spans="1:12" x14ac:dyDescent="0.25">
      <c r="A5483" t="s">
        <v>18</v>
      </c>
      <c r="B5483" t="s">
        <v>15302</v>
      </c>
      <c r="C5483" t="s">
        <v>15303</v>
      </c>
      <c r="D5483" t="s">
        <v>20</v>
      </c>
      <c r="E5483" t="s">
        <v>11</v>
      </c>
      <c r="F5483">
        <v>522.192</v>
      </c>
      <c r="G5483">
        <v>18</v>
      </c>
      <c r="L5483" t="s">
        <v>15304</v>
      </c>
    </row>
    <row r="5484" spans="1:12" x14ac:dyDescent="0.25">
      <c r="A5484" t="s">
        <v>18</v>
      </c>
      <c r="B5484" t="s">
        <v>15304</v>
      </c>
      <c r="C5484" t="s">
        <v>15305</v>
      </c>
      <c r="D5484" t="s">
        <v>20</v>
      </c>
      <c r="E5484" t="s">
        <v>11</v>
      </c>
      <c r="F5484">
        <v>23302.818</v>
      </c>
      <c r="G5484">
        <v>18</v>
      </c>
      <c r="L5484" t="s">
        <v>15306</v>
      </c>
    </row>
    <row r="5485" spans="1:12" x14ac:dyDescent="0.25">
      <c r="A5485" t="s">
        <v>18</v>
      </c>
      <c r="B5485" t="s">
        <v>15306</v>
      </c>
      <c r="C5485" t="s">
        <v>15307</v>
      </c>
      <c r="D5485" t="s">
        <v>20</v>
      </c>
      <c r="E5485" t="s">
        <v>11</v>
      </c>
      <c r="F5485">
        <v>17362.884000000002</v>
      </c>
      <c r="G5485">
        <v>18</v>
      </c>
      <c r="L5485" t="s">
        <v>15308</v>
      </c>
    </row>
    <row r="5486" spans="1:12" x14ac:dyDescent="0.25">
      <c r="A5486" t="s">
        <v>18</v>
      </c>
      <c r="B5486" t="s">
        <v>15308</v>
      </c>
      <c r="C5486" t="s">
        <v>15309</v>
      </c>
      <c r="D5486" t="s">
        <v>20</v>
      </c>
      <c r="E5486" t="s">
        <v>11</v>
      </c>
      <c r="F5486">
        <v>17428.158</v>
      </c>
      <c r="G5486">
        <v>18</v>
      </c>
      <c r="L5486" t="s">
        <v>15310</v>
      </c>
    </row>
    <row r="5487" spans="1:12" x14ac:dyDescent="0.25">
      <c r="A5487" t="s">
        <v>18</v>
      </c>
      <c r="B5487" t="s">
        <v>15310</v>
      </c>
      <c r="C5487" t="s">
        <v>15311</v>
      </c>
      <c r="D5487" t="s">
        <v>20</v>
      </c>
      <c r="E5487" t="s">
        <v>11</v>
      </c>
      <c r="F5487">
        <v>10378.565999999999</v>
      </c>
      <c r="G5487">
        <v>18</v>
      </c>
      <c r="L5487" t="s">
        <v>15312</v>
      </c>
    </row>
    <row r="5488" spans="1:12" x14ac:dyDescent="0.25">
      <c r="A5488" t="s">
        <v>18</v>
      </c>
      <c r="B5488" t="s">
        <v>15312</v>
      </c>
      <c r="C5488" t="s">
        <v>15313</v>
      </c>
      <c r="D5488" t="s">
        <v>20</v>
      </c>
      <c r="E5488" t="s">
        <v>11</v>
      </c>
      <c r="F5488">
        <v>9660.552</v>
      </c>
      <c r="G5488">
        <v>18</v>
      </c>
      <c r="L5488" t="s">
        <v>15314</v>
      </c>
    </row>
    <row r="5489" spans="1:12" x14ac:dyDescent="0.25">
      <c r="A5489" t="s">
        <v>18</v>
      </c>
      <c r="B5489" t="s">
        <v>15314</v>
      </c>
      <c r="C5489" t="s">
        <v>15315</v>
      </c>
      <c r="D5489" t="s">
        <v>20</v>
      </c>
      <c r="E5489" t="s">
        <v>11</v>
      </c>
      <c r="F5489">
        <v>9660.552</v>
      </c>
      <c r="G5489">
        <v>18</v>
      </c>
      <c r="L5489" t="s">
        <v>15316</v>
      </c>
    </row>
    <row r="5490" spans="1:12" x14ac:dyDescent="0.25">
      <c r="A5490" t="s">
        <v>18</v>
      </c>
      <c r="B5490" t="s">
        <v>15316</v>
      </c>
      <c r="C5490" t="s">
        <v>15317</v>
      </c>
      <c r="D5490" t="s">
        <v>20</v>
      </c>
      <c r="E5490" t="s">
        <v>11</v>
      </c>
      <c r="F5490">
        <v>10378.565999999999</v>
      </c>
      <c r="G5490">
        <v>18</v>
      </c>
      <c r="L5490" t="s">
        <v>15318</v>
      </c>
    </row>
    <row r="5491" spans="1:12" x14ac:dyDescent="0.25">
      <c r="A5491" t="s">
        <v>18</v>
      </c>
      <c r="B5491" t="s">
        <v>15318</v>
      </c>
      <c r="C5491" t="s">
        <v>15319</v>
      </c>
      <c r="D5491" t="s">
        <v>20</v>
      </c>
      <c r="E5491" t="s">
        <v>11</v>
      </c>
      <c r="F5491">
        <v>9053.352</v>
      </c>
      <c r="G5491">
        <v>18</v>
      </c>
      <c r="L5491" t="s">
        <v>15320</v>
      </c>
    </row>
    <row r="5492" spans="1:12" x14ac:dyDescent="0.25">
      <c r="A5492" t="s">
        <v>18</v>
      </c>
      <c r="B5492" t="s">
        <v>15320</v>
      </c>
      <c r="C5492" t="s">
        <v>15321</v>
      </c>
      <c r="D5492" t="s">
        <v>20</v>
      </c>
      <c r="E5492" t="s">
        <v>11</v>
      </c>
      <c r="F5492">
        <v>10378.565999999999</v>
      </c>
      <c r="G5492">
        <v>18</v>
      </c>
      <c r="L5492" t="s">
        <v>15322</v>
      </c>
    </row>
    <row r="5493" spans="1:12" x14ac:dyDescent="0.25">
      <c r="A5493" t="s">
        <v>18</v>
      </c>
      <c r="B5493" t="s">
        <v>15322</v>
      </c>
      <c r="C5493" t="s">
        <v>15323</v>
      </c>
      <c r="D5493" t="s">
        <v>20</v>
      </c>
      <c r="E5493" t="s">
        <v>11</v>
      </c>
      <c r="F5493">
        <v>2023.494</v>
      </c>
      <c r="G5493">
        <v>18</v>
      </c>
      <c r="L5493" t="s">
        <v>15324</v>
      </c>
    </row>
    <row r="5494" spans="1:12" x14ac:dyDescent="0.25">
      <c r="A5494" t="s">
        <v>18</v>
      </c>
      <c r="B5494" t="s">
        <v>15324</v>
      </c>
      <c r="C5494" t="s">
        <v>15325</v>
      </c>
      <c r="D5494" t="s">
        <v>20</v>
      </c>
      <c r="E5494" t="s">
        <v>11</v>
      </c>
      <c r="F5494">
        <v>1697.1239999999998</v>
      </c>
      <c r="G5494">
        <v>18</v>
      </c>
      <c r="L5494" t="s">
        <v>15326</v>
      </c>
    </row>
    <row r="5495" spans="1:12" x14ac:dyDescent="0.25">
      <c r="A5495" t="s">
        <v>18</v>
      </c>
      <c r="B5495" t="s">
        <v>15326</v>
      </c>
      <c r="C5495" t="s">
        <v>15327</v>
      </c>
      <c r="D5495" t="s">
        <v>20</v>
      </c>
      <c r="E5495" t="s">
        <v>11</v>
      </c>
      <c r="F5495">
        <v>2415.138</v>
      </c>
      <c r="G5495">
        <v>18</v>
      </c>
      <c r="L5495" t="s">
        <v>15328</v>
      </c>
    </row>
    <row r="5496" spans="1:12" x14ac:dyDescent="0.25">
      <c r="A5496" t="s">
        <v>18</v>
      </c>
      <c r="B5496" t="s">
        <v>15328</v>
      </c>
      <c r="C5496" t="s">
        <v>3922</v>
      </c>
      <c r="D5496" t="s">
        <v>20</v>
      </c>
      <c r="E5496" t="s">
        <v>11</v>
      </c>
      <c r="F5496">
        <v>2023.494</v>
      </c>
      <c r="G5496">
        <v>18</v>
      </c>
      <c r="L5496" t="s">
        <v>15329</v>
      </c>
    </row>
    <row r="5497" spans="1:12" x14ac:dyDescent="0.25">
      <c r="A5497" t="s">
        <v>18</v>
      </c>
      <c r="B5497" t="s">
        <v>15329</v>
      </c>
      <c r="C5497" t="s">
        <v>15330</v>
      </c>
      <c r="D5497" t="s">
        <v>20</v>
      </c>
      <c r="E5497" t="s">
        <v>11</v>
      </c>
      <c r="F5497">
        <v>2219.316</v>
      </c>
      <c r="G5497">
        <v>18</v>
      </c>
      <c r="L5497" t="s">
        <v>15331</v>
      </c>
    </row>
    <row r="5498" spans="1:12" x14ac:dyDescent="0.25">
      <c r="A5498" t="s">
        <v>18</v>
      </c>
      <c r="B5498" t="s">
        <v>15331</v>
      </c>
      <c r="C5498" t="s">
        <v>15332</v>
      </c>
      <c r="D5498" t="s">
        <v>20</v>
      </c>
      <c r="E5498" t="s">
        <v>11</v>
      </c>
      <c r="F5498">
        <v>3328.9739999999997</v>
      </c>
      <c r="G5498">
        <v>18</v>
      </c>
      <c r="L5498" t="s">
        <v>15333</v>
      </c>
    </row>
    <row r="5499" spans="1:12" x14ac:dyDescent="0.25">
      <c r="A5499" t="s">
        <v>18</v>
      </c>
      <c r="B5499" t="s">
        <v>15333</v>
      </c>
      <c r="C5499" t="s">
        <v>15334</v>
      </c>
      <c r="D5499" t="s">
        <v>20</v>
      </c>
      <c r="E5499" t="s">
        <v>11</v>
      </c>
      <c r="F5499">
        <v>4046.988</v>
      </c>
      <c r="G5499">
        <v>18</v>
      </c>
      <c r="L5499" t="s">
        <v>15335</v>
      </c>
    </row>
    <row r="5500" spans="1:12" x14ac:dyDescent="0.25">
      <c r="A5500" t="s">
        <v>18</v>
      </c>
      <c r="B5500" t="s">
        <v>15335</v>
      </c>
      <c r="C5500" t="s">
        <v>15336</v>
      </c>
      <c r="D5500" t="s">
        <v>20</v>
      </c>
      <c r="E5500" t="s">
        <v>11</v>
      </c>
      <c r="F5500">
        <v>1566.5759999999998</v>
      </c>
      <c r="G5500">
        <v>18</v>
      </c>
      <c r="L5500" t="s">
        <v>15337</v>
      </c>
    </row>
    <row r="5501" spans="1:12" x14ac:dyDescent="0.25">
      <c r="A5501" t="s">
        <v>18</v>
      </c>
      <c r="B5501" t="s">
        <v>15337</v>
      </c>
      <c r="C5501" t="s">
        <v>15338</v>
      </c>
      <c r="D5501" t="s">
        <v>20</v>
      </c>
      <c r="E5501" t="s">
        <v>11</v>
      </c>
      <c r="F5501">
        <v>2480.4120000000003</v>
      </c>
      <c r="G5501">
        <v>18</v>
      </c>
      <c r="L5501" t="s">
        <v>15339</v>
      </c>
    </row>
    <row r="5502" spans="1:12" x14ac:dyDescent="0.25">
      <c r="A5502" t="s">
        <v>18</v>
      </c>
      <c r="B5502" t="s">
        <v>15339</v>
      </c>
      <c r="C5502" t="s">
        <v>15340</v>
      </c>
      <c r="D5502" t="s">
        <v>20</v>
      </c>
      <c r="E5502" t="s">
        <v>11</v>
      </c>
      <c r="F5502">
        <v>1697.1239999999998</v>
      </c>
      <c r="G5502">
        <v>18</v>
      </c>
      <c r="L5502" t="s">
        <v>15341</v>
      </c>
    </row>
    <row r="5503" spans="1:12" x14ac:dyDescent="0.25">
      <c r="A5503" t="s">
        <v>18</v>
      </c>
      <c r="B5503" t="s">
        <v>15341</v>
      </c>
      <c r="C5503" t="s">
        <v>15342</v>
      </c>
      <c r="D5503" t="s">
        <v>20</v>
      </c>
      <c r="E5503" t="s">
        <v>11</v>
      </c>
      <c r="F5503">
        <v>2349.8639999999996</v>
      </c>
      <c r="G5503">
        <v>18</v>
      </c>
      <c r="L5503" t="s">
        <v>15343</v>
      </c>
    </row>
    <row r="5504" spans="1:12" x14ac:dyDescent="0.25">
      <c r="A5504" t="s">
        <v>18</v>
      </c>
      <c r="B5504" t="s">
        <v>15343</v>
      </c>
      <c r="C5504" t="s">
        <v>15344</v>
      </c>
      <c r="D5504" t="s">
        <v>20</v>
      </c>
      <c r="E5504" t="s">
        <v>11</v>
      </c>
      <c r="F5504">
        <v>2088.768</v>
      </c>
      <c r="G5504">
        <v>18</v>
      </c>
      <c r="L5504" t="s">
        <v>15345</v>
      </c>
    </row>
    <row r="5505" spans="1:12" x14ac:dyDescent="0.25">
      <c r="A5505" t="s">
        <v>18</v>
      </c>
      <c r="B5505" t="s">
        <v>15345</v>
      </c>
      <c r="C5505" t="s">
        <v>15346</v>
      </c>
      <c r="D5505" t="s">
        <v>20</v>
      </c>
      <c r="E5505" t="s">
        <v>11</v>
      </c>
      <c r="F5505">
        <v>3981.714</v>
      </c>
      <c r="G5505">
        <v>18</v>
      </c>
      <c r="L5505" t="s">
        <v>15347</v>
      </c>
    </row>
    <row r="5506" spans="1:12" x14ac:dyDescent="0.25">
      <c r="A5506" t="s">
        <v>18</v>
      </c>
      <c r="B5506" t="s">
        <v>15347</v>
      </c>
      <c r="C5506" t="s">
        <v>15348</v>
      </c>
      <c r="D5506" t="s">
        <v>20</v>
      </c>
      <c r="E5506" t="s">
        <v>11</v>
      </c>
      <c r="F5506">
        <v>1697.1239999999998</v>
      </c>
      <c r="G5506">
        <v>18</v>
      </c>
      <c r="L5506" t="s">
        <v>15349</v>
      </c>
    </row>
    <row r="5507" spans="1:12" x14ac:dyDescent="0.25">
      <c r="A5507" t="s">
        <v>18</v>
      </c>
      <c r="B5507" t="s">
        <v>15349</v>
      </c>
      <c r="C5507" t="s">
        <v>15350</v>
      </c>
      <c r="D5507" t="s">
        <v>20</v>
      </c>
      <c r="E5507" t="s">
        <v>11</v>
      </c>
      <c r="F5507">
        <v>1958.22</v>
      </c>
      <c r="G5507">
        <v>18</v>
      </c>
      <c r="L5507" t="s">
        <v>15351</v>
      </c>
    </row>
    <row r="5508" spans="1:12" x14ac:dyDescent="0.25">
      <c r="A5508" t="s">
        <v>18</v>
      </c>
      <c r="B5508" t="s">
        <v>15351</v>
      </c>
      <c r="C5508" t="s">
        <v>15352</v>
      </c>
      <c r="D5508" t="s">
        <v>20</v>
      </c>
      <c r="E5508" t="s">
        <v>11</v>
      </c>
      <c r="F5508">
        <v>3590.0699999999997</v>
      </c>
      <c r="G5508">
        <v>18</v>
      </c>
      <c r="L5508" t="s">
        <v>15353</v>
      </c>
    </row>
    <row r="5509" spans="1:12" x14ac:dyDescent="0.25">
      <c r="A5509" t="s">
        <v>18</v>
      </c>
      <c r="B5509" t="s">
        <v>15353</v>
      </c>
      <c r="C5509" t="s">
        <v>15354</v>
      </c>
      <c r="D5509" t="s">
        <v>20</v>
      </c>
      <c r="E5509" t="s">
        <v>11</v>
      </c>
      <c r="F5509">
        <v>4242.8099999999995</v>
      </c>
      <c r="G5509">
        <v>18</v>
      </c>
      <c r="L5509" t="s">
        <v>15355</v>
      </c>
    </row>
    <row r="5510" spans="1:12" x14ac:dyDescent="0.25">
      <c r="A5510" t="s">
        <v>18</v>
      </c>
      <c r="B5510" t="s">
        <v>15355</v>
      </c>
      <c r="C5510" t="s">
        <v>15356</v>
      </c>
      <c r="D5510" t="s">
        <v>20</v>
      </c>
      <c r="E5510" t="s">
        <v>11</v>
      </c>
      <c r="F5510">
        <v>1631.85</v>
      </c>
      <c r="G5510">
        <v>18</v>
      </c>
      <c r="L5510" t="s">
        <v>15357</v>
      </c>
    </row>
    <row r="5511" spans="1:12" x14ac:dyDescent="0.25">
      <c r="A5511" t="s">
        <v>18</v>
      </c>
      <c r="B5511" t="s">
        <v>15357</v>
      </c>
      <c r="C5511" t="s">
        <v>15358</v>
      </c>
      <c r="D5511" t="s">
        <v>20</v>
      </c>
      <c r="E5511" t="s">
        <v>11</v>
      </c>
      <c r="F5511">
        <v>1631.85</v>
      </c>
      <c r="G5511">
        <v>18</v>
      </c>
      <c r="L5511" t="s">
        <v>15359</v>
      </c>
    </row>
    <row r="5512" spans="1:12" x14ac:dyDescent="0.25">
      <c r="A5512" t="s">
        <v>18</v>
      </c>
      <c r="B5512" t="s">
        <v>15359</v>
      </c>
      <c r="C5512" t="s">
        <v>15360</v>
      </c>
      <c r="D5512" t="s">
        <v>20</v>
      </c>
      <c r="E5512" t="s">
        <v>11</v>
      </c>
      <c r="F5512">
        <v>4308.084</v>
      </c>
      <c r="G5512">
        <v>18</v>
      </c>
      <c r="L5512" t="s">
        <v>15361</v>
      </c>
    </row>
    <row r="5513" spans="1:12" x14ac:dyDescent="0.25">
      <c r="A5513" t="s">
        <v>18</v>
      </c>
      <c r="B5513" t="s">
        <v>15361</v>
      </c>
      <c r="C5513" t="s">
        <v>15362</v>
      </c>
      <c r="D5513" t="s">
        <v>20</v>
      </c>
      <c r="E5513" t="s">
        <v>11</v>
      </c>
      <c r="F5513">
        <v>7898.1539999999995</v>
      </c>
      <c r="G5513">
        <v>18</v>
      </c>
      <c r="L5513" t="s">
        <v>15363</v>
      </c>
    </row>
    <row r="5514" spans="1:12" x14ac:dyDescent="0.25">
      <c r="A5514" t="s">
        <v>18</v>
      </c>
      <c r="B5514" t="s">
        <v>15363</v>
      </c>
      <c r="C5514" t="s">
        <v>15364</v>
      </c>
      <c r="D5514" t="s">
        <v>20</v>
      </c>
      <c r="E5514" t="s">
        <v>11</v>
      </c>
      <c r="F5514">
        <v>7049.592000000001</v>
      </c>
      <c r="G5514">
        <v>18</v>
      </c>
      <c r="L5514" t="s">
        <v>15365</v>
      </c>
    </row>
    <row r="5515" spans="1:12" x14ac:dyDescent="0.25">
      <c r="A5515" t="s">
        <v>18</v>
      </c>
      <c r="B5515" t="s">
        <v>15365</v>
      </c>
      <c r="C5515" t="s">
        <v>15366</v>
      </c>
      <c r="D5515" t="s">
        <v>20</v>
      </c>
      <c r="E5515" t="s">
        <v>11</v>
      </c>
      <c r="F5515">
        <v>4242.8099999999995</v>
      </c>
      <c r="G5515">
        <v>18</v>
      </c>
      <c r="L5515" t="s">
        <v>15367</v>
      </c>
    </row>
    <row r="5516" spans="1:12" x14ac:dyDescent="0.25">
      <c r="A5516" t="s">
        <v>18</v>
      </c>
      <c r="B5516" t="s">
        <v>15367</v>
      </c>
      <c r="C5516" t="s">
        <v>15368</v>
      </c>
      <c r="D5516" t="s">
        <v>20</v>
      </c>
      <c r="E5516" t="s">
        <v>11</v>
      </c>
      <c r="F5516">
        <v>3851.166</v>
      </c>
      <c r="G5516">
        <v>18</v>
      </c>
      <c r="L5516" t="s">
        <v>15369</v>
      </c>
    </row>
    <row r="5517" spans="1:12" x14ac:dyDescent="0.25">
      <c r="A5517" t="s">
        <v>18</v>
      </c>
      <c r="B5517" t="s">
        <v>15369</v>
      </c>
      <c r="C5517" t="s">
        <v>15370</v>
      </c>
      <c r="D5517" t="s">
        <v>20</v>
      </c>
      <c r="E5517" t="s">
        <v>11</v>
      </c>
      <c r="F5517">
        <v>8550.893999999998</v>
      </c>
      <c r="G5517">
        <v>18</v>
      </c>
      <c r="L5517" t="s">
        <v>15371</v>
      </c>
    </row>
    <row r="5518" spans="1:12" x14ac:dyDescent="0.25">
      <c r="A5518" t="s">
        <v>18</v>
      </c>
      <c r="B5518" t="s">
        <v>15371</v>
      </c>
      <c r="C5518" t="s">
        <v>15372</v>
      </c>
      <c r="D5518" t="s">
        <v>20</v>
      </c>
      <c r="E5518" t="s">
        <v>11</v>
      </c>
      <c r="F5518">
        <v>8093.976</v>
      </c>
      <c r="G5518">
        <v>18</v>
      </c>
      <c r="L5518" t="s">
        <v>15373</v>
      </c>
    </row>
    <row r="5519" spans="1:12" x14ac:dyDescent="0.25">
      <c r="A5519" t="s">
        <v>18</v>
      </c>
      <c r="B5519" t="s">
        <v>15373</v>
      </c>
      <c r="C5519" t="s">
        <v>15374</v>
      </c>
      <c r="D5519" t="s">
        <v>20</v>
      </c>
      <c r="E5519" t="s">
        <v>11</v>
      </c>
      <c r="F5519">
        <v>8093.976</v>
      </c>
      <c r="G5519">
        <v>18</v>
      </c>
      <c r="L5519" t="s">
        <v>15375</v>
      </c>
    </row>
    <row r="5520" spans="1:12" x14ac:dyDescent="0.25">
      <c r="A5520" t="s">
        <v>18</v>
      </c>
      <c r="B5520" t="s">
        <v>15375</v>
      </c>
      <c r="C5520" t="s">
        <v>15376</v>
      </c>
      <c r="D5520" t="s">
        <v>20</v>
      </c>
      <c r="E5520" t="s">
        <v>11</v>
      </c>
      <c r="F5520">
        <v>8093.976</v>
      </c>
      <c r="G5520">
        <v>18</v>
      </c>
      <c r="L5520" t="s">
        <v>15377</v>
      </c>
    </row>
    <row r="5521" spans="1:12" x14ac:dyDescent="0.25">
      <c r="A5521" t="s">
        <v>18</v>
      </c>
      <c r="B5521" t="s">
        <v>15377</v>
      </c>
      <c r="C5521" t="s">
        <v>15378</v>
      </c>
      <c r="D5521" t="s">
        <v>20</v>
      </c>
      <c r="E5521" t="s">
        <v>11</v>
      </c>
      <c r="F5521">
        <v>8093.976</v>
      </c>
      <c r="G5521">
        <v>18</v>
      </c>
      <c r="L5521" t="s">
        <v>15379</v>
      </c>
    </row>
    <row r="5522" spans="1:12" x14ac:dyDescent="0.25">
      <c r="A5522" t="s">
        <v>18</v>
      </c>
      <c r="B5522" t="s">
        <v>15379</v>
      </c>
      <c r="C5522" t="s">
        <v>15380</v>
      </c>
      <c r="D5522" t="s">
        <v>20</v>
      </c>
      <c r="E5522" t="s">
        <v>11</v>
      </c>
      <c r="F5522">
        <v>8093.976</v>
      </c>
      <c r="G5522">
        <v>18</v>
      </c>
      <c r="L5522" t="s">
        <v>15381</v>
      </c>
    </row>
    <row r="5523" spans="1:12" x14ac:dyDescent="0.25">
      <c r="A5523" t="s">
        <v>18</v>
      </c>
      <c r="B5523" t="s">
        <v>15381</v>
      </c>
      <c r="C5523" t="s">
        <v>15382</v>
      </c>
      <c r="D5523" t="s">
        <v>20</v>
      </c>
      <c r="E5523" t="s">
        <v>11</v>
      </c>
      <c r="F5523">
        <v>8093.976</v>
      </c>
      <c r="G5523">
        <v>18</v>
      </c>
      <c r="L5523" t="s">
        <v>15383</v>
      </c>
    </row>
    <row r="5524" spans="1:12" x14ac:dyDescent="0.25">
      <c r="A5524" t="s">
        <v>18</v>
      </c>
      <c r="B5524" t="s">
        <v>15383</v>
      </c>
      <c r="C5524" t="s">
        <v>15384</v>
      </c>
      <c r="D5524" t="s">
        <v>20</v>
      </c>
      <c r="E5524" t="s">
        <v>11</v>
      </c>
      <c r="F5524">
        <v>8093.976</v>
      </c>
      <c r="G5524">
        <v>18</v>
      </c>
      <c r="L5524" t="s">
        <v>15385</v>
      </c>
    </row>
    <row r="5525" spans="1:12" x14ac:dyDescent="0.25">
      <c r="A5525" t="s">
        <v>18</v>
      </c>
      <c r="B5525" t="s">
        <v>15385</v>
      </c>
      <c r="C5525" t="s">
        <v>15386</v>
      </c>
      <c r="D5525" t="s">
        <v>20</v>
      </c>
      <c r="E5525" t="s">
        <v>11</v>
      </c>
      <c r="F5525">
        <v>8093.976</v>
      </c>
      <c r="G5525">
        <v>18</v>
      </c>
      <c r="L5525" t="s">
        <v>15387</v>
      </c>
    </row>
    <row r="5526" spans="1:12" x14ac:dyDescent="0.25">
      <c r="A5526" t="s">
        <v>18</v>
      </c>
      <c r="B5526" t="s">
        <v>15387</v>
      </c>
      <c r="C5526" t="s">
        <v>15388</v>
      </c>
      <c r="D5526" t="s">
        <v>20</v>
      </c>
      <c r="E5526" t="s">
        <v>11</v>
      </c>
      <c r="F5526">
        <v>8093.976</v>
      </c>
      <c r="G5526">
        <v>18</v>
      </c>
      <c r="L5526" t="s">
        <v>15389</v>
      </c>
    </row>
    <row r="5527" spans="1:12" x14ac:dyDescent="0.25">
      <c r="A5527" t="s">
        <v>18</v>
      </c>
      <c r="B5527" t="s">
        <v>15389</v>
      </c>
      <c r="C5527" t="s">
        <v>15390</v>
      </c>
      <c r="D5527" t="s">
        <v>20</v>
      </c>
      <c r="E5527" t="s">
        <v>11</v>
      </c>
      <c r="F5527">
        <v>9725.826</v>
      </c>
      <c r="G5527">
        <v>18</v>
      </c>
      <c r="L5527" t="s">
        <v>15391</v>
      </c>
    </row>
    <row r="5528" spans="1:12" x14ac:dyDescent="0.25">
      <c r="A5528" t="s">
        <v>18</v>
      </c>
      <c r="B5528" t="s">
        <v>15391</v>
      </c>
      <c r="C5528" t="s">
        <v>15392</v>
      </c>
      <c r="D5528" t="s">
        <v>20</v>
      </c>
      <c r="E5528" t="s">
        <v>11</v>
      </c>
      <c r="F5528">
        <v>9725.826</v>
      </c>
      <c r="G5528">
        <v>18</v>
      </c>
      <c r="L5528" t="s">
        <v>15393</v>
      </c>
    </row>
    <row r="5529" spans="1:12" x14ac:dyDescent="0.25">
      <c r="A5529" t="s">
        <v>18</v>
      </c>
      <c r="B5529" t="s">
        <v>15393</v>
      </c>
      <c r="C5529" t="s">
        <v>15394</v>
      </c>
      <c r="D5529" t="s">
        <v>20</v>
      </c>
      <c r="E5529" t="s">
        <v>11</v>
      </c>
      <c r="F5529">
        <v>9725.826</v>
      </c>
      <c r="G5529">
        <v>18</v>
      </c>
      <c r="L5529" t="s">
        <v>15395</v>
      </c>
    </row>
    <row r="5530" spans="1:12" x14ac:dyDescent="0.25">
      <c r="A5530" t="s">
        <v>18</v>
      </c>
      <c r="B5530" t="s">
        <v>15395</v>
      </c>
      <c r="C5530" t="s">
        <v>15396</v>
      </c>
      <c r="D5530" t="s">
        <v>20</v>
      </c>
      <c r="E5530" t="s">
        <v>11</v>
      </c>
      <c r="F5530">
        <v>9725.826</v>
      </c>
      <c r="G5530">
        <v>18</v>
      </c>
      <c r="L5530" t="s">
        <v>15397</v>
      </c>
    </row>
    <row r="5531" spans="1:12" x14ac:dyDescent="0.25">
      <c r="A5531" t="s">
        <v>18</v>
      </c>
      <c r="B5531" t="s">
        <v>15397</v>
      </c>
      <c r="C5531" t="s">
        <v>15398</v>
      </c>
      <c r="D5531" t="s">
        <v>20</v>
      </c>
      <c r="E5531" t="s">
        <v>11</v>
      </c>
      <c r="F5531">
        <v>9725.826</v>
      </c>
      <c r="G5531">
        <v>18</v>
      </c>
      <c r="L5531" t="s">
        <v>15399</v>
      </c>
    </row>
    <row r="5532" spans="1:12" x14ac:dyDescent="0.25">
      <c r="A5532" t="s">
        <v>18</v>
      </c>
      <c r="B5532" t="s">
        <v>15399</v>
      </c>
      <c r="C5532" t="s">
        <v>15400</v>
      </c>
      <c r="D5532" t="s">
        <v>20</v>
      </c>
      <c r="E5532" t="s">
        <v>11</v>
      </c>
      <c r="F5532">
        <v>9725.826</v>
      </c>
      <c r="G5532">
        <v>18</v>
      </c>
      <c r="L5532" t="s">
        <v>15401</v>
      </c>
    </row>
    <row r="5533" spans="1:12" x14ac:dyDescent="0.25">
      <c r="A5533" t="s">
        <v>18</v>
      </c>
      <c r="B5533" t="s">
        <v>15401</v>
      </c>
      <c r="C5533" t="s">
        <v>15402</v>
      </c>
      <c r="D5533" t="s">
        <v>20</v>
      </c>
      <c r="E5533" t="s">
        <v>11</v>
      </c>
      <c r="F5533">
        <v>9725.826</v>
      </c>
      <c r="G5533">
        <v>18</v>
      </c>
      <c r="L5533" t="s">
        <v>15403</v>
      </c>
    </row>
    <row r="5534" spans="1:12" x14ac:dyDescent="0.25">
      <c r="A5534" t="s">
        <v>18</v>
      </c>
      <c r="B5534" t="s">
        <v>15403</v>
      </c>
      <c r="C5534" t="s">
        <v>15404</v>
      </c>
      <c r="D5534" t="s">
        <v>20</v>
      </c>
      <c r="E5534" t="s">
        <v>11</v>
      </c>
      <c r="F5534">
        <v>9725.826</v>
      </c>
      <c r="G5534">
        <v>18</v>
      </c>
      <c r="L5534" t="s">
        <v>15405</v>
      </c>
    </row>
    <row r="5535" spans="1:12" x14ac:dyDescent="0.25">
      <c r="A5535" t="s">
        <v>18</v>
      </c>
      <c r="B5535" t="s">
        <v>15405</v>
      </c>
      <c r="C5535" t="s">
        <v>15406</v>
      </c>
      <c r="D5535" t="s">
        <v>20</v>
      </c>
      <c r="E5535" t="s">
        <v>11</v>
      </c>
      <c r="F5535">
        <v>9725.826</v>
      </c>
      <c r="G5535">
        <v>18</v>
      </c>
      <c r="L5535" t="s">
        <v>15407</v>
      </c>
    </row>
    <row r="5536" spans="1:12" x14ac:dyDescent="0.25">
      <c r="A5536" t="s">
        <v>18</v>
      </c>
      <c r="B5536" t="s">
        <v>15407</v>
      </c>
      <c r="C5536" t="s">
        <v>15408</v>
      </c>
      <c r="D5536" t="s">
        <v>20</v>
      </c>
      <c r="E5536" t="s">
        <v>11</v>
      </c>
      <c r="F5536">
        <v>13185.347999999998</v>
      </c>
      <c r="G5536">
        <v>18</v>
      </c>
      <c r="L5536" t="s">
        <v>15409</v>
      </c>
    </row>
    <row r="5537" spans="1:12" x14ac:dyDescent="0.25">
      <c r="A5537" t="s">
        <v>18</v>
      </c>
      <c r="B5537" t="s">
        <v>15409</v>
      </c>
      <c r="C5537" t="s">
        <v>15410</v>
      </c>
      <c r="D5537" t="s">
        <v>20</v>
      </c>
      <c r="E5537" t="s">
        <v>11</v>
      </c>
      <c r="F5537">
        <v>2219.316</v>
      </c>
      <c r="G5537">
        <v>18</v>
      </c>
      <c r="L5537" t="s">
        <v>15411</v>
      </c>
    </row>
    <row r="5538" spans="1:12" x14ac:dyDescent="0.25">
      <c r="A5538" t="s">
        <v>18</v>
      </c>
      <c r="B5538" t="s">
        <v>15411</v>
      </c>
      <c r="C5538" t="s">
        <v>15412</v>
      </c>
      <c r="D5538" t="s">
        <v>20</v>
      </c>
      <c r="E5538" t="s">
        <v>11</v>
      </c>
      <c r="F5538">
        <v>3590.0699999999997</v>
      </c>
      <c r="G5538">
        <v>18</v>
      </c>
      <c r="L5538" t="s">
        <v>15413</v>
      </c>
    </row>
    <row r="5539" spans="1:12" x14ac:dyDescent="0.25">
      <c r="A5539" t="s">
        <v>18</v>
      </c>
      <c r="B5539" t="s">
        <v>15413</v>
      </c>
      <c r="C5539" t="s">
        <v>15414</v>
      </c>
      <c r="D5539" t="s">
        <v>20</v>
      </c>
      <c r="E5539" t="s">
        <v>11</v>
      </c>
      <c r="F5539">
        <v>8942.538</v>
      </c>
      <c r="G5539">
        <v>18</v>
      </c>
      <c r="L5539" t="s">
        <v>15415</v>
      </c>
    </row>
    <row r="5540" spans="1:12" x14ac:dyDescent="0.25">
      <c r="A5540" t="s">
        <v>18</v>
      </c>
      <c r="B5540" t="s">
        <v>15415</v>
      </c>
      <c r="C5540" t="s">
        <v>15416</v>
      </c>
      <c r="D5540" t="s">
        <v>20</v>
      </c>
      <c r="E5540" t="s">
        <v>11</v>
      </c>
      <c r="F5540">
        <v>10835.484</v>
      </c>
      <c r="G5540">
        <v>18</v>
      </c>
      <c r="L5540" t="s">
        <v>15417</v>
      </c>
    </row>
    <row r="5541" spans="1:12" x14ac:dyDescent="0.25">
      <c r="A5541" t="s">
        <v>18</v>
      </c>
      <c r="B5541" t="s">
        <v>15417</v>
      </c>
      <c r="C5541" t="s">
        <v>15418</v>
      </c>
      <c r="D5541" t="s">
        <v>20</v>
      </c>
      <c r="E5541" t="s">
        <v>11</v>
      </c>
      <c r="F5541">
        <v>10900.757999999998</v>
      </c>
      <c r="G5541">
        <v>18</v>
      </c>
      <c r="L5541" t="s">
        <v>15419</v>
      </c>
    </row>
    <row r="5542" spans="1:12" x14ac:dyDescent="0.25">
      <c r="A5542" t="s">
        <v>18</v>
      </c>
      <c r="B5542" t="s">
        <v>15419</v>
      </c>
      <c r="C5542" t="s">
        <v>15420</v>
      </c>
      <c r="D5542" t="s">
        <v>20</v>
      </c>
      <c r="E5542" t="s">
        <v>11</v>
      </c>
      <c r="F5542">
        <v>10574.387999999997</v>
      </c>
      <c r="G5542">
        <v>18</v>
      </c>
      <c r="L5542" t="s">
        <v>15421</v>
      </c>
    </row>
    <row r="5543" spans="1:12" x14ac:dyDescent="0.25">
      <c r="A5543" t="s">
        <v>18</v>
      </c>
      <c r="B5543" t="s">
        <v>15421</v>
      </c>
      <c r="C5543" t="s">
        <v>15422</v>
      </c>
      <c r="D5543" t="s">
        <v>20</v>
      </c>
      <c r="E5543" t="s">
        <v>11</v>
      </c>
      <c r="F5543">
        <v>10574.387999999997</v>
      </c>
      <c r="G5543">
        <v>18</v>
      </c>
      <c r="L5543" t="s">
        <v>15423</v>
      </c>
    </row>
    <row r="5544" spans="1:12" x14ac:dyDescent="0.25">
      <c r="A5544" t="s">
        <v>18</v>
      </c>
      <c r="B5544" t="s">
        <v>15423</v>
      </c>
      <c r="C5544" t="s">
        <v>15424</v>
      </c>
      <c r="D5544" t="s">
        <v>20</v>
      </c>
      <c r="E5544" t="s">
        <v>11</v>
      </c>
      <c r="F5544">
        <v>10574.387999999997</v>
      </c>
      <c r="G5544">
        <v>18</v>
      </c>
      <c r="L5544" t="s">
        <v>15425</v>
      </c>
    </row>
    <row r="5545" spans="1:12" x14ac:dyDescent="0.25">
      <c r="A5545" t="s">
        <v>18</v>
      </c>
      <c r="B5545" t="s">
        <v>15425</v>
      </c>
      <c r="C5545" t="s">
        <v>15426</v>
      </c>
      <c r="D5545" t="s">
        <v>20</v>
      </c>
      <c r="E5545" t="s">
        <v>11</v>
      </c>
      <c r="F5545">
        <v>12597.882</v>
      </c>
      <c r="G5545">
        <v>18</v>
      </c>
      <c r="L5545" t="s">
        <v>15427</v>
      </c>
    </row>
    <row r="5546" spans="1:12" x14ac:dyDescent="0.25">
      <c r="A5546" t="s">
        <v>18</v>
      </c>
      <c r="B5546" t="s">
        <v>15427</v>
      </c>
      <c r="C5546" t="s">
        <v>15428</v>
      </c>
      <c r="D5546" t="s">
        <v>20</v>
      </c>
      <c r="E5546" t="s">
        <v>11</v>
      </c>
      <c r="F5546">
        <v>10378.565999999999</v>
      </c>
      <c r="G5546">
        <v>18</v>
      </c>
      <c r="L5546" t="s">
        <v>15429</v>
      </c>
    </row>
    <row r="5547" spans="1:12" x14ac:dyDescent="0.25">
      <c r="A5547" t="s">
        <v>18</v>
      </c>
      <c r="B5547" t="s">
        <v>15429</v>
      </c>
      <c r="C5547" t="s">
        <v>15430</v>
      </c>
      <c r="D5547" t="s">
        <v>20</v>
      </c>
      <c r="E5547" t="s">
        <v>11</v>
      </c>
      <c r="F5547">
        <v>17232.336</v>
      </c>
      <c r="G5547">
        <v>18</v>
      </c>
      <c r="L5547" t="s">
        <v>15431</v>
      </c>
    </row>
    <row r="5548" spans="1:12" x14ac:dyDescent="0.25">
      <c r="A5548" t="s">
        <v>18</v>
      </c>
      <c r="B5548" t="s">
        <v>15431</v>
      </c>
      <c r="C5548" t="s">
        <v>15432</v>
      </c>
      <c r="D5548" t="s">
        <v>20</v>
      </c>
      <c r="E5548" t="s">
        <v>11</v>
      </c>
      <c r="F5548">
        <v>913.836</v>
      </c>
      <c r="G5548">
        <v>18</v>
      </c>
      <c r="L5548" t="s">
        <v>15433</v>
      </c>
    </row>
    <row r="5549" spans="1:12" x14ac:dyDescent="0.25">
      <c r="A5549" t="s">
        <v>18</v>
      </c>
      <c r="B5549" t="s">
        <v>15433</v>
      </c>
      <c r="C5549" t="s">
        <v>15434</v>
      </c>
      <c r="D5549" t="s">
        <v>20</v>
      </c>
      <c r="E5549" t="s">
        <v>11</v>
      </c>
      <c r="F5549">
        <v>8355.072</v>
      </c>
      <c r="G5549">
        <v>18</v>
      </c>
      <c r="L5549" t="s">
        <v>15435</v>
      </c>
    </row>
    <row r="5550" spans="1:12" x14ac:dyDescent="0.25">
      <c r="A5550" t="s">
        <v>18</v>
      </c>
      <c r="B5550" t="s">
        <v>15435</v>
      </c>
      <c r="C5550" t="s">
        <v>15436</v>
      </c>
      <c r="D5550" t="s">
        <v>20</v>
      </c>
      <c r="E5550" t="s">
        <v>11</v>
      </c>
      <c r="F5550">
        <v>8355.072</v>
      </c>
      <c r="G5550">
        <v>18</v>
      </c>
      <c r="L5550" t="s">
        <v>15437</v>
      </c>
    </row>
    <row r="5551" spans="1:12" x14ac:dyDescent="0.25">
      <c r="A5551" t="s">
        <v>18</v>
      </c>
      <c r="B5551" t="s">
        <v>15437</v>
      </c>
      <c r="C5551" t="s">
        <v>15438</v>
      </c>
      <c r="D5551" t="s">
        <v>20</v>
      </c>
      <c r="E5551" t="s">
        <v>11</v>
      </c>
      <c r="F5551">
        <v>2610.96</v>
      </c>
      <c r="G5551">
        <v>18</v>
      </c>
      <c r="L5551" t="s">
        <v>15439</v>
      </c>
    </row>
    <row r="5552" spans="1:12" x14ac:dyDescent="0.25">
      <c r="A5552" t="s">
        <v>18</v>
      </c>
      <c r="B5552" t="s">
        <v>15439</v>
      </c>
      <c r="C5552" t="s">
        <v>15440</v>
      </c>
      <c r="D5552" t="s">
        <v>20</v>
      </c>
      <c r="E5552" t="s">
        <v>11</v>
      </c>
      <c r="F5552">
        <v>2610.96</v>
      </c>
      <c r="G5552">
        <v>18</v>
      </c>
      <c r="L5552" t="s">
        <v>15441</v>
      </c>
    </row>
    <row r="5553" spans="1:12" x14ac:dyDescent="0.25">
      <c r="A5553" t="s">
        <v>18</v>
      </c>
      <c r="B5553" t="s">
        <v>15441</v>
      </c>
      <c r="C5553" t="s">
        <v>15442</v>
      </c>
      <c r="D5553" t="s">
        <v>20</v>
      </c>
      <c r="E5553" t="s">
        <v>11</v>
      </c>
      <c r="F5553">
        <v>3590.0699999999997</v>
      </c>
      <c r="G5553">
        <v>18</v>
      </c>
      <c r="L5553" t="s">
        <v>15443</v>
      </c>
    </row>
    <row r="5554" spans="1:12" x14ac:dyDescent="0.25">
      <c r="A5554" t="s">
        <v>18</v>
      </c>
      <c r="B5554" t="s">
        <v>15443</v>
      </c>
      <c r="C5554" t="s">
        <v>15444</v>
      </c>
      <c r="D5554" t="s">
        <v>20</v>
      </c>
      <c r="E5554" t="s">
        <v>11</v>
      </c>
      <c r="F5554">
        <v>1631.85</v>
      </c>
      <c r="G5554">
        <v>18</v>
      </c>
      <c r="L5554" t="s">
        <v>15445</v>
      </c>
    </row>
    <row r="5555" spans="1:12" x14ac:dyDescent="0.25">
      <c r="A5555" t="s">
        <v>18</v>
      </c>
      <c r="B5555" t="s">
        <v>15445</v>
      </c>
      <c r="C5555" t="s">
        <v>15446</v>
      </c>
      <c r="D5555" t="s">
        <v>20</v>
      </c>
      <c r="E5555" t="s">
        <v>11</v>
      </c>
      <c r="F5555">
        <v>11096.58</v>
      </c>
      <c r="G5555">
        <v>18</v>
      </c>
      <c r="L5555" t="s">
        <v>15447</v>
      </c>
    </row>
    <row r="5556" spans="1:12" x14ac:dyDescent="0.25">
      <c r="A5556" t="s">
        <v>18</v>
      </c>
      <c r="B5556" t="s">
        <v>15447</v>
      </c>
      <c r="C5556" t="s">
        <v>15448</v>
      </c>
      <c r="D5556" t="s">
        <v>20</v>
      </c>
      <c r="E5556" t="s">
        <v>11</v>
      </c>
      <c r="F5556">
        <v>15861.581999999999</v>
      </c>
      <c r="G5556">
        <v>18</v>
      </c>
      <c r="L5556" t="s">
        <v>15449</v>
      </c>
    </row>
    <row r="5557" spans="1:12" x14ac:dyDescent="0.25">
      <c r="A5557" t="s">
        <v>18</v>
      </c>
      <c r="B5557" t="s">
        <v>15449</v>
      </c>
      <c r="C5557" t="s">
        <v>15450</v>
      </c>
      <c r="D5557" t="s">
        <v>20</v>
      </c>
      <c r="E5557" t="s">
        <v>11</v>
      </c>
      <c r="F5557">
        <v>6331.5779999999995</v>
      </c>
      <c r="G5557">
        <v>18</v>
      </c>
      <c r="L5557" t="s">
        <v>15451</v>
      </c>
    </row>
    <row r="5558" spans="1:12" x14ac:dyDescent="0.25">
      <c r="A5558" t="s">
        <v>18</v>
      </c>
      <c r="B5558" t="s">
        <v>15451</v>
      </c>
      <c r="C5558" t="s">
        <v>15452</v>
      </c>
      <c r="D5558" t="s">
        <v>20</v>
      </c>
      <c r="E5558" t="s">
        <v>11</v>
      </c>
      <c r="F5558">
        <v>6723.222000000001</v>
      </c>
      <c r="G5558">
        <v>18</v>
      </c>
      <c r="L5558" t="s">
        <v>15453</v>
      </c>
    </row>
    <row r="5559" spans="1:12" x14ac:dyDescent="0.25">
      <c r="A5559" t="s">
        <v>18</v>
      </c>
      <c r="B5559" t="s">
        <v>15453</v>
      </c>
      <c r="C5559" t="s">
        <v>15454</v>
      </c>
      <c r="D5559" t="s">
        <v>20</v>
      </c>
      <c r="E5559" t="s">
        <v>11</v>
      </c>
      <c r="F5559">
        <v>2741.508</v>
      </c>
      <c r="G5559">
        <v>18</v>
      </c>
      <c r="L5559" t="s">
        <v>15455</v>
      </c>
    </row>
    <row r="5560" spans="1:12" x14ac:dyDescent="0.25">
      <c r="A5560" t="s">
        <v>18</v>
      </c>
      <c r="B5560" t="s">
        <v>15455</v>
      </c>
      <c r="C5560" t="s">
        <v>15456</v>
      </c>
      <c r="D5560" t="s">
        <v>20</v>
      </c>
      <c r="E5560" t="s">
        <v>11</v>
      </c>
      <c r="F5560">
        <v>161553.15</v>
      </c>
      <c r="G5560">
        <v>18</v>
      </c>
      <c r="L5560" t="s">
        <v>15457</v>
      </c>
    </row>
    <row r="5561" spans="1:12" x14ac:dyDescent="0.25">
      <c r="A5561" t="s">
        <v>18</v>
      </c>
      <c r="B5561" t="s">
        <v>15457</v>
      </c>
      <c r="C5561" t="s">
        <v>15458</v>
      </c>
      <c r="D5561" t="s">
        <v>20</v>
      </c>
      <c r="E5561" t="s">
        <v>11</v>
      </c>
      <c r="F5561">
        <v>13446.444000000001</v>
      </c>
      <c r="G5561">
        <v>18</v>
      </c>
      <c r="L5561" t="s">
        <v>15459</v>
      </c>
    </row>
    <row r="5562" spans="1:12" x14ac:dyDescent="0.25">
      <c r="A5562" t="s">
        <v>18</v>
      </c>
      <c r="B5562" t="s">
        <v>15459</v>
      </c>
      <c r="C5562" t="s">
        <v>15460</v>
      </c>
      <c r="D5562" t="s">
        <v>20</v>
      </c>
      <c r="E5562" t="s">
        <v>11</v>
      </c>
      <c r="F5562">
        <v>35378.508</v>
      </c>
      <c r="G5562">
        <v>18</v>
      </c>
      <c r="L5562" t="s">
        <v>15461</v>
      </c>
    </row>
    <row r="5563" spans="1:12" x14ac:dyDescent="0.25">
      <c r="A5563" t="s">
        <v>18</v>
      </c>
      <c r="B5563" t="s">
        <v>15461</v>
      </c>
      <c r="C5563" t="s">
        <v>15462</v>
      </c>
      <c r="D5563" t="s">
        <v>20</v>
      </c>
      <c r="E5563" t="s">
        <v>11</v>
      </c>
      <c r="F5563">
        <v>126501.012</v>
      </c>
      <c r="G5563">
        <v>18</v>
      </c>
      <c r="L5563" t="s">
        <v>15463</v>
      </c>
    </row>
    <row r="5564" spans="1:12" x14ac:dyDescent="0.25">
      <c r="A5564" t="s">
        <v>18</v>
      </c>
      <c r="B5564" t="s">
        <v>15463</v>
      </c>
      <c r="C5564" t="s">
        <v>15464</v>
      </c>
      <c r="D5564" t="s">
        <v>20</v>
      </c>
      <c r="E5564" t="s">
        <v>11</v>
      </c>
      <c r="F5564">
        <v>5483.016</v>
      </c>
      <c r="G5564">
        <v>18</v>
      </c>
      <c r="L5564" t="s">
        <v>15465</v>
      </c>
    </row>
    <row r="5565" spans="1:12" x14ac:dyDescent="0.25">
      <c r="A5565" t="s">
        <v>18</v>
      </c>
      <c r="B5565" t="s">
        <v>15465</v>
      </c>
      <c r="C5565" t="s">
        <v>15466</v>
      </c>
      <c r="D5565" t="s">
        <v>20</v>
      </c>
      <c r="E5565" t="s">
        <v>11</v>
      </c>
      <c r="F5565">
        <v>173106.648</v>
      </c>
      <c r="G5565">
        <v>18</v>
      </c>
      <c r="L5565" t="s">
        <v>15467</v>
      </c>
    </row>
    <row r="5566" spans="1:12" x14ac:dyDescent="0.25">
      <c r="A5566" t="s">
        <v>18</v>
      </c>
      <c r="B5566" t="s">
        <v>15467</v>
      </c>
      <c r="C5566" t="s">
        <v>15468</v>
      </c>
      <c r="D5566" t="s">
        <v>20</v>
      </c>
      <c r="E5566" t="s">
        <v>11</v>
      </c>
      <c r="F5566">
        <v>285900.12</v>
      </c>
      <c r="G5566">
        <v>18</v>
      </c>
      <c r="L5566" t="s">
        <v>15469</v>
      </c>
    </row>
    <row r="5567" spans="1:12" x14ac:dyDescent="0.25">
      <c r="A5567" t="s">
        <v>18</v>
      </c>
      <c r="B5567" t="s">
        <v>15469</v>
      </c>
      <c r="C5567" t="s">
        <v>15470</v>
      </c>
      <c r="D5567" t="s">
        <v>20</v>
      </c>
      <c r="E5567" t="s">
        <v>11</v>
      </c>
      <c r="F5567">
        <v>4373.358</v>
      </c>
      <c r="G5567">
        <v>18</v>
      </c>
      <c r="L5567" t="s">
        <v>15471</v>
      </c>
    </row>
    <row r="5568" spans="1:12" x14ac:dyDescent="0.25">
      <c r="A5568" t="s">
        <v>18</v>
      </c>
      <c r="B5568" t="s">
        <v>15471</v>
      </c>
      <c r="C5568" t="s">
        <v>15472</v>
      </c>
      <c r="D5568" t="s">
        <v>20</v>
      </c>
      <c r="E5568" t="s">
        <v>11</v>
      </c>
      <c r="F5568">
        <v>10574.387999999997</v>
      </c>
      <c r="G5568">
        <v>18</v>
      </c>
      <c r="L5568" t="s">
        <v>15473</v>
      </c>
    </row>
    <row r="5569" spans="1:12" x14ac:dyDescent="0.25">
      <c r="A5569" t="s">
        <v>18</v>
      </c>
      <c r="B5569" t="s">
        <v>15473</v>
      </c>
      <c r="C5569" t="s">
        <v>15474</v>
      </c>
      <c r="D5569" t="s">
        <v>20</v>
      </c>
      <c r="E5569" t="s">
        <v>11</v>
      </c>
      <c r="F5569">
        <v>7637.058</v>
      </c>
      <c r="G5569">
        <v>18</v>
      </c>
      <c r="L5569" t="s">
        <v>15475</v>
      </c>
    </row>
    <row r="5570" spans="1:12" x14ac:dyDescent="0.25">
      <c r="A5570" t="s">
        <v>18</v>
      </c>
      <c r="B5570" t="s">
        <v>15475</v>
      </c>
      <c r="C5570" t="s">
        <v>15476</v>
      </c>
      <c r="D5570" t="s">
        <v>20</v>
      </c>
      <c r="E5570" t="s">
        <v>11</v>
      </c>
      <c r="F5570">
        <v>13120.074</v>
      </c>
      <c r="G5570">
        <v>18</v>
      </c>
      <c r="L5570" t="s">
        <v>15477</v>
      </c>
    </row>
    <row r="5571" spans="1:12" x14ac:dyDescent="0.25">
      <c r="A5571" t="s">
        <v>18</v>
      </c>
      <c r="B5571" t="s">
        <v>15477</v>
      </c>
      <c r="C5571" t="s">
        <v>15478</v>
      </c>
      <c r="D5571" t="s">
        <v>20</v>
      </c>
      <c r="E5571" t="s">
        <v>11</v>
      </c>
      <c r="F5571">
        <v>13120.074</v>
      </c>
      <c r="G5571">
        <v>18</v>
      </c>
      <c r="L5571" t="s">
        <v>15479</v>
      </c>
    </row>
    <row r="5572" spans="1:12" x14ac:dyDescent="0.25">
      <c r="A5572" t="s">
        <v>18</v>
      </c>
      <c r="B5572" t="s">
        <v>15479</v>
      </c>
      <c r="C5572" t="s">
        <v>15480</v>
      </c>
      <c r="D5572" t="s">
        <v>20</v>
      </c>
      <c r="E5572" t="s">
        <v>11</v>
      </c>
      <c r="F5572">
        <v>13120.074</v>
      </c>
      <c r="G5572">
        <v>18</v>
      </c>
      <c r="L5572" t="s">
        <v>15481</v>
      </c>
    </row>
    <row r="5573" spans="1:12" x14ac:dyDescent="0.25">
      <c r="A5573" t="s">
        <v>18</v>
      </c>
      <c r="B5573" t="s">
        <v>15481</v>
      </c>
      <c r="C5573" t="s">
        <v>15482</v>
      </c>
      <c r="D5573" t="s">
        <v>20</v>
      </c>
      <c r="E5573" t="s">
        <v>11</v>
      </c>
      <c r="F5573">
        <v>13120.074</v>
      </c>
      <c r="G5573">
        <v>18</v>
      </c>
      <c r="L5573" t="s">
        <v>15483</v>
      </c>
    </row>
    <row r="5574" spans="1:12" x14ac:dyDescent="0.25">
      <c r="A5574" t="s">
        <v>18</v>
      </c>
      <c r="B5574" t="s">
        <v>15483</v>
      </c>
      <c r="C5574" t="s">
        <v>15484</v>
      </c>
      <c r="D5574" t="s">
        <v>20</v>
      </c>
      <c r="E5574" t="s">
        <v>11</v>
      </c>
      <c r="F5574">
        <v>21344.598</v>
      </c>
      <c r="G5574">
        <v>18</v>
      </c>
      <c r="L5574" t="s">
        <v>15485</v>
      </c>
    </row>
    <row r="5575" spans="1:12" x14ac:dyDescent="0.25">
      <c r="A5575" t="s">
        <v>18</v>
      </c>
      <c r="B5575" t="s">
        <v>15485</v>
      </c>
      <c r="C5575" t="s">
        <v>15486</v>
      </c>
      <c r="D5575" t="s">
        <v>20</v>
      </c>
      <c r="E5575" t="s">
        <v>11</v>
      </c>
      <c r="F5575">
        <v>587.4659999999999</v>
      </c>
      <c r="G5575">
        <v>18</v>
      </c>
      <c r="L5575" t="s">
        <v>15487</v>
      </c>
    </row>
    <row r="5576" spans="1:12" x14ac:dyDescent="0.25">
      <c r="A5576" t="s">
        <v>18</v>
      </c>
      <c r="B5576" t="s">
        <v>15487</v>
      </c>
      <c r="C5576" t="s">
        <v>15488</v>
      </c>
      <c r="D5576" t="s">
        <v>20</v>
      </c>
      <c r="E5576" t="s">
        <v>11</v>
      </c>
      <c r="F5576">
        <v>391.64399999999995</v>
      </c>
      <c r="G5576">
        <v>18</v>
      </c>
      <c r="L5576" t="s">
        <v>15489</v>
      </c>
    </row>
    <row r="5577" spans="1:12" x14ac:dyDescent="0.25">
      <c r="A5577" t="s">
        <v>18</v>
      </c>
      <c r="B5577" t="s">
        <v>15489</v>
      </c>
      <c r="C5577" t="s">
        <v>15490</v>
      </c>
      <c r="D5577" t="s">
        <v>20</v>
      </c>
      <c r="E5577" t="s">
        <v>11</v>
      </c>
      <c r="F5577">
        <v>13511.717999999999</v>
      </c>
      <c r="G5577">
        <v>18</v>
      </c>
      <c r="L5577" t="s">
        <v>15491</v>
      </c>
    </row>
    <row r="5578" spans="1:12" x14ac:dyDescent="0.25">
      <c r="A5578" t="s">
        <v>18</v>
      </c>
      <c r="B5578" t="s">
        <v>15491</v>
      </c>
      <c r="C5578" t="s">
        <v>15492</v>
      </c>
      <c r="D5578" t="s">
        <v>20</v>
      </c>
      <c r="E5578" t="s">
        <v>11</v>
      </c>
      <c r="F5578">
        <v>3655.344</v>
      </c>
      <c r="G5578">
        <v>18</v>
      </c>
      <c r="L5578" t="s">
        <v>15493</v>
      </c>
    </row>
    <row r="5579" spans="1:12" x14ac:dyDescent="0.25">
      <c r="A5579" t="s">
        <v>18</v>
      </c>
      <c r="B5579" t="s">
        <v>15493</v>
      </c>
      <c r="C5579" t="s">
        <v>15494</v>
      </c>
      <c r="D5579" t="s">
        <v>20</v>
      </c>
      <c r="E5579" t="s">
        <v>11</v>
      </c>
      <c r="F5579">
        <v>2480.4120000000003</v>
      </c>
      <c r="G5579">
        <v>18</v>
      </c>
      <c r="L5579" t="s">
        <v>15495</v>
      </c>
    </row>
    <row r="5580" spans="1:12" x14ac:dyDescent="0.25">
      <c r="A5580" t="s">
        <v>18</v>
      </c>
      <c r="B5580" t="s">
        <v>15495</v>
      </c>
      <c r="C5580" t="s">
        <v>15496</v>
      </c>
      <c r="D5580" t="s">
        <v>20</v>
      </c>
      <c r="E5580" t="s">
        <v>11</v>
      </c>
      <c r="F5580">
        <v>7571.784</v>
      </c>
      <c r="G5580">
        <v>18</v>
      </c>
      <c r="L5580" t="s">
        <v>15497</v>
      </c>
    </row>
    <row r="5581" spans="1:12" x14ac:dyDescent="0.25">
      <c r="A5581" t="s">
        <v>18</v>
      </c>
      <c r="B5581" t="s">
        <v>15497</v>
      </c>
      <c r="C5581" t="s">
        <v>15498</v>
      </c>
      <c r="D5581" t="s">
        <v>20</v>
      </c>
      <c r="E5581" t="s">
        <v>11</v>
      </c>
      <c r="F5581">
        <v>3981.714</v>
      </c>
      <c r="G5581">
        <v>18</v>
      </c>
      <c r="L5581" t="s">
        <v>15499</v>
      </c>
    </row>
    <row r="5582" spans="1:12" x14ac:dyDescent="0.25">
      <c r="A5582" t="s">
        <v>18</v>
      </c>
      <c r="B5582" t="s">
        <v>15499</v>
      </c>
      <c r="C5582" t="s">
        <v>15500</v>
      </c>
      <c r="D5582" t="s">
        <v>20</v>
      </c>
      <c r="E5582" t="s">
        <v>11</v>
      </c>
      <c r="F5582">
        <v>783.2879999999999</v>
      </c>
      <c r="G5582">
        <v>18</v>
      </c>
      <c r="L5582" t="s">
        <v>15501</v>
      </c>
    </row>
    <row r="5583" spans="1:12" x14ac:dyDescent="0.25">
      <c r="A5583" t="s">
        <v>18</v>
      </c>
      <c r="B5583" t="s">
        <v>15501</v>
      </c>
      <c r="C5583" t="s">
        <v>15502</v>
      </c>
      <c r="D5583" t="s">
        <v>20</v>
      </c>
      <c r="E5583" t="s">
        <v>11</v>
      </c>
      <c r="F5583">
        <v>3590.0699999999997</v>
      </c>
      <c r="G5583">
        <v>18</v>
      </c>
      <c r="L5583" t="s">
        <v>15503</v>
      </c>
    </row>
    <row r="5584" spans="1:12" x14ac:dyDescent="0.25">
      <c r="A5584" t="s">
        <v>18</v>
      </c>
      <c r="B5584" t="s">
        <v>15503</v>
      </c>
      <c r="C5584" t="s">
        <v>15504</v>
      </c>
      <c r="D5584" t="s">
        <v>20</v>
      </c>
      <c r="E5584" t="s">
        <v>11</v>
      </c>
      <c r="F5584">
        <v>18537.816</v>
      </c>
      <c r="G5584">
        <v>18</v>
      </c>
      <c r="L5584" t="s">
        <v>15505</v>
      </c>
    </row>
    <row r="5585" spans="1:12" x14ac:dyDescent="0.25">
      <c r="A5585" t="s">
        <v>18</v>
      </c>
      <c r="B5585" t="s">
        <v>15505</v>
      </c>
      <c r="C5585" t="s">
        <v>15506</v>
      </c>
      <c r="D5585" t="s">
        <v>20</v>
      </c>
      <c r="E5585" t="s">
        <v>11</v>
      </c>
      <c r="F5585">
        <v>2023.494</v>
      </c>
      <c r="G5585">
        <v>18</v>
      </c>
      <c r="L5585" t="s">
        <v>15507</v>
      </c>
    </row>
    <row r="5586" spans="1:12" x14ac:dyDescent="0.25">
      <c r="A5586" t="s">
        <v>18</v>
      </c>
      <c r="B5586" t="s">
        <v>15507</v>
      </c>
      <c r="C5586" t="s">
        <v>15508</v>
      </c>
      <c r="D5586" t="s">
        <v>20</v>
      </c>
      <c r="E5586" t="s">
        <v>11</v>
      </c>
      <c r="F5586">
        <v>587.4659999999999</v>
      </c>
      <c r="G5586">
        <v>18</v>
      </c>
      <c r="L5586" t="s">
        <v>15509</v>
      </c>
    </row>
    <row r="5587" spans="1:12" x14ac:dyDescent="0.25">
      <c r="A5587" t="s">
        <v>18</v>
      </c>
      <c r="B5587" t="s">
        <v>15509</v>
      </c>
      <c r="C5587" t="s">
        <v>15510</v>
      </c>
      <c r="D5587" t="s">
        <v>20</v>
      </c>
      <c r="E5587" t="s">
        <v>11</v>
      </c>
      <c r="F5587">
        <v>913.836</v>
      </c>
      <c r="G5587">
        <v>18</v>
      </c>
      <c r="L5587" t="s">
        <v>15511</v>
      </c>
    </row>
    <row r="5588" spans="1:12" x14ac:dyDescent="0.25">
      <c r="A5588" t="s">
        <v>18</v>
      </c>
      <c r="B5588" t="s">
        <v>15511</v>
      </c>
      <c r="C5588" t="s">
        <v>15512</v>
      </c>
      <c r="D5588" t="s">
        <v>20</v>
      </c>
      <c r="E5588" t="s">
        <v>11</v>
      </c>
      <c r="F5588">
        <v>1370.754</v>
      </c>
      <c r="G5588">
        <v>18</v>
      </c>
      <c r="L5588" t="s">
        <v>15513</v>
      </c>
    </row>
    <row r="5589" spans="1:12" x14ac:dyDescent="0.25">
      <c r="A5589" t="s">
        <v>18</v>
      </c>
      <c r="B5589" t="s">
        <v>15513</v>
      </c>
      <c r="C5589" t="s">
        <v>15514</v>
      </c>
      <c r="D5589" t="s">
        <v>20</v>
      </c>
      <c r="E5589" t="s">
        <v>11</v>
      </c>
      <c r="F5589">
        <v>2088.768</v>
      </c>
      <c r="G5589">
        <v>18</v>
      </c>
      <c r="L5589" t="s">
        <v>15515</v>
      </c>
    </row>
    <row r="5590" spans="1:12" x14ac:dyDescent="0.25">
      <c r="A5590" t="s">
        <v>18</v>
      </c>
      <c r="B5590" t="s">
        <v>15515</v>
      </c>
      <c r="C5590" t="s">
        <v>15516</v>
      </c>
      <c r="D5590" t="s">
        <v>20</v>
      </c>
      <c r="E5590" t="s">
        <v>11</v>
      </c>
      <c r="F5590">
        <v>12336.786</v>
      </c>
      <c r="G5590">
        <v>18</v>
      </c>
      <c r="L5590" t="s">
        <v>15517</v>
      </c>
    </row>
    <row r="5591" spans="1:12" x14ac:dyDescent="0.25">
      <c r="A5591" t="s">
        <v>18</v>
      </c>
      <c r="B5591" t="s">
        <v>15517</v>
      </c>
      <c r="C5591" t="s">
        <v>15518</v>
      </c>
      <c r="D5591" t="s">
        <v>20</v>
      </c>
      <c r="E5591" t="s">
        <v>11</v>
      </c>
      <c r="F5591">
        <v>3002.604</v>
      </c>
      <c r="G5591">
        <v>18</v>
      </c>
      <c r="L5591" t="s">
        <v>15519</v>
      </c>
    </row>
    <row r="5592" spans="1:12" x14ac:dyDescent="0.25">
      <c r="A5592" t="s">
        <v>18</v>
      </c>
      <c r="B5592" t="s">
        <v>15519</v>
      </c>
      <c r="C5592" t="s">
        <v>15520</v>
      </c>
      <c r="D5592" t="s">
        <v>20</v>
      </c>
      <c r="E5592" t="s">
        <v>11</v>
      </c>
      <c r="F5592">
        <v>18994.733999999997</v>
      </c>
      <c r="G5592">
        <v>18</v>
      </c>
      <c r="L5592" t="s">
        <v>15521</v>
      </c>
    </row>
    <row r="5593" spans="1:12" x14ac:dyDescent="0.25">
      <c r="A5593" t="s">
        <v>18</v>
      </c>
      <c r="B5593" t="s">
        <v>15521</v>
      </c>
      <c r="C5593" t="s">
        <v>15522</v>
      </c>
      <c r="D5593" t="s">
        <v>20</v>
      </c>
      <c r="E5593" t="s">
        <v>11</v>
      </c>
      <c r="F5593">
        <v>3328.9739999999997</v>
      </c>
      <c r="G5593">
        <v>18</v>
      </c>
      <c r="L5593" t="s">
        <v>15523</v>
      </c>
    </row>
    <row r="5594" spans="1:12" x14ac:dyDescent="0.25">
      <c r="A5594" t="s">
        <v>18</v>
      </c>
      <c r="B5594" t="s">
        <v>15523</v>
      </c>
      <c r="C5594" t="s">
        <v>15524</v>
      </c>
      <c r="D5594" t="s">
        <v>20</v>
      </c>
      <c r="E5594" t="s">
        <v>11</v>
      </c>
      <c r="F5594">
        <v>4503.906</v>
      </c>
      <c r="G5594">
        <v>18</v>
      </c>
      <c r="L5594" t="s">
        <v>15525</v>
      </c>
    </row>
    <row r="5595" spans="1:12" x14ac:dyDescent="0.25">
      <c r="A5595" t="s">
        <v>18</v>
      </c>
      <c r="B5595" t="s">
        <v>15525</v>
      </c>
      <c r="C5595" t="s">
        <v>15526</v>
      </c>
      <c r="D5595" t="s">
        <v>20</v>
      </c>
      <c r="E5595" t="s">
        <v>11</v>
      </c>
      <c r="F5595">
        <v>8485.619999999999</v>
      </c>
      <c r="G5595">
        <v>18</v>
      </c>
      <c r="L5595" t="s">
        <v>15527</v>
      </c>
    </row>
    <row r="5596" spans="1:12" x14ac:dyDescent="0.25">
      <c r="A5596" t="s">
        <v>18</v>
      </c>
      <c r="B5596" t="s">
        <v>15527</v>
      </c>
      <c r="C5596" t="s">
        <v>15528</v>
      </c>
      <c r="D5596" t="s">
        <v>20</v>
      </c>
      <c r="E5596" t="s">
        <v>11</v>
      </c>
      <c r="F5596">
        <v>3720.6179999999995</v>
      </c>
      <c r="G5596">
        <v>18</v>
      </c>
      <c r="L5596" t="s">
        <v>15529</v>
      </c>
    </row>
    <row r="5597" spans="1:12" x14ac:dyDescent="0.25">
      <c r="A5597" t="s">
        <v>18</v>
      </c>
      <c r="B5597" t="s">
        <v>15529</v>
      </c>
      <c r="C5597" t="s">
        <v>15530</v>
      </c>
      <c r="D5597" t="s">
        <v>20</v>
      </c>
      <c r="E5597" t="s">
        <v>11</v>
      </c>
      <c r="F5597">
        <v>7637.058</v>
      </c>
      <c r="G5597">
        <v>18</v>
      </c>
      <c r="L5597" t="s">
        <v>15531</v>
      </c>
    </row>
    <row r="5598" spans="1:12" x14ac:dyDescent="0.25">
      <c r="A5598" t="s">
        <v>18</v>
      </c>
      <c r="B5598" t="s">
        <v>15531</v>
      </c>
      <c r="C5598" t="s">
        <v>15532</v>
      </c>
      <c r="D5598" t="s">
        <v>20</v>
      </c>
      <c r="E5598" t="s">
        <v>11</v>
      </c>
      <c r="F5598">
        <v>15078.294000000002</v>
      </c>
      <c r="G5598">
        <v>18</v>
      </c>
      <c r="L5598" t="s">
        <v>15533</v>
      </c>
    </row>
    <row r="5599" spans="1:12" x14ac:dyDescent="0.25">
      <c r="A5599" t="s">
        <v>18</v>
      </c>
      <c r="B5599" t="s">
        <v>15533</v>
      </c>
      <c r="C5599" t="s">
        <v>15534</v>
      </c>
      <c r="D5599" t="s">
        <v>20</v>
      </c>
      <c r="E5599" t="s">
        <v>11</v>
      </c>
      <c r="F5599">
        <v>4830.276</v>
      </c>
      <c r="G5599">
        <v>18</v>
      </c>
      <c r="L5599" t="s">
        <v>15535</v>
      </c>
    </row>
    <row r="5600" spans="1:12" x14ac:dyDescent="0.25">
      <c r="A5600" t="s">
        <v>18</v>
      </c>
      <c r="B5600" t="s">
        <v>15535</v>
      </c>
      <c r="C5600" t="s">
        <v>15536</v>
      </c>
      <c r="D5600" t="s">
        <v>20</v>
      </c>
      <c r="E5600" t="s">
        <v>11</v>
      </c>
      <c r="F5600">
        <v>3198.426</v>
      </c>
      <c r="G5600">
        <v>18</v>
      </c>
      <c r="L5600" t="s">
        <v>15537</v>
      </c>
    </row>
    <row r="5601" spans="1:12" x14ac:dyDescent="0.25">
      <c r="A5601" t="s">
        <v>18</v>
      </c>
      <c r="B5601" t="s">
        <v>15537</v>
      </c>
      <c r="C5601" t="s">
        <v>15538</v>
      </c>
      <c r="D5601" t="s">
        <v>20</v>
      </c>
      <c r="E5601" t="s">
        <v>11</v>
      </c>
      <c r="F5601">
        <v>28394.190000000002</v>
      </c>
      <c r="G5601">
        <v>18</v>
      </c>
      <c r="L5601" t="s">
        <v>15539</v>
      </c>
    </row>
    <row r="5602" spans="1:12" x14ac:dyDescent="0.25">
      <c r="A5602" t="s">
        <v>18</v>
      </c>
      <c r="B5602" t="s">
        <v>15539</v>
      </c>
      <c r="C5602" t="s">
        <v>15540</v>
      </c>
      <c r="D5602" t="s">
        <v>20</v>
      </c>
      <c r="E5602" t="s">
        <v>11</v>
      </c>
      <c r="F5602">
        <v>3981.714</v>
      </c>
      <c r="G5602">
        <v>18</v>
      </c>
      <c r="L5602" t="s">
        <v>15541</v>
      </c>
    </row>
    <row r="5603" spans="1:12" x14ac:dyDescent="0.25">
      <c r="A5603" t="s">
        <v>18</v>
      </c>
      <c r="B5603" t="s">
        <v>15541</v>
      </c>
      <c r="C5603" t="s">
        <v>15542</v>
      </c>
      <c r="D5603" t="s">
        <v>20</v>
      </c>
      <c r="E5603" t="s">
        <v>11</v>
      </c>
      <c r="F5603">
        <v>3981.714</v>
      </c>
      <c r="G5603">
        <v>18</v>
      </c>
      <c r="L5603" t="s">
        <v>15543</v>
      </c>
    </row>
    <row r="5604" spans="1:12" x14ac:dyDescent="0.25">
      <c r="A5604" t="s">
        <v>18</v>
      </c>
      <c r="B5604" t="s">
        <v>15543</v>
      </c>
      <c r="C5604" t="s">
        <v>15544</v>
      </c>
      <c r="D5604" t="s">
        <v>20</v>
      </c>
      <c r="E5604" t="s">
        <v>11</v>
      </c>
      <c r="F5604">
        <v>3002.604</v>
      </c>
      <c r="G5604">
        <v>18</v>
      </c>
      <c r="L5604" t="s">
        <v>15545</v>
      </c>
    </row>
    <row r="5605" spans="1:12" x14ac:dyDescent="0.25">
      <c r="A5605" t="s">
        <v>18</v>
      </c>
      <c r="B5605" t="s">
        <v>15545</v>
      </c>
      <c r="C5605" t="s">
        <v>15546</v>
      </c>
      <c r="D5605" t="s">
        <v>20</v>
      </c>
      <c r="E5605" t="s">
        <v>11</v>
      </c>
      <c r="F5605">
        <v>3981.714</v>
      </c>
      <c r="G5605">
        <v>18</v>
      </c>
      <c r="L5605" t="s">
        <v>15547</v>
      </c>
    </row>
    <row r="5606" spans="1:12" x14ac:dyDescent="0.25">
      <c r="A5606" t="s">
        <v>18</v>
      </c>
      <c r="B5606" t="s">
        <v>15547</v>
      </c>
      <c r="C5606" t="s">
        <v>15548</v>
      </c>
      <c r="D5606" t="s">
        <v>20</v>
      </c>
      <c r="E5606" t="s">
        <v>11</v>
      </c>
      <c r="F5606">
        <v>2610.96</v>
      </c>
      <c r="G5606">
        <v>18</v>
      </c>
      <c r="L5606" t="s">
        <v>15549</v>
      </c>
    </row>
    <row r="5607" spans="1:12" x14ac:dyDescent="0.25">
      <c r="A5607" t="s">
        <v>18</v>
      </c>
      <c r="B5607" t="s">
        <v>15549</v>
      </c>
      <c r="C5607" t="s">
        <v>15550</v>
      </c>
      <c r="D5607" t="s">
        <v>20</v>
      </c>
      <c r="E5607" t="s">
        <v>11</v>
      </c>
      <c r="F5607">
        <v>21997.338000000003</v>
      </c>
      <c r="G5607">
        <v>18</v>
      </c>
      <c r="L5607" t="s">
        <v>15551</v>
      </c>
    </row>
    <row r="5608" spans="1:12" x14ac:dyDescent="0.25">
      <c r="A5608" t="s">
        <v>18</v>
      </c>
      <c r="B5608" t="s">
        <v>15551</v>
      </c>
      <c r="C5608" t="s">
        <v>15552</v>
      </c>
      <c r="D5608" t="s">
        <v>20</v>
      </c>
      <c r="E5608" t="s">
        <v>11</v>
      </c>
      <c r="F5608">
        <v>16187.952</v>
      </c>
      <c r="G5608">
        <v>18</v>
      </c>
      <c r="L5608" t="s">
        <v>15553</v>
      </c>
    </row>
    <row r="5609" spans="1:12" x14ac:dyDescent="0.25">
      <c r="A5609" t="s">
        <v>18</v>
      </c>
      <c r="B5609" t="s">
        <v>15553</v>
      </c>
      <c r="C5609" t="s">
        <v>15554</v>
      </c>
      <c r="D5609" t="s">
        <v>20</v>
      </c>
      <c r="E5609" t="s">
        <v>11</v>
      </c>
      <c r="F5609">
        <v>26958.161999999997</v>
      </c>
      <c r="G5609">
        <v>18</v>
      </c>
      <c r="L5609" t="s">
        <v>15555</v>
      </c>
    </row>
    <row r="5610" spans="1:12" x14ac:dyDescent="0.25">
      <c r="A5610" t="s">
        <v>18</v>
      </c>
      <c r="B5610" t="s">
        <v>15555</v>
      </c>
      <c r="C5610" t="s">
        <v>15556</v>
      </c>
      <c r="D5610" t="s">
        <v>20</v>
      </c>
      <c r="E5610" t="s">
        <v>11</v>
      </c>
      <c r="F5610">
        <v>12467.334</v>
      </c>
      <c r="G5610">
        <v>18</v>
      </c>
      <c r="L5610" t="s">
        <v>15557</v>
      </c>
    </row>
    <row r="5611" spans="1:12" x14ac:dyDescent="0.25">
      <c r="A5611" t="s">
        <v>18</v>
      </c>
      <c r="B5611" t="s">
        <v>15557</v>
      </c>
      <c r="C5611" t="s">
        <v>15558</v>
      </c>
      <c r="D5611" t="s">
        <v>20</v>
      </c>
      <c r="E5611" t="s">
        <v>11</v>
      </c>
      <c r="F5611">
        <v>11227.127999999999</v>
      </c>
      <c r="G5611">
        <v>18</v>
      </c>
      <c r="L5611" t="s">
        <v>15559</v>
      </c>
    </row>
    <row r="5612" spans="1:12" x14ac:dyDescent="0.25">
      <c r="A5612" t="s">
        <v>18</v>
      </c>
      <c r="B5612" t="s">
        <v>15559</v>
      </c>
      <c r="C5612" t="s">
        <v>15560</v>
      </c>
      <c r="D5612" t="s">
        <v>20</v>
      </c>
      <c r="E5612" t="s">
        <v>11</v>
      </c>
      <c r="F5612">
        <v>21279.323999999997</v>
      </c>
      <c r="G5612">
        <v>18</v>
      </c>
      <c r="L5612" t="s">
        <v>15561</v>
      </c>
    </row>
    <row r="5613" spans="1:12" x14ac:dyDescent="0.25">
      <c r="A5613" t="s">
        <v>18</v>
      </c>
      <c r="B5613" t="s">
        <v>15561</v>
      </c>
      <c r="C5613" t="s">
        <v>15562</v>
      </c>
      <c r="D5613" t="s">
        <v>20</v>
      </c>
      <c r="E5613" t="s">
        <v>11</v>
      </c>
      <c r="F5613">
        <v>24999.941999999995</v>
      </c>
      <c r="G5613">
        <v>18</v>
      </c>
      <c r="L5613" t="s">
        <v>15563</v>
      </c>
    </row>
    <row r="5614" spans="1:12" x14ac:dyDescent="0.25">
      <c r="A5614" t="s">
        <v>18</v>
      </c>
      <c r="B5614" t="s">
        <v>15563</v>
      </c>
      <c r="C5614" t="s">
        <v>15564</v>
      </c>
      <c r="D5614" t="s">
        <v>20</v>
      </c>
      <c r="E5614" t="s">
        <v>11</v>
      </c>
      <c r="F5614">
        <v>9660.552</v>
      </c>
      <c r="G5614">
        <v>18</v>
      </c>
      <c r="L5614" t="s">
        <v>15565</v>
      </c>
    </row>
    <row r="5615" spans="1:12" x14ac:dyDescent="0.25">
      <c r="A5615" t="s">
        <v>18</v>
      </c>
      <c r="B5615" t="s">
        <v>15565</v>
      </c>
      <c r="C5615" t="s">
        <v>15566</v>
      </c>
      <c r="D5615" t="s">
        <v>20</v>
      </c>
      <c r="E5615" t="s">
        <v>11</v>
      </c>
      <c r="F5615">
        <v>5287.193999999999</v>
      </c>
      <c r="G5615">
        <v>18</v>
      </c>
      <c r="L5615" t="s">
        <v>15567</v>
      </c>
    </row>
    <row r="5616" spans="1:12" x14ac:dyDescent="0.25">
      <c r="A5616" t="s">
        <v>18</v>
      </c>
      <c r="B5616" t="s">
        <v>15567</v>
      </c>
      <c r="C5616" t="s">
        <v>15568</v>
      </c>
      <c r="D5616" t="s">
        <v>20</v>
      </c>
      <c r="E5616" t="s">
        <v>11</v>
      </c>
      <c r="F5616">
        <v>3981.714</v>
      </c>
      <c r="G5616">
        <v>18</v>
      </c>
      <c r="L5616" t="s">
        <v>15569</v>
      </c>
    </row>
    <row r="5617" spans="1:12" x14ac:dyDescent="0.25">
      <c r="A5617" t="s">
        <v>18</v>
      </c>
      <c r="B5617" t="s">
        <v>15569</v>
      </c>
      <c r="C5617" t="s">
        <v>15570</v>
      </c>
      <c r="D5617" t="s">
        <v>20</v>
      </c>
      <c r="E5617" t="s">
        <v>11</v>
      </c>
      <c r="F5617">
        <v>34595.22</v>
      </c>
      <c r="G5617">
        <v>18</v>
      </c>
      <c r="L5617" t="s">
        <v>15571</v>
      </c>
    </row>
    <row r="5618" spans="1:12" x14ac:dyDescent="0.25">
      <c r="A5618" t="s">
        <v>18</v>
      </c>
      <c r="B5618" t="s">
        <v>15571</v>
      </c>
      <c r="C5618" t="s">
        <v>15572</v>
      </c>
      <c r="D5618" t="s">
        <v>20</v>
      </c>
      <c r="E5618" t="s">
        <v>11</v>
      </c>
      <c r="F5618">
        <v>4373.358</v>
      </c>
      <c r="G5618">
        <v>18</v>
      </c>
      <c r="L5618" t="s">
        <v>15573</v>
      </c>
    </row>
    <row r="5619" spans="1:12" x14ac:dyDescent="0.25">
      <c r="A5619" t="s">
        <v>18</v>
      </c>
      <c r="B5619" t="s">
        <v>15573</v>
      </c>
      <c r="C5619" t="s">
        <v>15574</v>
      </c>
      <c r="D5619" t="s">
        <v>20</v>
      </c>
      <c r="E5619" t="s">
        <v>11</v>
      </c>
      <c r="F5619">
        <v>7375.962</v>
      </c>
      <c r="G5619">
        <v>18</v>
      </c>
      <c r="L5619" t="s">
        <v>15575</v>
      </c>
    </row>
    <row r="5620" spans="1:12" x14ac:dyDescent="0.25">
      <c r="A5620" t="s">
        <v>18</v>
      </c>
      <c r="B5620" t="s">
        <v>15575</v>
      </c>
      <c r="C5620" t="s">
        <v>15576</v>
      </c>
      <c r="D5620" t="s">
        <v>20</v>
      </c>
      <c r="E5620" t="s">
        <v>11</v>
      </c>
      <c r="F5620">
        <v>12793.704</v>
      </c>
      <c r="G5620">
        <v>18</v>
      </c>
      <c r="L5620" t="s">
        <v>15577</v>
      </c>
    </row>
    <row r="5621" spans="1:12" x14ac:dyDescent="0.25">
      <c r="A5621" t="s">
        <v>18</v>
      </c>
      <c r="B5621" t="s">
        <v>15577</v>
      </c>
      <c r="C5621" t="s">
        <v>15578</v>
      </c>
      <c r="D5621" t="s">
        <v>20</v>
      </c>
      <c r="E5621" t="s">
        <v>11</v>
      </c>
      <c r="F5621">
        <v>12793.704</v>
      </c>
      <c r="G5621">
        <v>18</v>
      </c>
      <c r="L5621" t="s">
        <v>15579</v>
      </c>
    </row>
    <row r="5622" spans="1:12" x14ac:dyDescent="0.25">
      <c r="A5622" t="s">
        <v>18</v>
      </c>
      <c r="B5622" t="s">
        <v>15579</v>
      </c>
      <c r="C5622" t="s">
        <v>15580</v>
      </c>
      <c r="D5622" t="s">
        <v>20</v>
      </c>
      <c r="E5622" t="s">
        <v>11</v>
      </c>
      <c r="F5622">
        <v>9986.921999999999</v>
      </c>
      <c r="G5622">
        <v>18</v>
      </c>
      <c r="L5622" t="s">
        <v>15581</v>
      </c>
    </row>
    <row r="5623" spans="1:12" x14ac:dyDescent="0.25">
      <c r="A5623" t="s">
        <v>18</v>
      </c>
      <c r="B5623" t="s">
        <v>15581</v>
      </c>
      <c r="C5623" t="s">
        <v>15582</v>
      </c>
      <c r="D5623" t="s">
        <v>20</v>
      </c>
      <c r="E5623" t="s">
        <v>11</v>
      </c>
      <c r="F5623">
        <v>12467.334</v>
      </c>
      <c r="G5623">
        <v>18</v>
      </c>
      <c r="L5623" t="s">
        <v>15583</v>
      </c>
    </row>
    <row r="5624" spans="1:12" x14ac:dyDescent="0.25">
      <c r="A5624" t="s">
        <v>18</v>
      </c>
      <c r="B5624" t="s">
        <v>15583</v>
      </c>
      <c r="C5624" t="s">
        <v>15584</v>
      </c>
      <c r="D5624" t="s">
        <v>20</v>
      </c>
      <c r="E5624" t="s">
        <v>11</v>
      </c>
      <c r="F5624">
        <v>7310.688</v>
      </c>
      <c r="G5624">
        <v>18</v>
      </c>
      <c r="L5624" t="s">
        <v>15585</v>
      </c>
    </row>
    <row r="5625" spans="1:12" x14ac:dyDescent="0.25">
      <c r="A5625" t="s">
        <v>18</v>
      </c>
      <c r="B5625" t="s">
        <v>15585</v>
      </c>
      <c r="C5625" t="s">
        <v>15586</v>
      </c>
      <c r="D5625" t="s">
        <v>20</v>
      </c>
      <c r="E5625" t="s">
        <v>11</v>
      </c>
      <c r="F5625">
        <v>3263.7</v>
      </c>
      <c r="G5625">
        <v>18</v>
      </c>
      <c r="L5625" t="s">
        <v>15587</v>
      </c>
    </row>
    <row r="5626" spans="1:12" x14ac:dyDescent="0.25">
      <c r="A5626" t="s">
        <v>18</v>
      </c>
      <c r="B5626" t="s">
        <v>15587</v>
      </c>
      <c r="C5626" t="s">
        <v>15588</v>
      </c>
      <c r="D5626" t="s">
        <v>20</v>
      </c>
      <c r="E5626" t="s">
        <v>11</v>
      </c>
      <c r="F5626">
        <v>3263.7</v>
      </c>
      <c r="G5626">
        <v>18</v>
      </c>
      <c r="L5626" t="s">
        <v>15589</v>
      </c>
    </row>
    <row r="5627" spans="1:12" x14ac:dyDescent="0.25">
      <c r="A5627" t="s">
        <v>18</v>
      </c>
      <c r="B5627" t="s">
        <v>15589</v>
      </c>
      <c r="C5627" t="s">
        <v>15590</v>
      </c>
      <c r="D5627" t="s">
        <v>20</v>
      </c>
      <c r="E5627" t="s">
        <v>11</v>
      </c>
      <c r="F5627">
        <v>3263.7</v>
      </c>
      <c r="G5627">
        <v>18</v>
      </c>
      <c r="L5627" t="s">
        <v>15591</v>
      </c>
    </row>
    <row r="5628" spans="1:12" x14ac:dyDescent="0.25">
      <c r="A5628" t="s">
        <v>18</v>
      </c>
      <c r="B5628" t="s">
        <v>15591</v>
      </c>
      <c r="C5628" t="s">
        <v>15592</v>
      </c>
      <c r="D5628" t="s">
        <v>20</v>
      </c>
      <c r="E5628" t="s">
        <v>11</v>
      </c>
      <c r="F5628">
        <v>3263.7</v>
      </c>
      <c r="G5628">
        <v>18</v>
      </c>
      <c r="L5628" t="s">
        <v>15593</v>
      </c>
    </row>
    <row r="5629" spans="1:12" x14ac:dyDescent="0.25">
      <c r="A5629" t="s">
        <v>18</v>
      </c>
      <c r="B5629" t="s">
        <v>15593</v>
      </c>
      <c r="C5629" t="s">
        <v>15594</v>
      </c>
      <c r="D5629" t="s">
        <v>20</v>
      </c>
      <c r="E5629" t="s">
        <v>11</v>
      </c>
      <c r="F5629">
        <v>3263.7</v>
      </c>
      <c r="G5629">
        <v>18</v>
      </c>
      <c r="L5629" t="s">
        <v>15595</v>
      </c>
    </row>
    <row r="5630" spans="1:12" x14ac:dyDescent="0.25">
      <c r="A5630" t="s">
        <v>18</v>
      </c>
      <c r="B5630" t="s">
        <v>15595</v>
      </c>
      <c r="C5630" t="s">
        <v>15596</v>
      </c>
      <c r="D5630" t="s">
        <v>20</v>
      </c>
      <c r="E5630" t="s">
        <v>11</v>
      </c>
      <c r="F5630">
        <v>1370.754</v>
      </c>
      <c r="G5630">
        <v>18</v>
      </c>
      <c r="L5630" t="s">
        <v>15597</v>
      </c>
    </row>
    <row r="5631" spans="1:12" x14ac:dyDescent="0.25">
      <c r="A5631" t="s">
        <v>18</v>
      </c>
      <c r="B5631" t="s">
        <v>15597</v>
      </c>
      <c r="C5631" t="s">
        <v>15598</v>
      </c>
      <c r="D5631" t="s">
        <v>20</v>
      </c>
      <c r="E5631" t="s">
        <v>11</v>
      </c>
      <c r="F5631">
        <v>2872.056</v>
      </c>
      <c r="G5631">
        <v>18</v>
      </c>
      <c r="L5631" t="s">
        <v>15599</v>
      </c>
    </row>
    <row r="5632" spans="1:12" x14ac:dyDescent="0.25">
      <c r="A5632" t="s">
        <v>18</v>
      </c>
      <c r="B5632" t="s">
        <v>15599</v>
      </c>
      <c r="C5632" t="s">
        <v>15600</v>
      </c>
      <c r="D5632" t="s">
        <v>20</v>
      </c>
      <c r="E5632" t="s">
        <v>11</v>
      </c>
      <c r="F5632">
        <v>2872.056</v>
      </c>
      <c r="G5632">
        <v>18</v>
      </c>
      <c r="L5632" t="s">
        <v>15601</v>
      </c>
    </row>
    <row r="5633" spans="1:12" x14ac:dyDescent="0.25">
      <c r="A5633" t="s">
        <v>18</v>
      </c>
      <c r="B5633" t="s">
        <v>15601</v>
      </c>
      <c r="C5633" t="s">
        <v>15602</v>
      </c>
      <c r="D5633" t="s">
        <v>20</v>
      </c>
      <c r="E5633" t="s">
        <v>11</v>
      </c>
      <c r="F5633">
        <v>2872.056</v>
      </c>
      <c r="G5633">
        <v>18</v>
      </c>
      <c r="L5633" t="s">
        <v>15603</v>
      </c>
    </row>
    <row r="5634" spans="1:12" x14ac:dyDescent="0.25">
      <c r="A5634" t="s">
        <v>18</v>
      </c>
      <c r="B5634" t="s">
        <v>15603</v>
      </c>
      <c r="C5634" t="s">
        <v>15604</v>
      </c>
      <c r="D5634" t="s">
        <v>20</v>
      </c>
      <c r="E5634" t="s">
        <v>11</v>
      </c>
      <c r="F5634">
        <v>2872.056</v>
      </c>
      <c r="G5634">
        <v>18</v>
      </c>
      <c r="L5634" t="s">
        <v>15605</v>
      </c>
    </row>
    <row r="5635" spans="1:12" x14ac:dyDescent="0.25">
      <c r="A5635" t="s">
        <v>18</v>
      </c>
      <c r="B5635" t="s">
        <v>15605</v>
      </c>
      <c r="C5635" t="s">
        <v>15606</v>
      </c>
      <c r="D5635" t="s">
        <v>20</v>
      </c>
      <c r="E5635" t="s">
        <v>11</v>
      </c>
      <c r="F5635">
        <v>2872.056</v>
      </c>
      <c r="G5635">
        <v>18</v>
      </c>
      <c r="L5635" t="s">
        <v>15607</v>
      </c>
    </row>
    <row r="5636" spans="1:12" x14ac:dyDescent="0.25">
      <c r="A5636" t="s">
        <v>18</v>
      </c>
      <c r="B5636" t="s">
        <v>15607</v>
      </c>
      <c r="C5636" t="s">
        <v>15608</v>
      </c>
      <c r="D5636" t="s">
        <v>20</v>
      </c>
      <c r="E5636" t="s">
        <v>11</v>
      </c>
      <c r="F5636">
        <v>8942.538</v>
      </c>
      <c r="G5636">
        <v>18</v>
      </c>
      <c r="L5636" t="s">
        <v>15609</v>
      </c>
    </row>
    <row r="5637" spans="1:12" x14ac:dyDescent="0.25">
      <c r="A5637" t="s">
        <v>18</v>
      </c>
      <c r="B5637" t="s">
        <v>15609</v>
      </c>
      <c r="C5637" t="s">
        <v>15610</v>
      </c>
      <c r="D5637" t="s">
        <v>20</v>
      </c>
      <c r="E5637" t="s">
        <v>11</v>
      </c>
      <c r="F5637">
        <v>3720.6179999999995</v>
      </c>
      <c r="G5637">
        <v>18</v>
      </c>
      <c r="L5637" t="s">
        <v>15611</v>
      </c>
    </row>
    <row r="5638" spans="1:12" x14ac:dyDescent="0.25">
      <c r="A5638" t="s">
        <v>18</v>
      </c>
      <c r="B5638" t="s">
        <v>15611</v>
      </c>
      <c r="C5638" t="s">
        <v>15612</v>
      </c>
      <c r="D5638" t="s">
        <v>20</v>
      </c>
      <c r="E5638" t="s">
        <v>11</v>
      </c>
      <c r="F5638">
        <v>3198.426</v>
      </c>
      <c r="G5638">
        <v>18</v>
      </c>
      <c r="L5638" t="s">
        <v>15613</v>
      </c>
    </row>
    <row r="5639" spans="1:12" x14ac:dyDescent="0.25">
      <c r="A5639" t="s">
        <v>18</v>
      </c>
      <c r="B5639" t="s">
        <v>15613</v>
      </c>
      <c r="C5639" t="s">
        <v>15614</v>
      </c>
      <c r="D5639" t="s">
        <v>20</v>
      </c>
      <c r="E5639" t="s">
        <v>11</v>
      </c>
      <c r="F5639">
        <v>7310.688</v>
      </c>
      <c r="G5639">
        <v>18</v>
      </c>
      <c r="L5639" t="s">
        <v>15615</v>
      </c>
    </row>
    <row r="5640" spans="1:12" x14ac:dyDescent="0.25">
      <c r="A5640" t="s">
        <v>18</v>
      </c>
      <c r="B5640" t="s">
        <v>15615</v>
      </c>
      <c r="C5640" t="s">
        <v>15616</v>
      </c>
      <c r="D5640" t="s">
        <v>20</v>
      </c>
      <c r="E5640" t="s">
        <v>11</v>
      </c>
      <c r="F5640">
        <v>6005.208</v>
      </c>
      <c r="G5640">
        <v>18</v>
      </c>
      <c r="L5640" t="s">
        <v>15617</v>
      </c>
    </row>
    <row r="5641" spans="1:12" x14ac:dyDescent="0.25">
      <c r="A5641" t="s">
        <v>18</v>
      </c>
      <c r="B5641" t="s">
        <v>15617</v>
      </c>
      <c r="C5641" t="s">
        <v>15618</v>
      </c>
      <c r="D5641" t="s">
        <v>20</v>
      </c>
      <c r="E5641" t="s">
        <v>11</v>
      </c>
      <c r="F5641">
        <v>4308.084</v>
      </c>
      <c r="G5641">
        <v>18</v>
      </c>
      <c r="L5641" t="s">
        <v>15619</v>
      </c>
    </row>
    <row r="5642" spans="1:12" x14ac:dyDescent="0.25">
      <c r="A5642" t="s">
        <v>18</v>
      </c>
      <c r="B5642" t="s">
        <v>15619</v>
      </c>
      <c r="C5642" t="s">
        <v>15620</v>
      </c>
      <c r="D5642" t="s">
        <v>20</v>
      </c>
      <c r="E5642" t="s">
        <v>11</v>
      </c>
      <c r="F5642">
        <v>4308.084</v>
      </c>
      <c r="G5642">
        <v>18</v>
      </c>
      <c r="L5642" t="s">
        <v>15621</v>
      </c>
    </row>
    <row r="5643" spans="1:12" x14ac:dyDescent="0.25">
      <c r="A5643" t="s">
        <v>18</v>
      </c>
      <c r="B5643" t="s">
        <v>15621</v>
      </c>
      <c r="C5643" t="s">
        <v>15622</v>
      </c>
      <c r="D5643" t="s">
        <v>20</v>
      </c>
      <c r="E5643" t="s">
        <v>11</v>
      </c>
      <c r="F5643">
        <v>4634.454</v>
      </c>
      <c r="G5643">
        <v>18</v>
      </c>
      <c r="L5643" t="s">
        <v>15623</v>
      </c>
    </row>
    <row r="5644" spans="1:12" x14ac:dyDescent="0.25">
      <c r="A5644" t="s">
        <v>18</v>
      </c>
      <c r="B5644" t="s">
        <v>15623</v>
      </c>
      <c r="C5644" t="s">
        <v>15624</v>
      </c>
      <c r="D5644" t="s">
        <v>20</v>
      </c>
      <c r="E5644" t="s">
        <v>11</v>
      </c>
      <c r="F5644">
        <v>9986.921999999999</v>
      </c>
      <c r="G5644">
        <v>18</v>
      </c>
      <c r="L5644" t="s">
        <v>15625</v>
      </c>
    </row>
    <row r="5645" spans="1:12" x14ac:dyDescent="0.25">
      <c r="A5645" t="s">
        <v>18</v>
      </c>
      <c r="B5645" t="s">
        <v>15625</v>
      </c>
      <c r="C5645" t="s">
        <v>15626</v>
      </c>
      <c r="D5645" t="s">
        <v>20</v>
      </c>
      <c r="E5645" t="s">
        <v>11</v>
      </c>
      <c r="F5645">
        <v>7245.414</v>
      </c>
      <c r="G5645">
        <v>18</v>
      </c>
      <c r="L5645" t="s">
        <v>15627</v>
      </c>
    </row>
    <row r="5646" spans="1:12" x14ac:dyDescent="0.25">
      <c r="A5646" t="s">
        <v>18</v>
      </c>
      <c r="B5646" t="s">
        <v>15627</v>
      </c>
      <c r="C5646" t="s">
        <v>15628</v>
      </c>
      <c r="D5646" t="s">
        <v>20</v>
      </c>
      <c r="E5646" t="s">
        <v>11</v>
      </c>
      <c r="F5646">
        <v>5744.112</v>
      </c>
      <c r="G5646">
        <v>18</v>
      </c>
      <c r="L5646" t="s">
        <v>15629</v>
      </c>
    </row>
    <row r="5647" spans="1:12" x14ac:dyDescent="0.25">
      <c r="A5647" t="s">
        <v>18</v>
      </c>
      <c r="B5647" t="s">
        <v>15629</v>
      </c>
      <c r="C5647" t="s">
        <v>15630</v>
      </c>
      <c r="D5647" t="s">
        <v>20</v>
      </c>
      <c r="E5647" t="s">
        <v>11</v>
      </c>
      <c r="F5647">
        <v>2349.8639999999996</v>
      </c>
      <c r="G5647">
        <v>18</v>
      </c>
      <c r="L5647" t="s">
        <v>15631</v>
      </c>
    </row>
    <row r="5648" spans="1:12" x14ac:dyDescent="0.25">
      <c r="A5648" t="s">
        <v>18</v>
      </c>
      <c r="B5648" t="s">
        <v>15631</v>
      </c>
      <c r="C5648" t="s">
        <v>15632</v>
      </c>
      <c r="D5648" t="s">
        <v>20</v>
      </c>
      <c r="E5648" t="s">
        <v>11</v>
      </c>
      <c r="F5648">
        <v>8093.976</v>
      </c>
      <c r="G5648">
        <v>18</v>
      </c>
      <c r="L5648" t="s">
        <v>15633</v>
      </c>
    </row>
    <row r="5649" spans="1:12" x14ac:dyDescent="0.25">
      <c r="A5649" t="s">
        <v>18</v>
      </c>
      <c r="B5649" t="s">
        <v>15633</v>
      </c>
      <c r="C5649" t="s">
        <v>15634</v>
      </c>
      <c r="D5649" t="s">
        <v>20</v>
      </c>
      <c r="E5649" t="s">
        <v>11</v>
      </c>
      <c r="F5649">
        <v>2676.234</v>
      </c>
      <c r="G5649">
        <v>18</v>
      </c>
      <c r="L5649" t="s">
        <v>15635</v>
      </c>
    </row>
    <row r="5650" spans="1:12" x14ac:dyDescent="0.25">
      <c r="A5650" t="s">
        <v>18</v>
      </c>
      <c r="B5650" t="s">
        <v>15635</v>
      </c>
      <c r="C5650" t="s">
        <v>15636</v>
      </c>
      <c r="D5650" t="s">
        <v>20</v>
      </c>
      <c r="E5650" t="s">
        <v>11</v>
      </c>
      <c r="F5650">
        <v>3851.166</v>
      </c>
      <c r="G5650">
        <v>18</v>
      </c>
      <c r="L5650" t="s">
        <v>15637</v>
      </c>
    </row>
    <row r="5651" spans="1:12" x14ac:dyDescent="0.25">
      <c r="A5651" t="s">
        <v>18</v>
      </c>
      <c r="B5651" t="s">
        <v>15637</v>
      </c>
      <c r="C5651" t="s">
        <v>15638</v>
      </c>
      <c r="D5651" t="s">
        <v>20</v>
      </c>
      <c r="E5651" t="s">
        <v>11</v>
      </c>
      <c r="F5651">
        <v>3981.714</v>
      </c>
      <c r="G5651">
        <v>18</v>
      </c>
      <c r="L5651" t="s">
        <v>15639</v>
      </c>
    </row>
    <row r="5652" spans="1:12" x14ac:dyDescent="0.25">
      <c r="A5652" t="s">
        <v>18</v>
      </c>
      <c r="B5652" t="s">
        <v>15639</v>
      </c>
      <c r="C5652" t="s">
        <v>15640</v>
      </c>
      <c r="D5652" t="s">
        <v>20</v>
      </c>
      <c r="E5652" t="s">
        <v>11</v>
      </c>
      <c r="F5652">
        <v>4438.632</v>
      </c>
      <c r="G5652">
        <v>18</v>
      </c>
      <c r="L5652" t="s">
        <v>15641</v>
      </c>
    </row>
    <row r="5653" spans="1:12" x14ac:dyDescent="0.25">
      <c r="A5653" t="s">
        <v>18</v>
      </c>
      <c r="B5653" t="s">
        <v>15641</v>
      </c>
      <c r="C5653" t="s">
        <v>15642</v>
      </c>
      <c r="D5653" t="s">
        <v>20</v>
      </c>
      <c r="E5653" t="s">
        <v>11</v>
      </c>
      <c r="F5653">
        <v>11814.594000000001</v>
      </c>
      <c r="G5653">
        <v>18</v>
      </c>
      <c r="L5653" t="s">
        <v>15643</v>
      </c>
    </row>
    <row r="5654" spans="1:12" x14ac:dyDescent="0.25">
      <c r="A5654" t="s">
        <v>18</v>
      </c>
      <c r="B5654" t="s">
        <v>15643</v>
      </c>
      <c r="C5654" t="s">
        <v>15644</v>
      </c>
      <c r="D5654" t="s">
        <v>20</v>
      </c>
      <c r="E5654" t="s">
        <v>11</v>
      </c>
      <c r="F5654">
        <v>11031.305999999999</v>
      </c>
      <c r="G5654">
        <v>18</v>
      </c>
      <c r="L5654" t="s">
        <v>15645</v>
      </c>
    </row>
    <row r="5655" spans="1:12" x14ac:dyDescent="0.25">
      <c r="A5655" t="s">
        <v>18</v>
      </c>
      <c r="B5655" t="s">
        <v>15645</v>
      </c>
      <c r="C5655" t="s">
        <v>15646</v>
      </c>
      <c r="D5655" t="s">
        <v>20</v>
      </c>
      <c r="E5655" t="s">
        <v>11</v>
      </c>
      <c r="F5655">
        <v>10313.292</v>
      </c>
      <c r="G5655">
        <v>18</v>
      </c>
      <c r="L5655" t="s">
        <v>15647</v>
      </c>
    </row>
    <row r="5656" spans="1:12" x14ac:dyDescent="0.25">
      <c r="A5656" t="s">
        <v>18</v>
      </c>
      <c r="B5656" t="s">
        <v>15647</v>
      </c>
      <c r="C5656" t="s">
        <v>15648</v>
      </c>
      <c r="D5656" t="s">
        <v>20</v>
      </c>
      <c r="E5656" t="s">
        <v>11</v>
      </c>
      <c r="F5656">
        <v>9399.455999999998</v>
      </c>
      <c r="G5656">
        <v>18</v>
      </c>
      <c r="L5656" t="s">
        <v>15649</v>
      </c>
    </row>
    <row r="5657" spans="1:12" x14ac:dyDescent="0.25">
      <c r="A5657" t="s">
        <v>18</v>
      </c>
      <c r="B5657" t="s">
        <v>15649</v>
      </c>
      <c r="C5657" t="s">
        <v>15650</v>
      </c>
      <c r="D5657" t="s">
        <v>20</v>
      </c>
      <c r="E5657" t="s">
        <v>11</v>
      </c>
      <c r="F5657">
        <v>21279.323999999997</v>
      </c>
      <c r="G5657">
        <v>18</v>
      </c>
      <c r="L5657" t="s">
        <v>15651</v>
      </c>
    </row>
    <row r="5658" spans="1:12" x14ac:dyDescent="0.25">
      <c r="A5658" t="s">
        <v>18</v>
      </c>
      <c r="B5658" t="s">
        <v>15651</v>
      </c>
      <c r="C5658" t="s">
        <v>15652</v>
      </c>
      <c r="D5658" t="s">
        <v>20</v>
      </c>
      <c r="E5658" t="s">
        <v>11</v>
      </c>
      <c r="F5658">
        <v>1631.85</v>
      </c>
      <c r="G5658">
        <v>18</v>
      </c>
      <c r="L5658" t="s">
        <v>15653</v>
      </c>
    </row>
    <row r="5659" spans="1:12" x14ac:dyDescent="0.25">
      <c r="A5659" t="s">
        <v>18</v>
      </c>
      <c r="B5659" t="s">
        <v>15653</v>
      </c>
      <c r="C5659" t="s">
        <v>15654</v>
      </c>
      <c r="D5659" t="s">
        <v>20</v>
      </c>
      <c r="E5659" t="s">
        <v>11</v>
      </c>
      <c r="F5659">
        <v>9921.648000000001</v>
      </c>
      <c r="G5659">
        <v>18</v>
      </c>
      <c r="L5659" t="s">
        <v>15655</v>
      </c>
    </row>
    <row r="5660" spans="1:12" x14ac:dyDescent="0.25">
      <c r="A5660" t="s">
        <v>18</v>
      </c>
      <c r="B5660" t="s">
        <v>15655</v>
      </c>
      <c r="C5660" t="s">
        <v>15656</v>
      </c>
      <c r="D5660" t="s">
        <v>20</v>
      </c>
      <c r="E5660" t="s">
        <v>11</v>
      </c>
      <c r="F5660">
        <v>13185.347999999998</v>
      </c>
      <c r="G5660">
        <v>18</v>
      </c>
      <c r="L5660" t="s">
        <v>15657</v>
      </c>
    </row>
    <row r="5661" spans="1:12" x14ac:dyDescent="0.25">
      <c r="A5661" t="s">
        <v>18</v>
      </c>
      <c r="B5661" t="s">
        <v>15657</v>
      </c>
      <c r="C5661" t="s">
        <v>15658</v>
      </c>
      <c r="D5661" t="s">
        <v>20</v>
      </c>
      <c r="E5661" t="s">
        <v>11</v>
      </c>
      <c r="F5661">
        <v>783.2879999999999</v>
      </c>
      <c r="G5661">
        <v>18</v>
      </c>
      <c r="L5661" t="s">
        <v>15659</v>
      </c>
    </row>
    <row r="5662" spans="1:12" x14ac:dyDescent="0.25">
      <c r="A5662" t="s">
        <v>18</v>
      </c>
      <c r="B5662" t="s">
        <v>15659</v>
      </c>
      <c r="C5662" t="s">
        <v>15660</v>
      </c>
      <c r="D5662" t="s">
        <v>20</v>
      </c>
      <c r="E5662" t="s">
        <v>11</v>
      </c>
      <c r="F5662">
        <v>40992.072</v>
      </c>
      <c r="G5662">
        <v>18</v>
      </c>
      <c r="L5662" t="s">
        <v>15661</v>
      </c>
    </row>
    <row r="5663" spans="1:12" x14ac:dyDescent="0.25">
      <c r="A5663" t="s">
        <v>18</v>
      </c>
      <c r="B5663" t="s">
        <v>15661</v>
      </c>
      <c r="C5663" t="s">
        <v>15662</v>
      </c>
      <c r="D5663" t="s">
        <v>20</v>
      </c>
      <c r="E5663" t="s">
        <v>11</v>
      </c>
      <c r="F5663">
        <v>36031.248</v>
      </c>
      <c r="G5663">
        <v>18</v>
      </c>
      <c r="L5663" t="s">
        <v>15663</v>
      </c>
    </row>
    <row r="5664" spans="1:12" x14ac:dyDescent="0.25">
      <c r="A5664" t="s">
        <v>18</v>
      </c>
      <c r="B5664" t="s">
        <v>15663</v>
      </c>
      <c r="C5664" t="s">
        <v>15664</v>
      </c>
      <c r="D5664" t="s">
        <v>20</v>
      </c>
      <c r="E5664" t="s">
        <v>11</v>
      </c>
      <c r="F5664">
        <v>2154.042</v>
      </c>
      <c r="G5664">
        <v>18</v>
      </c>
      <c r="L5664" t="s">
        <v>15665</v>
      </c>
    </row>
    <row r="5665" spans="1:12" x14ac:dyDescent="0.25">
      <c r="A5665" t="s">
        <v>18</v>
      </c>
      <c r="B5665" t="s">
        <v>15665</v>
      </c>
      <c r="C5665" t="s">
        <v>15666</v>
      </c>
      <c r="D5665" t="s">
        <v>20</v>
      </c>
      <c r="E5665" t="s">
        <v>11</v>
      </c>
      <c r="F5665">
        <v>195.82199999999997</v>
      </c>
      <c r="G5665">
        <v>18</v>
      </c>
      <c r="L5665" t="s">
        <v>15667</v>
      </c>
    </row>
    <row r="5666" spans="1:12" x14ac:dyDescent="0.25">
      <c r="A5666" t="s">
        <v>18</v>
      </c>
      <c r="B5666" t="s">
        <v>15667</v>
      </c>
      <c r="C5666" t="s">
        <v>15668</v>
      </c>
      <c r="D5666" t="s">
        <v>20</v>
      </c>
      <c r="E5666" t="s">
        <v>11</v>
      </c>
      <c r="F5666">
        <v>195.82199999999997</v>
      </c>
      <c r="G5666">
        <v>18</v>
      </c>
      <c r="L5666" t="s">
        <v>15669</v>
      </c>
    </row>
    <row r="5667" spans="1:12" x14ac:dyDescent="0.25">
      <c r="A5667" t="s">
        <v>18</v>
      </c>
      <c r="B5667" t="s">
        <v>15669</v>
      </c>
      <c r="C5667" t="s">
        <v>15670</v>
      </c>
      <c r="D5667" t="s">
        <v>20</v>
      </c>
      <c r="E5667" t="s">
        <v>11</v>
      </c>
      <c r="F5667">
        <v>195.82199999999997</v>
      </c>
      <c r="G5667">
        <v>18</v>
      </c>
      <c r="L5667" t="s">
        <v>15671</v>
      </c>
    </row>
    <row r="5668" spans="1:12" x14ac:dyDescent="0.25">
      <c r="A5668" t="s">
        <v>18</v>
      </c>
      <c r="B5668" t="s">
        <v>15671</v>
      </c>
      <c r="C5668" t="s">
        <v>15672</v>
      </c>
      <c r="D5668" t="s">
        <v>20</v>
      </c>
      <c r="E5668" t="s">
        <v>11</v>
      </c>
      <c r="F5668">
        <v>195.82199999999997</v>
      </c>
      <c r="G5668">
        <v>18</v>
      </c>
      <c r="L5668" t="s">
        <v>15673</v>
      </c>
    </row>
    <row r="5669" spans="1:12" x14ac:dyDescent="0.25">
      <c r="A5669" t="s">
        <v>18</v>
      </c>
      <c r="B5669" t="s">
        <v>15673</v>
      </c>
      <c r="C5669" t="s">
        <v>15674</v>
      </c>
      <c r="D5669" t="s">
        <v>20</v>
      </c>
      <c r="E5669" t="s">
        <v>11</v>
      </c>
      <c r="F5669">
        <v>195.82199999999997</v>
      </c>
      <c r="G5669">
        <v>18</v>
      </c>
      <c r="L5669" t="s">
        <v>15675</v>
      </c>
    </row>
    <row r="5670" spans="1:12" x14ac:dyDescent="0.25">
      <c r="A5670" t="s">
        <v>18</v>
      </c>
      <c r="B5670" t="s">
        <v>15675</v>
      </c>
      <c r="C5670" t="s">
        <v>15676</v>
      </c>
      <c r="D5670" t="s">
        <v>20</v>
      </c>
      <c r="E5670" t="s">
        <v>11</v>
      </c>
      <c r="F5670">
        <v>195.82199999999997</v>
      </c>
      <c r="G5670">
        <v>18</v>
      </c>
      <c r="L5670" t="s">
        <v>15677</v>
      </c>
    </row>
    <row r="5671" spans="1:12" x14ac:dyDescent="0.25">
      <c r="A5671" t="s">
        <v>18</v>
      </c>
      <c r="B5671" t="s">
        <v>15677</v>
      </c>
      <c r="C5671" t="s">
        <v>15678</v>
      </c>
      <c r="D5671" t="s">
        <v>20</v>
      </c>
      <c r="E5671" t="s">
        <v>11</v>
      </c>
      <c r="F5671">
        <v>195.82199999999997</v>
      </c>
      <c r="G5671">
        <v>18</v>
      </c>
      <c r="L5671" t="s">
        <v>15679</v>
      </c>
    </row>
    <row r="5672" spans="1:12" x14ac:dyDescent="0.25">
      <c r="A5672" t="s">
        <v>18</v>
      </c>
      <c r="B5672" t="s">
        <v>15679</v>
      </c>
      <c r="C5672" t="s">
        <v>15680</v>
      </c>
      <c r="D5672" t="s">
        <v>20</v>
      </c>
      <c r="E5672" t="s">
        <v>11</v>
      </c>
      <c r="F5672">
        <v>195.82199999999997</v>
      </c>
      <c r="G5672">
        <v>18</v>
      </c>
      <c r="L5672" t="s">
        <v>15681</v>
      </c>
    </row>
    <row r="5673" spans="1:12" x14ac:dyDescent="0.25">
      <c r="A5673" t="s">
        <v>18</v>
      </c>
      <c r="B5673" t="s">
        <v>15681</v>
      </c>
      <c r="C5673" t="s">
        <v>15682</v>
      </c>
      <c r="D5673" t="s">
        <v>20</v>
      </c>
      <c r="E5673" t="s">
        <v>11</v>
      </c>
      <c r="F5673">
        <v>195.82199999999997</v>
      </c>
      <c r="G5673">
        <v>18</v>
      </c>
      <c r="L5673" t="s">
        <v>15683</v>
      </c>
    </row>
    <row r="5674" spans="1:12" x14ac:dyDescent="0.25">
      <c r="A5674" t="s">
        <v>18</v>
      </c>
      <c r="B5674" t="s">
        <v>15683</v>
      </c>
      <c r="C5674" t="s">
        <v>15684</v>
      </c>
      <c r="D5674" t="s">
        <v>20</v>
      </c>
      <c r="E5674" t="s">
        <v>11</v>
      </c>
      <c r="F5674">
        <v>195.82199999999997</v>
      </c>
      <c r="G5674">
        <v>18</v>
      </c>
      <c r="L5674" t="s">
        <v>15685</v>
      </c>
    </row>
    <row r="5675" spans="1:12" x14ac:dyDescent="0.25">
      <c r="A5675" t="s">
        <v>18</v>
      </c>
      <c r="B5675" t="s">
        <v>15685</v>
      </c>
      <c r="C5675" t="s">
        <v>15686</v>
      </c>
      <c r="D5675" t="s">
        <v>20</v>
      </c>
      <c r="E5675" t="s">
        <v>11</v>
      </c>
      <c r="F5675">
        <v>195.82199999999997</v>
      </c>
      <c r="G5675">
        <v>18</v>
      </c>
      <c r="L5675" t="s">
        <v>15687</v>
      </c>
    </row>
    <row r="5676" spans="1:12" x14ac:dyDescent="0.25">
      <c r="A5676" t="s">
        <v>18</v>
      </c>
      <c r="B5676" t="s">
        <v>15687</v>
      </c>
      <c r="C5676" t="s">
        <v>15688</v>
      </c>
      <c r="D5676" t="s">
        <v>20</v>
      </c>
      <c r="E5676" t="s">
        <v>11</v>
      </c>
      <c r="F5676">
        <v>195.82199999999997</v>
      </c>
      <c r="G5676">
        <v>18</v>
      </c>
      <c r="L5676" t="s">
        <v>15689</v>
      </c>
    </row>
    <row r="5677" spans="1:12" x14ac:dyDescent="0.25">
      <c r="A5677" t="s">
        <v>18</v>
      </c>
      <c r="B5677" t="s">
        <v>15689</v>
      </c>
      <c r="C5677" t="s">
        <v>15690</v>
      </c>
      <c r="D5677" t="s">
        <v>20</v>
      </c>
      <c r="E5677" t="s">
        <v>11</v>
      </c>
      <c r="F5677">
        <v>195.82199999999997</v>
      </c>
      <c r="G5677">
        <v>18</v>
      </c>
      <c r="L5677" t="s">
        <v>15691</v>
      </c>
    </row>
    <row r="5678" spans="1:12" x14ac:dyDescent="0.25">
      <c r="A5678" t="s">
        <v>18</v>
      </c>
      <c r="B5678" t="s">
        <v>15691</v>
      </c>
      <c r="C5678" t="s">
        <v>15692</v>
      </c>
      <c r="D5678" t="s">
        <v>20</v>
      </c>
      <c r="E5678" t="s">
        <v>11</v>
      </c>
      <c r="F5678">
        <v>195.82199999999997</v>
      </c>
      <c r="G5678">
        <v>18</v>
      </c>
      <c r="L5678" t="s">
        <v>15693</v>
      </c>
    </row>
    <row r="5679" spans="1:12" x14ac:dyDescent="0.25">
      <c r="A5679" t="s">
        <v>18</v>
      </c>
      <c r="B5679" t="s">
        <v>15693</v>
      </c>
      <c r="C5679" t="s">
        <v>15694</v>
      </c>
      <c r="D5679" t="s">
        <v>20</v>
      </c>
      <c r="E5679" t="s">
        <v>11</v>
      </c>
      <c r="F5679">
        <v>195.82199999999997</v>
      </c>
      <c r="G5679">
        <v>18</v>
      </c>
      <c r="L5679" t="s">
        <v>15695</v>
      </c>
    </row>
    <row r="5680" spans="1:12" x14ac:dyDescent="0.25">
      <c r="A5680" t="s">
        <v>18</v>
      </c>
      <c r="B5680" t="s">
        <v>15695</v>
      </c>
      <c r="C5680" t="s">
        <v>15696</v>
      </c>
      <c r="D5680" t="s">
        <v>20</v>
      </c>
      <c r="E5680" t="s">
        <v>11</v>
      </c>
      <c r="F5680">
        <v>3198.426</v>
      </c>
      <c r="G5680">
        <v>18</v>
      </c>
      <c r="L5680" t="s">
        <v>15697</v>
      </c>
    </row>
    <row r="5681" spans="1:12" x14ac:dyDescent="0.25">
      <c r="A5681" t="s">
        <v>18</v>
      </c>
      <c r="B5681" t="s">
        <v>15697</v>
      </c>
      <c r="C5681" t="s">
        <v>15698</v>
      </c>
      <c r="D5681" t="s">
        <v>20</v>
      </c>
      <c r="E5681" t="s">
        <v>11</v>
      </c>
      <c r="F5681">
        <v>1436.028</v>
      </c>
      <c r="G5681">
        <v>18</v>
      </c>
      <c r="L5681" t="s">
        <v>15699</v>
      </c>
    </row>
    <row r="5682" spans="1:12" x14ac:dyDescent="0.25">
      <c r="A5682" t="s">
        <v>18</v>
      </c>
      <c r="B5682" t="s">
        <v>15699</v>
      </c>
      <c r="C5682" t="s">
        <v>15700</v>
      </c>
      <c r="D5682" t="s">
        <v>20</v>
      </c>
      <c r="E5682" t="s">
        <v>11</v>
      </c>
      <c r="F5682">
        <v>1240.2060000000001</v>
      </c>
      <c r="G5682">
        <v>18</v>
      </c>
      <c r="L5682" t="s">
        <v>15701</v>
      </c>
    </row>
    <row r="5683" spans="1:12" x14ac:dyDescent="0.25">
      <c r="A5683" t="s">
        <v>18</v>
      </c>
      <c r="B5683" t="s">
        <v>15701</v>
      </c>
      <c r="C5683" t="s">
        <v>15702</v>
      </c>
      <c r="D5683" t="s">
        <v>20</v>
      </c>
      <c r="E5683" t="s">
        <v>11</v>
      </c>
      <c r="F5683">
        <v>522.192</v>
      </c>
      <c r="G5683">
        <v>18</v>
      </c>
      <c r="L5683" t="s">
        <v>15703</v>
      </c>
    </row>
    <row r="5684" spans="1:12" x14ac:dyDescent="0.25">
      <c r="A5684" t="s">
        <v>18</v>
      </c>
      <c r="B5684" t="s">
        <v>15703</v>
      </c>
      <c r="C5684" t="s">
        <v>15704</v>
      </c>
      <c r="D5684" t="s">
        <v>20</v>
      </c>
      <c r="E5684" t="s">
        <v>11</v>
      </c>
      <c r="F5684">
        <v>17167.061999999998</v>
      </c>
      <c r="G5684">
        <v>18</v>
      </c>
      <c r="L5684" t="s">
        <v>15705</v>
      </c>
    </row>
    <row r="5685" spans="1:12" x14ac:dyDescent="0.25">
      <c r="A5685" t="s">
        <v>18</v>
      </c>
      <c r="B5685" t="s">
        <v>15705</v>
      </c>
      <c r="C5685" t="s">
        <v>15706</v>
      </c>
      <c r="D5685" t="s">
        <v>20</v>
      </c>
      <c r="E5685" t="s">
        <v>11</v>
      </c>
      <c r="F5685">
        <v>12010.416</v>
      </c>
      <c r="G5685">
        <v>18</v>
      </c>
      <c r="L5685" t="s">
        <v>15707</v>
      </c>
    </row>
    <row r="5686" spans="1:12" x14ac:dyDescent="0.25">
      <c r="A5686" t="s">
        <v>18</v>
      </c>
      <c r="B5686" t="s">
        <v>15707</v>
      </c>
      <c r="C5686" t="s">
        <v>15708</v>
      </c>
      <c r="D5686" t="s">
        <v>20</v>
      </c>
      <c r="E5686" t="s">
        <v>11</v>
      </c>
      <c r="F5686">
        <v>23890.284</v>
      </c>
      <c r="G5686">
        <v>18</v>
      </c>
      <c r="L5686" t="s">
        <v>15709</v>
      </c>
    </row>
    <row r="5687" spans="1:12" x14ac:dyDescent="0.25">
      <c r="A5687" t="s">
        <v>18</v>
      </c>
      <c r="B5687" t="s">
        <v>15709</v>
      </c>
      <c r="C5687" t="s">
        <v>15710</v>
      </c>
      <c r="D5687" t="s">
        <v>20</v>
      </c>
      <c r="E5687" t="s">
        <v>11</v>
      </c>
      <c r="F5687">
        <v>16644.870000000003</v>
      </c>
      <c r="G5687">
        <v>18</v>
      </c>
      <c r="L5687" t="s">
        <v>15711</v>
      </c>
    </row>
    <row r="5688" spans="1:12" x14ac:dyDescent="0.25">
      <c r="A5688" t="s">
        <v>18</v>
      </c>
      <c r="B5688" t="s">
        <v>15711</v>
      </c>
      <c r="C5688" t="s">
        <v>15712</v>
      </c>
      <c r="D5688" t="s">
        <v>20</v>
      </c>
      <c r="E5688" t="s">
        <v>11</v>
      </c>
      <c r="F5688">
        <v>21148.775999999994</v>
      </c>
      <c r="G5688">
        <v>18</v>
      </c>
      <c r="L5688" t="s">
        <v>15713</v>
      </c>
    </row>
    <row r="5689" spans="1:12" x14ac:dyDescent="0.25">
      <c r="A5689" t="s">
        <v>18</v>
      </c>
      <c r="B5689" t="s">
        <v>15713</v>
      </c>
      <c r="C5689" t="s">
        <v>15714</v>
      </c>
      <c r="D5689" t="s">
        <v>20</v>
      </c>
      <c r="E5689" t="s">
        <v>11</v>
      </c>
      <c r="F5689">
        <v>29177.478</v>
      </c>
      <c r="G5689">
        <v>18</v>
      </c>
      <c r="L5689" t="s">
        <v>15715</v>
      </c>
    </row>
    <row r="5690" spans="1:12" x14ac:dyDescent="0.25">
      <c r="A5690" t="s">
        <v>18</v>
      </c>
      <c r="B5690" t="s">
        <v>15715</v>
      </c>
      <c r="C5690" t="s">
        <v>15716</v>
      </c>
      <c r="D5690" t="s">
        <v>20</v>
      </c>
      <c r="E5690" t="s">
        <v>11</v>
      </c>
      <c r="F5690">
        <v>20300.213999999996</v>
      </c>
      <c r="G5690">
        <v>18</v>
      </c>
      <c r="L5690" t="s">
        <v>15717</v>
      </c>
    </row>
    <row r="5691" spans="1:12" x14ac:dyDescent="0.25">
      <c r="A5691" t="s">
        <v>18</v>
      </c>
      <c r="B5691" t="s">
        <v>15717</v>
      </c>
      <c r="C5691" t="s">
        <v>15718</v>
      </c>
      <c r="D5691" t="s">
        <v>20</v>
      </c>
      <c r="E5691" t="s">
        <v>11</v>
      </c>
      <c r="F5691">
        <v>39556.044</v>
      </c>
      <c r="G5691">
        <v>18</v>
      </c>
      <c r="L5691" t="s">
        <v>15719</v>
      </c>
    </row>
    <row r="5692" spans="1:12" x14ac:dyDescent="0.25">
      <c r="A5692" t="s">
        <v>18</v>
      </c>
      <c r="B5692" t="s">
        <v>15719</v>
      </c>
      <c r="C5692" t="s">
        <v>15720</v>
      </c>
      <c r="D5692" t="s">
        <v>20</v>
      </c>
      <c r="E5692" t="s">
        <v>11</v>
      </c>
      <c r="F5692">
        <v>24347.202</v>
      </c>
      <c r="G5692">
        <v>18</v>
      </c>
      <c r="L5692" t="s">
        <v>15721</v>
      </c>
    </row>
    <row r="5693" spans="1:12" x14ac:dyDescent="0.25">
      <c r="A5693" t="s">
        <v>18</v>
      </c>
      <c r="B5693" t="s">
        <v>15721</v>
      </c>
      <c r="C5693" t="s">
        <v>15722</v>
      </c>
      <c r="D5693" t="s">
        <v>20</v>
      </c>
      <c r="E5693" t="s">
        <v>11</v>
      </c>
      <c r="F5693">
        <v>9007.812</v>
      </c>
      <c r="G5693">
        <v>18</v>
      </c>
      <c r="L5693" t="s">
        <v>15723</v>
      </c>
    </row>
    <row r="5694" spans="1:12" x14ac:dyDescent="0.25">
      <c r="A5694" t="s">
        <v>18</v>
      </c>
      <c r="B5694" t="s">
        <v>15723</v>
      </c>
      <c r="C5694" t="s">
        <v>15724</v>
      </c>
      <c r="D5694" t="s">
        <v>20</v>
      </c>
      <c r="E5694" t="s">
        <v>11</v>
      </c>
      <c r="F5694">
        <v>10378.565999999999</v>
      </c>
      <c r="G5694">
        <v>18</v>
      </c>
      <c r="L5694" t="s">
        <v>15725</v>
      </c>
    </row>
    <row r="5695" spans="1:12" x14ac:dyDescent="0.25">
      <c r="A5695" t="s">
        <v>18</v>
      </c>
      <c r="B5695" t="s">
        <v>15725</v>
      </c>
      <c r="C5695" t="s">
        <v>15726</v>
      </c>
      <c r="D5695" t="s">
        <v>20</v>
      </c>
      <c r="E5695" t="s">
        <v>11</v>
      </c>
      <c r="F5695">
        <v>12271.511999999999</v>
      </c>
      <c r="G5695">
        <v>18</v>
      </c>
      <c r="L5695" t="s">
        <v>15727</v>
      </c>
    </row>
    <row r="5696" spans="1:12" x14ac:dyDescent="0.25">
      <c r="A5696" t="s">
        <v>18</v>
      </c>
      <c r="B5696" t="s">
        <v>15727</v>
      </c>
      <c r="C5696" t="s">
        <v>15728</v>
      </c>
      <c r="D5696" t="s">
        <v>20</v>
      </c>
      <c r="E5696" t="s">
        <v>11</v>
      </c>
      <c r="F5696">
        <v>14229.732</v>
      </c>
      <c r="G5696">
        <v>18</v>
      </c>
      <c r="L5696" t="s">
        <v>15729</v>
      </c>
    </row>
    <row r="5697" spans="1:12" x14ac:dyDescent="0.25">
      <c r="A5697" t="s">
        <v>18</v>
      </c>
      <c r="B5697" t="s">
        <v>15729</v>
      </c>
      <c r="C5697" t="s">
        <v>15730</v>
      </c>
      <c r="D5697" t="s">
        <v>20</v>
      </c>
      <c r="E5697" t="s">
        <v>11</v>
      </c>
      <c r="F5697">
        <v>16253.226</v>
      </c>
      <c r="G5697">
        <v>18</v>
      </c>
      <c r="L5697" t="s">
        <v>15731</v>
      </c>
    </row>
    <row r="5698" spans="1:12" x14ac:dyDescent="0.25">
      <c r="A5698" t="s">
        <v>18</v>
      </c>
      <c r="B5698" t="s">
        <v>15731</v>
      </c>
      <c r="C5698" t="s">
        <v>15732</v>
      </c>
      <c r="D5698" t="s">
        <v>20</v>
      </c>
      <c r="E5698" t="s">
        <v>11</v>
      </c>
      <c r="F5698">
        <v>31200.972</v>
      </c>
      <c r="G5698">
        <v>18</v>
      </c>
      <c r="L5698" t="s">
        <v>15733</v>
      </c>
    </row>
    <row r="5699" spans="1:12" x14ac:dyDescent="0.25">
      <c r="A5699" t="s">
        <v>18</v>
      </c>
      <c r="B5699" t="s">
        <v>15733</v>
      </c>
      <c r="C5699" t="s">
        <v>15734</v>
      </c>
      <c r="D5699" t="s">
        <v>20</v>
      </c>
      <c r="E5699" t="s">
        <v>11</v>
      </c>
      <c r="F5699">
        <v>22911.173999999995</v>
      </c>
      <c r="G5699">
        <v>18</v>
      </c>
      <c r="L5699" t="s">
        <v>15735</v>
      </c>
    </row>
    <row r="5700" spans="1:12" x14ac:dyDescent="0.25">
      <c r="A5700" t="s">
        <v>18</v>
      </c>
      <c r="B5700" t="s">
        <v>15735</v>
      </c>
      <c r="C5700" t="s">
        <v>15736</v>
      </c>
      <c r="D5700" t="s">
        <v>20</v>
      </c>
      <c r="E5700" t="s">
        <v>11</v>
      </c>
      <c r="F5700">
        <v>23106.995999999996</v>
      </c>
      <c r="G5700">
        <v>18</v>
      </c>
      <c r="L5700" t="s">
        <v>15737</v>
      </c>
    </row>
    <row r="5701" spans="1:12" x14ac:dyDescent="0.25">
      <c r="A5701" t="s">
        <v>18</v>
      </c>
      <c r="B5701" t="s">
        <v>15737</v>
      </c>
      <c r="C5701" t="s">
        <v>15738</v>
      </c>
      <c r="D5701" t="s">
        <v>20</v>
      </c>
      <c r="E5701" t="s">
        <v>11</v>
      </c>
      <c r="F5701">
        <v>27871.998</v>
      </c>
      <c r="G5701">
        <v>18</v>
      </c>
      <c r="L5701" t="s">
        <v>15739</v>
      </c>
    </row>
    <row r="5702" spans="1:12" x14ac:dyDescent="0.25">
      <c r="A5702" t="s">
        <v>18</v>
      </c>
      <c r="B5702" t="s">
        <v>15739</v>
      </c>
      <c r="C5702" t="s">
        <v>15740</v>
      </c>
      <c r="D5702" t="s">
        <v>20</v>
      </c>
      <c r="E5702" t="s">
        <v>11</v>
      </c>
      <c r="F5702">
        <v>8028.701999999999</v>
      </c>
      <c r="G5702">
        <v>18</v>
      </c>
      <c r="L5702" t="s">
        <v>15741</v>
      </c>
    </row>
    <row r="5703" spans="1:12" x14ac:dyDescent="0.25">
      <c r="A5703" t="s">
        <v>18</v>
      </c>
      <c r="B5703" t="s">
        <v>15741</v>
      </c>
      <c r="C5703" t="s">
        <v>15742</v>
      </c>
      <c r="D5703" t="s">
        <v>20</v>
      </c>
      <c r="E5703" t="s">
        <v>11</v>
      </c>
      <c r="F5703">
        <v>14817.197999999999</v>
      </c>
      <c r="G5703">
        <v>18</v>
      </c>
      <c r="L5703" t="s">
        <v>15743</v>
      </c>
    </row>
    <row r="5704" spans="1:12" x14ac:dyDescent="0.25">
      <c r="A5704" t="s">
        <v>18</v>
      </c>
      <c r="B5704" t="s">
        <v>15743</v>
      </c>
      <c r="C5704" t="s">
        <v>15744</v>
      </c>
      <c r="D5704" t="s">
        <v>20</v>
      </c>
      <c r="E5704" t="s">
        <v>11</v>
      </c>
      <c r="F5704">
        <v>32637</v>
      </c>
      <c r="G5704">
        <v>18</v>
      </c>
      <c r="L5704" t="s">
        <v>15745</v>
      </c>
    </row>
    <row r="5705" spans="1:12" x14ac:dyDescent="0.25">
      <c r="A5705" t="s">
        <v>18</v>
      </c>
      <c r="B5705" t="s">
        <v>15745</v>
      </c>
      <c r="C5705" t="s">
        <v>15746</v>
      </c>
      <c r="D5705" t="s">
        <v>20</v>
      </c>
      <c r="E5705" t="s">
        <v>11</v>
      </c>
      <c r="F5705">
        <v>33877.206</v>
      </c>
      <c r="G5705">
        <v>18</v>
      </c>
      <c r="L5705" t="s">
        <v>15747</v>
      </c>
    </row>
    <row r="5706" spans="1:12" x14ac:dyDescent="0.25">
      <c r="A5706" t="s">
        <v>18</v>
      </c>
      <c r="B5706" t="s">
        <v>15747</v>
      </c>
      <c r="C5706" t="s">
        <v>15748</v>
      </c>
      <c r="D5706" t="s">
        <v>20</v>
      </c>
      <c r="E5706" t="s">
        <v>11</v>
      </c>
      <c r="F5706">
        <v>6005.208</v>
      </c>
      <c r="G5706">
        <v>18</v>
      </c>
      <c r="L5706" t="s">
        <v>15749</v>
      </c>
    </row>
    <row r="5707" spans="1:12" x14ac:dyDescent="0.25">
      <c r="A5707" t="s">
        <v>18</v>
      </c>
      <c r="B5707" t="s">
        <v>15749</v>
      </c>
      <c r="C5707" t="s">
        <v>15750</v>
      </c>
      <c r="D5707" t="s">
        <v>20</v>
      </c>
      <c r="E5707" t="s">
        <v>11</v>
      </c>
      <c r="F5707">
        <v>16057.403999999999</v>
      </c>
      <c r="G5707">
        <v>18</v>
      </c>
      <c r="L5707" t="s">
        <v>15751</v>
      </c>
    </row>
    <row r="5708" spans="1:12" x14ac:dyDescent="0.25">
      <c r="A5708" t="s">
        <v>18</v>
      </c>
      <c r="B5708" t="s">
        <v>15751</v>
      </c>
      <c r="C5708" t="s">
        <v>15752</v>
      </c>
      <c r="D5708" t="s">
        <v>20</v>
      </c>
      <c r="E5708" t="s">
        <v>11</v>
      </c>
      <c r="F5708">
        <v>25848.504</v>
      </c>
      <c r="G5708">
        <v>18</v>
      </c>
      <c r="L5708" t="s">
        <v>15753</v>
      </c>
    </row>
    <row r="5709" spans="1:12" x14ac:dyDescent="0.25">
      <c r="A5709" t="s">
        <v>18</v>
      </c>
      <c r="B5709" t="s">
        <v>15753</v>
      </c>
      <c r="C5709" t="s">
        <v>15754</v>
      </c>
      <c r="D5709" t="s">
        <v>20</v>
      </c>
      <c r="E5709" t="s">
        <v>11</v>
      </c>
      <c r="F5709">
        <v>9856.374</v>
      </c>
      <c r="G5709">
        <v>18</v>
      </c>
      <c r="L5709" t="s">
        <v>15755</v>
      </c>
    </row>
    <row r="5710" spans="1:12" x14ac:dyDescent="0.25">
      <c r="A5710" t="s">
        <v>18</v>
      </c>
      <c r="B5710" t="s">
        <v>15755</v>
      </c>
      <c r="C5710" t="s">
        <v>15756</v>
      </c>
      <c r="D5710" t="s">
        <v>20</v>
      </c>
      <c r="E5710" t="s">
        <v>11</v>
      </c>
      <c r="F5710">
        <v>13511.717999999999</v>
      </c>
      <c r="G5710">
        <v>18</v>
      </c>
      <c r="L5710" t="s">
        <v>15757</v>
      </c>
    </row>
    <row r="5711" spans="1:12" x14ac:dyDescent="0.25">
      <c r="A5711" t="s">
        <v>18</v>
      </c>
      <c r="B5711" t="s">
        <v>15757</v>
      </c>
      <c r="C5711" t="s">
        <v>15758</v>
      </c>
      <c r="D5711" t="s">
        <v>20</v>
      </c>
      <c r="E5711" t="s">
        <v>11</v>
      </c>
      <c r="F5711">
        <v>18146.172</v>
      </c>
      <c r="G5711">
        <v>18</v>
      </c>
      <c r="L5711" t="s">
        <v>15759</v>
      </c>
    </row>
    <row r="5712" spans="1:12" x14ac:dyDescent="0.25">
      <c r="A5712" t="s">
        <v>18</v>
      </c>
      <c r="B5712" t="s">
        <v>15759</v>
      </c>
      <c r="C5712" t="s">
        <v>15760</v>
      </c>
      <c r="D5712" t="s">
        <v>20</v>
      </c>
      <c r="E5712" t="s">
        <v>11</v>
      </c>
      <c r="F5712">
        <v>16187.952</v>
      </c>
      <c r="G5712">
        <v>18</v>
      </c>
      <c r="L5712" t="s">
        <v>15761</v>
      </c>
    </row>
    <row r="5713" spans="1:12" x14ac:dyDescent="0.25">
      <c r="A5713" t="s">
        <v>18</v>
      </c>
      <c r="B5713" t="s">
        <v>15761</v>
      </c>
      <c r="C5713" t="s">
        <v>15762</v>
      </c>
      <c r="D5713" t="s">
        <v>20</v>
      </c>
      <c r="E5713" t="s">
        <v>11</v>
      </c>
      <c r="F5713">
        <v>16253.226</v>
      </c>
      <c r="G5713">
        <v>18</v>
      </c>
      <c r="L5713" t="s">
        <v>15763</v>
      </c>
    </row>
    <row r="5714" spans="1:12" x14ac:dyDescent="0.25">
      <c r="A5714" t="s">
        <v>18</v>
      </c>
      <c r="B5714" t="s">
        <v>15763</v>
      </c>
      <c r="C5714" t="s">
        <v>15764</v>
      </c>
      <c r="D5714" t="s">
        <v>20</v>
      </c>
      <c r="E5714" t="s">
        <v>11</v>
      </c>
      <c r="F5714">
        <v>18276.72</v>
      </c>
      <c r="G5714">
        <v>18</v>
      </c>
      <c r="L5714" t="s">
        <v>15765</v>
      </c>
    </row>
    <row r="5715" spans="1:12" x14ac:dyDescent="0.25">
      <c r="A5715" t="s">
        <v>18</v>
      </c>
      <c r="B5715" t="s">
        <v>15765</v>
      </c>
      <c r="C5715" t="s">
        <v>15766</v>
      </c>
      <c r="D5715" t="s">
        <v>20</v>
      </c>
      <c r="E5715" t="s">
        <v>11</v>
      </c>
      <c r="F5715">
        <v>20300.213999999996</v>
      </c>
      <c r="G5715">
        <v>18</v>
      </c>
      <c r="L5715" t="s">
        <v>15767</v>
      </c>
    </row>
    <row r="5716" spans="1:12" x14ac:dyDescent="0.25">
      <c r="A5716" t="s">
        <v>18</v>
      </c>
      <c r="B5716" t="s">
        <v>15767</v>
      </c>
      <c r="C5716" t="s">
        <v>15768</v>
      </c>
      <c r="D5716" t="s">
        <v>20</v>
      </c>
      <c r="E5716" t="s">
        <v>11</v>
      </c>
      <c r="F5716">
        <v>30417.683999999997</v>
      </c>
      <c r="G5716">
        <v>18</v>
      </c>
      <c r="L5716" t="s">
        <v>15769</v>
      </c>
    </row>
    <row r="5717" spans="1:12" x14ac:dyDescent="0.25">
      <c r="A5717" t="s">
        <v>18</v>
      </c>
      <c r="B5717" t="s">
        <v>15769</v>
      </c>
      <c r="C5717" t="s">
        <v>15770</v>
      </c>
      <c r="D5717" t="s">
        <v>20</v>
      </c>
      <c r="E5717" t="s">
        <v>11</v>
      </c>
      <c r="F5717">
        <v>36227.07</v>
      </c>
      <c r="G5717">
        <v>18</v>
      </c>
      <c r="L5717" t="s">
        <v>15771</v>
      </c>
    </row>
    <row r="5718" spans="1:12" x14ac:dyDescent="0.25">
      <c r="A5718" t="s">
        <v>18</v>
      </c>
      <c r="B5718" t="s">
        <v>15771</v>
      </c>
      <c r="C5718" t="s">
        <v>15772</v>
      </c>
      <c r="D5718" t="s">
        <v>20</v>
      </c>
      <c r="E5718" t="s">
        <v>11</v>
      </c>
      <c r="F5718">
        <v>31788.438000000002</v>
      </c>
      <c r="G5718">
        <v>18</v>
      </c>
      <c r="L5718" t="s">
        <v>15773</v>
      </c>
    </row>
    <row r="5719" spans="1:12" x14ac:dyDescent="0.25">
      <c r="A5719" t="s">
        <v>18</v>
      </c>
      <c r="B5719" t="s">
        <v>15773</v>
      </c>
      <c r="C5719" t="s">
        <v>15774</v>
      </c>
      <c r="D5719" t="s">
        <v>20</v>
      </c>
      <c r="E5719" t="s">
        <v>11</v>
      </c>
      <c r="F5719">
        <v>7375.962</v>
      </c>
      <c r="G5719">
        <v>18</v>
      </c>
      <c r="L5719" t="s">
        <v>15775</v>
      </c>
    </row>
    <row r="5720" spans="1:12" x14ac:dyDescent="0.25">
      <c r="A5720" t="s">
        <v>18</v>
      </c>
      <c r="B5720" t="s">
        <v>15775</v>
      </c>
      <c r="C5720" t="s">
        <v>15776</v>
      </c>
      <c r="D5720" t="s">
        <v>20</v>
      </c>
      <c r="E5720" t="s">
        <v>11</v>
      </c>
      <c r="F5720">
        <v>9138.36</v>
      </c>
      <c r="G5720">
        <v>18</v>
      </c>
      <c r="L5720" t="s">
        <v>15777</v>
      </c>
    </row>
    <row r="5721" spans="1:12" x14ac:dyDescent="0.25">
      <c r="A5721" t="s">
        <v>18</v>
      </c>
      <c r="B5721" t="s">
        <v>15777</v>
      </c>
      <c r="C5721" t="s">
        <v>15778</v>
      </c>
      <c r="D5721" t="s">
        <v>20</v>
      </c>
      <c r="E5721" t="s">
        <v>11</v>
      </c>
      <c r="F5721">
        <v>12728.429999999998</v>
      </c>
      <c r="G5721">
        <v>18</v>
      </c>
      <c r="L5721" t="s">
        <v>15779</v>
      </c>
    </row>
    <row r="5722" spans="1:12" x14ac:dyDescent="0.25">
      <c r="A5722" t="s">
        <v>18</v>
      </c>
      <c r="B5722" t="s">
        <v>15779</v>
      </c>
      <c r="C5722" t="s">
        <v>15780</v>
      </c>
      <c r="D5722" t="s">
        <v>20</v>
      </c>
      <c r="E5722" t="s">
        <v>11</v>
      </c>
      <c r="F5722">
        <v>12728.429999999998</v>
      </c>
      <c r="G5722">
        <v>18</v>
      </c>
      <c r="L5722" t="s">
        <v>15781</v>
      </c>
    </row>
    <row r="5723" spans="1:12" x14ac:dyDescent="0.25">
      <c r="A5723" t="s">
        <v>18</v>
      </c>
      <c r="B5723" t="s">
        <v>15781</v>
      </c>
      <c r="C5723" t="s">
        <v>15782</v>
      </c>
      <c r="D5723" t="s">
        <v>20</v>
      </c>
      <c r="E5723" t="s">
        <v>11</v>
      </c>
      <c r="F5723">
        <v>14882.471999999998</v>
      </c>
      <c r="G5723">
        <v>18</v>
      </c>
      <c r="L5723" t="s">
        <v>15783</v>
      </c>
    </row>
    <row r="5724" spans="1:12" x14ac:dyDescent="0.25">
      <c r="A5724" t="s">
        <v>18</v>
      </c>
      <c r="B5724" t="s">
        <v>15783</v>
      </c>
      <c r="C5724" t="s">
        <v>15784</v>
      </c>
      <c r="D5724" t="s">
        <v>20</v>
      </c>
      <c r="E5724" t="s">
        <v>11</v>
      </c>
      <c r="F5724">
        <v>16383.774000000001</v>
      </c>
      <c r="G5724">
        <v>18</v>
      </c>
      <c r="L5724" t="s">
        <v>15785</v>
      </c>
    </row>
    <row r="5725" spans="1:12" x14ac:dyDescent="0.25">
      <c r="A5725" t="s">
        <v>18</v>
      </c>
      <c r="B5725" t="s">
        <v>15785</v>
      </c>
      <c r="C5725" t="s">
        <v>15786</v>
      </c>
      <c r="D5725" t="s">
        <v>20</v>
      </c>
      <c r="E5725" t="s">
        <v>11</v>
      </c>
      <c r="F5725">
        <v>18211.446</v>
      </c>
      <c r="G5725">
        <v>18</v>
      </c>
      <c r="L5725" t="s">
        <v>15787</v>
      </c>
    </row>
    <row r="5726" spans="1:12" x14ac:dyDescent="0.25">
      <c r="A5726" t="s">
        <v>18</v>
      </c>
      <c r="B5726" t="s">
        <v>15787</v>
      </c>
      <c r="C5726" t="s">
        <v>15788</v>
      </c>
      <c r="D5726" t="s">
        <v>20</v>
      </c>
      <c r="E5726" t="s">
        <v>11</v>
      </c>
      <c r="F5726">
        <v>11749.320000000002</v>
      </c>
      <c r="G5726">
        <v>18</v>
      </c>
      <c r="L5726" t="s">
        <v>15789</v>
      </c>
    </row>
    <row r="5727" spans="1:12" x14ac:dyDescent="0.25">
      <c r="A5727" t="s">
        <v>18</v>
      </c>
      <c r="B5727" t="s">
        <v>15789</v>
      </c>
      <c r="C5727" t="s">
        <v>15790</v>
      </c>
      <c r="D5727" t="s">
        <v>20</v>
      </c>
      <c r="E5727" t="s">
        <v>11</v>
      </c>
      <c r="F5727">
        <v>12140.964</v>
      </c>
      <c r="G5727">
        <v>18</v>
      </c>
      <c r="L5727" t="s">
        <v>15791</v>
      </c>
    </row>
    <row r="5728" spans="1:12" x14ac:dyDescent="0.25">
      <c r="A5728" t="s">
        <v>18</v>
      </c>
      <c r="B5728" t="s">
        <v>15791</v>
      </c>
      <c r="C5728" t="s">
        <v>15792</v>
      </c>
      <c r="D5728" t="s">
        <v>20</v>
      </c>
      <c r="E5728" t="s">
        <v>11</v>
      </c>
      <c r="F5728">
        <v>33746.657999999996</v>
      </c>
      <c r="G5728">
        <v>18</v>
      </c>
      <c r="L5728" t="s">
        <v>15793</v>
      </c>
    </row>
    <row r="5729" spans="1:12" x14ac:dyDescent="0.25">
      <c r="A5729" t="s">
        <v>18</v>
      </c>
      <c r="B5729" t="s">
        <v>15793</v>
      </c>
      <c r="C5729" t="s">
        <v>15794</v>
      </c>
      <c r="D5729" t="s">
        <v>20</v>
      </c>
      <c r="E5729" t="s">
        <v>11</v>
      </c>
      <c r="F5729">
        <v>79569.006</v>
      </c>
      <c r="G5729">
        <v>18</v>
      </c>
      <c r="L5729" t="s">
        <v>15795</v>
      </c>
    </row>
    <row r="5730" spans="1:12" x14ac:dyDescent="0.25">
      <c r="A5730" t="s">
        <v>18</v>
      </c>
      <c r="B5730" t="s">
        <v>15795</v>
      </c>
      <c r="C5730" t="s">
        <v>15796</v>
      </c>
      <c r="D5730" t="s">
        <v>20</v>
      </c>
      <c r="E5730" t="s">
        <v>11</v>
      </c>
      <c r="F5730">
        <v>58159.13399999999</v>
      </c>
      <c r="G5730">
        <v>18</v>
      </c>
      <c r="L5730" t="s">
        <v>15797</v>
      </c>
    </row>
    <row r="5731" spans="1:12" x14ac:dyDescent="0.25">
      <c r="A5731" t="s">
        <v>18</v>
      </c>
      <c r="B5731" t="s">
        <v>15797</v>
      </c>
      <c r="C5731" t="s">
        <v>15798</v>
      </c>
      <c r="D5731" t="s">
        <v>20</v>
      </c>
      <c r="E5731" t="s">
        <v>11</v>
      </c>
      <c r="F5731">
        <v>28328.915999999997</v>
      </c>
      <c r="G5731">
        <v>18</v>
      </c>
      <c r="L5731" t="s">
        <v>15799</v>
      </c>
    </row>
    <row r="5732" spans="1:12" x14ac:dyDescent="0.25">
      <c r="A5732" t="s">
        <v>18</v>
      </c>
      <c r="B5732" t="s">
        <v>15799</v>
      </c>
      <c r="C5732" t="s">
        <v>15800</v>
      </c>
      <c r="D5732" t="s">
        <v>20</v>
      </c>
      <c r="E5732" t="s">
        <v>11</v>
      </c>
      <c r="F5732">
        <v>18015.624</v>
      </c>
      <c r="G5732">
        <v>18</v>
      </c>
      <c r="L5732" t="s">
        <v>15801</v>
      </c>
    </row>
    <row r="5733" spans="1:12" x14ac:dyDescent="0.25">
      <c r="A5733" t="s">
        <v>18</v>
      </c>
      <c r="B5733" t="s">
        <v>15801</v>
      </c>
      <c r="C5733" t="s">
        <v>15802</v>
      </c>
      <c r="D5733" t="s">
        <v>20</v>
      </c>
      <c r="E5733" t="s">
        <v>11</v>
      </c>
      <c r="F5733">
        <v>25783.23</v>
      </c>
      <c r="G5733">
        <v>18</v>
      </c>
      <c r="L5733" t="s">
        <v>15803</v>
      </c>
    </row>
    <row r="5734" spans="1:12" x14ac:dyDescent="0.25">
      <c r="A5734" t="s">
        <v>18</v>
      </c>
      <c r="B5734" t="s">
        <v>15803</v>
      </c>
      <c r="C5734" t="s">
        <v>15804</v>
      </c>
      <c r="D5734" t="s">
        <v>20</v>
      </c>
      <c r="E5734" t="s">
        <v>11</v>
      </c>
      <c r="F5734">
        <v>38054.742</v>
      </c>
      <c r="G5734">
        <v>18</v>
      </c>
      <c r="L5734" t="s">
        <v>15805</v>
      </c>
    </row>
    <row r="5735" spans="1:12" x14ac:dyDescent="0.25">
      <c r="A5735" t="s">
        <v>18</v>
      </c>
      <c r="B5735" t="s">
        <v>15805</v>
      </c>
      <c r="C5735" t="s">
        <v>15806</v>
      </c>
      <c r="D5735" t="s">
        <v>20</v>
      </c>
      <c r="E5735" t="s">
        <v>11</v>
      </c>
      <c r="F5735">
        <v>44321.046</v>
      </c>
      <c r="G5735">
        <v>18</v>
      </c>
      <c r="L5735" t="s">
        <v>15807</v>
      </c>
    </row>
    <row r="5736" spans="1:12" x14ac:dyDescent="0.25">
      <c r="A5736" t="s">
        <v>18</v>
      </c>
      <c r="B5736" t="s">
        <v>15807</v>
      </c>
      <c r="C5736" t="s">
        <v>15808</v>
      </c>
      <c r="D5736" t="s">
        <v>20</v>
      </c>
      <c r="E5736" t="s">
        <v>11</v>
      </c>
      <c r="F5736">
        <v>13576.991999999998</v>
      </c>
      <c r="G5736">
        <v>18</v>
      </c>
      <c r="L5736" t="s">
        <v>15809</v>
      </c>
    </row>
    <row r="5737" spans="1:12" x14ac:dyDescent="0.25">
      <c r="A5737" t="s">
        <v>18</v>
      </c>
      <c r="B5737" t="s">
        <v>15809</v>
      </c>
      <c r="C5737" t="s">
        <v>15810</v>
      </c>
      <c r="D5737" t="s">
        <v>20</v>
      </c>
      <c r="E5737" t="s">
        <v>11</v>
      </c>
      <c r="F5737">
        <v>28394.190000000002</v>
      </c>
      <c r="G5737">
        <v>18</v>
      </c>
      <c r="L5737" t="s">
        <v>15811</v>
      </c>
    </row>
    <row r="5738" spans="1:12" x14ac:dyDescent="0.25">
      <c r="A5738" t="s">
        <v>18</v>
      </c>
      <c r="B5738" t="s">
        <v>15811</v>
      </c>
      <c r="C5738" t="s">
        <v>15812</v>
      </c>
      <c r="D5738" t="s">
        <v>20</v>
      </c>
      <c r="E5738" t="s">
        <v>11</v>
      </c>
      <c r="F5738">
        <v>47454.19799999999</v>
      </c>
      <c r="G5738">
        <v>18</v>
      </c>
      <c r="L5738" t="s">
        <v>15813</v>
      </c>
    </row>
    <row r="5739" spans="1:12" x14ac:dyDescent="0.25">
      <c r="A5739" t="s">
        <v>18</v>
      </c>
      <c r="B5739" t="s">
        <v>15813</v>
      </c>
      <c r="C5739" t="s">
        <v>15814</v>
      </c>
      <c r="D5739" t="s">
        <v>20</v>
      </c>
      <c r="E5739" t="s">
        <v>11</v>
      </c>
      <c r="F5739">
        <v>55287.077999999994</v>
      </c>
      <c r="G5739">
        <v>18</v>
      </c>
      <c r="L5739" t="s">
        <v>15815</v>
      </c>
    </row>
    <row r="5740" spans="1:12" x14ac:dyDescent="0.25">
      <c r="A5740" t="s">
        <v>18</v>
      </c>
      <c r="B5740" t="s">
        <v>15815</v>
      </c>
      <c r="C5740" t="s">
        <v>15816</v>
      </c>
      <c r="D5740" t="s">
        <v>20</v>
      </c>
      <c r="E5740" t="s">
        <v>11</v>
      </c>
      <c r="F5740">
        <v>12402.060000000001</v>
      </c>
      <c r="G5740">
        <v>18</v>
      </c>
      <c r="L5740" t="s">
        <v>15817</v>
      </c>
    </row>
    <row r="5741" spans="1:12" x14ac:dyDescent="0.25">
      <c r="A5741" t="s">
        <v>18</v>
      </c>
      <c r="B5741" t="s">
        <v>15817</v>
      </c>
      <c r="C5741" t="s">
        <v>15818</v>
      </c>
      <c r="D5741" t="s">
        <v>20</v>
      </c>
      <c r="E5741" t="s">
        <v>11</v>
      </c>
      <c r="F5741">
        <v>15013.02</v>
      </c>
      <c r="G5741">
        <v>18</v>
      </c>
      <c r="L5741" t="s">
        <v>15819</v>
      </c>
    </row>
    <row r="5742" spans="1:12" x14ac:dyDescent="0.25">
      <c r="A5742" t="s">
        <v>18</v>
      </c>
      <c r="B5742" t="s">
        <v>15819</v>
      </c>
      <c r="C5742" t="s">
        <v>15820</v>
      </c>
      <c r="D5742" t="s">
        <v>20</v>
      </c>
      <c r="E5742" t="s">
        <v>11</v>
      </c>
      <c r="F5742">
        <v>14099.184000000001</v>
      </c>
      <c r="G5742">
        <v>18</v>
      </c>
      <c r="L5742" t="s">
        <v>15821</v>
      </c>
    </row>
    <row r="5743" spans="1:12" x14ac:dyDescent="0.25">
      <c r="A5743" t="s">
        <v>18</v>
      </c>
      <c r="B5743" t="s">
        <v>15821</v>
      </c>
      <c r="C5743" t="s">
        <v>15822</v>
      </c>
      <c r="D5743" t="s">
        <v>20</v>
      </c>
      <c r="E5743" t="s">
        <v>11</v>
      </c>
      <c r="F5743">
        <v>14099.184000000001</v>
      </c>
      <c r="G5743">
        <v>18</v>
      </c>
      <c r="L5743" t="s">
        <v>15823</v>
      </c>
    </row>
    <row r="5744" spans="1:12" x14ac:dyDescent="0.25">
      <c r="A5744" t="s">
        <v>18</v>
      </c>
      <c r="B5744" t="s">
        <v>15823</v>
      </c>
      <c r="C5744" t="s">
        <v>15824</v>
      </c>
      <c r="D5744" t="s">
        <v>20</v>
      </c>
      <c r="E5744" t="s">
        <v>11</v>
      </c>
      <c r="F5744">
        <v>16710.144</v>
      </c>
      <c r="G5744">
        <v>18</v>
      </c>
      <c r="L5744" t="s">
        <v>15825</v>
      </c>
    </row>
    <row r="5745" spans="1:12" x14ac:dyDescent="0.25">
      <c r="A5745" t="s">
        <v>18</v>
      </c>
      <c r="B5745" t="s">
        <v>15825</v>
      </c>
      <c r="C5745" t="s">
        <v>15826</v>
      </c>
      <c r="D5745" t="s">
        <v>20</v>
      </c>
      <c r="E5745" t="s">
        <v>11</v>
      </c>
      <c r="F5745">
        <v>12336.786</v>
      </c>
      <c r="G5745">
        <v>18</v>
      </c>
      <c r="L5745" t="s">
        <v>15827</v>
      </c>
    </row>
    <row r="5746" spans="1:12" x14ac:dyDescent="0.25">
      <c r="A5746" t="s">
        <v>18</v>
      </c>
      <c r="B5746" t="s">
        <v>15827</v>
      </c>
      <c r="C5746" t="s">
        <v>15828</v>
      </c>
      <c r="D5746" t="s">
        <v>20</v>
      </c>
      <c r="E5746" t="s">
        <v>11</v>
      </c>
      <c r="F5746">
        <v>12663.155999999999</v>
      </c>
      <c r="G5746">
        <v>18</v>
      </c>
      <c r="L5746" t="s">
        <v>15829</v>
      </c>
    </row>
    <row r="5747" spans="1:12" x14ac:dyDescent="0.25">
      <c r="A5747" t="s">
        <v>18</v>
      </c>
      <c r="B5747" t="s">
        <v>15829</v>
      </c>
      <c r="C5747" t="s">
        <v>15830</v>
      </c>
      <c r="D5747" t="s">
        <v>20</v>
      </c>
      <c r="E5747" t="s">
        <v>11</v>
      </c>
      <c r="F5747">
        <v>8485.619999999999</v>
      </c>
      <c r="G5747">
        <v>18</v>
      </c>
      <c r="L5747" t="s">
        <v>15831</v>
      </c>
    </row>
    <row r="5748" spans="1:12" x14ac:dyDescent="0.25">
      <c r="A5748" t="s">
        <v>18</v>
      </c>
      <c r="B5748" t="s">
        <v>15831</v>
      </c>
      <c r="C5748" t="s">
        <v>15832</v>
      </c>
      <c r="D5748" t="s">
        <v>20</v>
      </c>
      <c r="E5748" t="s">
        <v>11</v>
      </c>
      <c r="F5748">
        <v>36945.083999999995</v>
      </c>
      <c r="G5748">
        <v>18</v>
      </c>
      <c r="L5748" t="s">
        <v>15833</v>
      </c>
    </row>
    <row r="5749" spans="1:12" x14ac:dyDescent="0.25">
      <c r="A5749" t="s">
        <v>18</v>
      </c>
      <c r="B5749" t="s">
        <v>15833</v>
      </c>
      <c r="C5749" t="s">
        <v>15834</v>
      </c>
      <c r="D5749" t="s">
        <v>20</v>
      </c>
      <c r="E5749" t="s">
        <v>11</v>
      </c>
      <c r="F5749">
        <v>34203.575999999994</v>
      </c>
      <c r="G5749">
        <v>18</v>
      </c>
      <c r="L5749" t="s">
        <v>15835</v>
      </c>
    </row>
    <row r="5750" spans="1:12" x14ac:dyDescent="0.25">
      <c r="A5750" t="s">
        <v>18</v>
      </c>
      <c r="B5750" t="s">
        <v>15835</v>
      </c>
      <c r="C5750" t="s">
        <v>15836</v>
      </c>
      <c r="D5750" t="s">
        <v>20</v>
      </c>
      <c r="E5750" t="s">
        <v>11</v>
      </c>
      <c r="F5750">
        <v>34725.768000000004</v>
      </c>
      <c r="G5750">
        <v>18</v>
      </c>
      <c r="L5750" t="s">
        <v>15837</v>
      </c>
    </row>
    <row r="5751" spans="1:12" x14ac:dyDescent="0.25">
      <c r="A5751" t="s">
        <v>18</v>
      </c>
      <c r="B5751" t="s">
        <v>15837</v>
      </c>
      <c r="C5751" t="s">
        <v>15838</v>
      </c>
      <c r="D5751" t="s">
        <v>20</v>
      </c>
      <c r="E5751" t="s">
        <v>11</v>
      </c>
      <c r="F5751">
        <v>34725.768000000004</v>
      </c>
      <c r="G5751">
        <v>18</v>
      </c>
      <c r="L5751" t="s">
        <v>15839</v>
      </c>
    </row>
    <row r="5752" spans="1:12" x14ac:dyDescent="0.25">
      <c r="A5752" t="s">
        <v>18</v>
      </c>
      <c r="B5752" t="s">
        <v>15839</v>
      </c>
      <c r="C5752" t="s">
        <v>15840</v>
      </c>
      <c r="D5752" t="s">
        <v>20</v>
      </c>
      <c r="E5752" t="s">
        <v>11</v>
      </c>
      <c r="F5752">
        <v>23498.640000000003</v>
      </c>
      <c r="G5752">
        <v>18</v>
      </c>
      <c r="L5752" t="s">
        <v>15841</v>
      </c>
    </row>
    <row r="5753" spans="1:12" x14ac:dyDescent="0.25">
      <c r="A5753" t="s">
        <v>18</v>
      </c>
      <c r="B5753" t="s">
        <v>15841</v>
      </c>
      <c r="C5753" t="s">
        <v>15842</v>
      </c>
      <c r="D5753" t="s">
        <v>20</v>
      </c>
      <c r="E5753" t="s">
        <v>11</v>
      </c>
      <c r="F5753">
        <v>18276.72</v>
      </c>
      <c r="G5753">
        <v>18</v>
      </c>
      <c r="L5753" t="s">
        <v>15843</v>
      </c>
    </row>
    <row r="5754" spans="1:12" x14ac:dyDescent="0.25">
      <c r="A5754" t="s">
        <v>18</v>
      </c>
      <c r="B5754" t="s">
        <v>15843</v>
      </c>
      <c r="C5754" t="s">
        <v>15844</v>
      </c>
      <c r="D5754" t="s">
        <v>20</v>
      </c>
      <c r="E5754" t="s">
        <v>11</v>
      </c>
      <c r="F5754">
        <v>11227.127999999999</v>
      </c>
      <c r="G5754">
        <v>18</v>
      </c>
      <c r="L5754" t="s">
        <v>15845</v>
      </c>
    </row>
    <row r="5755" spans="1:12" x14ac:dyDescent="0.25">
      <c r="A5755" t="s">
        <v>18</v>
      </c>
      <c r="B5755" t="s">
        <v>15845</v>
      </c>
      <c r="C5755" t="s">
        <v>15846</v>
      </c>
      <c r="D5755" t="s">
        <v>20</v>
      </c>
      <c r="E5755" t="s">
        <v>11</v>
      </c>
      <c r="F5755">
        <v>12597.882</v>
      </c>
      <c r="G5755">
        <v>18</v>
      </c>
      <c r="L5755" t="s">
        <v>15847</v>
      </c>
    </row>
    <row r="5756" spans="1:12" x14ac:dyDescent="0.25">
      <c r="A5756" t="s">
        <v>18</v>
      </c>
      <c r="B5756" t="s">
        <v>15847</v>
      </c>
      <c r="C5756" t="s">
        <v>15848</v>
      </c>
      <c r="D5756" t="s">
        <v>20</v>
      </c>
      <c r="E5756" t="s">
        <v>11</v>
      </c>
      <c r="F5756">
        <v>14164.457999999999</v>
      </c>
      <c r="G5756">
        <v>18</v>
      </c>
      <c r="L5756" t="s">
        <v>15849</v>
      </c>
    </row>
    <row r="5757" spans="1:12" x14ac:dyDescent="0.25">
      <c r="A5757" t="s">
        <v>18</v>
      </c>
      <c r="B5757" t="s">
        <v>15849</v>
      </c>
      <c r="C5757" t="s">
        <v>15850</v>
      </c>
      <c r="D5757" t="s">
        <v>20</v>
      </c>
      <c r="E5757" t="s">
        <v>11</v>
      </c>
      <c r="F5757">
        <v>14164.457999999999</v>
      </c>
      <c r="G5757">
        <v>18</v>
      </c>
      <c r="L5757" t="s">
        <v>15851</v>
      </c>
    </row>
    <row r="5758" spans="1:12" x14ac:dyDescent="0.25">
      <c r="A5758" t="s">
        <v>18</v>
      </c>
      <c r="B5758" t="s">
        <v>15851</v>
      </c>
      <c r="C5758" t="s">
        <v>15852</v>
      </c>
      <c r="D5758" t="s">
        <v>20</v>
      </c>
      <c r="E5758" t="s">
        <v>11</v>
      </c>
      <c r="F5758">
        <v>6723.222000000001</v>
      </c>
      <c r="G5758">
        <v>18</v>
      </c>
      <c r="L5758" t="s">
        <v>15853</v>
      </c>
    </row>
    <row r="5759" spans="1:12" x14ac:dyDescent="0.25">
      <c r="A5759" t="s">
        <v>18</v>
      </c>
      <c r="B5759" t="s">
        <v>15853</v>
      </c>
      <c r="C5759" t="s">
        <v>15854</v>
      </c>
      <c r="D5759" t="s">
        <v>20</v>
      </c>
      <c r="E5759" t="s">
        <v>11</v>
      </c>
      <c r="F5759">
        <v>6592.673999999999</v>
      </c>
      <c r="G5759">
        <v>18</v>
      </c>
      <c r="L5759" t="s">
        <v>15855</v>
      </c>
    </row>
    <row r="5760" spans="1:12" x14ac:dyDescent="0.25">
      <c r="A5760" t="s">
        <v>18</v>
      </c>
      <c r="B5760" t="s">
        <v>15855</v>
      </c>
      <c r="C5760" t="s">
        <v>15856</v>
      </c>
      <c r="D5760" t="s">
        <v>20</v>
      </c>
      <c r="E5760" t="s">
        <v>11</v>
      </c>
      <c r="F5760">
        <v>19778.022</v>
      </c>
      <c r="G5760">
        <v>18</v>
      </c>
      <c r="L5760" t="s">
        <v>15857</v>
      </c>
    </row>
    <row r="5761" spans="1:12" x14ac:dyDescent="0.25">
      <c r="A5761" t="s">
        <v>18</v>
      </c>
      <c r="B5761" t="s">
        <v>15857</v>
      </c>
      <c r="C5761" t="s">
        <v>15858</v>
      </c>
      <c r="D5761" t="s">
        <v>20</v>
      </c>
      <c r="E5761" t="s">
        <v>11</v>
      </c>
      <c r="F5761">
        <v>2284.59</v>
      </c>
      <c r="G5761">
        <v>18</v>
      </c>
      <c r="L5761" t="s">
        <v>15859</v>
      </c>
    </row>
    <row r="5762" spans="1:12" x14ac:dyDescent="0.25">
      <c r="A5762" t="s">
        <v>18</v>
      </c>
      <c r="B5762" t="s">
        <v>15859</v>
      </c>
      <c r="C5762" t="s">
        <v>15860</v>
      </c>
      <c r="D5762" t="s">
        <v>20</v>
      </c>
      <c r="E5762" t="s">
        <v>11</v>
      </c>
      <c r="F5762">
        <v>1958.22</v>
      </c>
      <c r="G5762">
        <v>18</v>
      </c>
      <c r="L5762" t="s">
        <v>15861</v>
      </c>
    </row>
    <row r="5763" spans="1:12" x14ac:dyDescent="0.25">
      <c r="A5763" t="s">
        <v>18</v>
      </c>
      <c r="B5763" t="s">
        <v>15861</v>
      </c>
      <c r="C5763" t="s">
        <v>15862</v>
      </c>
      <c r="D5763" t="s">
        <v>20</v>
      </c>
      <c r="E5763" t="s">
        <v>11</v>
      </c>
      <c r="F5763">
        <v>783.2879999999999</v>
      </c>
      <c r="G5763">
        <v>18</v>
      </c>
      <c r="L5763" t="s">
        <v>15863</v>
      </c>
    </row>
    <row r="5764" spans="1:12" x14ac:dyDescent="0.25">
      <c r="A5764" t="s">
        <v>18</v>
      </c>
      <c r="B5764" t="s">
        <v>15863</v>
      </c>
      <c r="C5764" t="s">
        <v>15864</v>
      </c>
      <c r="D5764" t="s">
        <v>20</v>
      </c>
      <c r="E5764" t="s">
        <v>11</v>
      </c>
      <c r="F5764">
        <v>652.74</v>
      </c>
      <c r="G5764">
        <v>18</v>
      </c>
      <c r="L5764" t="s">
        <v>15865</v>
      </c>
    </row>
    <row r="5765" spans="1:12" x14ac:dyDescent="0.25">
      <c r="A5765" t="s">
        <v>18</v>
      </c>
      <c r="B5765" t="s">
        <v>15865</v>
      </c>
      <c r="C5765" t="s">
        <v>15866</v>
      </c>
      <c r="D5765" t="s">
        <v>20</v>
      </c>
      <c r="E5765" t="s">
        <v>11</v>
      </c>
      <c r="F5765">
        <v>14947.746</v>
      </c>
      <c r="G5765">
        <v>18</v>
      </c>
      <c r="L5765" t="s">
        <v>15867</v>
      </c>
    </row>
    <row r="5766" spans="1:12" x14ac:dyDescent="0.25">
      <c r="A5766" t="s">
        <v>18</v>
      </c>
      <c r="B5766" t="s">
        <v>15867</v>
      </c>
      <c r="C5766" t="s">
        <v>15868</v>
      </c>
      <c r="D5766" t="s">
        <v>20</v>
      </c>
      <c r="E5766" t="s">
        <v>11</v>
      </c>
      <c r="F5766">
        <v>2741.508</v>
      </c>
      <c r="G5766">
        <v>18</v>
      </c>
      <c r="L5766" t="s">
        <v>15869</v>
      </c>
    </row>
    <row r="5767" spans="1:12" x14ac:dyDescent="0.25">
      <c r="A5767" t="s">
        <v>18</v>
      </c>
      <c r="B5767" t="s">
        <v>15869</v>
      </c>
      <c r="C5767" t="s">
        <v>15870</v>
      </c>
      <c r="D5767" t="s">
        <v>20</v>
      </c>
      <c r="E5767" t="s">
        <v>11</v>
      </c>
      <c r="F5767">
        <v>2741.508</v>
      </c>
      <c r="G5767">
        <v>18</v>
      </c>
      <c r="L5767" t="s">
        <v>15871</v>
      </c>
    </row>
    <row r="5768" spans="1:12" x14ac:dyDescent="0.25">
      <c r="A5768" t="s">
        <v>18</v>
      </c>
      <c r="B5768" t="s">
        <v>15871</v>
      </c>
      <c r="C5768" t="s">
        <v>15872</v>
      </c>
      <c r="D5768" t="s">
        <v>20</v>
      </c>
      <c r="E5768" t="s">
        <v>11</v>
      </c>
      <c r="F5768">
        <v>13054.8</v>
      </c>
      <c r="G5768">
        <v>18</v>
      </c>
      <c r="L5768" t="s">
        <v>15873</v>
      </c>
    </row>
    <row r="5769" spans="1:12" x14ac:dyDescent="0.25">
      <c r="A5769" t="s">
        <v>18</v>
      </c>
      <c r="B5769" t="s">
        <v>15873</v>
      </c>
      <c r="C5769" t="s">
        <v>15874</v>
      </c>
      <c r="D5769" t="s">
        <v>20</v>
      </c>
      <c r="E5769" t="s">
        <v>11</v>
      </c>
      <c r="F5769">
        <v>1762.3980000000001</v>
      </c>
      <c r="G5769">
        <v>18</v>
      </c>
      <c r="L5769" t="s">
        <v>15875</v>
      </c>
    </row>
    <row r="5770" spans="1:12" x14ac:dyDescent="0.25">
      <c r="A5770" t="s">
        <v>18</v>
      </c>
      <c r="B5770" t="s">
        <v>15875</v>
      </c>
      <c r="C5770" t="s">
        <v>15876</v>
      </c>
      <c r="D5770" t="s">
        <v>20</v>
      </c>
      <c r="E5770" t="s">
        <v>11</v>
      </c>
      <c r="F5770">
        <v>28198.368000000002</v>
      </c>
      <c r="G5770">
        <v>18</v>
      </c>
      <c r="L5770" t="s">
        <v>15877</v>
      </c>
    </row>
    <row r="5771" spans="1:12" x14ac:dyDescent="0.25">
      <c r="A5771" t="s">
        <v>18</v>
      </c>
      <c r="B5771" t="s">
        <v>15877</v>
      </c>
      <c r="C5771" t="s">
        <v>15878</v>
      </c>
      <c r="D5771" t="s">
        <v>20</v>
      </c>
      <c r="E5771" t="s">
        <v>11</v>
      </c>
      <c r="F5771">
        <v>23041.722</v>
      </c>
      <c r="G5771">
        <v>18</v>
      </c>
      <c r="L5771" t="s">
        <v>15879</v>
      </c>
    </row>
    <row r="5772" spans="1:12" x14ac:dyDescent="0.25">
      <c r="A5772" t="s">
        <v>18</v>
      </c>
      <c r="B5772" t="s">
        <v>15879</v>
      </c>
      <c r="C5772" t="s">
        <v>15880</v>
      </c>
      <c r="D5772" t="s">
        <v>20</v>
      </c>
      <c r="E5772" t="s">
        <v>11</v>
      </c>
      <c r="F5772">
        <v>51892.83</v>
      </c>
      <c r="G5772">
        <v>18</v>
      </c>
      <c r="L5772" t="s">
        <v>15881</v>
      </c>
    </row>
    <row r="5773" spans="1:12" x14ac:dyDescent="0.25">
      <c r="A5773" t="s">
        <v>18</v>
      </c>
      <c r="B5773" t="s">
        <v>15881</v>
      </c>
      <c r="C5773" t="s">
        <v>15882</v>
      </c>
      <c r="D5773" t="s">
        <v>20</v>
      </c>
      <c r="E5773" t="s">
        <v>11</v>
      </c>
      <c r="F5773">
        <v>718.014</v>
      </c>
      <c r="G5773">
        <v>18</v>
      </c>
      <c r="L5773" t="s">
        <v>15883</v>
      </c>
    </row>
    <row r="5774" spans="1:12" x14ac:dyDescent="0.25">
      <c r="A5774" t="s">
        <v>18</v>
      </c>
      <c r="B5774" t="s">
        <v>15883</v>
      </c>
      <c r="C5774" t="s">
        <v>15884</v>
      </c>
      <c r="D5774" t="s">
        <v>20</v>
      </c>
      <c r="E5774" t="s">
        <v>11</v>
      </c>
      <c r="F5774">
        <v>17428.158</v>
      </c>
      <c r="G5774">
        <v>18</v>
      </c>
      <c r="L5774" t="s">
        <v>15885</v>
      </c>
    </row>
    <row r="5775" spans="1:12" x14ac:dyDescent="0.25">
      <c r="A5775" t="s">
        <v>18</v>
      </c>
      <c r="B5775" t="s">
        <v>15885</v>
      </c>
      <c r="C5775" t="s">
        <v>15886</v>
      </c>
      <c r="D5775" t="s">
        <v>20</v>
      </c>
      <c r="E5775" t="s">
        <v>11</v>
      </c>
      <c r="F5775">
        <v>78328.8</v>
      </c>
      <c r="G5775">
        <v>18</v>
      </c>
      <c r="L5775" t="s">
        <v>15887</v>
      </c>
    </row>
    <row r="5776" spans="1:12" x14ac:dyDescent="0.25">
      <c r="A5776" t="s">
        <v>18</v>
      </c>
      <c r="B5776" t="s">
        <v>15887</v>
      </c>
      <c r="C5776" t="s">
        <v>15888</v>
      </c>
      <c r="D5776" t="s">
        <v>20</v>
      </c>
      <c r="E5776" t="s">
        <v>11</v>
      </c>
      <c r="F5776">
        <v>38707.481999999996</v>
      </c>
      <c r="G5776">
        <v>18</v>
      </c>
      <c r="L5776" t="s">
        <v>15889</v>
      </c>
    </row>
    <row r="5777" spans="1:12" x14ac:dyDescent="0.25">
      <c r="A5777" t="s">
        <v>18</v>
      </c>
      <c r="B5777" t="s">
        <v>15889</v>
      </c>
      <c r="C5777" t="s">
        <v>15890</v>
      </c>
      <c r="D5777" t="s">
        <v>20</v>
      </c>
      <c r="E5777" t="s">
        <v>11</v>
      </c>
      <c r="F5777">
        <v>718.014</v>
      </c>
      <c r="G5777">
        <v>18</v>
      </c>
      <c r="L5777" t="s">
        <v>15891</v>
      </c>
    </row>
    <row r="5778" spans="1:12" x14ac:dyDescent="0.25">
      <c r="A5778" t="s">
        <v>18</v>
      </c>
      <c r="B5778" t="s">
        <v>15891</v>
      </c>
      <c r="C5778" t="s">
        <v>15892</v>
      </c>
      <c r="D5778" t="s">
        <v>20</v>
      </c>
      <c r="E5778" t="s">
        <v>11</v>
      </c>
      <c r="F5778">
        <v>1044.384</v>
      </c>
      <c r="G5778">
        <v>18</v>
      </c>
      <c r="L5778" t="s">
        <v>15893</v>
      </c>
    </row>
    <row r="5779" spans="1:12" x14ac:dyDescent="0.25">
      <c r="A5779" t="s">
        <v>18</v>
      </c>
      <c r="B5779" t="s">
        <v>15893</v>
      </c>
      <c r="C5779" t="s">
        <v>15894</v>
      </c>
      <c r="D5779" t="s">
        <v>20</v>
      </c>
      <c r="E5779" t="s">
        <v>11</v>
      </c>
      <c r="F5779">
        <v>1044.384</v>
      </c>
      <c r="G5779">
        <v>18</v>
      </c>
      <c r="L5779" t="s">
        <v>15895</v>
      </c>
    </row>
    <row r="5780" spans="1:12" x14ac:dyDescent="0.25">
      <c r="A5780" t="s">
        <v>18</v>
      </c>
      <c r="B5780" t="s">
        <v>15895</v>
      </c>
      <c r="C5780" t="s">
        <v>15896</v>
      </c>
      <c r="D5780" t="s">
        <v>20</v>
      </c>
      <c r="E5780" t="s">
        <v>11</v>
      </c>
      <c r="F5780">
        <v>78850.992</v>
      </c>
      <c r="G5780">
        <v>18</v>
      </c>
      <c r="L5780" t="s">
        <v>15897</v>
      </c>
    </row>
    <row r="5781" spans="1:12" x14ac:dyDescent="0.25">
      <c r="A5781" t="s">
        <v>18</v>
      </c>
      <c r="B5781" t="s">
        <v>15897</v>
      </c>
      <c r="C5781" t="s">
        <v>15898</v>
      </c>
      <c r="D5781" t="s">
        <v>20</v>
      </c>
      <c r="E5781" t="s">
        <v>11</v>
      </c>
      <c r="F5781">
        <v>1631.85</v>
      </c>
      <c r="G5781">
        <v>18</v>
      </c>
      <c r="L5781" t="s">
        <v>15899</v>
      </c>
    </row>
    <row r="5782" spans="1:12" x14ac:dyDescent="0.25">
      <c r="A5782" t="s">
        <v>18</v>
      </c>
      <c r="B5782" t="s">
        <v>15899</v>
      </c>
      <c r="C5782" t="s">
        <v>15900</v>
      </c>
      <c r="D5782" t="s">
        <v>20</v>
      </c>
      <c r="E5782" t="s">
        <v>11</v>
      </c>
      <c r="F5782">
        <v>2486.484</v>
      </c>
      <c r="G5782">
        <v>18</v>
      </c>
      <c r="L5782" t="s">
        <v>15901</v>
      </c>
    </row>
    <row r="5783" spans="1:12" x14ac:dyDescent="0.25">
      <c r="A5783" t="s">
        <v>18</v>
      </c>
      <c r="B5783" t="s">
        <v>15901</v>
      </c>
      <c r="C5783" t="s">
        <v>15902</v>
      </c>
      <c r="D5783" t="s">
        <v>20</v>
      </c>
      <c r="E5783" t="s">
        <v>11</v>
      </c>
      <c r="F5783">
        <v>49608.240000000005</v>
      </c>
      <c r="G5783">
        <v>18</v>
      </c>
      <c r="L5783" t="s">
        <v>15903</v>
      </c>
    </row>
    <row r="5784" spans="1:12" x14ac:dyDescent="0.25">
      <c r="A5784" t="s">
        <v>18</v>
      </c>
      <c r="B5784" t="s">
        <v>15903</v>
      </c>
      <c r="C5784" t="s">
        <v>15904</v>
      </c>
      <c r="D5784" t="s">
        <v>20</v>
      </c>
      <c r="E5784" t="s">
        <v>11</v>
      </c>
      <c r="F5784">
        <v>2349.8639999999996</v>
      </c>
      <c r="G5784">
        <v>18</v>
      </c>
      <c r="L5784" t="s">
        <v>15905</v>
      </c>
    </row>
    <row r="5785" spans="1:12" x14ac:dyDescent="0.25">
      <c r="A5785" t="s">
        <v>18</v>
      </c>
      <c r="B5785" t="s">
        <v>15905</v>
      </c>
      <c r="C5785" t="s">
        <v>15906</v>
      </c>
      <c r="D5785" t="s">
        <v>20</v>
      </c>
      <c r="E5785" t="s">
        <v>11</v>
      </c>
      <c r="F5785">
        <v>21801.515999999996</v>
      </c>
      <c r="G5785">
        <v>18</v>
      </c>
      <c r="L5785" t="s">
        <v>15907</v>
      </c>
    </row>
    <row r="5786" spans="1:12" x14ac:dyDescent="0.25">
      <c r="A5786" t="s">
        <v>18</v>
      </c>
      <c r="B5786" t="s">
        <v>15907</v>
      </c>
      <c r="C5786" t="s">
        <v>15908</v>
      </c>
      <c r="D5786" t="s">
        <v>20</v>
      </c>
      <c r="E5786" t="s">
        <v>11</v>
      </c>
      <c r="F5786">
        <v>9856.374</v>
      </c>
      <c r="G5786">
        <v>18</v>
      </c>
      <c r="L5786" t="s">
        <v>15909</v>
      </c>
    </row>
    <row r="5787" spans="1:12" x14ac:dyDescent="0.25">
      <c r="A5787" t="s">
        <v>18</v>
      </c>
      <c r="B5787" t="s">
        <v>15909</v>
      </c>
      <c r="C5787" t="s">
        <v>15910</v>
      </c>
      <c r="D5787" t="s">
        <v>20</v>
      </c>
      <c r="E5787" t="s">
        <v>11</v>
      </c>
      <c r="F5787">
        <v>9856.374</v>
      </c>
      <c r="G5787">
        <v>18</v>
      </c>
      <c r="L5787" t="s">
        <v>15911</v>
      </c>
    </row>
    <row r="5788" spans="1:12" x14ac:dyDescent="0.25">
      <c r="A5788" t="s">
        <v>18</v>
      </c>
      <c r="B5788" t="s">
        <v>15911</v>
      </c>
      <c r="C5788" t="s">
        <v>15912</v>
      </c>
      <c r="D5788" t="s">
        <v>20</v>
      </c>
      <c r="E5788" t="s">
        <v>11</v>
      </c>
      <c r="F5788">
        <v>32898.096</v>
      </c>
      <c r="G5788">
        <v>18</v>
      </c>
      <c r="L5788" t="s">
        <v>15913</v>
      </c>
    </row>
    <row r="5789" spans="1:12" x14ac:dyDescent="0.25">
      <c r="A5789" t="s">
        <v>18</v>
      </c>
      <c r="B5789" t="s">
        <v>15913</v>
      </c>
      <c r="C5789" t="s">
        <v>15914</v>
      </c>
      <c r="D5789" t="s">
        <v>20</v>
      </c>
      <c r="E5789" t="s">
        <v>11</v>
      </c>
      <c r="F5789">
        <v>6201.030000000001</v>
      </c>
      <c r="G5789">
        <v>18</v>
      </c>
      <c r="L5789" t="s">
        <v>15915</v>
      </c>
    </row>
    <row r="5790" spans="1:12" x14ac:dyDescent="0.25">
      <c r="A5790" t="s">
        <v>18</v>
      </c>
      <c r="B5790" t="s">
        <v>15915</v>
      </c>
      <c r="C5790" t="s">
        <v>15916</v>
      </c>
      <c r="D5790" t="s">
        <v>20</v>
      </c>
      <c r="E5790" t="s">
        <v>11</v>
      </c>
      <c r="F5790">
        <v>3263.7</v>
      </c>
      <c r="G5790">
        <v>18</v>
      </c>
      <c r="L5790" t="s">
        <v>15917</v>
      </c>
    </row>
    <row r="5791" spans="1:12" x14ac:dyDescent="0.25">
      <c r="A5791" t="s">
        <v>18</v>
      </c>
      <c r="B5791" t="s">
        <v>15917</v>
      </c>
      <c r="C5791" t="s">
        <v>15918</v>
      </c>
      <c r="D5791" t="s">
        <v>20</v>
      </c>
      <c r="E5791" t="s">
        <v>11</v>
      </c>
      <c r="F5791">
        <v>10378.565999999999</v>
      </c>
      <c r="G5791">
        <v>18</v>
      </c>
      <c r="L5791" t="s">
        <v>15919</v>
      </c>
    </row>
    <row r="5792" spans="1:12" x14ac:dyDescent="0.25">
      <c r="A5792" t="s">
        <v>18</v>
      </c>
      <c r="B5792" t="s">
        <v>15919</v>
      </c>
      <c r="C5792" t="s">
        <v>15920</v>
      </c>
      <c r="D5792" t="s">
        <v>20</v>
      </c>
      <c r="E5792" t="s">
        <v>11</v>
      </c>
      <c r="F5792">
        <v>44059.95</v>
      </c>
      <c r="G5792">
        <v>18</v>
      </c>
      <c r="L5792" t="s">
        <v>15921</v>
      </c>
    </row>
    <row r="5793" spans="1:12" x14ac:dyDescent="0.25">
      <c r="A5793" t="s">
        <v>18</v>
      </c>
      <c r="B5793" t="s">
        <v>15921</v>
      </c>
      <c r="C5793" t="s">
        <v>15922</v>
      </c>
      <c r="D5793" t="s">
        <v>20</v>
      </c>
      <c r="E5793" t="s">
        <v>11</v>
      </c>
      <c r="F5793">
        <v>1174.9319999999998</v>
      </c>
      <c r="G5793">
        <v>18</v>
      </c>
      <c r="L5793" t="s">
        <v>15923</v>
      </c>
    </row>
    <row r="5794" spans="1:12" x14ac:dyDescent="0.25">
      <c r="A5794" t="s">
        <v>18</v>
      </c>
      <c r="B5794" t="s">
        <v>15923</v>
      </c>
      <c r="C5794" t="s">
        <v>15924</v>
      </c>
      <c r="D5794" t="s">
        <v>20</v>
      </c>
      <c r="E5794" t="s">
        <v>11</v>
      </c>
      <c r="F5794">
        <v>4373.358</v>
      </c>
      <c r="G5794">
        <v>18</v>
      </c>
      <c r="L5794" t="s">
        <v>15925</v>
      </c>
    </row>
    <row r="5795" spans="1:12" x14ac:dyDescent="0.25">
      <c r="A5795" t="s">
        <v>18</v>
      </c>
      <c r="B5795" t="s">
        <v>15925</v>
      </c>
      <c r="C5795" t="s">
        <v>15926</v>
      </c>
      <c r="D5795" t="s">
        <v>20</v>
      </c>
      <c r="E5795" t="s">
        <v>11</v>
      </c>
      <c r="F5795">
        <v>6723.222000000001</v>
      </c>
      <c r="G5795">
        <v>18</v>
      </c>
      <c r="L5795" t="s">
        <v>15927</v>
      </c>
    </row>
    <row r="5796" spans="1:12" x14ac:dyDescent="0.25">
      <c r="A5796" t="s">
        <v>18</v>
      </c>
      <c r="B5796" t="s">
        <v>15927</v>
      </c>
      <c r="C5796" t="s">
        <v>15928</v>
      </c>
      <c r="D5796" t="s">
        <v>20</v>
      </c>
      <c r="E5796" t="s">
        <v>11</v>
      </c>
      <c r="F5796">
        <v>3851.166</v>
      </c>
      <c r="G5796">
        <v>18</v>
      </c>
      <c r="L5796" t="s">
        <v>15929</v>
      </c>
    </row>
    <row r="5797" spans="1:12" x14ac:dyDescent="0.25">
      <c r="A5797" t="s">
        <v>18</v>
      </c>
      <c r="B5797" t="s">
        <v>15929</v>
      </c>
      <c r="C5797" t="s">
        <v>15930</v>
      </c>
      <c r="D5797" t="s">
        <v>20</v>
      </c>
      <c r="E5797" t="s">
        <v>11</v>
      </c>
      <c r="F5797">
        <v>3851.166</v>
      </c>
      <c r="G5797">
        <v>18</v>
      </c>
      <c r="L5797" t="s">
        <v>15931</v>
      </c>
    </row>
    <row r="5798" spans="1:12" x14ac:dyDescent="0.25">
      <c r="A5798" t="s">
        <v>18</v>
      </c>
      <c r="B5798" t="s">
        <v>15931</v>
      </c>
      <c r="C5798" t="s">
        <v>15932</v>
      </c>
      <c r="D5798" t="s">
        <v>20</v>
      </c>
      <c r="E5798" t="s">
        <v>11</v>
      </c>
      <c r="F5798">
        <v>1958.22</v>
      </c>
      <c r="G5798">
        <v>18</v>
      </c>
      <c r="L5798" t="s">
        <v>15933</v>
      </c>
    </row>
    <row r="5799" spans="1:12" x14ac:dyDescent="0.25">
      <c r="A5799" t="s">
        <v>18</v>
      </c>
      <c r="B5799" t="s">
        <v>15933</v>
      </c>
      <c r="C5799" t="s">
        <v>15934</v>
      </c>
      <c r="D5799" t="s">
        <v>20</v>
      </c>
      <c r="E5799" t="s">
        <v>11</v>
      </c>
      <c r="F5799">
        <v>14947.746</v>
      </c>
      <c r="G5799">
        <v>18</v>
      </c>
      <c r="L5799" t="s">
        <v>15935</v>
      </c>
    </row>
    <row r="5800" spans="1:12" x14ac:dyDescent="0.25">
      <c r="A5800" t="s">
        <v>18</v>
      </c>
      <c r="B5800" t="s">
        <v>15935</v>
      </c>
      <c r="C5800" t="s">
        <v>15936</v>
      </c>
      <c r="D5800" t="s">
        <v>20</v>
      </c>
      <c r="E5800" t="s">
        <v>11</v>
      </c>
      <c r="F5800">
        <v>652.74</v>
      </c>
      <c r="G5800">
        <v>18</v>
      </c>
      <c r="L5800" t="s">
        <v>15937</v>
      </c>
    </row>
    <row r="5801" spans="1:12" x14ac:dyDescent="0.25">
      <c r="A5801" t="s">
        <v>18</v>
      </c>
      <c r="B5801" t="s">
        <v>15937</v>
      </c>
      <c r="C5801" t="s">
        <v>15938</v>
      </c>
      <c r="D5801" t="s">
        <v>20</v>
      </c>
      <c r="E5801" t="s">
        <v>11</v>
      </c>
      <c r="F5801">
        <v>30482.958</v>
      </c>
      <c r="G5801">
        <v>18</v>
      </c>
      <c r="L5801" t="s">
        <v>15939</v>
      </c>
    </row>
    <row r="5802" spans="1:12" x14ac:dyDescent="0.25">
      <c r="A5802" t="s">
        <v>18</v>
      </c>
      <c r="B5802" t="s">
        <v>15939</v>
      </c>
      <c r="C5802" t="s">
        <v>15940</v>
      </c>
      <c r="D5802" t="s">
        <v>20</v>
      </c>
      <c r="E5802" t="s">
        <v>11</v>
      </c>
      <c r="F5802">
        <v>652.74</v>
      </c>
      <c r="G5802">
        <v>18</v>
      </c>
      <c r="L5802" t="s">
        <v>15941</v>
      </c>
    </row>
    <row r="5803" spans="1:12" x14ac:dyDescent="0.25">
      <c r="A5803" t="s">
        <v>18</v>
      </c>
      <c r="B5803" t="s">
        <v>15941</v>
      </c>
      <c r="C5803" t="s">
        <v>15942</v>
      </c>
      <c r="D5803" t="s">
        <v>20</v>
      </c>
      <c r="E5803" t="s">
        <v>11</v>
      </c>
      <c r="F5803">
        <v>24608.298</v>
      </c>
      <c r="G5803">
        <v>18</v>
      </c>
      <c r="L5803" t="s">
        <v>15943</v>
      </c>
    </row>
    <row r="5804" spans="1:12" x14ac:dyDescent="0.25">
      <c r="A5804" t="s">
        <v>18</v>
      </c>
      <c r="B5804" t="s">
        <v>15943</v>
      </c>
      <c r="C5804" t="s">
        <v>15944</v>
      </c>
      <c r="D5804" t="s">
        <v>20</v>
      </c>
      <c r="E5804" t="s">
        <v>11</v>
      </c>
      <c r="F5804">
        <v>7898.1539999999995</v>
      </c>
      <c r="G5804">
        <v>18</v>
      </c>
      <c r="L5804" t="s">
        <v>15945</v>
      </c>
    </row>
    <row r="5805" spans="1:12" x14ac:dyDescent="0.25">
      <c r="A5805" t="s">
        <v>18</v>
      </c>
      <c r="B5805" t="s">
        <v>15945</v>
      </c>
      <c r="C5805" t="s">
        <v>15946</v>
      </c>
      <c r="D5805" t="s">
        <v>20</v>
      </c>
      <c r="E5805" t="s">
        <v>11</v>
      </c>
      <c r="F5805">
        <v>4634.454</v>
      </c>
      <c r="G5805">
        <v>18</v>
      </c>
      <c r="L5805" t="s">
        <v>15947</v>
      </c>
    </row>
    <row r="5806" spans="1:12" x14ac:dyDescent="0.25">
      <c r="A5806" t="s">
        <v>18</v>
      </c>
      <c r="B5806" t="s">
        <v>15947</v>
      </c>
      <c r="C5806" t="s">
        <v>15948</v>
      </c>
      <c r="D5806" t="s">
        <v>20</v>
      </c>
      <c r="E5806" t="s">
        <v>11</v>
      </c>
      <c r="F5806">
        <v>5287.193999999999</v>
      </c>
      <c r="G5806">
        <v>18</v>
      </c>
      <c r="L5806" t="s">
        <v>15949</v>
      </c>
    </row>
    <row r="5807" spans="1:12" x14ac:dyDescent="0.25">
      <c r="A5807" t="s">
        <v>18</v>
      </c>
      <c r="B5807" t="s">
        <v>15949</v>
      </c>
      <c r="C5807" t="s">
        <v>15950</v>
      </c>
      <c r="D5807" t="s">
        <v>20</v>
      </c>
      <c r="E5807" t="s">
        <v>11</v>
      </c>
      <c r="F5807">
        <v>15731.034</v>
      </c>
      <c r="G5807">
        <v>18</v>
      </c>
      <c r="L5807" t="s">
        <v>15951</v>
      </c>
    </row>
    <row r="5808" spans="1:12" x14ac:dyDescent="0.25">
      <c r="A5808" t="s">
        <v>18</v>
      </c>
      <c r="B5808" t="s">
        <v>15951</v>
      </c>
      <c r="C5808" t="s">
        <v>15952</v>
      </c>
      <c r="D5808" t="s">
        <v>20</v>
      </c>
      <c r="E5808" t="s">
        <v>11</v>
      </c>
      <c r="F5808">
        <v>8224.524</v>
      </c>
      <c r="G5808">
        <v>18</v>
      </c>
      <c r="L5808" t="s">
        <v>15953</v>
      </c>
    </row>
    <row r="5809" spans="1:12" x14ac:dyDescent="0.25">
      <c r="A5809" t="s">
        <v>18</v>
      </c>
      <c r="B5809" t="s">
        <v>15953</v>
      </c>
      <c r="C5809" t="s">
        <v>15954</v>
      </c>
      <c r="D5809" t="s">
        <v>20</v>
      </c>
      <c r="E5809" t="s">
        <v>11</v>
      </c>
      <c r="F5809">
        <v>12924.252</v>
      </c>
      <c r="G5809">
        <v>18</v>
      </c>
      <c r="L5809" t="s">
        <v>15955</v>
      </c>
    </row>
    <row r="5810" spans="1:12" x14ac:dyDescent="0.25">
      <c r="A5810" t="s">
        <v>18</v>
      </c>
      <c r="B5810" t="s">
        <v>15955</v>
      </c>
      <c r="C5810" t="s">
        <v>15956</v>
      </c>
      <c r="D5810" t="s">
        <v>20</v>
      </c>
      <c r="E5810" t="s">
        <v>11</v>
      </c>
      <c r="F5810">
        <v>6396.852</v>
      </c>
      <c r="G5810">
        <v>18</v>
      </c>
      <c r="L5810" t="s">
        <v>15957</v>
      </c>
    </row>
    <row r="5811" spans="1:12" x14ac:dyDescent="0.25">
      <c r="A5811" t="s">
        <v>18</v>
      </c>
      <c r="B5811" t="s">
        <v>15957</v>
      </c>
      <c r="C5811" t="s">
        <v>15958</v>
      </c>
      <c r="D5811" t="s">
        <v>20</v>
      </c>
      <c r="E5811" t="s">
        <v>11</v>
      </c>
      <c r="F5811">
        <v>17362.884000000002</v>
      </c>
      <c r="G5811">
        <v>18</v>
      </c>
      <c r="L5811" t="s">
        <v>15959</v>
      </c>
    </row>
    <row r="5812" spans="1:12" x14ac:dyDescent="0.25">
      <c r="A5812" t="s">
        <v>18</v>
      </c>
      <c r="B5812" t="s">
        <v>15959</v>
      </c>
      <c r="C5812" t="s">
        <v>15960</v>
      </c>
      <c r="D5812" t="s">
        <v>20</v>
      </c>
      <c r="E5812" t="s">
        <v>11</v>
      </c>
      <c r="F5812">
        <v>18668.363999999998</v>
      </c>
      <c r="G5812">
        <v>18</v>
      </c>
      <c r="L5812" t="s">
        <v>15961</v>
      </c>
    </row>
    <row r="5813" spans="1:12" x14ac:dyDescent="0.25">
      <c r="A5813" t="s">
        <v>18</v>
      </c>
      <c r="B5813" t="s">
        <v>15961</v>
      </c>
      <c r="C5813" t="s">
        <v>15962</v>
      </c>
      <c r="D5813" t="s">
        <v>20</v>
      </c>
      <c r="E5813" t="s">
        <v>11</v>
      </c>
      <c r="F5813">
        <v>783.2879999999999</v>
      </c>
      <c r="G5813">
        <v>18</v>
      </c>
      <c r="L5813" t="s">
        <v>15963</v>
      </c>
    </row>
    <row r="5814" spans="1:12" x14ac:dyDescent="0.25">
      <c r="A5814" t="s">
        <v>18</v>
      </c>
      <c r="B5814" t="s">
        <v>15963</v>
      </c>
      <c r="C5814" t="s">
        <v>15964</v>
      </c>
      <c r="D5814" t="s">
        <v>20</v>
      </c>
      <c r="E5814" t="s">
        <v>11</v>
      </c>
      <c r="F5814">
        <v>3328.9739999999997</v>
      </c>
      <c r="G5814">
        <v>18</v>
      </c>
      <c r="L5814" t="s">
        <v>15965</v>
      </c>
    </row>
    <row r="5815" spans="1:12" x14ac:dyDescent="0.25">
      <c r="A5815" t="s">
        <v>18</v>
      </c>
      <c r="B5815" t="s">
        <v>15965</v>
      </c>
      <c r="C5815" t="s">
        <v>15966</v>
      </c>
      <c r="D5815" t="s">
        <v>20</v>
      </c>
      <c r="E5815" t="s">
        <v>11</v>
      </c>
      <c r="F5815">
        <v>3328.9739999999997</v>
      </c>
      <c r="G5815">
        <v>18</v>
      </c>
      <c r="L5815" t="s">
        <v>15967</v>
      </c>
    </row>
    <row r="5816" spans="1:12" x14ac:dyDescent="0.25">
      <c r="A5816" t="s">
        <v>18</v>
      </c>
      <c r="B5816" t="s">
        <v>15967</v>
      </c>
      <c r="C5816" t="s">
        <v>15968</v>
      </c>
      <c r="D5816" t="s">
        <v>20</v>
      </c>
      <c r="E5816" t="s">
        <v>11</v>
      </c>
      <c r="F5816">
        <v>3328.9739999999997</v>
      </c>
      <c r="G5816">
        <v>18</v>
      </c>
      <c r="L5816" t="s">
        <v>15969</v>
      </c>
    </row>
    <row r="5817" spans="1:12" x14ac:dyDescent="0.25">
      <c r="A5817" t="s">
        <v>18</v>
      </c>
      <c r="B5817" t="s">
        <v>15969</v>
      </c>
      <c r="C5817" t="s">
        <v>15970</v>
      </c>
      <c r="D5817" t="s">
        <v>20</v>
      </c>
      <c r="E5817" t="s">
        <v>11</v>
      </c>
      <c r="F5817">
        <v>3328.9739999999997</v>
      </c>
      <c r="G5817">
        <v>18</v>
      </c>
      <c r="L5817" t="s">
        <v>15971</v>
      </c>
    </row>
    <row r="5818" spans="1:12" x14ac:dyDescent="0.25">
      <c r="A5818" t="s">
        <v>18</v>
      </c>
      <c r="B5818" t="s">
        <v>15971</v>
      </c>
      <c r="C5818" t="s">
        <v>15972</v>
      </c>
      <c r="D5818" t="s">
        <v>20</v>
      </c>
      <c r="E5818" t="s">
        <v>11</v>
      </c>
      <c r="F5818">
        <v>3328.9739999999997</v>
      </c>
      <c r="G5818">
        <v>18</v>
      </c>
      <c r="L5818" t="s">
        <v>15973</v>
      </c>
    </row>
    <row r="5819" spans="1:12" x14ac:dyDescent="0.25">
      <c r="A5819" t="s">
        <v>18</v>
      </c>
      <c r="B5819" t="s">
        <v>15973</v>
      </c>
      <c r="C5819" t="s">
        <v>15974</v>
      </c>
      <c r="D5819" t="s">
        <v>20</v>
      </c>
      <c r="E5819" t="s">
        <v>11</v>
      </c>
      <c r="F5819">
        <v>3328.9739999999997</v>
      </c>
      <c r="G5819">
        <v>18</v>
      </c>
      <c r="L5819" t="s">
        <v>15975</v>
      </c>
    </row>
    <row r="5820" spans="1:12" x14ac:dyDescent="0.25">
      <c r="A5820" t="s">
        <v>18</v>
      </c>
      <c r="B5820" t="s">
        <v>15975</v>
      </c>
      <c r="C5820" t="s">
        <v>15976</v>
      </c>
      <c r="D5820" t="s">
        <v>20</v>
      </c>
      <c r="E5820" t="s">
        <v>11</v>
      </c>
      <c r="F5820">
        <v>3328.9739999999997</v>
      </c>
      <c r="G5820">
        <v>18</v>
      </c>
      <c r="L5820" t="s">
        <v>15977</v>
      </c>
    </row>
    <row r="5821" spans="1:12" x14ac:dyDescent="0.25">
      <c r="A5821" t="s">
        <v>18</v>
      </c>
      <c r="B5821" t="s">
        <v>15977</v>
      </c>
      <c r="C5821" t="s">
        <v>15978</v>
      </c>
      <c r="D5821" t="s">
        <v>20</v>
      </c>
      <c r="E5821" t="s">
        <v>11</v>
      </c>
      <c r="F5821">
        <v>3328.9739999999997</v>
      </c>
      <c r="G5821">
        <v>18</v>
      </c>
      <c r="L5821" t="s">
        <v>15979</v>
      </c>
    </row>
    <row r="5822" spans="1:12" x14ac:dyDescent="0.25">
      <c r="A5822" t="s">
        <v>18</v>
      </c>
      <c r="B5822" t="s">
        <v>15979</v>
      </c>
      <c r="C5822" t="s">
        <v>15980</v>
      </c>
      <c r="D5822" t="s">
        <v>20</v>
      </c>
      <c r="E5822" t="s">
        <v>11</v>
      </c>
      <c r="F5822">
        <v>4960.8240000000005</v>
      </c>
      <c r="G5822">
        <v>18</v>
      </c>
      <c r="L5822" t="s">
        <v>15981</v>
      </c>
    </row>
    <row r="5823" spans="1:12" x14ac:dyDescent="0.25">
      <c r="A5823" t="s">
        <v>18</v>
      </c>
      <c r="B5823" t="s">
        <v>15981</v>
      </c>
      <c r="C5823" t="s">
        <v>15982</v>
      </c>
      <c r="D5823" t="s">
        <v>20</v>
      </c>
      <c r="E5823" t="s">
        <v>11</v>
      </c>
      <c r="F5823">
        <v>652.74</v>
      </c>
      <c r="G5823">
        <v>18</v>
      </c>
      <c r="L5823" t="s">
        <v>15983</v>
      </c>
    </row>
    <row r="5824" spans="1:12" x14ac:dyDescent="0.25">
      <c r="A5824" t="s">
        <v>18</v>
      </c>
      <c r="B5824" t="s">
        <v>15983</v>
      </c>
      <c r="C5824" t="s">
        <v>15984</v>
      </c>
      <c r="D5824" t="s">
        <v>20</v>
      </c>
      <c r="E5824" t="s">
        <v>11</v>
      </c>
      <c r="F5824">
        <v>11553.497999999998</v>
      </c>
      <c r="G5824">
        <v>18</v>
      </c>
      <c r="L5824" t="s">
        <v>15985</v>
      </c>
    </row>
    <row r="5825" spans="1:12" x14ac:dyDescent="0.25">
      <c r="A5825" t="s">
        <v>18</v>
      </c>
      <c r="B5825" t="s">
        <v>15985</v>
      </c>
      <c r="C5825" t="s">
        <v>15954</v>
      </c>
      <c r="D5825" t="s">
        <v>20</v>
      </c>
      <c r="E5825" t="s">
        <v>11</v>
      </c>
      <c r="F5825">
        <v>12271.511999999999</v>
      </c>
      <c r="G5825">
        <v>18</v>
      </c>
      <c r="L5825" t="s">
        <v>15986</v>
      </c>
    </row>
    <row r="5826" spans="1:12" x14ac:dyDescent="0.25">
      <c r="A5826" t="s">
        <v>18</v>
      </c>
      <c r="B5826" t="s">
        <v>15986</v>
      </c>
      <c r="C5826" t="s">
        <v>15987</v>
      </c>
      <c r="D5826" t="s">
        <v>20</v>
      </c>
      <c r="E5826" t="s">
        <v>11</v>
      </c>
      <c r="F5826">
        <v>8681.442000000001</v>
      </c>
      <c r="G5826">
        <v>18</v>
      </c>
      <c r="L5826" t="s">
        <v>15988</v>
      </c>
    </row>
    <row r="5827" spans="1:12" x14ac:dyDescent="0.25">
      <c r="A5827" t="s">
        <v>18</v>
      </c>
      <c r="B5827" t="s">
        <v>15988</v>
      </c>
      <c r="C5827" t="s">
        <v>15989</v>
      </c>
      <c r="D5827" t="s">
        <v>20</v>
      </c>
      <c r="E5827" t="s">
        <v>11</v>
      </c>
      <c r="F5827">
        <v>15926.856</v>
      </c>
      <c r="G5827">
        <v>18</v>
      </c>
      <c r="L5827" t="s">
        <v>15990</v>
      </c>
    </row>
    <row r="5828" spans="1:12" x14ac:dyDescent="0.25">
      <c r="A5828" t="s">
        <v>18</v>
      </c>
      <c r="B5828" t="s">
        <v>15990</v>
      </c>
      <c r="C5828" t="s">
        <v>15991</v>
      </c>
      <c r="D5828" t="s">
        <v>20</v>
      </c>
      <c r="E5828" t="s">
        <v>11</v>
      </c>
      <c r="F5828">
        <v>3067.8779999999997</v>
      </c>
      <c r="G5828">
        <v>18</v>
      </c>
      <c r="L5828" t="s">
        <v>15992</v>
      </c>
    </row>
    <row r="5829" spans="1:12" x14ac:dyDescent="0.25">
      <c r="A5829" t="s">
        <v>18</v>
      </c>
      <c r="B5829" t="s">
        <v>15992</v>
      </c>
      <c r="C5829" t="s">
        <v>15993</v>
      </c>
      <c r="D5829" t="s">
        <v>20</v>
      </c>
      <c r="E5829" t="s">
        <v>11</v>
      </c>
      <c r="F5829">
        <v>3785.892</v>
      </c>
      <c r="G5829">
        <v>18</v>
      </c>
      <c r="L5829" t="s">
        <v>15994</v>
      </c>
    </row>
    <row r="5830" spans="1:12" x14ac:dyDescent="0.25">
      <c r="A5830" t="s">
        <v>18</v>
      </c>
      <c r="B5830" t="s">
        <v>15994</v>
      </c>
      <c r="C5830" t="s">
        <v>15995</v>
      </c>
      <c r="D5830" t="s">
        <v>20</v>
      </c>
      <c r="E5830" t="s">
        <v>11</v>
      </c>
      <c r="F5830">
        <v>4242.8099999999995</v>
      </c>
      <c r="G5830">
        <v>18</v>
      </c>
      <c r="L5830" t="s">
        <v>15996</v>
      </c>
    </row>
    <row r="5831" spans="1:12" x14ac:dyDescent="0.25">
      <c r="A5831" t="s">
        <v>18</v>
      </c>
      <c r="B5831" t="s">
        <v>15996</v>
      </c>
      <c r="C5831" t="s">
        <v>15997</v>
      </c>
      <c r="D5831" t="s">
        <v>20</v>
      </c>
      <c r="E5831" t="s">
        <v>11</v>
      </c>
      <c r="F5831">
        <v>3067.8779999999997</v>
      </c>
      <c r="G5831">
        <v>18</v>
      </c>
      <c r="L5831" t="s">
        <v>15998</v>
      </c>
    </row>
    <row r="5832" spans="1:12" x14ac:dyDescent="0.25">
      <c r="A5832" t="s">
        <v>18</v>
      </c>
      <c r="B5832" t="s">
        <v>15998</v>
      </c>
      <c r="C5832" t="s">
        <v>15999</v>
      </c>
      <c r="D5832" t="s">
        <v>20</v>
      </c>
      <c r="E5832" t="s">
        <v>11</v>
      </c>
      <c r="F5832">
        <v>3785.892</v>
      </c>
      <c r="G5832">
        <v>18</v>
      </c>
      <c r="L5832" t="s">
        <v>16000</v>
      </c>
    </row>
    <row r="5833" spans="1:12" x14ac:dyDescent="0.25">
      <c r="A5833" t="s">
        <v>18</v>
      </c>
      <c r="B5833" t="s">
        <v>16000</v>
      </c>
      <c r="C5833" t="s">
        <v>16001</v>
      </c>
      <c r="D5833" t="s">
        <v>20</v>
      </c>
      <c r="E5833" t="s">
        <v>11</v>
      </c>
      <c r="F5833">
        <v>6005.208</v>
      </c>
      <c r="G5833">
        <v>18</v>
      </c>
      <c r="L5833" t="s">
        <v>16002</v>
      </c>
    </row>
    <row r="5834" spans="1:12" x14ac:dyDescent="0.25">
      <c r="A5834" t="s">
        <v>18</v>
      </c>
      <c r="B5834" t="s">
        <v>16002</v>
      </c>
      <c r="C5834" t="s">
        <v>16003</v>
      </c>
      <c r="D5834" t="s">
        <v>20</v>
      </c>
      <c r="E5834" t="s">
        <v>11</v>
      </c>
      <c r="F5834">
        <v>14621.376</v>
      </c>
      <c r="G5834">
        <v>18</v>
      </c>
      <c r="L5834" t="s">
        <v>16004</v>
      </c>
    </row>
    <row r="5835" spans="1:12" x14ac:dyDescent="0.25">
      <c r="A5835" t="s">
        <v>18</v>
      </c>
      <c r="B5835" t="s">
        <v>16004</v>
      </c>
      <c r="C5835" t="s">
        <v>16005</v>
      </c>
      <c r="D5835" t="s">
        <v>20</v>
      </c>
      <c r="E5835" t="s">
        <v>11</v>
      </c>
      <c r="F5835">
        <v>17232.336</v>
      </c>
      <c r="G5835">
        <v>18</v>
      </c>
      <c r="L5835" t="s">
        <v>16006</v>
      </c>
    </row>
    <row r="5836" spans="1:12" x14ac:dyDescent="0.25">
      <c r="A5836" t="s">
        <v>18</v>
      </c>
      <c r="B5836" t="s">
        <v>16006</v>
      </c>
      <c r="C5836" t="s">
        <v>16007</v>
      </c>
      <c r="D5836" t="s">
        <v>20</v>
      </c>
      <c r="E5836" t="s">
        <v>11</v>
      </c>
      <c r="F5836">
        <v>15926.856</v>
      </c>
      <c r="G5836">
        <v>18</v>
      </c>
      <c r="L5836" t="s">
        <v>16008</v>
      </c>
    </row>
    <row r="5837" spans="1:12" x14ac:dyDescent="0.25">
      <c r="A5837" t="s">
        <v>18</v>
      </c>
      <c r="B5837" t="s">
        <v>16008</v>
      </c>
      <c r="C5837" t="s">
        <v>16009</v>
      </c>
      <c r="D5837" t="s">
        <v>20</v>
      </c>
      <c r="E5837" t="s">
        <v>11</v>
      </c>
      <c r="F5837">
        <v>2741.508</v>
      </c>
      <c r="G5837">
        <v>18</v>
      </c>
      <c r="L5837" t="s">
        <v>16010</v>
      </c>
    </row>
    <row r="5838" spans="1:12" x14ac:dyDescent="0.25">
      <c r="A5838" t="s">
        <v>18</v>
      </c>
      <c r="B5838" t="s">
        <v>16010</v>
      </c>
      <c r="C5838" t="s">
        <v>16011</v>
      </c>
      <c r="D5838" t="s">
        <v>20</v>
      </c>
      <c r="E5838" t="s">
        <v>11</v>
      </c>
      <c r="F5838">
        <v>2088.768</v>
      </c>
      <c r="G5838">
        <v>18</v>
      </c>
      <c r="L5838" t="s">
        <v>16012</v>
      </c>
    </row>
    <row r="5839" spans="1:12" x14ac:dyDescent="0.25">
      <c r="A5839" t="s">
        <v>18</v>
      </c>
      <c r="B5839" t="s">
        <v>16012</v>
      </c>
      <c r="C5839" t="s">
        <v>16013</v>
      </c>
      <c r="D5839" t="s">
        <v>20</v>
      </c>
      <c r="E5839" t="s">
        <v>11</v>
      </c>
      <c r="F5839">
        <v>1958.22</v>
      </c>
      <c r="G5839">
        <v>18</v>
      </c>
      <c r="L5839" t="s">
        <v>16014</v>
      </c>
    </row>
    <row r="5840" spans="1:12" x14ac:dyDescent="0.25">
      <c r="A5840" t="s">
        <v>18</v>
      </c>
      <c r="B5840" t="s">
        <v>16014</v>
      </c>
      <c r="C5840" t="s">
        <v>16015</v>
      </c>
      <c r="D5840" t="s">
        <v>20</v>
      </c>
      <c r="E5840" t="s">
        <v>11</v>
      </c>
      <c r="F5840">
        <v>12532.607999999998</v>
      </c>
      <c r="G5840">
        <v>18</v>
      </c>
      <c r="L5840" t="s">
        <v>16016</v>
      </c>
    </row>
    <row r="5841" spans="1:12" x14ac:dyDescent="0.25">
      <c r="A5841" t="s">
        <v>18</v>
      </c>
      <c r="B5841" t="s">
        <v>16016</v>
      </c>
      <c r="C5841" t="s">
        <v>16017</v>
      </c>
      <c r="D5841" t="s">
        <v>20</v>
      </c>
      <c r="E5841" t="s">
        <v>11</v>
      </c>
      <c r="F5841">
        <v>4699.727999999999</v>
      </c>
      <c r="G5841">
        <v>18</v>
      </c>
      <c r="L5841" t="s">
        <v>16018</v>
      </c>
    </row>
    <row r="5842" spans="1:12" x14ac:dyDescent="0.25">
      <c r="A5842" t="s">
        <v>18</v>
      </c>
      <c r="B5842" t="s">
        <v>16018</v>
      </c>
      <c r="C5842" t="s">
        <v>16019</v>
      </c>
      <c r="D5842" t="s">
        <v>20</v>
      </c>
      <c r="E5842" t="s">
        <v>11</v>
      </c>
      <c r="F5842">
        <v>14099.184000000001</v>
      </c>
      <c r="G5842">
        <v>18</v>
      </c>
      <c r="L5842" t="s">
        <v>16020</v>
      </c>
    </row>
    <row r="5843" spans="1:12" x14ac:dyDescent="0.25">
      <c r="A5843" t="s">
        <v>18</v>
      </c>
      <c r="B5843" t="s">
        <v>16020</v>
      </c>
      <c r="C5843" t="s">
        <v>16021</v>
      </c>
      <c r="D5843" t="s">
        <v>20</v>
      </c>
      <c r="E5843" t="s">
        <v>11</v>
      </c>
      <c r="F5843">
        <v>8224.524</v>
      </c>
      <c r="G5843">
        <v>18</v>
      </c>
      <c r="L5843" t="s">
        <v>16022</v>
      </c>
    </row>
    <row r="5844" spans="1:12" x14ac:dyDescent="0.25">
      <c r="A5844" t="s">
        <v>18</v>
      </c>
      <c r="B5844" t="s">
        <v>16022</v>
      </c>
      <c r="C5844" t="s">
        <v>16023</v>
      </c>
      <c r="D5844" t="s">
        <v>20</v>
      </c>
      <c r="E5844" t="s">
        <v>11</v>
      </c>
      <c r="F5844">
        <v>2480.4120000000003</v>
      </c>
      <c r="G5844">
        <v>18</v>
      </c>
      <c r="L5844" t="s">
        <v>16024</v>
      </c>
    </row>
    <row r="5845" spans="1:12" x14ac:dyDescent="0.25">
      <c r="A5845" t="s">
        <v>18</v>
      </c>
      <c r="B5845" t="s">
        <v>16024</v>
      </c>
      <c r="C5845" t="s">
        <v>16025</v>
      </c>
      <c r="D5845" t="s">
        <v>20</v>
      </c>
      <c r="E5845" t="s">
        <v>11</v>
      </c>
      <c r="F5845">
        <v>2415.138</v>
      </c>
      <c r="G5845">
        <v>18</v>
      </c>
      <c r="L5845" t="s">
        <v>16026</v>
      </c>
    </row>
    <row r="5846" spans="1:12" x14ac:dyDescent="0.25">
      <c r="A5846" t="s">
        <v>18</v>
      </c>
      <c r="B5846" t="s">
        <v>16026</v>
      </c>
      <c r="C5846" t="s">
        <v>16027</v>
      </c>
      <c r="D5846" t="s">
        <v>20</v>
      </c>
      <c r="E5846" t="s">
        <v>11</v>
      </c>
      <c r="F5846">
        <v>19451.652</v>
      </c>
      <c r="G5846">
        <v>18</v>
      </c>
      <c r="L5846" t="s">
        <v>16028</v>
      </c>
    </row>
    <row r="5847" spans="1:12" x14ac:dyDescent="0.25">
      <c r="A5847" t="s">
        <v>18</v>
      </c>
      <c r="B5847" t="s">
        <v>16028</v>
      </c>
      <c r="C5847" t="s">
        <v>16029</v>
      </c>
      <c r="D5847" t="s">
        <v>20</v>
      </c>
      <c r="E5847" t="s">
        <v>11</v>
      </c>
      <c r="F5847">
        <v>21344.598</v>
      </c>
      <c r="G5847">
        <v>18</v>
      </c>
      <c r="L5847" t="s">
        <v>16030</v>
      </c>
    </row>
    <row r="5848" spans="1:12" x14ac:dyDescent="0.25">
      <c r="A5848" t="s">
        <v>18</v>
      </c>
      <c r="B5848" t="s">
        <v>16030</v>
      </c>
      <c r="C5848" t="s">
        <v>16031</v>
      </c>
      <c r="D5848" t="s">
        <v>20</v>
      </c>
      <c r="E5848" t="s">
        <v>11</v>
      </c>
      <c r="F5848">
        <v>1501.302</v>
      </c>
      <c r="G5848">
        <v>18</v>
      </c>
      <c r="L5848" t="s">
        <v>16032</v>
      </c>
    </row>
    <row r="5849" spans="1:12" x14ac:dyDescent="0.25">
      <c r="A5849" t="s">
        <v>18</v>
      </c>
      <c r="B5849" t="s">
        <v>16032</v>
      </c>
      <c r="C5849" t="s">
        <v>16033</v>
      </c>
      <c r="D5849" t="s">
        <v>20</v>
      </c>
      <c r="E5849" t="s">
        <v>11</v>
      </c>
      <c r="F5849">
        <v>2284.59</v>
      </c>
      <c r="G5849">
        <v>18</v>
      </c>
      <c r="L5849" t="s">
        <v>16034</v>
      </c>
    </row>
    <row r="5850" spans="1:12" x14ac:dyDescent="0.25">
      <c r="A5850" t="s">
        <v>18</v>
      </c>
      <c r="B5850" t="s">
        <v>16034</v>
      </c>
      <c r="C5850" t="s">
        <v>16035</v>
      </c>
      <c r="D5850" t="s">
        <v>20</v>
      </c>
      <c r="E5850" t="s">
        <v>11</v>
      </c>
      <c r="F5850">
        <v>2676.234</v>
      </c>
      <c r="G5850">
        <v>18</v>
      </c>
      <c r="L5850" t="s">
        <v>16036</v>
      </c>
    </row>
    <row r="5851" spans="1:12" x14ac:dyDescent="0.25">
      <c r="A5851" t="s">
        <v>18</v>
      </c>
      <c r="B5851" t="s">
        <v>16036</v>
      </c>
      <c r="C5851" t="s">
        <v>16037</v>
      </c>
      <c r="D5851" t="s">
        <v>20</v>
      </c>
      <c r="E5851" t="s">
        <v>11</v>
      </c>
      <c r="F5851">
        <v>3263.7</v>
      </c>
      <c r="G5851">
        <v>18</v>
      </c>
      <c r="L5851" t="s">
        <v>16038</v>
      </c>
    </row>
    <row r="5852" spans="1:12" x14ac:dyDescent="0.25">
      <c r="A5852" t="s">
        <v>18</v>
      </c>
      <c r="B5852" t="s">
        <v>16038</v>
      </c>
      <c r="C5852" t="s">
        <v>16039</v>
      </c>
      <c r="D5852" t="s">
        <v>20</v>
      </c>
      <c r="E5852" t="s">
        <v>11</v>
      </c>
      <c r="F5852">
        <v>3655.344</v>
      </c>
      <c r="G5852">
        <v>18</v>
      </c>
      <c r="L5852" t="s">
        <v>16040</v>
      </c>
    </row>
    <row r="5853" spans="1:12" x14ac:dyDescent="0.25">
      <c r="A5853" t="s">
        <v>18</v>
      </c>
      <c r="B5853" t="s">
        <v>16040</v>
      </c>
      <c r="C5853" t="s">
        <v>16041</v>
      </c>
      <c r="D5853" t="s">
        <v>20</v>
      </c>
      <c r="E5853" t="s">
        <v>11</v>
      </c>
      <c r="F5853">
        <v>2676.234</v>
      </c>
      <c r="G5853">
        <v>18</v>
      </c>
      <c r="L5853" t="s">
        <v>16042</v>
      </c>
    </row>
    <row r="5854" spans="1:12" x14ac:dyDescent="0.25">
      <c r="A5854" t="s">
        <v>18</v>
      </c>
      <c r="B5854" t="s">
        <v>16042</v>
      </c>
      <c r="C5854" t="s">
        <v>16043</v>
      </c>
      <c r="D5854" t="s">
        <v>20</v>
      </c>
      <c r="E5854" t="s">
        <v>11</v>
      </c>
      <c r="F5854">
        <v>5091.371999999999</v>
      </c>
      <c r="G5854">
        <v>18</v>
      </c>
      <c r="L5854" t="s">
        <v>16044</v>
      </c>
    </row>
    <row r="5855" spans="1:12" x14ac:dyDescent="0.25">
      <c r="A5855" t="s">
        <v>18</v>
      </c>
      <c r="B5855" t="s">
        <v>16044</v>
      </c>
      <c r="C5855" t="s">
        <v>16045</v>
      </c>
      <c r="D5855" t="s">
        <v>20</v>
      </c>
      <c r="E5855" t="s">
        <v>11</v>
      </c>
      <c r="F5855">
        <v>14164.457999999999</v>
      </c>
      <c r="G5855">
        <v>18</v>
      </c>
      <c r="L5855" t="s">
        <v>16046</v>
      </c>
    </row>
    <row r="5856" spans="1:12" x14ac:dyDescent="0.25">
      <c r="A5856" t="s">
        <v>18</v>
      </c>
      <c r="B5856" t="s">
        <v>16046</v>
      </c>
      <c r="C5856" t="s">
        <v>16047</v>
      </c>
      <c r="D5856" t="s">
        <v>20</v>
      </c>
      <c r="E5856" t="s">
        <v>11</v>
      </c>
      <c r="F5856">
        <v>14164.457999999999</v>
      </c>
      <c r="G5856">
        <v>18</v>
      </c>
      <c r="L5856" t="s">
        <v>16048</v>
      </c>
    </row>
    <row r="5857" spans="1:12" x14ac:dyDescent="0.25">
      <c r="A5857" t="s">
        <v>18</v>
      </c>
      <c r="B5857" t="s">
        <v>16048</v>
      </c>
      <c r="C5857" t="s">
        <v>16049</v>
      </c>
      <c r="D5857" t="s">
        <v>20</v>
      </c>
      <c r="E5857" t="s">
        <v>11</v>
      </c>
      <c r="F5857">
        <v>14164.457999999999</v>
      </c>
      <c r="G5857">
        <v>18</v>
      </c>
      <c r="L5857" t="s">
        <v>16050</v>
      </c>
    </row>
    <row r="5858" spans="1:12" x14ac:dyDescent="0.25">
      <c r="A5858" t="s">
        <v>18</v>
      </c>
      <c r="B5858" t="s">
        <v>16050</v>
      </c>
      <c r="C5858" t="s">
        <v>16051</v>
      </c>
      <c r="D5858" t="s">
        <v>20</v>
      </c>
      <c r="E5858" t="s">
        <v>11</v>
      </c>
      <c r="F5858">
        <v>14164.457999999999</v>
      </c>
      <c r="G5858">
        <v>18</v>
      </c>
      <c r="L5858" t="s">
        <v>16052</v>
      </c>
    </row>
    <row r="5859" spans="1:12" x14ac:dyDescent="0.25">
      <c r="A5859" t="s">
        <v>18</v>
      </c>
      <c r="B5859" t="s">
        <v>16052</v>
      </c>
      <c r="C5859" t="s">
        <v>16053</v>
      </c>
      <c r="D5859" t="s">
        <v>20</v>
      </c>
      <c r="E5859" t="s">
        <v>11</v>
      </c>
      <c r="F5859">
        <v>1827.672</v>
      </c>
      <c r="G5859">
        <v>18</v>
      </c>
      <c r="L5859" t="s">
        <v>16054</v>
      </c>
    </row>
    <row r="5860" spans="1:12" x14ac:dyDescent="0.25">
      <c r="A5860" t="s">
        <v>18</v>
      </c>
      <c r="B5860" t="s">
        <v>16054</v>
      </c>
      <c r="C5860" t="s">
        <v>16055</v>
      </c>
      <c r="D5860" t="s">
        <v>20</v>
      </c>
      <c r="E5860" t="s">
        <v>11</v>
      </c>
      <c r="F5860">
        <v>17623.98</v>
      </c>
      <c r="G5860">
        <v>18</v>
      </c>
      <c r="L5860" t="s">
        <v>16056</v>
      </c>
    </row>
    <row r="5861" spans="1:12" x14ac:dyDescent="0.25">
      <c r="A5861" t="s">
        <v>18</v>
      </c>
      <c r="B5861" t="s">
        <v>16056</v>
      </c>
      <c r="C5861" t="s">
        <v>16057</v>
      </c>
      <c r="D5861" t="s">
        <v>20</v>
      </c>
      <c r="E5861" t="s">
        <v>11</v>
      </c>
      <c r="F5861">
        <v>15535.211999999998</v>
      </c>
      <c r="G5861">
        <v>18</v>
      </c>
      <c r="L5861" t="s">
        <v>16058</v>
      </c>
    </row>
    <row r="5862" spans="1:12" x14ac:dyDescent="0.25">
      <c r="A5862" t="s">
        <v>18</v>
      </c>
      <c r="B5862" t="s">
        <v>16058</v>
      </c>
      <c r="C5862" t="s">
        <v>16059</v>
      </c>
      <c r="D5862" t="s">
        <v>20</v>
      </c>
      <c r="E5862" t="s">
        <v>11</v>
      </c>
      <c r="F5862">
        <v>16449.048</v>
      </c>
      <c r="G5862">
        <v>18</v>
      </c>
      <c r="L5862" t="s">
        <v>16060</v>
      </c>
    </row>
    <row r="5863" spans="1:12" x14ac:dyDescent="0.25">
      <c r="A5863" t="s">
        <v>18</v>
      </c>
      <c r="B5863" t="s">
        <v>16060</v>
      </c>
      <c r="C5863" t="s">
        <v>16061</v>
      </c>
      <c r="D5863" t="s">
        <v>20</v>
      </c>
      <c r="E5863" t="s">
        <v>11</v>
      </c>
      <c r="F5863">
        <v>10966.032</v>
      </c>
      <c r="G5863">
        <v>18</v>
      </c>
      <c r="L5863" t="s">
        <v>16062</v>
      </c>
    </row>
    <row r="5864" spans="1:12" x14ac:dyDescent="0.25">
      <c r="A5864" t="s">
        <v>18</v>
      </c>
      <c r="B5864" t="s">
        <v>16062</v>
      </c>
      <c r="C5864" t="s">
        <v>16063</v>
      </c>
      <c r="D5864" t="s">
        <v>20</v>
      </c>
      <c r="E5864" t="s">
        <v>11</v>
      </c>
      <c r="F5864">
        <v>9530.003999999999</v>
      </c>
      <c r="G5864">
        <v>18</v>
      </c>
      <c r="L5864" t="s">
        <v>16064</v>
      </c>
    </row>
    <row r="5865" spans="1:12" x14ac:dyDescent="0.25">
      <c r="A5865" t="s">
        <v>18</v>
      </c>
      <c r="B5865" t="s">
        <v>16064</v>
      </c>
      <c r="C5865" t="s">
        <v>16065</v>
      </c>
      <c r="D5865" t="s">
        <v>20</v>
      </c>
      <c r="E5865" t="s">
        <v>11</v>
      </c>
      <c r="F5865">
        <v>7898.1539999999995</v>
      </c>
      <c r="G5865">
        <v>18</v>
      </c>
      <c r="L5865" t="s">
        <v>16066</v>
      </c>
    </row>
    <row r="5866" spans="1:12" x14ac:dyDescent="0.25">
      <c r="A5866" t="s">
        <v>18</v>
      </c>
      <c r="B5866" t="s">
        <v>16066</v>
      </c>
      <c r="C5866" t="s">
        <v>16067</v>
      </c>
      <c r="D5866" t="s">
        <v>20</v>
      </c>
      <c r="E5866" t="s">
        <v>11</v>
      </c>
      <c r="F5866">
        <v>8355.072</v>
      </c>
      <c r="G5866">
        <v>18</v>
      </c>
      <c r="L5866" t="s">
        <v>16068</v>
      </c>
    </row>
    <row r="5867" spans="1:12" x14ac:dyDescent="0.25">
      <c r="A5867" t="s">
        <v>18</v>
      </c>
      <c r="B5867" t="s">
        <v>16068</v>
      </c>
      <c r="C5867" t="s">
        <v>16069</v>
      </c>
      <c r="D5867" t="s">
        <v>20</v>
      </c>
      <c r="E5867" t="s">
        <v>11</v>
      </c>
      <c r="F5867">
        <v>8289.797999999999</v>
      </c>
      <c r="G5867">
        <v>18</v>
      </c>
      <c r="L5867" t="s">
        <v>16070</v>
      </c>
    </row>
    <row r="5868" spans="1:12" x14ac:dyDescent="0.25">
      <c r="A5868" t="s">
        <v>18</v>
      </c>
      <c r="B5868" t="s">
        <v>16070</v>
      </c>
      <c r="C5868" t="s">
        <v>16071</v>
      </c>
      <c r="D5868" t="s">
        <v>20</v>
      </c>
      <c r="E5868" t="s">
        <v>11</v>
      </c>
      <c r="F5868">
        <v>9921.648000000001</v>
      </c>
      <c r="G5868">
        <v>18</v>
      </c>
      <c r="L5868" t="s">
        <v>16072</v>
      </c>
    </row>
    <row r="5869" spans="1:12" x14ac:dyDescent="0.25">
      <c r="A5869" t="s">
        <v>18</v>
      </c>
      <c r="B5869" t="s">
        <v>16072</v>
      </c>
      <c r="C5869" t="s">
        <v>16073</v>
      </c>
      <c r="D5869" t="s">
        <v>20</v>
      </c>
      <c r="E5869" t="s">
        <v>11</v>
      </c>
      <c r="F5869">
        <v>28002.545999999995</v>
      </c>
      <c r="G5869">
        <v>18</v>
      </c>
      <c r="L5869" t="s">
        <v>16074</v>
      </c>
    </row>
    <row r="5870" spans="1:12" x14ac:dyDescent="0.25">
      <c r="A5870" t="s">
        <v>18</v>
      </c>
      <c r="B5870" t="s">
        <v>16074</v>
      </c>
      <c r="C5870" t="s">
        <v>16075</v>
      </c>
      <c r="D5870" t="s">
        <v>20</v>
      </c>
      <c r="E5870" t="s">
        <v>11</v>
      </c>
      <c r="F5870">
        <v>4699.727999999999</v>
      </c>
      <c r="G5870">
        <v>18</v>
      </c>
      <c r="L5870" t="s">
        <v>16076</v>
      </c>
    </row>
    <row r="5871" spans="1:12" x14ac:dyDescent="0.25">
      <c r="A5871" t="s">
        <v>18</v>
      </c>
      <c r="B5871" t="s">
        <v>16076</v>
      </c>
      <c r="C5871" t="s">
        <v>16077</v>
      </c>
      <c r="D5871" t="s">
        <v>20</v>
      </c>
      <c r="E5871" t="s">
        <v>11</v>
      </c>
      <c r="F5871">
        <v>50391.528</v>
      </c>
      <c r="G5871">
        <v>18</v>
      </c>
      <c r="L5871" t="s">
        <v>16078</v>
      </c>
    </row>
    <row r="5872" spans="1:12" x14ac:dyDescent="0.25">
      <c r="A5872" t="s">
        <v>18</v>
      </c>
      <c r="B5872" t="s">
        <v>16078</v>
      </c>
      <c r="C5872" t="s">
        <v>16079</v>
      </c>
      <c r="D5872" t="s">
        <v>20</v>
      </c>
      <c r="E5872" t="s">
        <v>11</v>
      </c>
      <c r="F5872">
        <v>1631.85</v>
      </c>
      <c r="G5872">
        <v>18</v>
      </c>
      <c r="L5872" t="s">
        <v>16080</v>
      </c>
    </row>
    <row r="5873" spans="1:12" x14ac:dyDescent="0.25">
      <c r="A5873" t="s">
        <v>18</v>
      </c>
      <c r="B5873" t="s">
        <v>16080</v>
      </c>
      <c r="C5873" t="s">
        <v>16081</v>
      </c>
      <c r="D5873" t="s">
        <v>20</v>
      </c>
      <c r="E5873" t="s">
        <v>11</v>
      </c>
      <c r="F5873">
        <v>43276.662</v>
      </c>
      <c r="G5873">
        <v>18</v>
      </c>
      <c r="L5873" t="s">
        <v>16082</v>
      </c>
    </row>
    <row r="5874" spans="1:12" x14ac:dyDescent="0.25">
      <c r="A5874" t="s">
        <v>18</v>
      </c>
      <c r="B5874" t="s">
        <v>16082</v>
      </c>
      <c r="C5874" t="s">
        <v>16083</v>
      </c>
      <c r="D5874" t="s">
        <v>20</v>
      </c>
      <c r="E5874" t="s">
        <v>11</v>
      </c>
      <c r="F5874">
        <v>1958.22</v>
      </c>
      <c r="G5874">
        <v>18</v>
      </c>
      <c r="L5874" t="s">
        <v>16084</v>
      </c>
    </row>
    <row r="5875" spans="1:12" x14ac:dyDescent="0.25">
      <c r="A5875" t="s">
        <v>18</v>
      </c>
      <c r="B5875" t="s">
        <v>16084</v>
      </c>
      <c r="C5875" t="s">
        <v>16085</v>
      </c>
      <c r="D5875" t="s">
        <v>20</v>
      </c>
      <c r="E5875" t="s">
        <v>11</v>
      </c>
      <c r="F5875">
        <v>456.918</v>
      </c>
      <c r="G5875">
        <v>18</v>
      </c>
      <c r="L5875" t="s">
        <v>16086</v>
      </c>
    </row>
    <row r="5876" spans="1:12" x14ac:dyDescent="0.25">
      <c r="A5876" t="s">
        <v>18</v>
      </c>
      <c r="B5876" t="s">
        <v>16086</v>
      </c>
      <c r="C5876" t="s">
        <v>16087</v>
      </c>
      <c r="D5876" t="s">
        <v>20</v>
      </c>
      <c r="E5876" t="s">
        <v>11</v>
      </c>
      <c r="F5876">
        <v>61553.382</v>
      </c>
      <c r="G5876">
        <v>18</v>
      </c>
      <c r="L5876" t="s">
        <v>16088</v>
      </c>
    </row>
    <row r="5877" spans="1:12" x14ac:dyDescent="0.25">
      <c r="A5877" t="s">
        <v>18</v>
      </c>
      <c r="B5877" t="s">
        <v>16088</v>
      </c>
      <c r="C5877" t="s">
        <v>16089</v>
      </c>
      <c r="D5877" t="s">
        <v>20</v>
      </c>
      <c r="E5877" t="s">
        <v>11</v>
      </c>
      <c r="F5877">
        <v>61031.19</v>
      </c>
      <c r="G5877">
        <v>18</v>
      </c>
      <c r="L5877" t="s">
        <v>16090</v>
      </c>
    </row>
    <row r="5878" spans="1:12" x14ac:dyDescent="0.25">
      <c r="A5878" t="s">
        <v>18</v>
      </c>
      <c r="B5878" t="s">
        <v>16090</v>
      </c>
      <c r="C5878" t="s">
        <v>16091</v>
      </c>
      <c r="D5878" t="s">
        <v>20</v>
      </c>
      <c r="E5878" t="s">
        <v>11</v>
      </c>
      <c r="F5878">
        <v>6331.5779999999995</v>
      </c>
      <c r="G5878">
        <v>18</v>
      </c>
      <c r="L5878" t="s">
        <v>16092</v>
      </c>
    </row>
    <row r="5879" spans="1:12" x14ac:dyDescent="0.25">
      <c r="A5879" t="s">
        <v>18</v>
      </c>
      <c r="B5879" t="s">
        <v>16092</v>
      </c>
      <c r="C5879" t="s">
        <v>16093</v>
      </c>
      <c r="D5879" t="s">
        <v>20</v>
      </c>
      <c r="E5879" t="s">
        <v>11</v>
      </c>
      <c r="F5879">
        <v>6331.5779999999995</v>
      </c>
      <c r="G5879">
        <v>18</v>
      </c>
      <c r="L5879" t="s">
        <v>16094</v>
      </c>
    </row>
    <row r="5880" spans="1:12" x14ac:dyDescent="0.25">
      <c r="A5880" t="s">
        <v>18</v>
      </c>
      <c r="B5880" t="s">
        <v>16094</v>
      </c>
      <c r="C5880" t="s">
        <v>16095</v>
      </c>
      <c r="D5880" t="s">
        <v>20</v>
      </c>
      <c r="E5880" t="s">
        <v>11</v>
      </c>
      <c r="F5880">
        <v>6331.5779999999995</v>
      </c>
      <c r="G5880">
        <v>18</v>
      </c>
      <c r="L5880" t="s">
        <v>16096</v>
      </c>
    </row>
    <row r="5881" spans="1:12" x14ac:dyDescent="0.25">
      <c r="A5881" t="s">
        <v>18</v>
      </c>
      <c r="B5881" t="s">
        <v>16096</v>
      </c>
      <c r="C5881" t="s">
        <v>16097</v>
      </c>
      <c r="D5881" t="s">
        <v>20</v>
      </c>
      <c r="E5881" t="s">
        <v>11</v>
      </c>
      <c r="F5881">
        <v>6331.5779999999995</v>
      </c>
      <c r="G5881">
        <v>18</v>
      </c>
      <c r="L5881" t="s">
        <v>16098</v>
      </c>
    </row>
    <row r="5882" spans="1:12" x14ac:dyDescent="0.25">
      <c r="A5882" t="s">
        <v>18</v>
      </c>
      <c r="B5882" t="s">
        <v>16098</v>
      </c>
      <c r="C5882" t="s">
        <v>16099</v>
      </c>
      <c r="D5882" t="s">
        <v>20</v>
      </c>
      <c r="E5882" t="s">
        <v>11</v>
      </c>
      <c r="F5882">
        <v>6331.5779999999995</v>
      </c>
      <c r="G5882">
        <v>18</v>
      </c>
      <c r="L5882" t="s">
        <v>16100</v>
      </c>
    </row>
    <row r="5883" spans="1:12" x14ac:dyDescent="0.25">
      <c r="A5883" t="s">
        <v>18</v>
      </c>
      <c r="B5883" t="s">
        <v>16100</v>
      </c>
      <c r="C5883" t="s">
        <v>16101</v>
      </c>
      <c r="D5883" t="s">
        <v>20</v>
      </c>
      <c r="E5883" t="s">
        <v>11</v>
      </c>
      <c r="F5883">
        <v>6331.5779999999995</v>
      </c>
      <c r="G5883">
        <v>18</v>
      </c>
      <c r="L5883" t="s">
        <v>16102</v>
      </c>
    </row>
    <row r="5884" spans="1:12" x14ac:dyDescent="0.25">
      <c r="A5884" t="s">
        <v>18</v>
      </c>
      <c r="B5884" t="s">
        <v>16102</v>
      </c>
      <c r="C5884" t="s">
        <v>16103</v>
      </c>
      <c r="D5884" t="s">
        <v>20</v>
      </c>
      <c r="E5884" t="s">
        <v>11</v>
      </c>
      <c r="F5884">
        <v>6331.5779999999995</v>
      </c>
      <c r="G5884">
        <v>18</v>
      </c>
      <c r="L5884" t="s">
        <v>16104</v>
      </c>
    </row>
    <row r="5885" spans="1:12" x14ac:dyDescent="0.25">
      <c r="A5885" t="s">
        <v>18</v>
      </c>
      <c r="B5885" t="s">
        <v>16104</v>
      </c>
      <c r="C5885" t="s">
        <v>16105</v>
      </c>
      <c r="D5885" t="s">
        <v>20</v>
      </c>
      <c r="E5885" t="s">
        <v>11</v>
      </c>
      <c r="F5885">
        <v>6331.5779999999995</v>
      </c>
      <c r="G5885">
        <v>18</v>
      </c>
      <c r="L5885" t="s">
        <v>16106</v>
      </c>
    </row>
    <row r="5886" spans="1:12" x14ac:dyDescent="0.25">
      <c r="A5886" t="s">
        <v>18</v>
      </c>
      <c r="B5886" t="s">
        <v>16106</v>
      </c>
      <c r="C5886" t="s">
        <v>16107</v>
      </c>
      <c r="D5886" t="s">
        <v>20</v>
      </c>
      <c r="E5886" t="s">
        <v>11</v>
      </c>
      <c r="F5886">
        <v>6331.5779999999995</v>
      </c>
      <c r="G5886">
        <v>18</v>
      </c>
      <c r="L5886" t="s">
        <v>16108</v>
      </c>
    </row>
    <row r="5887" spans="1:12" x14ac:dyDescent="0.25">
      <c r="A5887" t="s">
        <v>18</v>
      </c>
      <c r="B5887" t="s">
        <v>16108</v>
      </c>
      <c r="C5887" t="s">
        <v>16109</v>
      </c>
      <c r="D5887" t="s">
        <v>20</v>
      </c>
      <c r="E5887" t="s">
        <v>11</v>
      </c>
      <c r="F5887">
        <v>6331.5779999999995</v>
      </c>
      <c r="G5887">
        <v>18</v>
      </c>
      <c r="L5887" t="s">
        <v>16110</v>
      </c>
    </row>
    <row r="5888" spans="1:12" x14ac:dyDescent="0.25">
      <c r="A5888" t="s">
        <v>18</v>
      </c>
      <c r="B5888" t="s">
        <v>16110</v>
      </c>
      <c r="C5888" t="s">
        <v>16111</v>
      </c>
      <c r="D5888" t="s">
        <v>20</v>
      </c>
      <c r="E5888" t="s">
        <v>11</v>
      </c>
      <c r="F5888">
        <v>6331.5779999999995</v>
      </c>
      <c r="G5888">
        <v>18</v>
      </c>
      <c r="L5888" t="s">
        <v>16112</v>
      </c>
    </row>
    <row r="5889" spans="1:12" x14ac:dyDescent="0.25">
      <c r="A5889" t="s">
        <v>18</v>
      </c>
      <c r="B5889" t="s">
        <v>16112</v>
      </c>
      <c r="C5889" t="s">
        <v>16113</v>
      </c>
      <c r="D5889" t="s">
        <v>20</v>
      </c>
      <c r="E5889" t="s">
        <v>11</v>
      </c>
      <c r="F5889">
        <v>6331.5779999999995</v>
      </c>
      <c r="G5889">
        <v>18</v>
      </c>
      <c r="L5889" t="s">
        <v>16114</v>
      </c>
    </row>
    <row r="5890" spans="1:12" x14ac:dyDescent="0.25">
      <c r="A5890" t="s">
        <v>18</v>
      </c>
      <c r="B5890" t="s">
        <v>16114</v>
      </c>
      <c r="C5890" t="s">
        <v>16115</v>
      </c>
      <c r="D5890" t="s">
        <v>20</v>
      </c>
      <c r="E5890" t="s">
        <v>11</v>
      </c>
      <c r="F5890">
        <v>6331.5779999999995</v>
      </c>
      <c r="G5890">
        <v>18</v>
      </c>
      <c r="L5890" t="s">
        <v>16116</v>
      </c>
    </row>
    <row r="5891" spans="1:12" x14ac:dyDescent="0.25">
      <c r="A5891" t="s">
        <v>18</v>
      </c>
      <c r="B5891" t="s">
        <v>16116</v>
      </c>
      <c r="C5891" t="s">
        <v>16117</v>
      </c>
      <c r="D5891" t="s">
        <v>20</v>
      </c>
      <c r="E5891" t="s">
        <v>11</v>
      </c>
      <c r="F5891">
        <v>6331.5779999999995</v>
      </c>
      <c r="G5891">
        <v>18</v>
      </c>
      <c r="L5891" t="s">
        <v>16118</v>
      </c>
    </row>
    <row r="5892" spans="1:12" x14ac:dyDescent="0.25">
      <c r="A5892" t="s">
        <v>18</v>
      </c>
      <c r="B5892" t="s">
        <v>16118</v>
      </c>
      <c r="C5892" t="s">
        <v>16119</v>
      </c>
      <c r="D5892" t="s">
        <v>20</v>
      </c>
      <c r="E5892" t="s">
        <v>11</v>
      </c>
      <c r="F5892">
        <v>6331.5779999999995</v>
      </c>
      <c r="G5892">
        <v>18</v>
      </c>
      <c r="L5892" t="s">
        <v>16120</v>
      </c>
    </row>
    <row r="5893" spans="1:12" x14ac:dyDescent="0.25">
      <c r="A5893" t="s">
        <v>18</v>
      </c>
      <c r="B5893" t="s">
        <v>16120</v>
      </c>
      <c r="C5893" t="s">
        <v>16121</v>
      </c>
      <c r="D5893" t="s">
        <v>20</v>
      </c>
      <c r="E5893" t="s">
        <v>11</v>
      </c>
      <c r="F5893">
        <v>6331.5779999999995</v>
      </c>
      <c r="G5893">
        <v>18</v>
      </c>
      <c r="L5893" t="s">
        <v>16122</v>
      </c>
    </row>
    <row r="5894" spans="1:12" x14ac:dyDescent="0.25">
      <c r="A5894" t="s">
        <v>18</v>
      </c>
      <c r="B5894" t="s">
        <v>16122</v>
      </c>
      <c r="C5894" t="s">
        <v>16123</v>
      </c>
      <c r="D5894" t="s">
        <v>20</v>
      </c>
      <c r="E5894" t="s">
        <v>11</v>
      </c>
      <c r="F5894">
        <v>1436.028</v>
      </c>
      <c r="G5894">
        <v>18</v>
      </c>
      <c r="L5894" t="s">
        <v>16124</v>
      </c>
    </row>
    <row r="5895" spans="1:12" x14ac:dyDescent="0.25">
      <c r="A5895" t="s">
        <v>18</v>
      </c>
      <c r="B5895" t="s">
        <v>16124</v>
      </c>
      <c r="C5895" t="s">
        <v>16125</v>
      </c>
      <c r="D5895" t="s">
        <v>20</v>
      </c>
      <c r="E5895" t="s">
        <v>11</v>
      </c>
      <c r="F5895">
        <v>7767.605999999999</v>
      </c>
      <c r="G5895">
        <v>18</v>
      </c>
      <c r="L5895" t="s">
        <v>16126</v>
      </c>
    </row>
    <row r="5896" spans="1:12" x14ac:dyDescent="0.25">
      <c r="A5896" t="s">
        <v>18</v>
      </c>
      <c r="B5896" t="s">
        <v>16126</v>
      </c>
      <c r="C5896" t="s">
        <v>16127</v>
      </c>
      <c r="D5896" t="s">
        <v>20</v>
      </c>
      <c r="E5896" t="s">
        <v>11</v>
      </c>
      <c r="F5896">
        <v>7767.605999999999</v>
      </c>
      <c r="G5896">
        <v>18</v>
      </c>
      <c r="L5896" t="s">
        <v>16128</v>
      </c>
    </row>
    <row r="5897" spans="1:12" x14ac:dyDescent="0.25">
      <c r="A5897" t="s">
        <v>18</v>
      </c>
      <c r="B5897" t="s">
        <v>16128</v>
      </c>
      <c r="C5897" t="s">
        <v>16129</v>
      </c>
      <c r="D5897" t="s">
        <v>20</v>
      </c>
      <c r="E5897" t="s">
        <v>11</v>
      </c>
      <c r="F5897">
        <v>4699.727999999999</v>
      </c>
      <c r="G5897">
        <v>18</v>
      </c>
      <c r="L5897" t="s">
        <v>16130</v>
      </c>
    </row>
    <row r="5898" spans="1:12" x14ac:dyDescent="0.25">
      <c r="A5898" t="s">
        <v>18</v>
      </c>
      <c r="B5898" t="s">
        <v>16130</v>
      </c>
      <c r="C5898" t="s">
        <v>16131</v>
      </c>
      <c r="D5898" t="s">
        <v>20</v>
      </c>
      <c r="E5898" t="s">
        <v>11</v>
      </c>
      <c r="F5898">
        <v>24869.393999999997</v>
      </c>
      <c r="G5898">
        <v>18</v>
      </c>
      <c r="L5898" t="s">
        <v>16132</v>
      </c>
    </row>
    <row r="5899" spans="1:12" x14ac:dyDescent="0.25">
      <c r="A5899" t="s">
        <v>18</v>
      </c>
      <c r="B5899" t="s">
        <v>16132</v>
      </c>
      <c r="C5899" t="s">
        <v>16133</v>
      </c>
      <c r="D5899" t="s">
        <v>20</v>
      </c>
      <c r="E5899" t="s">
        <v>11</v>
      </c>
      <c r="F5899">
        <v>24869.393999999997</v>
      </c>
      <c r="G5899">
        <v>18</v>
      </c>
      <c r="L5899" t="s">
        <v>16134</v>
      </c>
    </row>
    <row r="5900" spans="1:12" x14ac:dyDescent="0.25">
      <c r="A5900" t="s">
        <v>18</v>
      </c>
      <c r="B5900" t="s">
        <v>16134</v>
      </c>
      <c r="C5900" t="s">
        <v>16135</v>
      </c>
      <c r="D5900" t="s">
        <v>20</v>
      </c>
      <c r="E5900" t="s">
        <v>11</v>
      </c>
      <c r="F5900">
        <v>70234.824</v>
      </c>
      <c r="G5900">
        <v>18</v>
      </c>
      <c r="L5900" t="s">
        <v>16136</v>
      </c>
    </row>
    <row r="5901" spans="1:12" x14ac:dyDescent="0.25">
      <c r="A5901" t="s">
        <v>18</v>
      </c>
      <c r="B5901" t="s">
        <v>16136</v>
      </c>
      <c r="C5901" t="s">
        <v>16137</v>
      </c>
      <c r="D5901" t="s">
        <v>20</v>
      </c>
      <c r="E5901" t="s">
        <v>11</v>
      </c>
      <c r="F5901">
        <v>116775.18599999999</v>
      </c>
      <c r="G5901">
        <v>18</v>
      </c>
      <c r="L5901" t="s">
        <v>16138</v>
      </c>
    </row>
    <row r="5902" spans="1:12" x14ac:dyDescent="0.25">
      <c r="A5902" t="s">
        <v>18</v>
      </c>
      <c r="B5902" t="s">
        <v>16138</v>
      </c>
      <c r="C5902" t="s">
        <v>16139</v>
      </c>
      <c r="D5902" t="s">
        <v>20</v>
      </c>
      <c r="E5902" t="s">
        <v>11</v>
      </c>
      <c r="F5902">
        <v>49738.78799999999</v>
      </c>
      <c r="G5902">
        <v>18</v>
      </c>
      <c r="L5902" t="s">
        <v>16140</v>
      </c>
    </row>
    <row r="5903" spans="1:12" x14ac:dyDescent="0.25">
      <c r="A5903" t="s">
        <v>18</v>
      </c>
      <c r="B5903" t="s">
        <v>16140</v>
      </c>
      <c r="C5903" t="s">
        <v>16141</v>
      </c>
      <c r="D5903" t="s">
        <v>20</v>
      </c>
      <c r="E5903" t="s">
        <v>11</v>
      </c>
      <c r="F5903">
        <v>45952.896</v>
      </c>
      <c r="G5903">
        <v>18</v>
      </c>
      <c r="L5903" t="s">
        <v>16142</v>
      </c>
    </row>
    <row r="5904" spans="1:12" x14ac:dyDescent="0.25">
      <c r="A5904" t="s">
        <v>18</v>
      </c>
      <c r="B5904" t="s">
        <v>16142</v>
      </c>
      <c r="C5904" t="s">
        <v>16143</v>
      </c>
      <c r="D5904" t="s">
        <v>20</v>
      </c>
      <c r="E5904" t="s">
        <v>11</v>
      </c>
      <c r="F5904">
        <v>97258.26000000001</v>
      </c>
      <c r="G5904">
        <v>18</v>
      </c>
      <c r="L5904" t="s">
        <v>16144</v>
      </c>
    </row>
    <row r="5905" spans="1:12" x14ac:dyDescent="0.25">
      <c r="A5905" t="s">
        <v>18</v>
      </c>
      <c r="B5905" t="s">
        <v>16144</v>
      </c>
      <c r="C5905" t="s">
        <v>16145</v>
      </c>
      <c r="D5905" t="s">
        <v>20</v>
      </c>
      <c r="E5905" t="s">
        <v>11</v>
      </c>
      <c r="F5905">
        <v>39294.94799999999</v>
      </c>
      <c r="G5905">
        <v>18</v>
      </c>
      <c r="L5905" t="s">
        <v>16146</v>
      </c>
    </row>
    <row r="5906" spans="1:12" x14ac:dyDescent="0.25">
      <c r="A5906" t="s">
        <v>18</v>
      </c>
      <c r="B5906" t="s">
        <v>16146</v>
      </c>
      <c r="C5906" t="s">
        <v>16147</v>
      </c>
      <c r="D5906" t="s">
        <v>20</v>
      </c>
      <c r="E5906" t="s">
        <v>11</v>
      </c>
      <c r="F5906">
        <v>66644.754</v>
      </c>
      <c r="G5906">
        <v>18</v>
      </c>
      <c r="L5906" t="s">
        <v>16148</v>
      </c>
    </row>
    <row r="5907" spans="1:12" x14ac:dyDescent="0.25">
      <c r="A5907" t="s">
        <v>18</v>
      </c>
      <c r="B5907" t="s">
        <v>16148</v>
      </c>
      <c r="C5907" t="s">
        <v>16149</v>
      </c>
      <c r="D5907" t="s">
        <v>20</v>
      </c>
      <c r="E5907" t="s">
        <v>11</v>
      </c>
      <c r="F5907">
        <v>23106.995999999996</v>
      </c>
      <c r="G5907">
        <v>18</v>
      </c>
      <c r="L5907" t="s">
        <v>16150</v>
      </c>
    </row>
    <row r="5908" spans="1:12" x14ac:dyDescent="0.25">
      <c r="A5908" t="s">
        <v>18</v>
      </c>
      <c r="B5908" t="s">
        <v>16150</v>
      </c>
      <c r="C5908" t="s">
        <v>16151</v>
      </c>
      <c r="D5908" t="s">
        <v>20</v>
      </c>
      <c r="E5908" t="s">
        <v>11</v>
      </c>
      <c r="F5908">
        <v>22062.611999999997</v>
      </c>
      <c r="G5908">
        <v>18</v>
      </c>
      <c r="L5908" t="s">
        <v>16152</v>
      </c>
    </row>
    <row r="5909" spans="1:12" x14ac:dyDescent="0.25">
      <c r="A5909" t="s">
        <v>18</v>
      </c>
      <c r="B5909" t="s">
        <v>16152</v>
      </c>
      <c r="C5909" t="s">
        <v>16153</v>
      </c>
      <c r="D5909" t="s">
        <v>20</v>
      </c>
      <c r="E5909" t="s">
        <v>11</v>
      </c>
      <c r="F5909">
        <v>22062.611999999997</v>
      </c>
      <c r="G5909">
        <v>18</v>
      </c>
      <c r="L5909" t="s">
        <v>16154</v>
      </c>
    </row>
    <row r="5910" spans="1:12" x14ac:dyDescent="0.25">
      <c r="A5910" t="s">
        <v>18</v>
      </c>
      <c r="B5910" t="s">
        <v>16154</v>
      </c>
      <c r="C5910" t="s">
        <v>16155</v>
      </c>
      <c r="D5910" t="s">
        <v>20</v>
      </c>
      <c r="E5910" t="s">
        <v>11</v>
      </c>
      <c r="F5910">
        <v>18341.994000000002</v>
      </c>
      <c r="G5910">
        <v>18</v>
      </c>
      <c r="L5910" t="s">
        <v>16156</v>
      </c>
    </row>
    <row r="5911" spans="1:12" x14ac:dyDescent="0.25">
      <c r="A5911" t="s">
        <v>18</v>
      </c>
      <c r="B5911" t="s">
        <v>16156</v>
      </c>
      <c r="C5911" t="s">
        <v>16157</v>
      </c>
      <c r="D5911" t="s">
        <v>20</v>
      </c>
      <c r="E5911" t="s">
        <v>11</v>
      </c>
      <c r="F5911">
        <v>18341.994000000002</v>
      </c>
      <c r="G5911">
        <v>18</v>
      </c>
      <c r="L5911" t="s">
        <v>16158</v>
      </c>
    </row>
    <row r="5912" spans="1:12" x14ac:dyDescent="0.25">
      <c r="A5912" t="s">
        <v>18</v>
      </c>
      <c r="B5912" t="s">
        <v>16158</v>
      </c>
      <c r="C5912" t="s">
        <v>16159</v>
      </c>
      <c r="D5912" t="s">
        <v>20</v>
      </c>
      <c r="E5912" t="s">
        <v>11</v>
      </c>
      <c r="F5912">
        <v>18341.994000000002</v>
      </c>
      <c r="G5912">
        <v>18</v>
      </c>
      <c r="L5912" t="s">
        <v>16160</v>
      </c>
    </row>
    <row r="5913" spans="1:12" x14ac:dyDescent="0.25">
      <c r="A5913" t="s">
        <v>18</v>
      </c>
      <c r="B5913" t="s">
        <v>16160</v>
      </c>
      <c r="C5913" t="s">
        <v>16161</v>
      </c>
      <c r="D5913" t="s">
        <v>20</v>
      </c>
      <c r="E5913" t="s">
        <v>11</v>
      </c>
      <c r="F5913">
        <v>18668.363999999998</v>
      </c>
      <c r="G5913">
        <v>18</v>
      </c>
      <c r="L5913" t="s">
        <v>16162</v>
      </c>
    </row>
    <row r="5914" spans="1:12" x14ac:dyDescent="0.25">
      <c r="A5914" t="s">
        <v>18</v>
      </c>
      <c r="B5914" t="s">
        <v>16162</v>
      </c>
      <c r="C5914" t="s">
        <v>16163</v>
      </c>
      <c r="D5914" t="s">
        <v>20</v>
      </c>
      <c r="E5914" t="s">
        <v>11</v>
      </c>
      <c r="F5914">
        <v>18341.994000000002</v>
      </c>
      <c r="G5914">
        <v>18</v>
      </c>
      <c r="L5914" t="s">
        <v>16164</v>
      </c>
    </row>
    <row r="5915" spans="1:12" x14ac:dyDescent="0.25">
      <c r="A5915" t="s">
        <v>18</v>
      </c>
      <c r="B5915" t="s">
        <v>16164</v>
      </c>
      <c r="C5915" t="s">
        <v>16165</v>
      </c>
      <c r="D5915" t="s">
        <v>20</v>
      </c>
      <c r="E5915" t="s">
        <v>11</v>
      </c>
      <c r="F5915">
        <v>23172.27</v>
      </c>
      <c r="G5915">
        <v>18</v>
      </c>
      <c r="L5915" t="s">
        <v>16166</v>
      </c>
    </row>
    <row r="5916" spans="1:12" x14ac:dyDescent="0.25">
      <c r="A5916" t="s">
        <v>18</v>
      </c>
      <c r="B5916" t="s">
        <v>16166</v>
      </c>
      <c r="C5916" t="s">
        <v>16167</v>
      </c>
      <c r="D5916" t="s">
        <v>20</v>
      </c>
      <c r="E5916" t="s">
        <v>11</v>
      </c>
      <c r="F5916">
        <v>58877.147999999994</v>
      </c>
      <c r="G5916">
        <v>18</v>
      </c>
      <c r="L5916" t="s">
        <v>16168</v>
      </c>
    </row>
    <row r="5917" spans="1:12" x14ac:dyDescent="0.25">
      <c r="A5917" t="s">
        <v>18</v>
      </c>
      <c r="B5917" t="s">
        <v>16168</v>
      </c>
      <c r="C5917" t="s">
        <v>16169</v>
      </c>
      <c r="D5917" t="s">
        <v>20</v>
      </c>
      <c r="E5917" t="s">
        <v>11</v>
      </c>
      <c r="F5917">
        <v>26305.422</v>
      </c>
      <c r="G5917">
        <v>18</v>
      </c>
      <c r="L5917" t="s">
        <v>16170</v>
      </c>
    </row>
    <row r="5918" spans="1:12" x14ac:dyDescent="0.25">
      <c r="A5918" t="s">
        <v>18</v>
      </c>
      <c r="B5918" t="s">
        <v>16170</v>
      </c>
      <c r="C5918" t="s">
        <v>16171</v>
      </c>
      <c r="D5918" t="s">
        <v>20</v>
      </c>
      <c r="E5918" t="s">
        <v>11</v>
      </c>
      <c r="F5918">
        <v>15796.307999999999</v>
      </c>
      <c r="G5918">
        <v>18</v>
      </c>
      <c r="L5918" t="s">
        <v>16172</v>
      </c>
    </row>
    <row r="5919" spans="1:12" x14ac:dyDescent="0.25">
      <c r="A5919" t="s">
        <v>18</v>
      </c>
      <c r="B5919" t="s">
        <v>16172</v>
      </c>
      <c r="C5919" t="s">
        <v>16173</v>
      </c>
      <c r="D5919" t="s">
        <v>20</v>
      </c>
      <c r="E5919" t="s">
        <v>11</v>
      </c>
      <c r="F5919">
        <v>14751.924</v>
      </c>
      <c r="G5919">
        <v>18</v>
      </c>
      <c r="L5919" t="s">
        <v>16174</v>
      </c>
    </row>
    <row r="5920" spans="1:12" x14ac:dyDescent="0.25">
      <c r="A5920" t="s">
        <v>18</v>
      </c>
      <c r="B5920" t="s">
        <v>16174</v>
      </c>
      <c r="C5920" t="s">
        <v>16175</v>
      </c>
      <c r="D5920" t="s">
        <v>20</v>
      </c>
      <c r="E5920" t="s">
        <v>11</v>
      </c>
      <c r="F5920">
        <v>30091.314</v>
      </c>
      <c r="G5920">
        <v>18</v>
      </c>
      <c r="L5920" t="s">
        <v>16176</v>
      </c>
    </row>
    <row r="5921" spans="1:12" x14ac:dyDescent="0.25">
      <c r="A5921" t="s">
        <v>18</v>
      </c>
      <c r="B5921" t="s">
        <v>16176</v>
      </c>
      <c r="C5921" t="s">
        <v>16177</v>
      </c>
      <c r="D5921" t="s">
        <v>20</v>
      </c>
      <c r="E5921" t="s">
        <v>11</v>
      </c>
      <c r="F5921">
        <v>6984.318</v>
      </c>
      <c r="G5921">
        <v>18</v>
      </c>
      <c r="L5921" t="s">
        <v>16178</v>
      </c>
    </row>
    <row r="5922" spans="1:12" x14ac:dyDescent="0.25">
      <c r="A5922" t="s">
        <v>18</v>
      </c>
      <c r="B5922" t="s">
        <v>16178</v>
      </c>
      <c r="C5922" t="s">
        <v>16179</v>
      </c>
      <c r="D5922" t="s">
        <v>20</v>
      </c>
      <c r="E5922" t="s">
        <v>11</v>
      </c>
      <c r="F5922">
        <v>82049.41799999999</v>
      </c>
      <c r="G5922">
        <v>18</v>
      </c>
      <c r="L5922" t="s">
        <v>16180</v>
      </c>
    </row>
    <row r="5923" spans="1:12" x14ac:dyDescent="0.25">
      <c r="A5923" t="s">
        <v>18</v>
      </c>
      <c r="B5923" t="s">
        <v>16180</v>
      </c>
      <c r="C5923" t="s">
        <v>16181</v>
      </c>
      <c r="D5923" t="s">
        <v>20</v>
      </c>
      <c r="E5923" t="s">
        <v>11</v>
      </c>
      <c r="F5923">
        <v>3720.6179999999995</v>
      </c>
      <c r="G5923">
        <v>18</v>
      </c>
      <c r="L5923" t="s">
        <v>16182</v>
      </c>
    </row>
    <row r="5924" spans="1:12" x14ac:dyDescent="0.25">
      <c r="A5924" t="s">
        <v>18</v>
      </c>
      <c r="B5924" t="s">
        <v>16182</v>
      </c>
      <c r="C5924" t="s">
        <v>16183</v>
      </c>
      <c r="D5924" t="s">
        <v>20</v>
      </c>
      <c r="E5924" t="s">
        <v>11</v>
      </c>
      <c r="F5924">
        <v>0</v>
      </c>
      <c r="G5924">
        <v>18</v>
      </c>
      <c r="L5924" t="s">
        <v>16184</v>
      </c>
    </row>
    <row r="5925" spans="1:12" x14ac:dyDescent="0.25">
      <c r="A5925" t="s">
        <v>18</v>
      </c>
      <c r="B5925" t="s">
        <v>16184</v>
      </c>
      <c r="C5925" t="s">
        <v>16185</v>
      </c>
      <c r="D5925" t="s">
        <v>20</v>
      </c>
      <c r="E5925" t="s">
        <v>11</v>
      </c>
      <c r="F5925">
        <v>60182.628</v>
      </c>
      <c r="G5925">
        <v>18</v>
      </c>
      <c r="L5925" t="s">
        <v>16186</v>
      </c>
    </row>
    <row r="5926" spans="1:12" x14ac:dyDescent="0.25">
      <c r="A5926" t="s">
        <v>18</v>
      </c>
      <c r="B5926" t="s">
        <v>16186</v>
      </c>
      <c r="C5926" t="s">
        <v>16187</v>
      </c>
      <c r="D5926" t="s">
        <v>20</v>
      </c>
      <c r="E5926" t="s">
        <v>11</v>
      </c>
      <c r="F5926">
        <v>59986.806</v>
      </c>
      <c r="G5926">
        <v>18</v>
      </c>
      <c r="L5926" t="s">
        <v>16188</v>
      </c>
    </row>
    <row r="5927" spans="1:12" x14ac:dyDescent="0.25">
      <c r="A5927" t="s">
        <v>18</v>
      </c>
      <c r="B5927" t="s">
        <v>16188</v>
      </c>
      <c r="C5927" t="s">
        <v>16189</v>
      </c>
      <c r="D5927" t="s">
        <v>20</v>
      </c>
      <c r="E5927" t="s">
        <v>11</v>
      </c>
      <c r="F5927">
        <v>69712.632</v>
      </c>
      <c r="G5927">
        <v>18</v>
      </c>
      <c r="L5927" t="s">
        <v>16190</v>
      </c>
    </row>
    <row r="5928" spans="1:12" x14ac:dyDescent="0.25">
      <c r="A5928" t="s">
        <v>18</v>
      </c>
      <c r="B5928" t="s">
        <v>16190</v>
      </c>
      <c r="C5928" t="s">
        <v>16191</v>
      </c>
      <c r="D5928" t="s">
        <v>20</v>
      </c>
      <c r="E5928" t="s">
        <v>11</v>
      </c>
      <c r="F5928">
        <v>69451.53600000001</v>
      </c>
      <c r="G5928">
        <v>18</v>
      </c>
      <c r="L5928" t="s">
        <v>16192</v>
      </c>
    </row>
    <row r="5929" spans="1:12" x14ac:dyDescent="0.25">
      <c r="A5929" t="s">
        <v>18</v>
      </c>
      <c r="B5929" t="s">
        <v>16192</v>
      </c>
      <c r="C5929" t="s">
        <v>16193</v>
      </c>
      <c r="D5929" t="s">
        <v>20</v>
      </c>
      <c r="E5929" t="s">
        <v>11</v>
      </c>
      <c r="F5929">
        <v>77545.512</v>
      </c>
      <c r="G5929">
        <v>18</v>
      </c>
      <c r="L5929" t="s">
        <v>16194</v>
      </c>
    </row>
    <row r="5930" spans="1:12" x14ac:dyDescent="0.25">
      <c r="A5930" t="s">
        <v>18</v>
      </c>
      <c r="B5930" t="s">
        <v>16194</v>
      </c>
      <c r="C5930" t="s">
        <v>16195</v>
      </c>
      <c r="D5930" t="s">
        <v>20</v>
      </c>
      <c r="E5930" t="s">
        <v>11</v>
      </c>
      <c r="F5930">
        <v>77414.96399999999</v>
      </c>
      <c r="G5930">
        <v>18</v>
      </c>
      <c r="L5930" t="s">
        <v>16196</v>
      </c>
    </row>
    <row r="5931" spans="1:12" x14ac:dyDescent="0.25">
      <c r="A5931" t="s">
        <v>18</v>
      </c>
      <c r="B5931" t="s">
        <v>16196</v>
      </c>
      <c r="C5931" t="s">
        <v>16197</v>
      </c>
      <c r="D5931" t="s">
        <v>20</v>
      </c>
      <c r="E5931" t="s">
        <v>11</v>
      </c>
      <c r="F5931">
        <v>15274.116</v>
      </c>
      <c r="G5931">
        <v>18</v>
      </c>
      <c r="L5931" t="s">
        <v>16198</v>
      </c>
    </row>
    <row r="5932" spans="1:12" x14ac:dyDescent="0.25">
      <c r="A5932" t="s">
        <v>18</v>
      </c>
      <c r="B5932" t="s">
        <v>16198</v>
      </c>
      <c r="C5932" t="s">
        <v>16199</v>
      </c>
      <c r="D5932" t="s">
        <v>20</v>
      </c>
      <c r="E5932" t="s">
        <v>11</v>
      </c>
      <c r="F5932">
        <v>19778.022</v>
      </c>
      <c r="G5932">
        <v>18</v>
      </c>
      <c r="L5932" t="s">
        <v>16200</v>
      </c>
    </row>
    <row r="5933" spans="1:12" x14ac:dyDescent="0.25">
      <c r="A5933" t="s">
        <v>18</v>
      </c>
      <c r="B5933" t="s">
        <v>16200</v>
      </c>
      <c r="C5933" t="s">
        <v>16201</v>
      </c>
      <c r="D5933" t="s">
        <v>20</v>
      </c>
      <c r="E5933" t="s">
        <v>11</v>
      </c>
      <c r="F5933">
        <v>24151.379999999997</v>
      </c>
      <c r="G5933">
        <v>18</v>
      </c>
      <c r="L5933" t="s">
        <v>16202</v>
      </c>
    </row>
    <row r="5934" spans="1:12" x14ac:dyDescent="0.25">
      <c r="A5934" t="s">
        <v>18</v>
      </c>
      <c r="B5934" t="s">
        <v>16202</v>
      </c>
      <c r="C5934" t="s">
        <v>16203</v>
      </c>
      <c r="D5934" t="s">
        <v>20</v>
      </c>
      <c r="E5934" t="s">
        <v>11</v>
      </c>
      <c r="F5934">
        <v>72454.14</v>
      </c>
      <c r="G5934">
        <v>18</v>
      </c>
      <c r="L5934" t="s">
        <v>16204</v>
      </c>
    </row>
    <row r="5935" spans="1:12" x14ac:dyDescent="0.25">
      <c r="A5935" t="s">
        <v>18</v>
      </c>
      <c r="B5935" t="s">
        <v>16204</v>
      </c>
      <c r="C5935" t="s">
        <v>16205</v>
      </c>
      <c r="D5935" t="s">
        <v>20</v>
      </c>
      <c r="E5935" t="s">
        <v>11</v>
      </c>
      <c r="F5935">
        <v>12989.526</v>
      </c>
      <c r="G5935">
        <v>18</v>
      </c>
      <c r="L5935" t="s">
        <v>16206</v>
      </c>
    </row>
    <row r="5936" spans="1:12" x14ac:dyDescent="0.25">
      <c r="A5936" t="s">
        <v>18</v>
      </c>
      <c r="B5936" t="s">
        <v>16206</v>
      </c>
      <c r="C5936" t="s">
        <v>16207</v>
      </c>
      <c r="D5936" t="s">
        <v>20</v>
      </c>
      <c r="E5936" t="s">
        <v>11</v>
      </c>
      <c r="F5936">
        <v>13903.361999999997</v>
      </c>
      <c r="G5936">
        <v>18</v>
      </c>
      <c r="L5936" t="s">
        <v>16208</v>
      </c>
    </row>
    <row r="5937" spans="1:12" x14ac:dyDescent="0.25">
      <c r="A5937" t="s">
        <v>18</v>
      </c>
      <c r="B5937" t="s">
        <v>16208</v>
      </c>
      <c r="C5937" t="s">
        <v>16209</v>
      </c>
      <c r="D5937" t="s">
        <v>20</v>
      </c>
      <c r="E5937" t="s">
        <v>11</v>
      </c>
      <c r="F5937">
        <v>13903.361999999997</v>
      </c>
      <c r="G5937">
        <v>18</v>
      </c>
      <c r="L5937" t="s">
        <v>16210</v>
      </c>
    </row>
    <row r="5938" spans="1:12" x14ac:dyDescent="0.25">
      <c r="A5938" t="s">
        <v>18</v>
      </c>
      <c r="B5938" t="s">
        <v>16210</v>
      </c>
      <c r="C5938" t="s">
        <v>16211</v>
      </c>
      <c r="D5938" t="s">
        <v>20</v>
      </c>
      <c r="E5938" t="s">
        <v>11</v>
      </c>
      <c r="F5938">
        <v>13903.361999999997</v>
      </c>
      <c r="G5938">
        <v>18</v>
      </c>
      <c r="L5938" t="s">
        <v>16212</v>
      </c>
    </row>
    <row r="5939" spans="1:12" x14ac:dyDescent="0.25">
      <c r="A5939" t="s">
        <v>18</v>
      </c>
      <c r="B5939" t="s">
        <v>16212</v>
      </c>
      <c r="C5939" t="s">
        <v>16213</v>
      </c>
      <c r="D5939" t="s">
        <v>20</v>
      </c>
      <c r="E5939" t="s">
        <v>11</v>
      </c>
      <c r="F5939">
        <v>13903.361999999997</v>
      </c>
      <c r="G5939">
        <v>18</v>
      </c>
      <c r="L5939" t="s">
        <v>16214</v>
      </c>
    </row>
    <row r="5940" spans="1:12" x14ac:dyDescent="0.25">
      <c r="A5940" t="s">
        <v>18</v>
      </c>
      <c r="B5940" t="s">
        <v>16214</v>
      </c>
      <c r="C5940" t="s">
        <v>16215</v>
      </c>
      <c r="D5940" t="s">
        <v>20</v>
      </c>
      <c r="E5940" t="s">
        <v>11</v>
      </c>
      <c r="F5940">
        <v>13903.361999999997</v>
      </c>
      <c r="G5940">
        <v>18</v>
      </c>
      <c r="L5940" t="s">
        <v>16216</v>
      </c>
    </row>
    <row r="5941" spans="1:12" x14ac:dyDescent="0.25">
      <c r="A5941" t="s">
        <v>18</v>
      </c>
      <c r="B5941" t="s">
        <v>16216</v>
      </c>
      <c r="C5941" t="s">
        <v>16217</v>
      </c>
      <c r="D5941" t="s">
        <v>20</v>
      </c>
      <c r="E5941" t="s">
        <v>11</v>
      </c>
      <c r="F5941">
        <v>13903.361999999997</v>
      </c>
      <c r="G5941">
        <v>18</v>
      </c>
      <c r="L5941" t="s">
        <v>16218</v>
      </c>
    </row>
    <row r="5942" spans="1:12" x14ac:dyDescent="0.25">
      <c r="A5942" t="s">
        <v>18</v>
      </c>
      <c r="B5942" t="s">
        <v>16218</v>
      </c>
      <c r="C5942" t="s">
        <v>16219</v>
      </c>
      <c r="D5942" t="s">
        <v>20</v>
      </c>
      <c r="E5942" t="s">
        <v>11</v>
      </c>
      <c r="F5942">
        <v>13903.361999999997</v>
      </c>
      <c r="G5942">
        <v>18</v>
      </c>
      <c r="L5942" t="s">
        <v>16220</v>
      </c>
    </row>
    <row r="5943" spans="1:12" x14ac:dyDescent="0.25">
      <c r="A5943" t="s">
        <v>18</v>
      </c>
      <c r="B5943" t="s">
        <v>16220</v>
      </c>
      <c r="C5943" t="s">
        <v>16221</v>
      </c>
      <c r="D5943" t="s">
        <v>20</v>
      </c>
      <c r="E5943" t="s">
        <v>11</v>
      </c>
      <c r="F5943">
        <v>15992.13</v>
      </c>
      <c r="G5943">
        <v>18</v>
      </c>
      <c r="L5943" t="s">
        <v>16222</v>
      </c>
    </row>
    <row r="5944" spans="1:12" x14ac:dyDescent="0.25">
      <c r="A5944" t="s">
        <v>18</v>
      </c>
      <c r="B5944" t="s">
        <v>16222</v>
      </c>
      <c r="C5944" t="s">
        <v>16223</v>
      </c>
      <c r="D5944" t="s">
        <v>20</v>
      </c>
      <c r="E5944" t="s">
        <v>11</v>
      </c>
      <c r="F5944">
        <v>8093.976</v>
      </c>
      <c r="G5944">
        <v>18</v>
      </c>
      <c r="L5944" t="s">
        <v>16224</v>
      </c>
    </row>
    <row r="5945" spans="1:12" x14ac:dyDescent="0.25">
      <c r="A5945" t="s">
        <v>18</v>
      </c>
      <c r="B5945" t="s">
        <v>16224</v>
      </c>
      <c r="C5945" t="s">
        <v>16225</v>
      </c>
      <c r="D5945" t="s">
        <v>20</v>
      </c>
      <c r="E5945" t="s">
        <v>11</v>
      </c>
      <c r="F5945">
        <v>71866.674</v>
      </c>
      <c r="G5945">
        <v>18</v>
      </c>
      <c r="L5945" t="s">
        <v>16226</v>
      </c>
    </row>
    <row r="5946" spans="1:12" x14ac:dyDescent="0.25">
      <c r="A5946" t="s">
        <v>18</v>
      </c>
      <c r="B5946" t="s">
        <v>16226</v>
      </c>
      <c r="C5946" t="s">
        <v>16227</v>
      </c>
      <c r="D5946" t="s">
        <v>20</v>
      </c>
      <c r="E5946" t="s">
        <v>11</v>
      </c>
      <c r="F5946">
        <v>9203.633999999998</v>
      </c>
      <c r="G5946">
        <v>18</v>
      </c>
      <c r="L5946" t="s">
        <v>16228</v>
      </c>
    </row>
    <row r="5947" spans="1:12" x14ac:dyDescent="0.25">
      <c r="A5947" t="s">
        <v>18</v>
      </c>
      <c r="B5947" t="s">
        <v>16228</v>
      </c>
      <c r="C5947" t="s">
        <v>16229</v>
      </c>
      <c r="D5947" t="s">
        <v>20</v>
      </c>
      <c r="E5947" t="s">
        <v>11</v>
      </c>
      <c r="F5947">
        <v>9595.278</v>
      </c>
      <c r="G5947">
        <v>18</v>
      </c>
      <c r="L5947" t="s">
        <v>16230</v>
      </c>
    </row>
    <row r="5948" spans="1:12" x14ac:dyDescent="0.25">
      <c r="A5948" t="s">
        <v>18</v>
      </c>
      <c r="B5948" t="s">
        <v>16230</v>
      </c>
      <c r="C5948" t="s">
        <v>16231</v>
      </c>
      <c r="D5948" t="s">
        <v>20</v>
      </c>
      <c r="E5948" t="s">
        <v>11</v>
      </c>
      <c r="F5948">
        <v>8942.538</v>
      </c>
      <c r="G5948">
        <v>18</v>
      </c>
      <c r="L5948" t="s">
        <v>16232</v>
      </c>
    </row>
    <row r="5949" spans="1:12" x14ac:dyDescent="0.25">
      <c r="A5949" t="s">
        <v>18</v>
      </c>
      <c r="B5949" t="s">
        <v>16232</v>
      </c>
      <c r="C5949" t="s">
        <v>16233</v>
      </c>
      <c r="D5949" t="s">
        <v>20</v>
      </c>
      <c r="E5949" t="s">
        <v>11</v>
      </c>
      <c r="F5949">
        <v>14817.197999999999</v>
      </c>
      <c r="G5949">
        <v>18</v>
      </c>
      <c r="L5949" t="s">
        <v>16234</v>
      </c>
    </row>
    <row r="5950" spans="1:12" x14ac:dyDescent="0.25">
      <c r="A5950" t="s">
        <v>18</v>
      </c>
      <c r="B5950" t="s">
        <v>16234</v>
      </c>
      <c r="C5950" t="s">
        <v>16235</v>
      </c>
      <c r="D5950" t="s">
        <v>20</v>
      </c>
      <c r="E5950" t="s">
        <v>11</v>
      </c>
      <c r="F5950">
        <v>34268.85</v>
      </c>
      <c r="G5950">
        <v>18</v>
      </c>
      <c r="L5950" t="s">
        <v>16236</v>
      </c>
    </row>
    <row r="5951" spans="1:12" x14ac:dyDescent="0.25">
      <c r="A5951" t="s">
        <v>18</v>
      </c>
      <c r="B5951" t="s">
        <v>16236</v>
      </c>
      <c r="C5951" t="s">
        <v>16237</v>
      </c>
      <c r="D5951" t="s">
        <v>20</v>
      </c>
      <c r="E5951" t="s">
        <v>11</v>
      </c>
      <c r="F5951">
        <v>12467.334</v>
      </c>
      <c r="G5951">
        <v>18</v>
      </c>
      <c r="L5951" t="s">
        <v>16238</v>
      </c>
    </row>
    <row r="5952" spans="1:12" x14ac:dyDescent="0.25">
      <c r="A5952" t="s">
        <v>18</v>
      </c>
      <c r="B5952" t="s">
        <v>16238</v>
      </c>
      <c r="C5952" t="s">
        <v>16239</v>
      </c>
      <c r="D5952" t="s">
        <v>20</v>
      </c>
      <c r="E5952" t="s">
        <v>11</v>
      </c>
      <c r="F5952">
        <v>12467.334</v>
      </c>
      <c r="G5952">
        <v>18</v>
      </c>
      <c r="L5952" t="s">
        <v>16240</v>
      </c>
    </row>
    <row r="5953" spans="1:12" x14ac:dyDescent="0.25">
      <c r="A5953" t="s">
        <v>18</v>
      </c>
      <c r="B5953" t="s">
        <v>16240</v>
      </c>
      <c r="C5953" t="s">
        <v>16241</v>
      </c>
      <c r="D5953" t="s">
        <v>20</v>
      </c>
      <c r="E5953" t="s">
        <v>11</v>
      </c>
      <c r="F5953">
        <v>12075.689999999999</v>
      </c>
      <c r="G5953">
        <v>18</v>
      </c>
      <c r="L5953" t="s">
        <v>16242</v>
      </c>
    </row>
    <row r="5954" spans="1:12" x14ac:dyDescent="0.25">
      <c r="A5954" t="s">
        <v>18</v>
      </c>
      <c r="B5954" t="s">
        <v>16242</v>
      </c>
      <c r="C5954" t="s">
        <v>16243</v>
      </c>
      <c r="D5954" t="s">
        <v>20</v>
      </c>
      <c r="E5954" t="s">
        <v>11</v>
      </c>
      <c r="F5954">
        <v>9334.181999999999</v>
      </c>
      <c r="G5954">
        <v>18</v>
      </c>
      <c r="L5954" t="s">
        <v>16244</v>
      </c>
    </row>
    <row r="5955" spans="1:12" x14ac:dyDescent="0.25">
      <c r="A5955" t="s">
        <v>18</v>
      </c>
      <c r="B5955" t="s">
        <v>16244</v>
      </c>
      <c r="C5955" t="s">
        <v>16245</v>
      </c>
      <c r="D5955" t="s">
        <v>20</v>
      </c>
      <c r="E5955" t="s">
        <v>11</v>
      </c>
      <c r="F5955">
        <v>9334.181999999999</v>
      </c>
      <c r="G5955">
        <v>18</v>
      </c>
      <c r="L5955" t="s">
        <v>16246</v>
      </c>
    </row>
    <row r="5956" spans="1:12" x14ac:dyDescent="0.25">
      <c r="A5956" t="s">
        <v>18</v>
      </c>
      <c r="B5956" t="s">
        <v>16246</v>
      </c>
      <c r="C5956" t="s">
        <v>16247</v>
      </c>
      <c r="D5956" t="s">
        <v>20</v>
      </c>
      <c r="E5956" t="s">
        <v>11</v>
      </c>
      <c r="F5956">
        <v>9334.181999999999</v>
      </c>
      <c r="G5956">
        <v>18</v>
      </c>
      <c r="L5956" t="s">
        <v>16248</v>
      </c>
    </row>
    <row r="5957" spans="1:12" x14ac:dyDescent="0.25">
      <c r="A5957" t="s">
        <v>18</v>
      </c>
      <c r="B5957" t="s">
        <v>16248</v>
      </c>
      <c r="C5957" t="s">
        <v>16249</v>
      </c>
      <c r="D5957" t="s">
        <v>20</v>
      </c>
      <c r="E5957" t="s">
        <v>11</v>
      </c>
      <c r="F5957">
        <v>9334.181999999999</v>
      </c>
      <c r="G5957">
        <v>18</v>
      </c>
      <c r="L5957" t="s">
        <v>16250</v>
      </c>
    </row>
    <row r="5958" spans="1:12" x14ac:dyDescent="0.25">
      <c r="A5958" t="s">
        <v>18</v>
      </c>
      <c r="B5958" t="s">
        <v>16250</v>
      </c>
      <c r="C5958" t="s">
        <v>16251</v>
      </c>
      <c r="D5958" t="s">
        <v>20</v>
      </c>
      <c r="E5958" t="s">
        <v>11</v>
      </c>
      <c r="F5958">
        <v>9334.181999999999</v>
      </c>
      <c r="G5958">
        <v>18</v>
      </c>
      <c r="L5958" t="s">
        <v>16252</v>
      </c>
    </row>
    <row r="5959" spans="1:12" x14ac:dyDescent="0.25">
      <c r="A5959" t="s">
        <v>18</v>
      </c>
      <c r="B5959" t="s">
        <v>16252</v>
      </c>
      <c r="C5959" t="s">
        <v>16253</v>
      </c>
      <c r="D5959" t="s">
        <v>20</v>
      </c>
      <c r="E5959" t="s">
        <v>11</v>
      </c>
      <c r="F5959">
        <v>9334.181999999999</v>
      </c>
      <c r="G5959">
        <v>18</v>
      </c>
      <c r="L5959" t="s">
        <v>16254</v>
      </c>
    </row>
    <row r="5960" spans="1:12" x14ac:dyDescent="0.25">
      <c r="A5960" t="s">
        <v>18</v>
      </c>
      <c r="B5960" t="s">
        <v>16254</v>
      </c>
      <c r="C5960" t="s">
        <v>16255</v>
      </c>
      <c r="D5960" t="s">
        <v>20</v>
      </c>
      <c r="E5960" t="s">
        <v>11</v>
      </c>
      <c r="F5960">
        <v>9334.181999999999</v>
      </c>
      <c r="G5960">
        <v>18</v>
      </c>
      <c r="L5960" t="s">
        <v>16256</v>
      </c>
    </row>
    <row r="5961" spans="1:12" x14ac:dyDescent="0.25">
      <c r="A5961" t="s">
        <v>18</v>
      </c>
      <c r="B5961" t="s">
        <v>16256</v>
      </c>
      <c r="C5961" t="s">
        <v>16257</v>
      </c>
      <c r="D5961" t="s">
        <v>20</v>
      </c>
      <c r="E5961" t="s">
        <v>11</v>
      </c>
      <c r="F5961">
        <v>9334.181999999999</v>
      </c>
      <c r="G5961">
        <v>18</v>
      </c>
      <c r="L5961" t="s">
        <v>16258</v>
      </c>
    </row>
    <row r="5962" spans="1:12" x14ac:dyDescent="0.25">
      <c r="A5962" t="s">
        <v>18</v>
      </c>
      <c r="B5962" t="s">
        <v>16258</v>
      </c>
      <c r="C5962" t="s">
        <v>16259</v>
      </c>
      <c r="D5962" t="s">
        <v>20</v>
      </c>
      <c r="E5962" t="s">
        <v>11</v>
      </c>
      <c r="F5962">
        <v>9334.181999999999</v>
      </c>
      <c r="G5962">
        <v>18</v>
      </c>
      <c r="L5962" t="s">
        <v>16260</v>
      </c>
    </row>
    <row r="5963" spans="1:12" x14ac:dyDescent="0.25">
      <c r="A5963" t="s">
        <v>18</v>
      </c>
      <c r="B5963" t="s">
        <v>16260</v>
      </c>
      <c r="C5963" t="s">
        <v>16261</v>
      </c>
      <c r="D5963" t="s">
        <v>20</v>
      </c>
      <c r="E5963" t="s">
        <v>11</v>
      </c>
      <c r="F5963">
        <v>10052.195999999998</v>
      </c>
      <c r="G5963">
        <v>18</v>
      </c>
      <c r="L5963" t="s">
        <v>16262</v>
      </c>
    </row>
    <row r="5964" spans="1:12" x14ac:dyDescent="0.25">
      <c r="A5964" t="s">
        <v>18</v>
      </c>
      <c r="B5964" t="s">
        <v>16262</v>
      </c>
      <c r="C5964" t="s">
        <v>16263</v>
      </c>
      <c r="D5964" t="s">
        <v>20</v>
      </c>
      <c r="E5964" t="s">
        <v>11</v>
      </c>
      <c r="F5964">
        <v>9073.086</v>
      </c>
      <c r="G5964">
        <v>18</v>
      </c>
      <c r="L5964" t="s">
        <v>16264</v>
      </c>
    </row>
    <row r="5965" spans="1:12" x14ac:dyDescent="0.25">
      <c r="A5965" t="s">
        <v>18</v>
      </c>
      <c r="B5965" t="s">
        <v>16264</v>
      </c>
      <c r="C5965" t="s">
        <v>16265</v>
      </c>
      <c r="D5965" t="s">
        <v>20</v>
      </c>
      <c r="E5965" t="s">
        <v>11</v>
      </c>
      <c r="F5965">
        <v>9073.086</v>
      </c>
      <c r="G5965">
        <v>18</v>
      </c>
      <c r="L5965" t="s">
        <v>16266</v>
      </c>
    </row>
    <row r="5966" spans="1:12" x14ac:dyDescent="0.25">
      <c r="A5966" t="s">
        <v>18</v>
      </c>
      <c r="B5966" t="s">
        <v>16266</v>
      </c>
      <c r="C5966" t="s">
        <v>16267</v>
      </c>
      <c r="D5966" t="s">
        <v>20</v>
      </c>
      <c r="E5966" t="s">
        <v>11</v>
      </c>
      <c r="F5966">
        <v>9268.908</v>
      </c>
      <c r="G5966">
        <v>18</v>
      </c>
      <c r="L5966" t="s">
        <v>16268</v>
      </c>
    </row>
    <row r="5967" spans="1:12" x14ac:dyDescent="0.25">
      <c r="A5967" t="s">
        <v>18</v>
      </c>
      <c r="B5967" t="s">
        <v>16268</v>
      </c>
      <c r="C5967" t="s">
        <v>16269</v>
      </c>
      <c r="D5967" t="s">
        <v>20</v>
      </c>
      <c r="E5967" t="s">
        <v>11</v>
      </c>
      <c r="F5967">
        <v>9073.086</v>
      </c>
      <c r="G5967">
        <v>18</v>
      </c>
      <c r="L5967" t="s">
        <v>16270</v>
      </c>
    </row>
    <row r="5968" spans="1:12" x14ac:dyDescent="0.25">
      <c r="A5968" t="s">
        <v>18</v>
      </c>
      <c r="B5968" t="s">
        <v>16270</v>
      </c>
      <c r="C5968" t="s">
        <v>16271</v>
      </c>
      <c r="D5968" t="s">
        <v>20</v>
      </c>
      <c r="E5968" t="s">
        <v>11</v>
      </c>
      <c r="F5968">
        <v>9073.086</v>
      </c>
      <c r="G5968">
        <v>18</v>
      </c>
      <c r="L5968" t="s">
        <v>16272</v>
      </c>
    </row>
    <row r="5969" spans="1:12" x14ac:dyDescent="0.25">
      <c r="A5969" t="s">
        <v>18</v>
      </c>
      <c r="B5969" t="s">
        <v>16272</v>
      </c>
      <c r="C5969" t="s">
        <v>16273</v>
      </c>
      <c r="D5969" t="s">
        <v>20</v>
      </c>
      <c r="E5969" t="s">
        <v>11</v>
      </c>
      <c r="F5969">
        <v>9073.086</v>
      </c>
      <c r="G5969">
        <v>18</v>
      </c>
      <c r="L5969" t="s">
        <v>16274</v>
      </c>
    </row>
    <row r="5970" spans="1:12" x14ac:dyDescent="0.25">
      <c r="A5970" t="s">
        <v>18</v>
      </c>
      <c r="B5970" t="s">
        <v>16274</v>
      </c>
      <c r="C5970" t="s">
        <v>16275</v>
      </c>
      <c r="D5970" t="s">
        <v>20</v>
      </c>
      <c r="E5970" t="s">
        <v>11</v>
      </c>
      <c r="F5970">
        <v>9073.086</v>
      </c>
      <c r="G5970">
        <v>18</v>
      </c>
      <c r="L5970" t="s">
        <v>16276</v>
      </c>
    </row>
    <row r="5971" spans="1:12" x14ac:dyDescent="0.25">
      <c r="A5971" t="s">
        <v>18</v>
      </c>
      <c r="B5971" t="s">
        <v>16276</v>
      </c>
      <c r="C5971" t="s">
        <v>16277</v>
      </c>
      <c r="D5971" t="s">
        <v>20</v>
      </c>
      <c r="E5971" t="s">
        <v>11</v>
      </c>
      <c r="F5971">
        <v>9073.086</v>
      </c>
      <c r="G5971">
        <v>18</v>
      </c>
      <c r="L5971" t="s">
        <v>16278</v>
      </c>
    </row>
    <row r="5972" spans="1:12" x14ac:dyDescent="0.25">
      <c r="A5972" t="s">
        <v>18</v>
      </c>
      <c r="B5972" t="s">
        <v>16278</v>
      </c>
      <c r="C5972" t="s">
        <v>16279</v>
      </c>
      <c r="D5972" t="s">
        <v>20</v>
      </c>
      <c r="E5972" t="s">
        <v>11</v>
      </c>
      <c r="F5972">
        <v>4634.454</v>
      </c>
      <c r="G5972">
        <v>18</v>
      </c>
      <c r="L5972" t="s">
        <v>16280</v>
      </c>
    </row>
    <row r="5973" spans="1:12" x14ac:dyDescent="0.25">
      <c r="A5973" t="s">
        <v>18</v>
      </c>
      <c r="B5973" t="s">
        <v>16280</v>
      </c>
      <c r="C5973" t="s">
        <v>16281</v>
      </c>
      <c r="D5973" t="s">
        <v>20</v>
      </c>
      <c r="E5973" t="s">
        <v>11</v>
      </c>
      <c r="F5973">
        <v>7637.058</v>
      </c>
      <c r="G5973">
        <v>18</v>
      </c>
      <c r="L5973" t="s">
        <v>16282</v>
      </c>
    </row>
    <row r="5974" spans="1:12" x14ac:dyDescent="0.25">
      <c r="A5974" t="s">
        <v>18</v>
      </c>
      <c r="B5974" t="s">
        <v>16282</v>
      </c>
      <c r="C5974" t="s">
        <v>16283</v>
      </c>
      <c r="D5974" t="s">
        <v>20</v>
      </c>
      <c r="E5974" t="s">
        <v>11</v>
      </c>
      <c r="F5974">
        <v>6592.673999999999</v>
      </c>
      <c r="G5974">
        <v>18</v>
      </c>
      <c r="L5974" t="s">
        <v>16284</v>
      </c>
    </row>
    <row r="5975" spans="1:12" x14ac:dyDescent="0.25">
      <c r="A5975" t="s">
        <v>18</v>
      </c>
      <c r="B5975" t="s">
        <v>16284</v>
      </c>
      <c r="C5975" t="s">
        <v>16285</v>
      </c>
      <c r="D5975" t="s">
        <v>20</v>
      </c>
      <c r="E5975" t="s">
        <v>11</v>
      </c>
      <c r="F5975">
        <v>6527.4</v>
      </c>
      <c r="G5975">
        <v>18</v>
      </c>
      <c r="L5975" t="s">
        <v>16286</v>
      </c>
    </row>
    <row r="5976" spans="1:12" x14ac:dyDescent="0.25">
      <c r="A5976" t="s">
        <v>18</v>
      </c>
      <c r="B5976" t="s">
        <v>16286</v>
      </c>
      <c r="C5976" t="s">
        <v>16287</v>
      </c>
      <c r="D5976" t="s">
        <v>20</v>
      </c>
      <c r="E5976" t="s">
        <v>11</v>
      </c>
      <c r="F5976">
        <v>7310.688</v>
      </c>
      <c r="G5976">
        <v>18</v>
      </c>
      <c r="L5976" t="s">
        <v>16288</v>
      </c>
    </row>
    <row r="5977" spans="1:12" x14ac:dyDescent="0.25">
      <c r="A5977" t="s">
        <v>18</v>
      </c>
      <c r="B5977" t="s">
        <v>16288</v>
      </c>
      <c r="C5977" t="s">
        <v>16289</v>
      </c>
      <c r="D5977" t="s">
        <v>20</v>
      </c>
      <c r="E5977" t="s">
        <v>11</v>
      </c>
      <c r="F5977">
        <v>23890.284</v>
      </c>
      <c r="G5977">
        <v>18</v>
      </c>
      <c r="L5977" t="s">
        <v>16290</v>
      </c>
    </row>
    <row r="5978" spans="1:12" x14ac:dyDescent="0.25">
      <c r="A5978" t="s">
        <v>18</v>
      </c>
      <c r="B5978" t="s">
        <v>16290</v>
      </c>
      <c r="C5978" t="s">
        <v>16291</v>
      </c>
      <c r="D5978" t="s">
        <v>20</v>
      </c>
      <c r="E5978" t="s">
        <v>11</v>
      </c>
      <c r="F5978">
        <v>13315.895999999999</v>
      </c>
      <c r="G5978">
        <v>18</v>
      </c>
      <c r="L5978" t="s">
        <v>16292</v>
      </c>
    </row>
    <row r="5979" spans="1:12" x14ac:dyDescent="0.25">
      <c r="A5979" t="s">
        <v>18</v>
      </c>
      <c r="B5979" t="s">
        <v>16292</v>
      </c>
      <c r="C5979" t="s">
        <v>16293</v>
      </c>
      <c r="D5979" t="s">
        <v>20</v>
      </c>
      <c r="E5979" t="s">
        <v>11</v>
      </c>
      <c r="F5979">
        <v>16710.144</v>
      </c>
      <c r="G5979">
        <v>18</v>
      </c>
      <c r="L5979" t="s">
        <v>16294</v>
      </c>
    </row>
    <row r="5980" spans="1:12" x14ac:dyDescent="0.25">
      <c r="A5980" t="s">
        <v>18</v>
      </c>
      <c r="B5980" t="s">
        <v>16294</v>
      </c>
      <c r="C5980" t="s">
        <v>16295</v>
      </c>
      <c r="D5980" t="s">
        <v>20</v>
      </c>
      <c r="E5980" t="s">
        <v>11</v>
      </c>
      <c r="F5980">
        <v>16971.239999999998</v>
      </c>
      <c r="G5980">
        <v>18</v>
      </c>
      <c r="L5980" t="s">
        <v>16296</v>
      </c>
    </row>
    <row r="5981" spans="1:12" x14ac:dyDescent="0.25">
      <c r="A5981" t="s">
        <v>18</v>
      </c>
      <c r="B5981" t="s">
        <v>16296</v>
      </c>
      <c r="C5981" t="s">
        <v>16297</v>
      </c>
      <c r="D5981" t="s">
        <v>20</v>
      </c>
      <c r="E5981" t="s">
        <v>11</v>
      </c>
      <c r="F5981">
        <v>36031.248</v>
      </c>
      <c r="G5981">
        <v>18</v>
      </c>
      <c r="L5981" t="s">
        <v>16298</v>
      </c>
    </row>
    <row r="5982" spans="1:12" x14ac:dyDescent="0.25">
      <c r="A5982" t="s">
        <v>18</v>
      </c>
      <c r="B5982" t="s">
        <v>16298</v>
      </c>
      <c r="C5982" t="s">
        <v>16299</v>
      </c>
      <c r="D5982" t="s">
        <v>20</v>
      </c>
      <c r="E5982" t="s">
        <v>11</v>
      </c>
      <c r="F5982">
        <v>33616.11</v>
      </c>
      <c r="G5982">
        <v>18</v>
      </c>
      <c r="L5982" t="s">
        <v>16300</v>
      </c>
    </row>
    <row r="5983" spans="1:12" x14ac:dyDescent="0.25">
      <c r="A5983" t="s">
        <v>18</v>
      </c>
      <c r="B5983" t="s">
        <v>16300</v>
      </c>
      <c r="C5983" t="s">
        <v>16301</v>
      </c>
      <c r="D5983" t="s">
        <v>20</v>
      </c>
      <c r="E5983" t="s">
        <v>11</v>
      </c>
      <c r="F5983">
        <v>35835.42599999999</v>
      </c>
      <c r="G5983">
        <v>18</v>
      </c>
      <c r="L5983" t="s">
        <v>16302</v>
      </c>
    </row>
    <row r="5984" spans="1:12" x14ac:dyDescent="0.25">
      <c r="A5984" t="s">
        <v>18</v>
      </c>
      <c r="B5984" t="s">
        <v>16302</v>
      </c>
      <c r="C5984" t="s">
        <v>16303</v>
      </c>
      <c r="D5984" t="s">
        <v>20</v>
      </c>
      <c r="E5984" t="s">
        <v>11</v>
      </c>
      <c r="F5984">
        <v>2741.508</v>
      </c>
      <c r="G5984">
        <v>18</v>
      </c>
      <c r="L5984" t="s">
        <v>16304</v>
      </c>
    </row>
    <row r="5985" spans="1:12" x14ac:dyDescent="0.25">
      <c r="A5985" t="s">
        <v>18</v>
      </c>
      <c r="B5985" t="s">
        <v>16304</v>
      </c>
      <c r="C5985" t="s">
        <v>16305</v>
      </c>
      <c r="D5985" t="s">
        <v>20</v>
      </c>
      <c r="E5985" t="s">
        <v>11</v>
      </c>
      <c r="F5985">
        <v>913.836</v>
      </c>
      <c r="G5985">
        <v>18</v>
      </c>
      <c r="L5985" t="s">
        <v>16306</v>
      </c>
    </row>
    <row r="5986" spans="1:12" x14ac:dyDescent="0.25">
      <c r="A5986" t="s">
        <v>18</v>
      </c>
      <c r="B5986" t="s">
        <v>16306</v>
      </c>
      <c r="C5986" t="s">
        <v>16307</v>
      </c>
      <c r="D5986" t="s">
        <v>20</v>
      </c>
      <c r="E5986" t="s">
        <v>11</v>
      </c>
      <c r="F5986">
        <v>14817.197999999999</v>
      </c>
      <c r="G5986">
        <v>18</v>
      </c>
      <c r="L5986" t="s">
        <v>16308</v>
      </c>
    </row>
    <row r="5987" spans="1:12" x14ac:dyDescent="0.25">
      <c r="A5987" t="s">
        <v>18</v>
      </c>
      <c r="B5987" t="s">
        <v>16308</v>
      </c>
      <c r="C5987" t="s">
        <v>16309</v>
      </c>
      <c r="D5987" t="s">
        <v>20</v>
      </c>
      <c r="E5987" t="s">
        <v>11</v>
      </c>
      <c r="F5987">
        <v>16971.239999999998</v>
      </c>
      <c r="G5987">
        <v>18</v>
      </c>
      <c r="L5987" t="s">
        <v>16310</v>
      </c>
    </row>
    <row r="5988" spans="1:12" x14ac:dyDescent="0.25">
      <c r="A5988" t="s">
        <v>18</v>
      </c>
      <c r="B5988" t="s">
        <v>16310</v>
      </c>
      <c r="C5988" t="s">
        <v>16311</v>
      </c>
      <c r="D5988" t="s">
        <v>20</v>
      </c>
      <c r="E5988" t="s">
        <v>11</v>
      </c>
      <c r="F5988">
        <v>25261.038</v>
      </c>
      <c r="G5988">
        <v>18</v>
      </c>
      <c r="L5988" t="s">
        <v>16312</v>
      </c>
    </row>
    <row r="5989" spans="1:12" x14ac:dyDescent="0.25">
      <c r="A5989" t="s">
        <v>18</v>
      </c>
      <c r="B5989" t="s">
        <v>16312</v>
      </c>
      <c r="C5989" t="s">
        <v>16313</v>
      </c>
      <c r="D5989" t="s">
        <v>20</v>
      </c>
      <c r="E5989" t="s">
        <v>11</v>
      </c>
      <c r="F5989">
        <v>391.64399999999995</v>
      </c>
      <c r="G5989">
        <v>18</v>
      </c>
      <c r="L5989" t="s">
        <v>16314</v>
      </c>
    </row>
    <row r="5990" spans="1:12" x14ac:dyDescent="0.25">
      <c r="A5990" t="s">
        <v>18</v>
      </c>
      <c r="B5990" t="s">
        <v>16314</v>
      </c>
      <c r="C5990" t="s">
        <v>16315</v>
      </c>
      <c r="D5990" t="s">
        <v>20</v>
      </c>
      <c r="E5990" t="s">
        <v>11</v>
      </c>
      <c r="F5990">
        <v>20952.953999999998</v>
      </c>
      <c r="G5990">
        <v>18</v>
      </c>
      <c r="L5990" t="s">
        <v>16316</v>
      </c>
    </row>
    <row r="5991" spans="1:12" x14ac:dyDescent="0.25">
      <c r="A5991" t="s">
        <v>18</v>
      </c>
      <c r="B5991" t="s">
        <v>16316</v>
      </c>
      <c r="C5991" t="s">
        <v>16317</v>
      </c>
      <c r="D5991" t="s">
        <v>20</v>
      </c>
      <c r="E5991" t="s">
        <v>11</v>
      </c>
      <c r="F5991">
        <v>26044.325999999997</v>
      </c>
      <c r="G5991">
        <v>18</v>
      </c>
      <c r="L5991" t="s">
        <v>16318</v>
      </c>
    </row>
    <row r="5992" spans="1:12" x14ac:dyDescent="0.25">
      <c r="A5992" t="s">
        <v>18</v>
      </c>
      <c r="B5992" t="s">
        <v>16318</v>
      </c>
      <c r="C5992" t="s">
        <v>16319</v>
      </c>
      <c r="D5992" t="s">
        <v>20</v>
      </c>
      <c r="E5992" t="s">
        <v>11</v>
      </c>
      <c r="F5992">
        <v>30744.054</v>
      </c>
      <c r="G5992">
        <v>18</v>
      </c>
      <c r="L5992" t="s">
        <v>16320</v>
      </c>
    </row>
    <row r="5993" spans="1:12" x14ac:dyDescent="0.25">
      <c r="A5993" t="s">
        <v>18</v>
      </c>
      <c r="B5993" t="s">
        <v>16320</v>
      </c>
      <c r="C5993" t="s">
        <v>16321</v>
      </c>
      <c r="D5993" t="s">
        <v>20</v>
      </c>
      <c r="E5993" t="s">
        <v>11</v>
      </c>
      <c r="F5993">
        <v>28590.012</v>
      </c>
      <c r="G5993">
        <v>18</v>
      </c>
      <c r="L5993" t="s">
        <v>16322</v>
      </c>
    </row>
    <row r="5994" spans="1:12" x14ac:dyDescent="0.25">
      <c r="A5994" t="s">
        <v>18</v>
      </c>
      <c r="B5994" t="s">
        <v>16322</v>
      </c>
      <c r="C5994" t="s">
        <v>16323</v>
      </c>
      <c r="D5994" t="s">
        <v>20</v>
      </c>
      <c r="E5994" t="s">
        <v>11</v>
      </c>
      <c r="F5994">
        <v>25065.215999999997</v>
      </c>
      <c r="G5994">
        <v>18</v>
      </c>
      <c r="L5994" t="s">
        <v>16324</v>
      </c>
    </row>
    <row r="5995" spans="1:12" x14ac:dyDescent="0.25">
      <c r="A5995" t="s">
        <v>18</v>
      </c>
      <c r="B5995" t="s">
        <v>16324</v>
      </c>
      <c r="C5995" t="s">
        <v>16325</v>
      </c>
      <c r="D5995" t="s">
        <v>20</v>
      </c>
      <c r="E5995" t="s">
        <v>11</v>
      </c>
      <c r="F5995">
        <v>25326.311999999998</v>
      </c>
      <c r="G5995">
        <v>18</v>
      </c>
      <c r="L5995" t="s">
        <v>16326</v>
      </c>
    </row>
    <row r="5996" spans="1:12" x14ac:dyDescent="0.25">
      <c r="A5996" t="s">
        <v>18</v>
      </c>
      <c r="B5996" t="s">
        <v>16326</v>
      </c>
      <c r="C5996" t="s">
        <v>16327</v>
      </c>
      <c r="D5996" t="s">
        <v>20</v>
      </c>
      <c r="E5996" t="s">
        <v>11</v>
      </c>
      <c r="F5996">
        <v>26892.888000000003</v>
      </c>
      <c r="G5996">
        <v>18</v>
      </c>
      <c r="L5996" t="s">
        <v>16328</v>
      </c>
    </row>
    <row r="5997" spans="1:12" x14ac:dyDescent="0.25">
      <c r="A5997" t="s">
        <v>18</v>
      </c>
      <c r="B5997" t="s">
        <v>16328</v>
      </c>
      <c r="C5997" t="s">
        <v>16329</v>
      </c>
      <c r="D5997" t="s">
        <v>20</v>
      </c>
      <c r="E5997" t="s">
        <v>11</v>
      </c>
      <c r="F5997">
        <v>21866.79</v>
      </c>
      <c r="G5997">
        <v>18</v>
      </c>
      <c r="L5997" t="s">
        <v>16330</v>
      </c>
    </row>
    <row r="5998" spans="1:12" x14ac:dyDescent="0.25">
      <c r="A5998" t="s">
        <v>18</v>
      </c>
      <c r="B5998" t="s">
        <v>16330</v>
      </c>
      <c r="C5998" t="s">
        <v>16331</v>
      </c>
      <c r="D5998" t="s">
        <v>20</v>
      </c>
      <c r="E5998" t="s">
        <v>11</v>
      </c>
      <c r="F5998">
        <v>24543.023999999998</v>
      </c>
      <c r="G5998">
        <v>18</v>
      </c>
      <c r="L5998" t="s">
        <v>16332</v>
      </c>
    </row>
    <row r="5999" spans="1:12" x14ac:dyDescent="0.25">
      <c r="A5999" t="s">
        <v>18</v>
      </c>
      <c r="B5999" t="s">
        <v>16332</v>
      </c>
      <c r="C5999" t="s">
        <v>16333</v>
      </c>
      <c r="D5999" t="s">
        <v>20</v>
      </c>
      <c r="E5999" t="s">
        <v>11</v>
      </c>
      <c r="F5999">
        <v>30091.314</v>
      </c>
      <c r="G5999">
        <v>18</v>
      </c>
      <c r="L5999" t="s">
        <v>16334</v>
      </c>
    </row>
    <row r="6000" spans="1:12" x14ac:dyDescent="0.25">
      <c r="A6000" t="s">
        <v>18</v>
      </c>
      <c r="B6000" t="s">
        <v>16334</v>
      </c>
      <c r="C6000" t="s">
        <v>16335</v>
      </c>
      <c r="D6000" t="s">
        <v>20</v>
      </c>
      <c r="E6000" t="s">
        <v>11</v>
      </c>
      <c r="F6000">
        <v>3133.1519999999996</v>
      </c>
      <c r="G6000">
        <v>18</v>
      </c>
      <c r="L6000" t="s">
        <v>16336</v>
      </c>
    </row>
    <row r="6001" spans="1:12" x14ac:dyDescent="0.25">
      <c r="A6001" t="s">
        <v>18</v>
      </c>
      <c r="B6001" t="s">
        <v>16336</v>
      </c>
      <c r="C6001" t="s">
        <v>16337</v>
      </c>
      <c r="D6001" t="s">
        <v>20</v>
      </c>
      <c r="E6001" t="s">
        <v>11</v>
      </c>
      <c r="F6001">
        <v>2415.138</v>
      </c>
      <c r="G6001">
        <v>18</v>
      </c>
      <c r="L6001" t="s">
        <v>16338</v>
      </c>
    </row>
    <row r="6002" spans="1:12" x14ac:dyDescent="0.25">
      <c r="A6002" t="s">
        <v>18</v>
      </c>
      <c r="B6002" t="s">
        <v>16338</v>
      </c>
      <c r="C6002" t="s">
        <v>16339</v>
      </c>
      <c r="D6002" t="s">
        <v>20</v>
      </c>
      <c r="E6002" t="s">
        <v>11</v>
      </c>
      <c r="F6002">
        <v>21279.323999999997</v>
      </c>
      <c r="G6002">
        <v>18</v>
      </c>
      <c r="L6002" t="s">
        <v>16340</v>
      </c>
    </row>
    <row r="6003" spans="1:12" x14ac:dyDescent="0.25">
      <c r="A6003" t="s">
        <v>18</v>
      </c>
      <c r="B6003" t="s">
        <v>16340</v>
      </c>
      <c r="C6003" t="s">
        <v>16341</v>
      </c>
      <c r="D6003" t="s">
        <v>20</v>
      </c>
      <c r="E6003" t="s">
        <v>11</v>
      </c>
      <c r="F6003">
        <v>24281.928</v>
      </c>
      <c r="G6003">
        <v>18</v>
      </c>
      <c r="L6003" t="s">
        <v>16342</v>
      </c>
    </row>
    <row r="6004" spans="1:12" x14ac:dyDescent="0.25">
      <c r="A6004" t="s">
        <v>18</v>
      </c>
      <c r="B6004" t="s">
        <v>16342</v>
      </c>
      <c r="C6004" t="s">
        <v>16343</v>
      </c>
      <c r="D6004" t="s">
        <v>20</v>
      </c>
      <c r="E6004" t="s">
        <v>11</v>
      </c>
      <c r="F6004">
        <v>3133.1519999999996</v>
      </c>
      <c r="G6004">
        <v>18</v>
      </c>
      <c r="L6004" t="s">
        <v>16344</v>
      </c>
    </row>
    <row r="6005" spans="1:12" x14ac:dyDescent="0.25">
      <c r="A6005" t="s">
        <v>18</v>
      </c>
      <c r="B6005" t="s">
        <v>16344</v>
      </c>
      <c r="C6005" t="s">
        <v>16345</v>
      </c>
      <c r="D6005" t="s">
        <v>20</v>
      </c>
      <c r="E6005" t="s">
        <v>11</v>
      </c>
      <c r="F6005">
        <v>16905.966</v>
      </c>
      <c r="G6005">
        <v>18</v>
      </c>
      <c r="L6005" t="s">
        <v>16346</v>
      </c>
    </row>
    <row r="6006" spans="1:12" x14ac:dyDescent="0.25">
      <c r="A6006" t="s">
        <v>18</v>
      </c>
      <c r="B6006" t="s">
        <v>16346</v>
      </c>
      <c r="C6006" t="s">
        <v>16347</v>
      </c>
      <c r="D6006" t="s">
        <v>20</v>
      </c>
      <c r="E6006" t="s">
        <v>11</v>
      </c>
      <c r="F6006">
        <v>24608.298</v>
      </c>
      <c r="G6006">
        <v>18</v>
      </c>
      <c r="L6006" t="s">
        <v>16348</v>
      </c>
    </row>
    <row r="6007" spans="1:12" x14ac:dyDescent="0.25">
      <c r="A6007" t="s">
        <v>18</v>
      </c>
      <c r="B6007" t="s">
        <v>16348</v>
      </c>
      <c r="C6007" t="s">
        <v>16307</v>
      </c>
      <c r="D6007" t="s">
        <v>20</v>
      </c>
      <c r="E6007" t="s">
        <v>11</v>
      </c>
      <c r="F6007">
        <v>14817.197999999999</v>
      </c>
      <c r="G6007">
        <v>18</v>
      </c>
      <c r="L6007" t="s">
        <v>16349</v>
      </c>
    </row>
    <row r="6008" spans="1:12" x14ac:dyDescent="0.25">
      <c r="A6008" t="s">
        <v>18</v>
      </c>
      <c r="B6008" t="s">
        <v>16349</v>
      </c>
      <c r="C6008" t="s">
        <v>16350</v>
      </c>
      <c r="D6008" t="s">
        <v>20</v>
      </c>
      <c r="E6008" t="s">
        <v>11</v>
      </c>
      <c r="F6008">
        <v>18603.09</v>
      </c>
      <c r="G6008">
        <v>18</v>
      </c>
      <c r="L6008" t="s">
        <v>16351</v>
      </c>
    </row>
    <row r="6009" spans="1:12" x14ac:dyDescent="0.25">
      <c r="A6009" t="s">
        <v>18</v>
      </c>
      <c r="B6009" t="s">
        <v>16351</v>
      </c>
      <c r="C6009" t="s">
        <v>16352</v>
      </c>
      <c r="D6009" t="s">
        <v>20</v>
      </c>
      <c r="E6009" t="s">
        <v>11</v>
      </c>
      <c r="F6009">
        <v>17232.336</v>
      </c>
      <c r="G6009">
        <v>18</v>
      </c>
      <c r="L6009" t="s">
        <v>16353</v>
      </c>
    </row>
    <row r="6010" spans="1:12" x14ac:dyDescent="0.25">
      <c r="A6010" t="s">
        <v>18</v>
      </c>
      <c r="B6010" t="s">
        <v>16353</v>
      </c>
      <c r="C6010" t="s">
        <v>16354</v>
      </c>
      <c r="D6010" t="s">
        <v>20</v>
      </c>
      <c r="E6010" t="s">
        <v>11</v>
      </c>
      <c r="F6010">
        <v>17167.061999999998</v>
      </c>
      <c r="G6010">
        <v>18</v>
      </c>
      <c r="L6010" t="s">
        <v>16355</v>
      </c>
    </row>
    <row r="6011" spans="1:12" x14ac:dyDescent="0.25">
      <c r="A6011" t="s">
        <v>18</v>
      </c>
      <c r="B6011" t="s">
        <v>16355</v>
      </c>
      <c r="C6011" t="s">
        <v>16356</v>
      </c>
      <c r="D6011" t="s">
        <v>20</v>
      </c>
      <c r="E6011" t="s">
        <v>11</v>
      </c>
      <c r="F6011">
        <v>1892.946</v>
      </c>
      <c r="G6011">
        <v>18</v>
      </c>
      <c r="L6011" t="s">
        <v>16357</v>
      </c>
    </row>
    <row r="6012" spans="1:12" x14ac:dyDescent="0.25">
      <c r="A6012" t="s">
        <v>18</v>
      </c>
      <c r="B6012" t="s">
        <v>16357</v>
      </c>
      <c r="C6012" t="s">
        <v>16358</v>
      </c>
      <c r="D6012" t="s">
        <v>20</v>
      </c>
      <c r="E6012" t="s">
        <v>11</v>
      </c>
      <c r="F6012">
        <v>4699.727999999999</v>
      </c>
      <c r="G6012">
        <v>18</v>
      </c>
      <c r="L6012" t="s">
        <v>16359</v>
      </c>
    </row>
    <row r="6013" spans="1:12" x14ac:dyDescent="0.25">
      <c r="A6013" t="s">
        <v>18</v>
      </c>
      <c r="B6013" t="s">
        <v>16359</v>
      </c>
      <c r="C6013" t="s">
        <v>16360</v>
      </c>
      <c r="D6013" t="s">
        <v>20</v>
      </c>
      <c r="E6013" t="s">
        <v>11</v>
      </c>
      <c r="F6013">
        <v>4699.727999999999</v>
      </c>
      <c r="G6013">
        <v>18</v>
      </c>
      <c r="L6013" t="s">
        <v>16361</v>
      </c>
    </row>
    <row r="6014" spans="1:12" x14ac:dyDescent="0.25">
      <c r="A6014" t="s">
        <v>18</v>
      </c>
      <c r="B6014" t="s">
        <v>16361</v>
      </c>
      <c r="C6014" t="s">
        <v>16362</v>
      </c>
      <c r="D6014" t="s">
        <v>20</v>
      </c>
      <c r="E6014" t="s">
        <v>11</v>
      </c>
      <c r="F6014">
        <v>2806.7819999999997</v>
      </c>
      <c r="G6014">
        <v>18</v>
      </c>
      <c r="L6014" t="s">
        <v>16363</v>
      </c>
    </row>
    <row r="6015" spans="1:12" x14ac:dyDescent="0.25">
      <c r="A6015" t="s">
        <v>18</v>
      </c>
      <c r="B6015" t="s">
        <v>16363</v>
      </c>
      <c r="C6015" t="s">
        <v>16364</v>
      </c>
      <c r="D6015" t="s">
        <v>20</v>
      </c>
      <c r="E6015" t="s">
        <v>11</v>
      </c>
      <c r="F6015">
        <v>25456.859999999997</v>
      </c>
      <c r="G6015">
        <v>18</v>
      </c>
      <c r="L6015" t="s">
        <v>16365</v>
      </c>
    </row>
    <row r="6016" spans="1:12" x14ac:dyDescent="0.25">
      <c r="A6016" t="s">
        <v>18</v>
      </c>
      <c r="B6016" t="s">
        <v>16365</v>
      </c>
      <c r="C6016" t="s">
        <v>16366</v>
      </c>
      <c r="D6016" t="s">
        <v>20</v>
      </c>
      <c r="E6016" t="s">
        <v>11</v>
      </c>
      <c r="F6016">
        <v>10378.565999999999</v>
      </c>
      <c r="G6016">
        <v>18</v>
      </c>
      <c r="L6016" t="s">
        <v>16367</v>
      </c>
    </row>
    <row r="6017" spans="1:12" x14ac:dyDescent="0.25">
      <c r="A6017" t="s">
        <v>18</v>
      </c>
      <c r="B6017" t="s">
        <v>16367</v>
      </c>
      <c r="C6017" t="s">
        <v>16368</v>
      </c>
      <c r="D6017" t="s">
        <v>20</v>
      </c>
      <c r="E6017" t="s">
        <v>11</v>
      </c>
      <c r="F6017">
        <v>6266.303999999999</v>
      </c>
      <c r="G6017">
        <v>18</v>
      </c>
      <c r="L6017" t="s">
        <v>16369</v>
      </c>
    </row>
    <row r="6018" spans="1:12" x14ac:dyDescent="0.25">
      <c r="A6018" t="s">
        <v>18</v>
      </c>
      <c r="B6018" t="s">
        <v>16369</v>
      </c>
      <c r="C6018" t="s">
        <v>16370</v>
      </c>
      <c r="D6018" t="s">
        <v>20</v>
      </c>
      <c r="E6018" t="s">
        <v>11</v>
      </c>
      <c r="F6018">
        <v>7245.414</v>
      </c>
      <c r="G6018">
        <v>18</v>
      </c>
      <c r="L6018" t="s">
        <v>16371</v>
      </c>
    </row>
    <row r="6019" spans="1:12" x14ac:dyDescent="0.25">
      <c r="A6019" t="s">
        <v>18</v>
      </c>
      <c r="B6019" t="s">
        <v>16371</v>
      </c>
      <c r="C6019" t="s">
        <v>16372</v>
      </c>
      <c r="D6019" t="s">
        <v>20</v>
      </c>
      <c r="E6019" t="s">
        <v>11</v>
      </c>
      <c r="F6019">
        <v>12663.155999999999</v>
      </c>
      <c r="G6019">
        <v>18</v>
      </c>
      <c r="L6019" t="s">
        <v>16373</v>
      </c>
    </row>
    <row r="6020" spans="1:12" x14ac:dyDescent="0.25">
      <c r="A6020" t="s">
        <v>18</v>
      </c>
      <c r="B6020" t="s">
        <v>16373</v>
      </c>
      <c r="C6020" t="s">
        <v>16374</v>
      </c>
      <c r="D6020" t="s">
        <v>20</v>
      </c>
      <c r="E6020" t="s">
        <v>11</v>
      </c>
      <c r="F6020">
        <v>9073.086</v>
      </c>
      <c r="G6020">
        <v>18</v>
      </c>
      <c r="L6020" t="s">
        <v>16375</v>
      </c>
    </row>
    <row r="6021" spans="1:12" x14ac:dyDescent="0.25">
      <c r="A6021" t="s">
        <v>18</v>
      </c>
      <c r="B6021" t="s">
        <v>16375</v>
      </c>
      <c r="C6021" t="s">
        <v>16376</v>
      </c>
      <c r="D6021" t="s">
        <v>20</v>
      </c>
      <c r="E6021" t="s">
        <v>11</v>
      </c>
      <c r="F6021">
        <v>2480.4120000000003</v>
      </c>
      <c r="G6021">
        <v>18</v>
      </c>
      <c r="L6021" t="s">
        <v>16377</v>
      </c>
    </row>
    <row r="6022" spans="1:12" x14ac:dyDescent="0.25">
      <c r="A6022" t="s">
        <v>18</v>
      </c>
      <c r="B6022" t="s">
        <v>16377</v>
      </c>
      <c r="C6022" t="s">
        <v>16378</v>
      </c>
      <c r="D6022" t="s">
        <v>20</v>
      </c>
      <c r="E6022" t="s">
        <v>11</v>
      </c>
      <c r="F6022">
        <v>2872.056</v>
      </c>
      <c r="G6022">
        <v>18</v>
      </c>
      <c r="L6022" t="s">
        <v>16379</v>
      </c>
    </row>
    <row r="6023" spans="1:12" x14ac:dyDescent="0.25">
      <c r="A6023" t="s">
        <v>18</v>
      </c>
      <c r="B6023" t="s">
        <v>16379</v>
      </c>
      <c r="C6023" t="s">
        <v>16380</v>
      </c>
      <c r="D6023" t="s">
        <v>20</v>
      </c>
      <c r="E6023" t="s">
        <v>11</v>
      </c>
      <c r="F6023">
        <v>20300.213999999996</v>
      </c>
      <c r="G6023">
        <v>18</v>
      </c>
      <c r="L6023" t="s">
        <v>16381</v>
      </c>
    </row>
    <row r="6024" spans="1:12" x14ac:dyDescent="0.25">
      <c r="A6024" t="s">
        <v>18</v>
      </c>
      <c r="B6024" t="s">
        <v>16381</v>
      </c>
      <c r="C6024" t="s">
        <v>16382</v>
      </c>
      <c r="D6024" t="s">
        <v>20</v>
      </c>
      <c r="E6024" t="s">
        <v>11</v>
      </c>
      <c r="F6024">
        <v>22388.982</v>
      </c>
      <c r="G6024">
        <v>18</v>
      </c>
      <c r="L6024" t="s">
        <v>16383</v>
      </c>
    </row>
    <row r="6025" spans="1:12" x14ac:dyDescent="0.25">
      <c r="A6025" t="s">
        <v>18</v>
      </c>
      <c r="B6025" t="s">
        <v>16383</v>
      </c>
      <c r="C6025" t="s">
        <v>16384</v>
      </c>
      <c r="D6025" t="s">
        <v>20</v>
      </c>
      <c r="E6025" t="s">
        <v>11</v>
      </c>
      <c r="F6025">
        <v>23106.995999999996</v>
      </c>
      <c r="G6025">
        <v>18</v>
      </c>
      <c r="L6025" t="s">
        <v>16385</v>
      </c>
    </row>
    <row r="6026" spans="1:12" x14ac:dyDescent="0.25">
      <c r="A6026" t="s">
        <v>18</v>
      </c>
      <c r="B6026" t="s">
        <v>16385</v>
      </c>
      <c r="C6026" t="s">
        <v>16386</v>
      </c>
      <c r="D6026" t="s">
        <v>20</v>
      </c>
      <c r="E6026" t="s">
        <v>11</v>
      </c>
      <c r="F6026">
        <v>20234.940000000002</v>
      </c>
      <c r="G6026">
        <v>18</v>
      </c>
      <c r="L6026" t="s">
        <v>16387</v>
      </c>
    </row>
    <row r="6027" spans="1:12" x14ac:dyDescent="0.25">
      <c r="A6027" t="s">
        <v>18</v>
      </c>
      <c r="B6027" t="s">
        <v>16387</v>
      </c>
      <c r="C6027" t="s">
        <v>16388</v>
      </c>
      <c r="D6027" t="s">
        <v>20</v>
      </c>
      <c r="E6027" t="s">
        <v>11</v>
      </c>
      <c r="F6027">
        <v>522.192</v>
      </c>
      <c r="G6027">
        <v>18</v>
      </c>
      <c r="L6027" t="s">
        <v>16389</v>
      </c>
    </row>
    <row r="6028" spans="1:12" x14ac:dyDescent="0.25">
      <c r="A6028" t="s">
        <v>18</v>
      </c>
      <c r="B6028" t="s">
        <v>16389</v>
      </c>
      <c r="C6028" t="s">
        <v>16390</v>
      </c>
      <c r="D6028" t="s">
        <v>20</v>
      </c>
      <c r="E6028" t="s">
        <v>11</v>
      </c>
      <c r="F6028">
        <v>5744.112</v>
      </c>
      <c r="G6028">
        <v>18</v>
      </c>
      <c r="L6028" t="s">
        <v>16391</v>
      </c>
    </row>
    <row r="6029" spans="1:12" x14ac:dyDescent="0.25">
      <c r="A6029" t="s">
        <v>18</v>
      </c>
      <c r="B6029" t="s">
        <v>16391</v>
      </c>
      <c r="C6029" t="s">
        <v>16392</v>
      </c>
      <c r="D6029" t="s">
        <v>20</v>
      </c>
      <c r="E6029" t="s">
        <v>11</v>
      </c>
      <c r="F6029">
        <v>5744.112</v>
      </c>
      <c r="G6029">
        <v>18</v>
      </c>
      <c r="L6029" t="s">
        <v>16393</v>
      </c>
    </row>
    <row r="6030" spans="1:12" x14ac:dyDescent="0.25">
      <c r="A6030" t="s">
        <v>18</v>
      </c>
      <c r="B6030" t="s">
        <v>16393</v>
      </c>
      <c r="C6030" t="s">
        <v>16394</v>
      </c>
      <c r="D6030" t="s">
        <v>20</v>
      </c>
      <c r="E6030" t="s">
        <v>11</v>
      </c>
      <c r="F6030">
        <v>6462.126</v>
      </c>
      <c r="G6030">
        <v>18</v>
      </c>
      <c r="L6030" t="s">
        <v>16395</v>
      </c>
    </row>
    <row r="6031" spans="1:12" x14ac:dyDescent="0.25">
      <c r="A6031" t="s">
        <v>18</v>
      </c>
      <c r="B6031" t="s">
        <v>16395</v>
      </c>
      <c r="C6031" t="s">
        <v>16396</v>
      </c>
      <c r="D6031" t="s">
        <v>20</v>
      </c>
      <c r="E6031" t="s">
        <v>11</v>
      </c>
      <c r="F6031">
        <v>17101.787999999997</v>
      </c>
      <c r="G6031">
        <v>18</v>
      </c>
      <c r="L6031" t="s">
        <v>16397</v>
      </c>
    </row>
    <row r="6032" spans="1:12" x14ac:dyDescent="0.25">
      <c r="A6032" t="s">
        <v>18</v>
      </c>
      <c r="B6032" t="s">
        <v>16397</v>
      </c>
      <c r="C6032" t="s">
        <v>16398</v>
      </c>
      <c r="D6032" t="s">
        <v>20</v>
      </c>
      <c r="E6032" t="s">
        <v>11</v>
      </c>
      <c r="F6032">
        <v>5613.563999999999</v>
      </c>
      <c r="G6032">
        <v>18</v>
      </c>
      <c r="L6032" t="s">
        <v>16399</v>
      </c>
    </row>
    <row r="6033" spans="1:12" x14ac:dyDescent="0.25">
      <c r="A6033" t="s">
        <v>18</v>
      </c>
      <c r="B6033" t="s">
        <v>16399</v>
      </c>
      <c r="C6033" t="s">
        <v>16400</v>
      </c>
      <c r="D6033" t="s">
        <v>20</v>
      </c>
      <c r="E6033" t="s">
        <v>11</v>
      </c>
      <c r="F6033">
        <v>6005.208</v>
      </c>
      <c r="G6033">
        <v>18</v>
      </c>
      <c r="L6033" t="s">
        <v>16401</v>
      </c>
    </row>
    <row r="6034" spans="1:12" x14ac:dyDescent="0.25">
      <c r="A6034" t="s">
        <v>18</v>
      </c>
      <c r="B6034" t="s">
        <v>16401</v>
      </c>
      <c r="C6034" t="s">
        <v>16402</v>
      </c>
      <c r="D6034" t="s">
        <v>20</v>
      </c>
      <c r="E6034" t="s">
        <v>11</v>
      </c>
      <c r="F6034">
        <v>14360.279999999999</v>
      </c>
      <c r="G6034">
        <v>18</v>
      </c>
      <c r="L6034" t="s">
        <v>16403</v>
      </c>
    </row>
    <row r="6035" spans="1:12" x14ac:dyDescent="0.25">
      <c r="A6035" t="s">
        <v>18</v>
      </c>
      <c r="B6035" t="s">
        <v>16403</v>
      </c>
      <c r="C6035" t="s">
        <v>16404</v>
      </c>
      <c r="D6035" t="s">
        <v>20</v>
      </c>
      <c r="E6035" t="s">
        <v>11</v>
      </c>
      <c r="F6035">
        <v>11161.854</v>
      </c>
      <c r="G6035">
        <v>18</v>
      </c>
      <c r="L6035" t="s">
        <v>16405</v>
      </c>
    </row>
    <row r="6036" spans="1:12" x14ac:dyDescent="0.25">
      <c r="A6036" t="s">
        <v>18</v>
      </c>
      <c r="B6036" t="s">
        <v>16405</v>
      </c>
      <c r="C6036" t="s">
        <v>16406</v>
      </c>
      <c r="D6036" t="s">
        <v>20</v>
      </c>
      <c r="E6036" t="s">
        <v>11</v>
      </c>
      <c r="F6036">
        <v>2284.59</v>
      </c>
      <c r="G6036">
        <v>18</v>
      </c>
      <c r="L6036" t="s">
        <v>16407</v>
      </c>
    </row>
    <row r="6037" spans="1:12" x14ac:dyDescent="0.25">
      <c r="A6037" t="s">
        <v>18</v>
      </c>
      <c r="B6037" t="s">
        <v>16407</v>
      </c>
      <c r="C6037" t="s">
        <v>16408</v>
      </c>
      <c r="D6037" t="s">
        <v>20</v>
      </c>
      <c r="E6037" t="s">
        <v>11</v>
      </c>
      <c r="F6037">
        <v>2349.8639999999996</v>
      </c>
      <c r="G6037">
        <v>18</v>
      </c>
      <c r="L6037" t="s">
        <v>16409</v>
      </c>
    </row>
    <row r="6038" spans="1:12" x14ac:dyDescent="0.25">
      <c r="A6038" t="s">
        <v>18</v>
      </c>
      <c r="B6038" t="s">
        <v>16409</v>
      </c>
      <c r="C6038" t="s">
        <v>16410</v>
      </c>
      <c r="D6038" t="s">
        <v>20</v>
      </c>
      <c r="E6038" t="s">
        <v>11</v>
      </c>
      <c r="F6038">
        <v>17623.98</v>
      </c>
      <c r="G6038">
        <v>18</v>
      </c>
      <c r="L6038" t="s">
        <v>16411</v>
      </c>
    </row>
    <row r="6039" spans="1:12" x14ac:dyDescent="0.25">
      <c r="A6039" t="s">
        <v>18</v>
      </c>
      <c r="B6039" t="s">
        <v>16411</v>
      </c>
      <c r="C6039" t="s">
        <v>16412</v>
      </c>
      <c r="D6039" t="s">
        <v>20</v>
      </c>
      <c r="E6039" t="s">
        <v>11</v>
      </c>
      <c r="F6039">
        <v>11422.95</v>
      </c>
      <c r="G6039">
        <v>18</v>
      </c>
      <c r="L6039" t="s">
        <v>16413</v>
      </c>
    </row>
    <row r="6040" spans="1:12" x14ac:dyDescent="0.25">
      <c r="A6040" t="s">
        <v>18</v>
      </c>
      <c r="B6040" t="s">
        <v>16413</v>
      </c>
      <c r="C6040" t="s">
        <v>16414</v>
      </c>
      <c r="D6040" t="s">
        <v>20</v>
      </c>
      <c r="E6040" t="s">
        <v>11</v>
      </c>
      <c r="F6040">
        <v>14099.184000000001</v>
      </c>
      <c r="G6040">
        <v>18</v>
      </c>
      <c r="L6040" t="s">
        <v>16415</v>
      </c>
    </row>
    <row r="6041" spans="1:12" x14ac:dyDescent="0.25">
      <c r="A6041" t="s">
        <v>18</v>
      </c>
      <c r="B6041" t="s">
        <v>16415</v>
      </c>
      <c r="C6041" t="s">
        <v>16416</v>
      </c>
      <c r="D6041" t="s">
        <v>20</v>
      </c>
      <c r="E6041" t="s">
        <v>11</v>
      </c>
      <c r="F6041">
        <v>11553.497999999998</v>
      </c>
      <c r="G6041">
        <v>18</v>
      </c>
      <c r="L6041" t="s">
        <v>16417</v>
      </c>
    </row>
    <row r="6042" spans="1:12" x14ac:dyDescent="0.25">
      <c r="A6042" t="s">
        <v>18</v>
      </c>
      <c r="B6042" t="s">
        <v>16417</v>
      </c>
      <c r="C6042" t="s">
        <v>16418</v>
      </c>
      <c r="D6042" t="s">
        <v>20</v>
      </c>
      <c r="E6042" t="s">
        <v>11</v>
      </c>
      <c r="F6042">
        <v>11879.867999999999</v>
      </c>
      <c r="G6042">
        <v>18</v>
      </c>
      <c r="L6042" t="s">
        <v>16419</v>
      </c>
    </row>
    <row r="6043" spans="1:12" x14ac:dyDescent="0.25">
      <c r="A6043" t="s">
        <v>18</v>
      </c>
      <c r="B6043" t="s">
        <v>16419</v>
      </c>
      <c r="C6043" t="s">
        <v>16420</v>
      </c>
      <c r="D6043" t="s">
        <v>20</v>
      </c>
      <c r="E6043" t="s">
        <v>11</v>
      </c>
      <c r="F6043">
        <v>11422.95</v>
      </c>
      <c r="G6043">
        <v>18</v>
      </c>
      <c r="L6043" t="s">
        <v>16421</v>
      </c>
    </row>
    <row r="6044" spans="1:12" x14ac:dyDescent="0.25">
      <c r="A6044" t="s">
        <v>18</v>
      </c>
      <c r="B6044" t="s">
        <v>16421</v>
      </c>
      <c r="C6044" t="s">
        <v>16422</v>
      </c>
      <c r="D6044" t="s">
        <v>20</v>
      </c>
      <c r="E6044" t="s">
        <v>11</v>
      </c>
      <c r="F6044">
        <v>12271.511999999999</v>
      </c>
      <c r="G6044">
        <v>18</v>
      </c>
      <c r="L6044" t="s">
        <v>16423</v>
      </c>
    </row>
    <row r="6045" spans="1:12" x14ac:dyDescent="0.25">
      <c r="A6045" t="s">
        <v>18</v>
      </c>
      <c r="B6045" t="s">
        <v>16423</v>
      </c>
      <c r="C6045" t="s">
        <v>16424</v>
      </c>
      <c r="D6045" t="s">
        <v>20</v>
      </c>
      <c r="E6045" t="s">
        <v>11</v>
      </c>
      <c r="F6045">
        <v>13054.8</v>
      </c>
      <c r="G6045">
        <v>18</v>
      </c>
      <c r="L6045" t="s">
        <v>16425</v>
      </c>
    </row>
    <row r="6046" spans="1:12" x14ac:dyDescent="0.25">
      <c r="A6046" t="s">
        <v>18</v>
      </c>
      <c r="B6046" t="s">
        <v>16425</v>
      </c>
      <c r="C6046" t="s">
        <v>16426</v>
      </c>
      <c r="D6046" t="s">
        <v>20</v>
      </c>
      <c r="E6046" t="s">
        <v>11</v>
      </c>
      <c r="F6046">
        <v>18603.09</v>
      </c>
      <c r="G6046">
        <v>18</v>
      </c>
      <c r="L6046" t="s">
        <v>16427</v>
      </c>
    </row>
    <row r="6047" spans="1:12" x14ac:dyDescent="0.25">
      <c r="A6047" t="s">
        <v>18</v>
      </c>
      <c r="B6047" t="s">
        <v>16427</v>
      </c>
      <c r="C6047" t="s">
        <v>16428</v>
      </c>
      <c r="D6047" t="s">
        <v>20</v>
      </c>
      <c r="E6047" t="s">
        <v>11</v>
      </c>
      <c r="F6047">
        <v>17297.61</v>
      </c>
      <c r="G6047">
        <v>18</v>
      </c>
      <c r="L6047" t="s">
        <v>16429</v>
      </c>
    </row>
    <row r="6048" spans="1:12" x14ac:dyDescent="0.25">
      <c r="A6048" t="s">
        <v>18</v>
      </c>
      <c r="B6048" t="s">
        <v>16429</v>
      </c>
      <c r="C6048" t="s">
        <v>16430</v>
      </c>
      <c r="D6048" t="s">
        <v>20</v>
      </c>
      <c r="E6048" t="s">
        <v>11</v>
      </c>
      <c r="F6048">
        <v>15078.294000000002</v>
      </c>
      <c r="G6048">
        <v>18</v>
      </c>
      <c r="L6048" t="s">
        <v>16431</v>
      </c>
    </row>
    <row r="6049" spans="1:12" x14ac:dyDescent="0.25">
      <c r="A6049" t="s">
        <v>18</v>
      </c>
      <c r="B6049" t="s">
        <v>16431</v>
      </c>
      <c r="C6049" t="s">
        <v>16432</v>
      </c>
      <c r="D6049" t="s">
        <v>20</v>
      </c>
      <c r="E6049" t="s">
        <v>11</v>
      </c>
      <c r="F6049">
        <v>17819.802</v>
      </c>
      <c r="G6049">
        <v>18</v>
      </c>
      <c r="L6049" t="s">
        <v>16433</v>
      </c>
    </row>
    <row r="6050" spans="1:12" x14ac:dyDescent="0.25">
      <c r="A6050" t="s">
        <v>18</v>
      </c>
      <c r="B6050" t="s">
        <v>16433</v>
      </c>
      <c r="C6050" t="s">
        <v>16434</v>
      </c>
      <c r="D6050" t="s">
        <v>20</v>
      </c>
      <c r="E6050" t="s">
        <v>11</v>
      </c>
      <c r="F6050">
        <v>17558.706</v>
      </c>
      <c r="G6050">
        <v>18</v>
      </c>
      <c r="L6050" t="s">
        <v>16435</v>
      </c>
    </row>
    <row r="6051" spans="1:12" x14ac:dyDescent="0.25">
      <c r="A6051" t="s">
        <v>18</v>
      </c>
      <c r="B6051" t="s">
        <v>16435</v>
      </c>
      <c r="C6051" t="s">
        <v>16436</v>
      </c>
      <c r="D6051" t="s">
        <v>20</v>
      </c>
      <c r="E6051" t="s">
        <v>11</v>
      </c>
      <c r="F6051">
        <v>13772.814</v>
      </c>
      <c r="G6051">
        <v>18</v>
      </c>
      <c r="L6051" t="s">
        <v>16437</v>
      </c>
    </row>
    <row r="6052" spans="1:12" x14ac:dyDescent="0.25">
      <c r="A6052" t="s">
        <v>18</v>
      </c>
      <c r="B6052" t="s">
        <v>16437</v>
      </c>
      <c r="C6052" t="s">
        <v>16438</v>
      </c>
      <c r="D6052" t="s">
        <v>20</v>
      </c>
      <c r="E6052" t="s">
        <v>11</v>
      </c>
      <c r="F6052">
        <v>17819.802</v>
      </c>
      <c r="G6052">
        <v>18</v>
      </c>
      <c r="L6052" t="s">
        <v>16439</v>
      </c>
    </row>
    <row r="6053" spans="1:12" x14ac:dyDescent="0.25">
      <c r="A6053" t="s">
        <v>18</v>
      </c>
      <c r="B6053" t="s">
        <v>16439</v>
      </c>
      <c r="C6053" t="s">
        <v>16440</v>
      </c>
      <c r="D6053" t="s">
        <v>20</v>
      </c>
      <c r="E6053" t="s">
        <v>11</v>
      </c>
      <c r="F6053">
        <v>17558.706</v>
      </c>
      <c r="G6053">
        <v>18</v>
      </c>
      <c r="L6053" t="s">
        <v>16441</v>
      </c>
    </row>
    <row r="6054" spans="1:12" x14ac:dyDescent="0.25">
      <c r="A6054" t="s">
        <v>18</v>
      </c>
      <c r="B6054" t="s">
        <v>16441</v>
      </c>
      <c r="C6054" t="s">
        <v>16442</v>
      </c>
      <c r="D6054" t="s">
        <v>20</v>
      </c>
      <c r="E6054" t="s">
        <v>11</v>
      </c>
      <c r="F6054">
        <v>1827.672</v>
      </c>
      <c r="G6054">
        <v>18</v>
      </c>
      <c r="L6054" t="s">
        <v>16443</v>
      </c>
    </row>
    <row r="6055" spans="1:12" x14ac:dyDescent="0.25">
      <c r="A6055" t="s">
        <v>18</v>
      </c>
      <c r="B6055" t="s">
        <v>16443</v>
      </c>
      <c r="C6055" t="s">
        <v>16444</v>
      </c>
      <c r="D6055" t="s">
        <v>20</v>
      </c>
      <c r="E6055" t="s">
        <v>11</v>
      </c>
      <c r="F6055">
        <v>7049.592000000001</v>
      </c>
      <c r="G6055">
        <v>18</v>
      </c>
      <c r="L6055" t="s">
        <v>16445</v>
      </c>
    </row>
    <row r="6056" spans="1:12" x14ac:dyDescent="0.25">
      <c r="A6056" t="s">
        <v>18</v>
      </c>
      <c r="B6056" t="s">
        <v>16445</v>
      </c>
      <c r="C6056" t="s">
        <v>16446</v>
      </c>
      <c r="D6056" t="s">
        <v>20</v>
      </c>
      <c r="E6056" t="s">
        <v>11</v>
      </c>
      <c r="F6056">
        <v>6331.5779999999995</v>
      </c>
      <c r="G6056">
        <v>18</v>
      </c>
      <c r="L6056" t="s">
        <v>16447</v>
      </c>
    </row>
    <row r="6057" spans="1:12" x14ac:dyDescent="0.25">
      <c r="A6057" t="s">
        <v>18</v>
      </c>
      <c r="B6057" t="s">
        <v>16447</v>
      </c>
      <c r="C6057" t="s">
        <v>16448</v>
      </c>
      <c r="D6057" t="s">
        <v>20</v>
      </c>
      <c r="E6057" t="s">
        <v>11</v>
      </c>
      <c r="F6057">
        <v>6331.5779999999995</v>
      </c>
      <c r="G6057">
        <v>18</v>
      </c>
      <c r="L6057" t="s">
        <v>16449</v>
      </c>
    </row>
    <row r="6058" spans="1:12" x14ac:dyDescent="0.25">
      <c r="A6058" t="s">
        <v>18</v>
      </c>
      <c r="B6058" t="s">
        <v>16449</v>
      </c>
      <c r="C6058" t="s">
        <v>16450</v>
      </c>
      <c r="D6058" t="s">
        <v>20</v>
      </c>
      <c r="E6058" t="s">
        <v>11</v>
      </c>
      <c r="F6058">
        <v>5026.097999999999</v>
      </c>
      <c r="G6058">
        <v>18</v>
      </c>
      <c r="L6058" t="s">
        <v>16451</v>
      </c>
    </row>
    <row r="6059" spans="1:12" x14ac:dyDescent="0.25">
      <c r="A6059" t="s">
        <v>18</v>
      </c>
      <c r="B6059" t="s">
        <v>16451</v>
      </c>
      <c r="C6059" t="s">
        <v>16452</v>
      </c>
      <c r="D6059" t="s">
        <v>20</v>
      </c>
      <c r="E6059" t="s">
        <v>11</v>
      </c>
      <c r="F6059">
        <v>8942.538</v>
      </c>
      <c r="G6059">
        <v>18</v>
      </c>
      <c r="L6059" t="s">
        <v>16453</v>
      </c>
    </row>
    <row r="6060" spans="1:12" x14ac:dyDescent="0.25">
      <c r="A6060" t="s">
        <v>18</v>
      </c>
      <c r="B6060" t="s">
        <v>16453</v>
      </c>
      <c r="C6060" t="s">
        <v>16454</v>
      </c>
      <c r="D6060" t="s">
        <v>20</v>
      </c>
      <c r="E6060" t="s">
        <v>11</v>
      </c>
      <c r="F6060">
        <v>10117.470000000001</v>
      </c>
      <c r="G6060">
        <v>18</v>
      </c>
      <c r="L6060" t="s">
        <v>16455</v>
      </c>
    </row>
    <row r="6061" spans="1:12" x14ac:dyDescent="0.25">
      <c r="A6061" t="s">
        <v>18</v>
      </c>
      <c r="B6061" t="s">
        <v>16455</v>
      </c>
      <c r="C6061" t="s">
        <v>16456</v>
      </c>
      <c r="D6061" t="s">
        <v>20</v>
      </c>
      <c r="E6061" t="s">
        <v>11</v>
      </c>
      <c r="F6061">
        <v>1044.384</v>
      </c>
      <c r="G6061">
        <v>18</v>
      </c>
      <c r="L6061" t="s">
        <v>16457</v>
      </c>
    </row>
    <row r="6062" spans="1:12" x14ac:dyDescent="0.25">
      <c r="A6062" t="s">
        <v>18</v>
      </c>
      <c r="B6062" t="s">
        <v>16457</v>
      </c>
      <c r="C6062" t="s">
        <v>16458</v>
      </c>
      <c r="D6062" t="s">
        <v>20</v>
      </c>
      <c r="E6062" t="s">
        <v>11</v>
      </c>
      <c r="F6062">
        <v>6331.5779999999995</v>
      </c>
      <c r="G6062">
        <v>18</v>
      </c>
      <c r="L6062" t="s">
        <v>16459</v>
      </c>
    </row>
    <row r="6063" spans="1:12" x14ac:dyDescent="0.25">
      <c r="A6063" t="s">
        <v>18</v>
      </c>
      <c r="B6063" t="s">
        <v>16459</v>
      </c>
      <c r="C6063" t="s">
        <v>16460</v>
      </c>
      <c r="D6063" t="s">
        <v>20</v>
      </c>
      <c r="E6063" t="s">
        <v>11</v>
      </c>
      <c r="F6063">
        <v>3981.714</v>
      </c>
      <c r="G6063">
        <v>18</v>
      </c>
      <c r="L6063" t="s">
        <v>16461</v>
      </c>
    </row>
    <row r="6064" spans="1:12" x14ac:dyDescent="0.25">
      <c r="A6064" t="s">
        <v>18</v>
      </c>
      <c r="B6064" t="s">
        <v>16461</v>
      </c>
      <c r="C6064" t="s">
        <v>16462</v>
      </c>
      <c r="D6064" t="s">
        <v>20</v>
      </c>
      <c r="E6064" t="s">
        <v>11</v>
      </c>
      <c r="F6064">
        <v>8942.538</v>
      </c>
      <c r="G6064">
        <v>18</v>
      </c>
      <c r="L6064" t="s">
        <v>16463</v>
      </c>
    </row>
    <row r="6065" spans="1:12" x14ac:dyDescent="0.25">
      <c r="A6065" t="s">
        <v>18</v>
      </c>
      <c r="B6065" t="s">
        <v>16463</v>
      </c>
      <c r="C6065" t="s">
        <v>16464</v>
      </c>
      <c r="D6065" t="s">
        <v>20</v>
      </c>
      <c r="E6065" t="s">
        <v>11</v>
      </c>
      <c r="F6065">
        <v>5483.016</v>
      </c>
      <c r="G6065">
        <v>18</v>
      </c>
      <c r="L6065" t="s">
        <v>16465</v>
      </c>
    </row>
    <row r="6066" spans="1:12" x14ac:dyDescent="0.25">
      <c r="A6066" t="s">
        <v>18</v>
      </c>
      <c r="B6066" t="s">
        <v>16465</v>
      </c>
      <c r="C6066" t="s">
        <v>16466</v>
      </c>
      <c r="D6066" t="s">
        <v>20</v>
      </c>
      <c r="E6066" t="s">
        <v>11</v>
      </c>
      <c r="F6066">
        <v>2023.494</v>
      </c>
      <c r="G6066">
        <v>18</v>
      </c>
      <c r="L6066" t="s">
        <v>16467</v>
      </c>
    </row>
    <row r="6067" spans="1:12" x14ac:dyDescent="0.25">
      <c r="A6067" t="s">
        <v>18</v>
      </c>
      <c r="B6067" t="s">
        <v>16467</v>
      </c>
      <c r="C6067" t="s">
        <v>16468</v>
      </c>
      <c r="D6067" t="s">
        <v>20</v>
      </c>
      <c r="E6067" t="s">
        <v>11</v>
      </c>
      <c r="F6067">
        <v>10966.032</v>
      </c>
      <c r="G6067">
        <v>18</v>
      </c>
      <c r="L6067" t="s">
        <v>16469</v>
      </c>
    </row>
    <row r="6068" spans="1:12" x14ac:dyDescent="0.25">
      <c r="A6068" t="s">
        <v>18</v>
      </c>
      <c r="B6068" t="s">
        <v>16469</v>
      </c>
      <c r="C6068" t="s">
        <v>16470</v>
      </c>
      <c r="D6068" t="s">
        <v>20</v>
      </c>
      <c r="E6068" t="s">
        <v>11</v>
      </c>
      <c r="F6068">
        <v>1566.5759999999998</v>
      </c>
      <c r="G6068">
        <v>18</v>
      </c>
      <c r="L6068" t="s">
        <v>16471</v>
      </c>
    </row>
    <row r="6069" spans="1:12" x14ac:dyDescent="0.25">
      <c r="A6069" t="s">
        <v>18</v>
      </c>
      <c r="B6069" t="s">
        <v>16471</v>
      </c>
      <c r="C6069" t="s">
        <v>16472</v>
      </c>
      <c r="D6069" t="s">
        <v>20</v>
      </c>
      <c r="E6069" t="s">
        <v>11</v>
      </c>
      <c r="F6069">
        <v>3002.604</v>
      </c>
      <c r="G6069">
        <v>18</v>
      </c>
      <c r="L6069" t="s">
        <v>16473</v>
      </c>
    </row>
    <row r="6070" spans="1:12" x14ac:dyDescent="0.25">
      <c r="A6070" t="s">
        <v>18</v>
      </c>
      <c r="B6070" t="s">
        <v>16473</v>
      </c>
      <c r="C6070" t="s">
        <v>16474</v>
      </c>
      <c r="D6070" t="s">
        <v>20</v>
      </c>
      <c r="E6070" t="s">
        <v>11</v>
      </c>
      <c r="F6070">
        <v>6462.126</v>
      </c>
      <c r="G6070">
        <v>18</v>
      </c>
      <c r="L6070" t="s">
        <v>16475</v>
      </c>
    </row>
    <row r="6071" spans="1:12" x14ac:dyDescent="0.25">
      <c r="A6071" t="s">
        <v>18</v>
      </c>
      <c r="B6071" t="s">
        <v>16475</v>
      </c>
      <c r="C6071" t="s">
        <v>16476</v>
      </c>
      <c r="D6071" t="s">
        <v>20</v>
      </c>
      <c r="E6071" t="s">
        <v>11</v>
      </c>
      <c r="F6071">
        <v>15013.02</v>
      </c>
      <c r="G6071">
        <v>18</v>
      </c>
      <c r="L6071" t="s">
        <v>16477</v>
      </c>
    </row>
    <row r="6072" spans="1:12" x14ac:dyDescent="0.25">
      <c r="A6072" t="s">
        <v>18</v>
      </c>
      <c r="B6072" t="s">
        <v>16477</v>
      </c>
      <c r="C6072" t="s">
        <v>16478</v>
      </c>
      <c r="D6072" t="s">
        <v>20</v>
      </c>
      <c r="E6072" t="s">
        <v>11</v>
      </c>
      <c r="F6072">
        <v>30352.41</v>
      </c>
      <c r="G6072">
        <v>18</v>
      </c>
      <c r="L6072" t="s">
        <v>16479</v>
      </c>
    </row>
    <row r="6073" spans="1:12" x14ac:dyDescent="0.25">
      <c r="A6073" t="s">
        <v>18</v>
      </c>
      <c r="B6073" t="s">
        <v>16479</v>
      </c>
      <c r="C6073" t="s">
        <v>16480</v>
      </c>
      <c r="D6073" t="s">
        <v>20</v>
      </c>
      <c r="E6073" t="s">
        <v>11</v>
      </c>
      <c r="F6073">
        <v>28655.286</v>
      </c>
      <c r="G6073">
        <v>18</v>
      </c>
      <c r="L6073" t="s">
        <v>16481</v>
      </c>
    </row>
    <row r="6074" spans="1:12" x14ac:dyDescent="0.25">
      <c r="A6074" t="s">
        <v>18</v>
      </c>
      <c r="B6074" t="s">
        <v>16481</v>
      </c>
      <c r="C6074" t="s">
        <v>16482</v>
      </c>
      <c r="D6074" t="s">
        <v>20</v>
      </c>
      <c r="E6074" t="s">
        <v>11</v>
      </c>
      <c r="F6074">
        <v>25652.682</v>
      </c>
      <c r="G6074">
        <v>18</v>
      </c>
      <c r="L6074" t="s">
        <v>16483</v>
      </c>
    </row>
    <row r="6075" spans="1:12" x14ac:dyDescent="0.25">
      <c r="A6075" t="s">
        <v>18</v>
      </c>
      <c r="B6075" t="s">
        <v>16483</v>
      </c>
      <c r="C6075" t="s">
        <v>16484</v>
      </c>
      <c r="D6075" t="s">
        <v>20</v>
      </c>
      <c r="E6075" t="s">
        <v>11</v>
      </c>
      <c r="F6075">
        <v>30352.41</v>
      </c>
      <c r="G6075">
        <v>18</v>
      </c>
      <c r="L6075" t="s">
        <v>16485</v>
      </c>
    </row>
    <row r="6076" spans="1:12" x14ac:dyDescent="0.25">
      <c r="A6076" t="s">
        <v>18</v>
      </c>
      <c r="B6076" t="s">
        <v>16485</v>
      </c>
      <c r="C6076" t="s">
        <v>16486</v>
      </c>
      <c r="D6076" t="s">
        <v>20</v>
      </c>
      <c r="E6076" t="s">
        <v>11</v>
      </c>
      <c r="F6076">
        <v>26109.6</v>
      </c>
      <c r="G6076">
        <v>18</v>
      </c>
      <c r="L6076" t="s">
        <v>16487</v>
      </c>
    </row>
    <row r="6077" spans="1:12" x14ac:dyDescent="0.25">
      <c r="A6077" t="s">
        <v>18</v>
      </c>
      <c r="B6077" t="s">
        <v>16487</v>
      </c>
      <c r="C6077" t="s">
        <v>16488</v>
      </c>
      <c r="D6077" t="s">
        <v>20</v>
      </c>
      <c r="E6077" t="s">
        <v>11</v>
      </c>
      <c r="F6077">
        <v>22258.433999999997</v>
      </c>
      <c r="G6077">
        <v>18</v>
      </c>
      <c r="L6077" t="s">
        <v>16489</v>
      </c>
    </row>
    <row r="6078" spans="1:12" x14ac:dyDescent="0.25">
      <c r="A6078" t="s">
        <v>18</v>
      </c>
      <c r="B6078" t="s">
        <v>16489</v>
      </c>
      <c r="C6078" t="s">
        <v>16490</v>
      </c>
      <c r="D6078" t="s">
        <v>20</v>
      </c>
      <c r="E6078" t="s">
        <v>11</v>
      </c>
      <c r="F6078">
        <v>24347.202</v>
      </c>
      <c r="G6078">
        <v>18</v>
      </c>
      <c r="L6078" t="s">
        <v>16491</v>
      </c>
    </row>
    <row r="6079" spans="1:12" x14ac:dyDescent="0.25">
      <c r="A6079" t="s">
        <v>18</v>
      </c>
      <c r="B6079" t="s">
        <v>16491</v>
      </c>
      <c r="C6079" t="s">
        <v>16492</v>
      </c>
      <c r="D6079" t="s">
        <v>20</v>
      </c>
      <c r="E6079" t="s">
        <v>11</v>
      </c>
      <c r="F6079">
        <v>22388.982</v>
      </c>
      <c r="G6079">
        <v>18</v>
      </c>
      <c r="L6079" t="s">
        <v>16493</v>
      </c>
    </row>
    <row r="6080" spans="1:12" x14ac:dyDescent="0.25">
      <c r="A6080" t="s">
        <v>18</v>
      </c>
      <c r="B6080" t="s">
        <v>16493</v>
      </c>
      <c r="C6080" t="s">
        <v>16494</v>
      </c>
      <c r="D6080" t="s">
        <v>20</v>
      </c>
      <c r="E6080" t="s">
        <v>11</v>
      </c>
      <c r="F6080">
        <v>19060.007999999998</v>
      </c>
      <c r="G6080">
        <v>18</v>
      </c>
      <c r="L6080" t="s">
        <v>16495</v>
      </c>
    </row>
    <row r="6081" spans="1:12" x14ac:dyDescent="0.25">
      <c r="A6081" t="s">
        <v>18</v>
      </c>
      <c r="B6081" t="s">
        <v>16495</v>
      </c>
      <c r="C6081" t="s">
        <v>16496</v>
      </c>
      <c r="D6081" t="s">
        <v>20</v>
      </c>
      <c r="E6081" t="s">
        <v>11</v>
      </c>
      <c r="F6081">
        <v>16971.239999999998</v>
      </c>
      <c r="G6081">
        <v>18</v>
      </c>
      <c r="L6081" t="s">
        <v>16497</v>
      </c>
    </row>
    <row r="6082" spans="1:12" x14ac:dyDescent="0.25">
      <c r="A6082" t="s">
        <v>18</v>
      </c>
      <c r="B6082" t="s">
        <v>16497</v>
      </c>
      <c r="C6082" t="s">
        <v>16498</v>
      </c>
      <c r="D6082" t="s">
        <v>20</v>
      </c>
      <c r="E6082" t="s">
        <v>11</v>
      </c>
      <c r="F6082">
        <v>19582.2</v>
      </c>
      <c r="G6082">
        <v>18</v>
      </c>
      <c r="L6082" t="s">
        <v>16499</v>
      </c>
    </row>
    <row r="6083" spans="1:12" x14ac:dyDescent="0.25">
      <c r="A6083" t="s">
        <v>18</v>
      </c>
      <c r="B6083" t="s">
        <v>16499</v>
      </c>
      <c r="C6083" t="s">
        <v>16500</v>
      </c>
      <c r="D6083" t="s">
        <v>20</v>
      </c>
      <c r="E6083" t="s">
        <v>11</v>
      </c>
      <c r="F6083">
        <v>16514.322</v>
      </c>
      <c r="G6083">
        <v>18</v>
      </c>
      <c r="L6083" t="s">
        <v>16501</v>
      </c>
    </row>
    <row r="6084" spans="1:12" x14ac:dyDescent="0.25">
      <c r="A6084" t="s">
        <v>18</v>
      </c>
      <c r="B6084" t="s">
        <v>16501</v>
      </c>
      <c r="C6084" t="s">
        <v>16502</v>
      </c>
      <c r="D6084" t="s">
        <v>20</v>
      </c>
      <c r="E6084" t="s">
        <v>11</v>
      </c>
      <c r="F6084">
        <v>15078.294000000002</v>
      </c>
      <c r="G6084">
        <v>18</v>
      </c>
      <c r="L6084" t="s">
        <v>16503</v>
      </c>
    </row>
    <row r="6085" spans="1:12" x14ac:dyDescent="0.25">
      <c r="A6085" t="s">
        <v>18</v>
      </c>
      <c r="B6085" t="s">
        <v>16503</v>
      </c>
      <c r="C6085" t="s">
        <v>16504</v>
      </c>
      <c r="D6085" t="s">
        <v>20</v>
      </c>
      <c r="E6085" t="s">
        <v>11</v>
      </c>
      <c r="F6085">
        <v>20169.665999999997</v>
      </c>
      <c r="G6085">
        <v>18</v>
      </c>
      <c r="L6085" t="s">
        <v>16505</v>
      </c>
    </row>
    <row r="6086" spans="1:12" x14ac:dyDescent="0.25">
      <c r="A6086" t="s">
        <v>18</v>
      </c>
      <c r="B6086" t="s">
        <v>16505</v>
      </c>
      <c r="C6086" t="s">
        <v>16506</v>
      </c>
      <c r="D6086" t="s">
        <v>20</v>
      </c>
      <c r="E6086" t="s">
        <v>11</v>
      </c>
      <c r="F6086">
        <v>20757.131999999998</v>
      </c>
      <c r="G6086">
        <v>18</v>
      </c>
      <c r="L6086" t="s">
        <v>16507</v>
      </c>
    </row>
    <row r="6087" spans="1:12" x14ac:dyDescent="0.25">
      <c r="A6087" t="s">
        <v>18</v>
      </c>
      <c r="B6087" t="s">
        <v>16507</v>
      </c>
      <c r="C6087" t="s">
        <v>16508</v>
      </c>
      <c r="D6087" t="s">
        <v>20</v>
      </c>
      <c r="E6087" t="s">
        <v>11</v>
      </c>
      <c r="F6087">
        <v>19125.282</v>
      </c>
      <c r="G6087">
        <v>18</v>
      </c>
      <c r="L6087" t="s">
        <v>16509</v>
      </c>
    </row>
    <row r="6088" spans="1:12" x14ac:dyDescent="0.25">
      <c r="A6088" t="s">
        <v>18</v>
      </c>
      <c r="B6088" t="s">
        <v>16509</v>
      </c>
      <c r="C6088" t="s">
        <v>16510</v>
      </c>
      <c r="D6088" t="s">
        <v>20</v>
      </c>
      <c r="E6088" t="s">
        <v>11</v>
      </c>
      <c r="F6088">
        <v>17167.061999999998</v>
      </c>
      <c r="G6088">
        <v>18</v>
      </c>
      <c r="L6088" t="s">
        <v>16511</v>
      </c>
    </row>
    <row r="6089" spans="1:12" x14ac:dyDescent="0.25">
      <c r="A6089" t="s">
        <v>18</v>
      </c>
      <c r="B6089" t="s">
        <v>16511</v>
      </c>
      <c r="C6089" t="s">
        <v>16512</v>
      </c>
      <c r="D6089" t="s">
        <v>20</v>
      </c>
      <c r="E6089" t="s">
        <v>11</v>
      </c>
      <c r="F6089">
        <v>17689.254</v>
      </c>
      <c r="G6089">
        <v>18</v>
      </c>
      <c r="L6089" t="s">
        <v>16513</v>
      </c>
    </row>
    <row r="6090" spans="1:12" x14ac:dyDescent="0.25">
      <c r="A6090" t="s">
        <v>18</v>
      </c>
      <c r="B6090" t="s">
        <v>16513</v>
      </c>
      <c r="C6090" t="s">
        <v>16514</v>
      </c>
      <c r="D6090" t="s">
        <v>20</v>
      </c>
      <c r="E6090" t="s">
        <v>11</v>
      </c>
      <c r="F6090">
        <v>72911.058</v>
      </c>
      <c r="G6090">
        <v>18</v>
      </c>
      <c r="L6090" t="s">
        <v>16515</v>
      </c>
    </row>
    <row r="6091" spans="1:12" x14ac:dyDescent="0.25">
      <c r="A6091" t="s">
        <v>18</v>
      </c>
      <c r="B6091" t="s">
        <v>16515</v>
      </c>
      <c r="C6091" t="s">
        <v>16516</v>
      </c>
      <c r="D6091" t="s">
        <v>20</v>
      </c>
      <c r="E6091" t="s">
        <v>11</v>
      </c>
      <c r="F6091">
        <v>1827.672</v>
      </c>
      <c r="G6091">
        <v>18</v>
      </c>
      <c r="L6091" t="s">
        <v>16517</v>
      </c>
    </row>
    <row r="6092" spans="1:12" x14ac:dyDescent="0.25">
      <c r="A6092" t="s">
        <v>18</v>
      </c>
      <c r="B6092" t="s">
        <v>16517</v>
      </c>
      <c r="C6092" t="s">
        <v>16518</v>
      </c>
      <c r="D6092" t="s">
        <v>20</v>
      </c>
      <c r="E6092" t="s">
        <v>11</v>
      </c>
      <c r="F6092">
        <v>652.74</v>
      </c>
      <c r="G6092">
        <v>18</v>
      </c>
      <c r="L6092" t="s">
        <v>16519</v>
      </c>
    </row>
    <row r="6093" spans="1:12" x14ac:dyDescent="0.25">
      <c r="A6093" t="s">
        <v>18</v>
      </c>
      <c r="B6093" t="s">
        <v>16519</v>
      </c>
      <c r="C6093" t="s">
        <v>16520</v>
      </c>
      <c r="D6093" t="s">
        <v>20</v>
      </c>
      <c r="E6093" t="s">
        <v>11</v>
      </c>
      <c r="F6093">
        <v>16253.226</v>
      </c>
      <c r="G6093">
        <v>18</v>
      </c>
      <c r="L6093" t="s">
        <v>16521</v>
      </c>
    </row>
    <row r="6094" spans="1:12" x14ac:dyDescent="0.25">
      <c r="A6094" t="s">
        <v>18</v>
      </c>
      <c r="B6094" t="s">
        <v>16521</v>
      </c>
      <c r="C6094" t="s">
        <v>16522</v>
      </c>
      <c r="D6094" t="s">
        <v>20</v>
      </c>
      <c r="E6094" t="s">
        <v>11</v>
      </c>
      <c r="F6094">
        <v>7375.962</v>
      </c>
      <c r="G6094">
        <v>18</v>
      </c>
      <c r="L6094" t="s">
        <v>16523</v>
      </c>
    </row>
    <row r="6095" spans="1:12" x14ac:dyDescent="0.25">
      <c r="A6095" t="s">
        <v>18</v>
      </c>
      <c r="B6095" t="s">
        <v>16523</v>
      </c>
      <c r="C6095" t="s">
        <v>16524</v>
      </c>
      <c r="D6095" t="s">
        <v>20</v>
      </c>
      <c r="E6095" t="s">
        <v>11</v>
      </c>
      <c r="F6095">
        <v>4177.536</v>
      </c>
      <c r="G6095">
        <v>18</v>
      </c>
      <c r="L6095" t="s">
        <v>16525</v>
      </c>
    </row>
    <row r="6096" spans="1:12" x14ac:dyDescent="0.25">
      <c r="A6096" t="s">
        <v>18</v>
      </c>
      <c r="B6096" t="s">
        <v>16525</v>
      </c>
      <c r="C6096" t="s">
        <v>16526</v>
      </c>
      <c r="D6096" t="s">
        <v>20</v>
      </c>
      <c r="E6096" t="s">
        <v>11</v>
      </c>
      <c r="F6096">
        <v>5026.097999999999</v>
      </c>
      <c r="G6096">
        <v>18</v>
      </c>
      <c r="L6096" t="s">
        <v>16527</v>
      </c>
    </row>
    <row r="6097" spans="1:12" x14ac:dyDescent="0.25">
      <c r="A6097" t="s">
        <v>18</v>
      </c>
      <c r="B6097" t="s">
        <v>16527</v>
      </c>
      <c r="C6097" t="s">
        <v>16528</v>
      </c>
      <c r="D6097" t="s">
        <v>20</v>
      </c>
      <c r="E6097" t="s">
        <v>11</v>
      </c>
      <c r="F6097">
        <v>5939.933999999999</v>
      </c>
      <c r="G6097">
        <v>18</v>
      </c>
      <c r="L6097" t="s">
        <v>16529</v>
      </c>
    </row>
    <row r="6098" spans="1:12" x14ac:dyDescent="0.25">
      <c r="A6098" t="s">
        <v>18</v>
      </c>
      <c r="B6098" t="s">
        <v>16529</v>
      </c>
      <c r="C6098" t="s">
        <v>16530</v>
      </c>
      <c r="D6098" t="s">
        <v>20</v>
      </c>
      <c r="E6098" t="s">
        <v>11</v>
      </c>
      <c r="F6098">
        <v>2741.508</v>
      </c>
      <c r="G6098">
        <v>18</v>
      </c>
      <c r="L6098" t="s">
        <v>16531</v>
      </c>
    </row>
    <row r="6099" spans="1:12" x14ac:dyDescent="0.25">
      <c r="A6099" t="s">
        <v>18</v>
      </c>
      <c r="B6099" t="s">
        <v>16531</v>
      </c>
      <c r="C6099" t="s">
        <v>16532</v>
      </c>
      <c r="D6099" t="s">
        <v>20</v>
      </c>
      <c r="E6099" t="s">
        <v>11</v>
      </c>
      <c r="F6099">
        <v>391.64399999999995</v>
      </c>
      <c r="G6099">
        <v>18</v>
      </c>
      <c r="L6099" t="s">
        <v>16533</v>
      </c>
    </row>
    <row r="6100" spans="1:12" x14ac:dyDescent="0.25">
      <c r="A6100" t="s">
        <v>18</v>
      </c>
      <c r="B6100" t="s">
        <v>16533</v>
      </c>
      <c r="C6100" t="s">
        <v>16534</v>
      </c>
      <c r="D6100" t="s">
        <v>20</v>
      </c>
      <c r="E6100" t="s">
        <v>11</v>
      </c>
      <c r="F6100">
        <v>261.096</v>
      </c>
      <c r="G6100">
        <v>18</v>
      </c>
      <c r="L6100" t="s">
        <v>16535</v>
      </c>
    </row>
    <row r="6101" spans="1:12" x14ac:dyDescent="0.25">
      <c r="A6101" t="s">
        <v>18</v>
      </c>
      <c r="B6101" t="s">
        <v>16535</v>
      </c>
      <c r="C6101" t="s">
        <v>16536</v>
      </c>
      <c r="D6101" t="s">
        <v>20</v>
      </c>
      <c r="E6101" t="s">
        <v>11</v>
      </c>
      <c r="F6101">
        <v>913.836</v>
      </c>
      <c r="G6101">
        <v>18</v>
      </c>
      <c r="L6101" t="s">
        <v>16537</v>
      </c>
    </row>
    <row r="6102" spans="1:12" x14ac:dyDescent="0.25">
      <c r="A6102" t="s">
        <v>18</v>
      </c>
      <c r="B6102" t="s">
        <v>16537</v>
      </c>
      <c r="C6102" t="s">
        <v>16538</v>
      </c>
      <c r="D6102" t="s">
        <v>20</v>
      </c>
      <c r="E6102" t="s">
        <v>11</v>
      </c>
      <c r="F6102">
        <v>7114.866</v>
      </c>
      <c r="G6102">
        <v>18</v>
      </c>
      <c r="L6102" t="s">
        <v>16539</v>
      </c>
    </row>
    <row r="6103" spans="1:12" x14ac:dyDescent="0.25">
      <c r="A6103" t="s">
        <v>18</v>
      </c>
      <c r="B6103" t="s">
        <v>16539</v>
      </c>
      <c r="C6103" t="s">
        <v>16540</v>
      </c>
      <c r="D6103" t="s">
        <v>20</v>
      </c>
      <c r="E6103" t="s">
        <v>11</v>
      </c>
      <c r="F6103">
        <v>7180.139999999999</v>
      </c>
      <c r="G6103">
        <v>18</v>
      </c>
      <c r="L6103" t="s">
        <v>16541</v>
      </c>
    </row>
    <row r="6104" spans="1:12" x14ac:dyDescent="0.25">
      <c r="A6104" t="s">
        <v>18</v>
      </c>
      <c r="B6104" t="s">
        <v>16541</v>
      </c>
      <c r="C6104" t="s">
        <v>16542</v>
      </c>
      <c r="D6104" t="s">
        <v>20</v>
      </c>
      <c r="E6104" t="s">
        <v>11</v>
      </c>
      <c r="F6104">
        <v>5548.29</v>
      </c>
      <c r="G6104">
        <v>18</v>
      </c>
      <c r="L6104" t="s">
        <v>16543</v>
      </c>
    </row>
    <row r="6105" spans="1:12" x14ac:dyDescent="0.25">
      <c r="A6105" t="s">
        <v>18</v>
      </c>
      <c r="B6105" t="s">
        <v>16543</v>
      </c>
      <c r="C6105" t="s">
        <v>16544</v>
      </c>
      <c r="D6105" t="s">
        <v>20</v>
      </c>
      <c r="E6105" t="s">
        <v>11</v>
      </c>
      <c r="F6105">
        <v>3394.2479999999996</v>
      </c>
      <c r="G6105">
        <v>18</v>
      </c>
      <c r="L6105" t="s">
        <v>16545</v>
      </c>
    </row>
    <row r="6106" spans="1:12" x14ac:dyDescent="0.25">
      <c r="A6106" t="s">
        <v>18</v>
      </c>
      <c r="B6106" t="s">
        <v>16545</v>
      </c>
      <c r="C6106" t="s">
        <v>16546</v>
      </c>
      <c r="D6106" t="s">
        <v>20</v>
      </c>
      <c r="E6106" t="s">
        <v>11</v>
      </c>
      <c r="F6106">
        <v>783.2879999999999</v>
      </c>
      <c r="G6106">
        <v>18</v>
      </c>
      <c r="L6106" t="s">
        <v>16547</v>
      </c>
    </row>
    <row r="6107" spans="1:12" x14ac:dyDescent="0.25">
      <c r="A6107" t="s">
        <v>18</v>
      </c>
      <c r="B6107" t="s">
        <v>16547</v>
      </c>
      <c r="C6107" t="s">
        <v>16548</v>
      </c>
      <c r="D6107" t="s">
        <v>20</v>
      </c>
      <c r="E6107" t="s">
        <v>11</v>
      </c>
      <c r="F6107">
        <v>6135.755999999999</v>
      </c>
      <c r="G6107">
        <v>18</v>
      </c>
      <c r="L6107" t="s">
        <v>16549</v>
      </c>
    </row>
    <row r="6108" spans="1:12" x14ac:dyDescent="0.25">
      <c r="A6108" t="s">
        <v>18</v>
      </c>
      <c r="B6108" t="s">
        <v>16549</v>
      </c>
      <c r="C6108" t="s">
        <v>16550</v>
      </c>
      <c r="D6108" t="s">
        <v>20</v>
      </c>
      <c r="E6108" t="s">
        <v>11</v>
      </c>
      <c r="F6108">
        <v>7637.058</v>
      </c>
      <c r="G6108">
        <v>18</v>
      </c>
      <c r="L6108" t="s">
        <v>16551</v>
      </c>
    </row>
    <row r="6109" spans="1:12" x14ac:dyDescent="0.25">
      <c r="A6109" t="s">
        <v>18</v>
      </c>
      <c r="B6109" t="s">
        <v>16551</v>
      </c>
      <c r="C6109" t="s">
        <v>16552</v>
      </c>
      <c r="D6109" t="s">
        <v>20</v>
      </c>
      <c r="E6109" t="s">
        <v>11</v>
      </c>
      <c r="F6109">
        <v>4046.988</v>
      </c>
      <c r="G6109">
        <v>18</v>
      </c>
      <c r="L6109" t="s">
        <v>16553</v>
      </c>
    </row>
    <row r="6110" spans="1:12" x14ac:dyDescent="0.25">
      <c r="A6110" t="s">
        <v>18</v>
      </c>
      <c r="B6110" t="s">
        <v>16553</v>
      </c>
      <c r="C6110" t="s">
        <v>16554</v>
      </c>
      <c r="D6110" t="s">
        <v>20</v>
      </c>
      <c r="E6110" t="s">
        <v>11</v>
      </c>
      <c r="F6110">
        <v>2741.508</v>
      </c>
      <c r="G6110">
        <v>18</v>
      </c>
      <c r="L6110" t="s">
        <v>16555</v>
      </c>
    </row>
    <row r="6111" spans="1:12" x14ac:dyDescent="0.25">
      <c r="A6111" t="s">
        <v>18</v>
      </c>
      <c r="B6111" t="s">
        <v>16555</v>
      </c>
      <c r="C6111" t="s">
        <v>16556</v>
      </c>
      <c r="D6111" t="s">
        <v>20</v>
      </c>
      <c r="E6111" t="s">
        <v>11</v>
      </c>
      <c r="F6111">
        <v>4112.262</v>
      </c>
      <c r="G6111">
        <v>18</v>
      </c>
      <c r="L6111" t="s">
        <v>16557</v>
      </c>
    </row>
    <row r="6112" spans="1:12" x14ac:dyDescent="0.25">
      <c r="A6112" t="s">
        <v>18</v>
      </c>
      <c r="B6112" t="s">
        <v>16557</v>
      </c>
      <c r="C6112" t="s">
        <v>16558</v>
      </c>
      <c r="D6112" t="s">
        <v>20</v>
      </c>
      <c r="E6112" t="s">
        <v>11</v>
      </c>
      <c r="F6112">
        <v>848.5619999999999</v>
      </c>
      <c r="G6112">
        <v>18</v>
      </c>
      <c r="L6112" t="s">
        <v>16559</v>
      </c>
    </row>
    <row r="6113" spans="1:12" x14ac:dyDescent="0.25">
      <c r="A6113" t="s">
        <v>18</v>
      </c>
      <c r="B6113" t="s">
        <v>16559</v>
      </c>
      <c r="C6113" t="s">
        <v>16560</v>
      </c>
      <c r="D6113" t="s">
        <v>20</v>
      </c>
      <c r="E6113" t="s">
        <v>11</v>
      </c>
      <c r="F6113">
        <v>3851.166</v>
      </c>
      <c r="G6113">
        <v>18</v>
      </c>
      <c r="L6113" t="s">
        <v>16561</v>
      </c>
    </row>
    <row r="6114" spans="1:12" x14ac:dyDescent="0.25">
      <c r="A6114" t="s">
        <v>18</v>
      </c>
      <c r="B6114" t="s">
        <v>16561</v>
      </c>
      <c r="C6114" t="s">
        <v>16562</v>
      </c>
      <c r="D6114" t="s">
        <v>20</v>
      </c>
      <c r="E6114" t="s">
        <v>11</v>
      </c>
      <c r="F6114">
        <v>195.82199999999997</v>
      </c>
      <c r="G6114">
        <v>18</v>
      </c>
      <c r="L6114" t="s">
        <v>16563</v>
      </c>
    </row>
    <row r="6115" spans="1:12" x14ac:dyDescent="0.25">
      <c r="A6115" t="s">
        <v>18</v>
      </c>
      <c r="B6115" t="s">
        <v>16563</v>
      </c>
      <c r="C6115" t="s">
        <v>16564</v>
      </c>
      <c r="D6115" t="s">
        <v>20</v>
      </c>
      <c r="E6115" t="s">
        <v>11</v>
      </c>
      <c r="F6115">
        <v>2349.8639999999996</v>
      </c>
      <c r="G6115">
        <v>18</v>
      </c>
      <c r="L6115" t="s">
        <v>16565</v>
      </c>
    </row>
    <row r="6116" spans="1:12" x14ac:dyDescent="0.25">
      <c r="A6116" t="s">
        <v>18</v>
      </c>
      <c r="B6116" t="s">
        <v>16565</v>
      </c>
      <c r="C6116" t="s">
        <v>16566</v>
      </c>
      <c r="D6116" t="s">
        <v>20</v>
      </c>
      <c r="E6116" t="s">
        <v>11</v>
      </c>
      <c r="F6116">
        <v>195.82199999999997</v>
      </c>
      <c r="G6116">
        <v>18</v>
      </c>
      <c r="L6116" t="s">
        <v>16567</v>
      </c>
    </row>
    <row r="6117" spans="1:12" x14ac:dyDescent="0.25">
      <c r="A6117" t="s">
        <v>18</v>
      </c>
      <c r="B6117" t="s">
        <v>16567</v>
      </c>
      <c r="C6117" t="s">
        <v>16568</v>
      </c>
      <c r="D6117" t="s">
        <v>20</v>
      </c>
      <c r="E6117" t="s">
        <v>11</v>
      </c>
      <c r="F6117">
        <v>1892.946</v>
      </c>
      <c r="G6117">
        <v>18</v>
      </c>
      <c r="L6117" t="s">
        <v>16569</v>
      </c>
    </row>
    <row r="6118" spans="1:12" x14ac:dyDescent="0.25">
      <c r="A6118" t="s">
        <v>18</v>
      </c>
      <c r="B6118" t="s">
        <v>16569</v>
      </c>
      <c r="C6118" t="s">
        <v>16570</v>
      </c>
      <c r="D6118" t="s">
        <v>20</v>
      </c>
      <c r="E6118" t="s">
        <v>11</v>
      </c>
      <c r="F6118">
        <v>1044.384</v>
      </c>
      <c r="G6118">
        <v>18</v>
      </c>
      <c r="L6118" t="s">
        <v>16571</v>
      </c>
    </row>
    <row r="6119" spans="1:12" x14ac:dyDescent="0.25">
      <c r="A6119" t="s">
        <v>18</v>
      </c>
      <c r="B6119" t="s">
        <v>16571</v>
      </c>
      <c r="C6119" t="s">
        <v>16572</v>
      </c>
      <c r="D6119" t="s">
        <v>20</v>
      </c>
      <c r="E6119" t="s">
        <v>11</v>
      </c>
      <c r="F6119">
        <v>783.2879999999999</v>
      </c>
      <c r="G6119">
        <v>18</v>
      </c>
      <c r="L6119" t="s">
        <v>16573</v>
      </c>
    </row>
    <row r="6120" spans="1:12" x14ac:dyDescent="0.25">
      <c r="A6120" t="s">
        <v>18</v>
      </c>
      <c r="B6120" t="s">
        <v>16573</v>
      </c>
      <c r="C6120" t="s">
        <v>16574</v>
      </c>
      <c r="D6120" t="s">
        <v>20</v>
      </c>
      <c r="E6120" t="s">
        <v>11</v>
      </c>
      <c r="F6120">
        <v>783.2879999999999</v>
      </c>
      <c r="G6120">
        <v>18</v>
      </c>
      <c r="L6120" t="s">
        <v>16575</v>
      </c>
    </row>
    <row r="6121" spans="1:12" x14ac:dyDescent="0.25">
      <c r="A6121" t="s">
        <v>18</v>
      </c>
      <c r="B6121" t="s">
        <v>16575</v>
      </c>
      <c r="C6121" t="s">
        <v>16576</v>
      </c>
      <c r="D6121" t="s">
        <v>20</v>
      </c>
      <c r="E6121" t="s">
        <v>11</v>
      </c>
      <c r="F6121">
        <v>195.82199999999997</v>
      </c>
      <c r="G6121">
        <v>18</v>
      </c>
      <c r="L6121" t="s">
        <v>16577</v>
      </c>
    </row>
    <row r="6122" spans="1:12" x14ac:dyDescent="0.25">
      <c r="A6122" t="s">
        <v>18</v>
      </c>
      <c r="B6122" t="s">
        <v>16577</v>
      </c>
      <c r="C6122" t="s">
        <v>16578</v>
      </c>
      <c r="D6122" t="s">
        <v>20</v>
      </c>
      <c r="E6122" t="s">
        <v>11</v>
      </c>
      <c r="F6122">
        <v>3067.8779999999997</v>
      </c>
      <c r="G6122">
        <v>18</v>
      </c>
      <c r="L6122" t="s">
        <v>16579</v>
      </c>
    </row>
    <row r="6123" spans="1:12" x14ac:dyDescent="0.25">
      <c r="A6123" t="s">
        <v>18</v>
      </c>
      <c r="B6123" t="s">
        <v>16579</v>
      </c>
      <c r="C6123" t="s">
        <v>16580</v>
      </c>
      <c r="D6123" t="s">
        <v>20</v>
      </c>
      <c r="E6123" t="s">
        <v>11</v>
      </c>
      <c r="F6123">
        <v>456.918</v>
      </c>
      <c r="G6123">
        <v>18</v>
      </c>
      <c r="L6123" t="s">
        <v>16581</v>
      </c>
    </row>
    <row r="6124" spans="1:12" x14ac:dyDescent="0.25">
      <c r="A6124" t="s">
        <v>18</v>
      </c>
      <c r="B6124" t="s">
        <v>16581</v>
      </c>
      <c r="C6124" t="s">
        <v>16582</v>
      </c>
      <c r="D6124" t="s">
        <v>20</v>
      </c>
      <c r="E6124" t="s">
        <v>11</v>
      </c>
      <c r="F6124">
        <v>979.11</v>
      </c>
      <c r="G6124">
        <v>18</v>
      </c>
      <c r="L6124" t="s">
        <v>16583</v>
      </c>
    </row>
    <row r="6125" spans="1:12" x14ac:dyDescent="0.25">
      <c r="A6125" t="s">
        <v>18</v>
      </c>
      <c r="B6125" t="s">
        <v>16583</v>
      </c>
      <c r="C6125" t="s">
        <v>16584</v>
      </c>
      <c r="D6125" t="s">
        <v>20</v>
      </c>
      <c r="E6125" t="s">
        <v>11</v>
      </c>
      <c r="F6125">
        <v>195.82199999999997</v>
      </c>
      <c r="G6125">
        <v>18</v>
      </c>
      <c r="L6125" t="s">
        <v>16585</v>
      </c>
    </row>
    <row r="6126" spans="1:12" x14ac:dyDescent="0.25">
      <c r="A6126" t="s">
        <v>18</v>
      </c>
      <c r="B6126" t="s">
        <v>16585</v>
      </c>
      <c r="C6126" t="s">
        <v>16586</v>
      </c>
      <c r="D6126" t="s">
        <v>20</v>
      </c>
      <c r="E6126" t="s">
        <v>11</v>
      </c>
      <c r="F6126">
        <v>5809.3859999999995</v>
      </c>
      <c r="G6126">
        <v>18</v>
      </c>
      <c r="L6126" t="s">
        <v>16587</v>
      </c>
    </row>
    <row r="6127" spans="1:12" x14ac:dyDescent="0.25">
      <c r="A6127" t="s">
        <v>18</v>
      </c>
      <c r="B6127" t="s">
        <v>16587</v>
      </c>
      <c r="C6127" t="s">
        <v>16588</v>
      </c>
      <c r="D6127" t="s">
        <v>20</v>
      </c>
      <c r="E6127" t="s">
        <v>11</v>
      </c>
      <c r="F6127">
        <v>783.2879999999999</v>
      </c>
      <c r="G6127">
        <v>18</v>
      </c>
      <c r="L6127" t="s">
        <v>16589</v>
      </c>
    </row>
    <row r="6128" spans="1:12" x14ac:dyDescent="0.25">
      <c r="A6128" t="s">
        <v>18</v>
      </c>
      <c r="B6128" t="s">
        <v>16589</v>
      </c>
      <c r="C6128" t="s">
        <v>16590</v>
      </c>
      <c r="D6128" t="s">
        <v>20</v>
      </c>
      <c r="E6128" t="s">
        <v>11</v>
      </c>
      <c r="F6128">
        <v>391.64399999999995</v>
      </c>
      <c r="G6128">
        <v>18</v>
      </c>
      <c r="L6128" t="s">
        <v>16591</v>
      </c>
    </row>
    <row r="6129" spans="1:12" x14ac:dyDescent="0.25">
      <c r="A6129" t="s">
        <v>18</v>
      </c>
      <c r="B6129" t="s">
        <v>16591</v>
      </c>
      <c r="C6129" t="s">
        <v>16592</v>
      </c>
      <c r="D6129" t="s">
        <v>20</v>
      </c>
      <c r="E6129" t="s">
        <v>11</v>
      </c>
      <c r="F6129">
        <v>195.82199999999997</v>
      </c>
      <c r="G6129">
        <v>18</v>
      </c>
      <c r="L6129" t="s">
        <v>16593</v>
      </c>
    </row>
    <row r="6130" spans="1:12" x14ac:dyDescent="0.25">
      <c r="A6130" t="s">
        <v>18</v>
      </c>
      <c r="B6130" t="s">
        <v>16593</v>
      </c>
      <c r="C6130" t="s">
        <v>16594</v>
      </c>
      <c r="D6130" t="s">
        <v>20</v>
      </c>
      <c r="E6130" t="s">
        <v>11</v>
      </c>
      <c r="F6130">
        <v>391.64399999999995</v>
      </c>
      <c r="G6130">
        <v>18</v>
      </c>
      <c r="L6130" t="s">
        <v>16595</v>
      </c>
    </row>
    <row r="6131" spans="1:12" x14ac:dyDescent="0.25">
      <c r="A6131" t="s">
        <v>18</v>
      </c>
      <c r="B6131" t="s">
        <v>16595</v>
      </c>
      <c r="C6131" t="s">
        <v>16596</v>
      </c>
      <c r="D6131" t="s">
        <v>20</v>
      </c>
      <c r="E6131" t="s">
        <v>11</v>
      </c>
      <c r="F6131">
        <v>391.64399999999995</v>
      </c>
      <c r="G6131">
        <v>18</v>
      </c>
      <c r="L6131" t="s">
        <v>16597</v>
      </c>
    </row>
    <row r="6132" spans="1:12" x14ac:dyDescent="0.25">
      <c r="A6132" t="s">
        <v>18</v>
      </c>
      <c r="B6132" t="s">
        <v>16597</v>
      </c>
      <c r="C6132" t="s">
        <v>16598</v>
      </c>
      <c r="D6132" t="s">
        <v>20</v>
      </c>
      <c r="E6132" t="s">
        <v>11</v>
      </c>
      <c r="F6132">
        <v>1827.672</v>
      </c>
      <c r="G6132">
        <v>18</v>
      </c>
      <c r="L6132" t="s">
        <v>16599</v>
      </c>
    </row>
    <row r="6133" spans="1:12" x14ac:dyDescent="0.25">
      <c r="A6133" t="s">
        <v>18</v>
      </c>
      <c r="B6133" t="s">
        <v>16599</v>
      </c>
      <c r="C6133" t="s">
        <v>16600</v>
      </c>
      <c r="D6133" t="s">
        <v>20</v>
      </c>
      <c r="E6133" t="s">
        <v>11</v>
      </c>
      <c r="F6133">
        <v>326.37</v>
      </c>
      <c r="G6133">
        <v>18</v>
      </c>
      <c r="L6133" t="s">
        <v>16601</v>
      </c>
    </row>
    <row r="6134" spans="1:12" x14ac:dyDescent="0.25">
      <c r="A6134" t="s">
        <v>18</v>
      </c>
      <c r="B6134" t="s">
        <v>16601</v>
      </c>
      <c r="C6134" t="s">
        <v>16602</v>
      </c>
      <c r="D6134" t="s">
        <v>20</v>
      </c>
      <c r="E6134" t="s">
        <v>11</v>
      </c>
      <c r="F6134">
        <v>391.64399999999995</v>
      </c>
      <c r="G6134">
        <v>18</v>
      </c>
      <c r="L6134" t="s">
        <v>16603</v>
      </c>
    </row>
    <row r="6135" spans="1:12" x14ac:dyDescent="0.25">
      <c r="A6135" t="s">
        <v>18</v>
      </c>
      <c r="B6135" t="s">
        <v>16603</v>
      </c>
      <c r="C6135" t="s">
        <v>16604</v>
      </c>
      <c r="D6135" t="s">
        <v>20</v>
      </c>
      <c r="E6135" t="s">
        <v>11</v>
      </c>
      <c r="F6135">
        <v>6201.030000000001</v>
      </c>
      <c r="G6135">
        <v>18</v>
      </c>
      <c r="L6135" t="s">
        <v>16605</v>
      </c>
    </row>
    <row r="6136" spans="1:12" x14ac:dyDescent="0.25">
      <c r="A6136" t="s">
        <v>18</v>
      </c>
      <c r="B6136" t="s">
        <v>16605</v>
      </c>
      <c r="C6136" t="s">
        <v>16606</v>
      </c>
      <c r="D6136" t="s">
        <v>20</v>
      </c>
      <c r="E6136" t="s">
        <v>11</v>
      </c>
      <c r="F6136">
        <v>7375.962</v>
      </c>
      <c r="G6136">
        <v>18</v>
      </c>
      <c r="L6136" t="s">
        <v>16607</v>
      </c>
    </row>
    <row r="6137" spans="1:12" x14ac:dyDescent="0.25">
      <c r="A6137" t="s">
        <v>18</v>
      </c>
      <c r="B6137" t="s">
        <v>16607</v>
      </c>
      <c r="C6137" t="s">
        <v>16608</v>
      </c>
      <c r="D6137" t="s">
        <v>20</v>
      </c>
      <c r="E6137" t="s">
        <v>11</v>
      </c>
      <c r="F6137">
        <v>1109.658</v>
      </c>
      <c r="G6137">
        <v>18</v>
      </c>
      <c r="L6137" t="s">
        <v>16609</v>
      </c>
    </row>
    <row r="6138" spans="1:12" x14ac:dyDescent="0.25">
      <c r="A6138" t="s">
        <v>18</v>
      </c>
      <c r="B6138" t="s">
        <v>16609</v>
      </c>
      <c r="C6138" t="s">
        <v>16610</v>
      </c>
      <c r="D6138" t="s">
        <v>20</v>
      </c>
      <c r="E6138" t="s">
        <v>11</v>
      </c>
      <c r="F6138">
        <v>1436.028</v>
      </c>
      <c r="G6138">
        <v>18</v>
      </c>
      <c r="L6138" t="s">
        <v>16611</v>
      </c>
    </row>
    <row r="6139" spans="1:12" x14ac:dyDescent="0.25">
      <c r="A6139" t="s">
        <v>18</v>
      </c>
      <c r="B6139" t="s">
        <v>16611</v>
      </c>
      <c r="C6139" t="s">
        <v>16612</v>
      </c>
      <c r="D6139" t="s">
        <v>20</v>
      </c>
      <c r="E6139" t="s">
        <v>11</v>
      </c>
      <c r="F6139">
        <v>1697.1239999999998</v>
      </c>
      <c r="G6139">
        <v>18</v>
      </c>
      <c r="L6139" t="s">
        <v>16613</v>
      </c>
    </row>
    <row r="6140" spans="1:12" x14ac:dyDescent="0.25">
      <c r="A6140" t="s">
        <v>18</v>
      </c>
      <c r="B6140" t="s">
        <v>16613</v>
      </c>
      <c r="C6140" t="s">
        <v>16614</v>
      </c>
      <c r="D6140" t="s">
        <v>20</v>
      </c>
      <c r="E6140" t="s">
        <v>11</v>
      </c>
      <c r="F6140">
        <v>6070.482</v>
      </c>
      <c r="G6140">
        <v>18</v>
      </c>
      <c r="L6140" t="s">
        <v>16615</v>
      </c>
    </row>
    <row r="6141" spans="1:12" x14ac:dyDescent="0.25">
      <c r="A6141" t="s">
        <v>18</v>
      </c>
      <c r="B6141" t="s">
        <v>16615</v>
      </c>
      <c r="C6141" t="s">
        <v>16616</v>
      </c>
      <c r="D6141" t="s">
        <v>20</v>
      </c>
      <c r="E6141" t="s">
        <v>11</v>
      </c>
      <c r="F6141">
        <v>456.918</v>
      </c>
      <c r="G6141">
        <v>18</v>
      </c>
      <c r="L6141" t="s">
        <v>16617</v>
      </c>
    </row>
    <row r="6142" spans="1:12" x14ac:dyDescent="0.25">
      <c r="A6142" t="s">
        <v>18</v>
      </c>
      <c r="B6142" t="s">
        <v>16617</v>
      </c>
      <c r="C6142" t="s">
        <v>16618</v>
      </c>
      <c r="D6142" t="s">
        <v>20</v>
      </c>
      <c r="E6142" t="s">
        <v>11</v>
      </c>
      <c r="F6142">
        <v>3524.7960000000003</v>
      </c>
      <c r="G6142">
        <v>18</v>
      </c>
      <c r="L6142" t="s">
        <v>16619</v>
      </c>
    </row>
    <row r="6143" spans="1:12" x14ac:dyDescent="0.25">
      <c r="A6143" t="s">
        <v>18</v>
      </c>
      <c r="B6143" t="s">
        <v>16619</v>
      </c>
      <c r="C6143" t="s">
        <v>16620</v>
      </c>
      <c r="D6143" t="s">
        <v>20</v>
      </c>
      <c r="E6143" t="s">
        <v>11</v>
      </c>
      <c r="F6143">
        <v>10378.565999999999</v>
      </c>
      <c r="G6143">
        <v>18</v>
      </c>
      <c r="L6143" t="s">
        <v>16621</v>
      </c>
    </row>
    <row r="6144" spans="1:12" x14ac:dyDescent="0.25">
      <c r="A6144" t="s">
        <v>18</v>
      </c>
      <c r="B6144" t="s">
        <v>16621</v>
      </c>
      <c r="C6144" t="s">
        <v>16622</v>
      </c>
      <c r="D6144" t="s">
        <v>20</v>
      </c>
      <c r="E6144" t="s">
        <v>11</v>
      </c>
      <c r="F6144">
        <v>9138.36</v>
      </c>
      <c r="G6144">
        <v>18</v>
      </c>
      <c r="L6144" t="s">
        <v>16623</v>
      </c>
    </row>
    <row r="6145" spans="1:12" x14ac:dyDescent="0.25">
      <c r="A6145" t="s">
        <v>18</v>
      </c>
      <c r="B6145" t="s">
        <v>16623</v>
      </c>
      <c r="C6145" t="s">
        <v>16624</v>
      </c>
      <c r="D6145" t="s">
        <v>20</v>
      </c>
      <c r="E6145" t="s">
        <v>11</v>
      </c>
      <c r="F6145">
        <v>3394.2479999999996</v>
      </c>
      <c r="G6145">
        <v>18</v>
      </c>
      <c r="L6145" t="s">
        <v>16625</v>
      </c>
    </row>
    <row r="6146" spans="1:12" x14ac:dyDescent="0.25">
      <c r="A6146" t="s">
        <v>18</v>
      </c>
      <c r="B6146" t="s">
        <v>16625</v>
      </c>
      <c r="C6146" t="s">
        <v>16626</v>
      </c>
      <c r="D6146" t="s">
        <v>20</v>
      </c>
      <c r="E6146" t="s">
        <v>11</v>
      </c>
      <c r="F6146">
        <v>15469.937999999998</v>
      </c>
      <c r="G6146">
        <v>18</v>
      </c>
      <c r="L6146" t="s">
        <v>16627</v>
      </c>
    </row>
    <row r="6147" spans="1:12" x14ac:dyDescent="0.25">
      <c r="A6147" t="s">
        <v>18</v>
      </c>
      <c r="B6147" t="s">
        <v>16627</v>
      </c>
      <c r="C6147" t="s">
        <v>16628</v>
      </c>
      <c r="D6147" t="s">
        <v>20</v>
      </c>
      <c r="E6147" t="s">
        <v>11</v>
      </c>
      <c r="F6147">
        <v>13315.895999999999</v>
      </c>
      <c r="G6147">
        <v>18</v>
      </c>
      <c r="L6147" t="s">
        <v>16629</v>
      </c>
    </row>
    <row r="6148" spans="1:12" x14ac:dyDescent="0.25">
      <c r="A6148" t="s">
        <v>18</v>
      </c>
      <c r="B6148" t="s">
        <v>16629</v>
      </c>
      <c r="C6148" t="s">
        <v>16630</v>
      </c>
      <c r="D6148" t="s">
        <v>20</v>
      </c>
      <c r="E6148" t="s">
        <v>11</v>
      </c>
      <c r="F6148">
        <v>3394.2479999999996</v>
      </c>
      <c r="G6148">
        <v>18</v>
      </c>
      <c r="L6148" t="s">
        <v>16631</v>
      </c>
    </row>
    <row r="6149" spans="1:12" x14ac:dyDescent="0.25">
      <c r="A6149" t="s">
        <v>18</v>
      </c>
      <c r="B6149" t="s">
        <v>16631</v>
      </c>
      <c r="C6149" t="s">
        <v>16632</v>
      </c>
      <c r="D6149" t="s">
        <v>20</v>
      </c>
      <c r="E6149" t="s">
        <v>11</v>
      </c>
      <c r="F6149">
        <v>45104.333999999995</v>
      </c>
      <c r="G6149">
        <v>18</v>
      </c>
      <c r="L6149" t="s">
        <v>16633</v>
      </c>
    </row>
    <row r="6150" spans="1:12" x14ac:dyDescent="0.25">
      <c r="A6150" t="s">
        <v>18</v>
      </c>
      <c r="B6150" t="s">
        <v>16633</v>
      </c>
      <c r="C6150" t="s">
        <v>16634</v>
      </c>
      <c r="D6150" t="s">
        <v>20</v>
      </c>
      <c r="E6150" t="s">
        <v>11</v>
      </c>
      <c r="F6150">
        <v>50065.157999999996</v>
      </c>
      <c r="G6150">
        <v>18</v>
      </c>
      <c r="L6150" t="s">
        <v>16635</v>
      </c>
    </row>
    <row r="6151" spans="1:12" x14ac:dyDescent="0.25">
      <c r="A6151" t="s">
        <v>18</v>
      </c>
      <c r="B6151" t="s">
        <v>16635</v>
      </c>
      <c r="C6151" t="s">
        <v>16636</v>
      </c>
      <c r="D6151" t="s">
        <v>20</v>
      </c>
      <c r="E6151" t="s">
        <v>11</v>
      </c>
      <c r="F6151">
        <v>1466.3879999999997</v>
      </c>
      <c r="G6151">
        <v>18</v>
      </c>
      <c r="L6151" t="s">
        <v>16637</v>
      </c>
    </row>
    <row r="6152" spans="1:12" x14ac:dyDescent="0.25">
      <c r="A6152" t="s">
        <v>18</v>
      </c>
      <c r="B6152" t="s">
        <v>16637</v>
      </c>
      <c r="C6152" t="s">
        <v>16638</v>
      </c>
      <c r="D6152" t="s">
        <v>20</v>
      </c>
      <c r="E6152" t="s">
        <v>11</v>
      </c>
      <c r="F6152">
        <v>391.64399999999995</v>
      </c>
      <c r="G6152">
        <v>18</v>
      </c>
      <c r="L6152" t="s">
        <v>16639</v>
      </c>
    </row>
    <row r="6153" spans="1:12" x14ac:dyDescent="0.25">
      <c r="A6153" t="s">
        <v>18</v>
      </c>
      <c r="B6153" t="s">
        <v>16639</v>
      </c>
      <c r="C6153" t="s">
        <v>16640</v>
      </c>
      <c r="D6153" t="s">
        <v>20</v>
      </c>
      <c r="E6153" t="s">
        <v>11</v>
      </c>
      <c r="F6153">
        <v>26044.325999999997</v>
      </c>
      <c r="G6153">
        <v>18</v>
      </c>
      <c r="L6153" t="s">
        <v>16641</v>
      </c>
    </row>
    <row r="6154" spans="1:12" x14ac:dyDescent="0.25">
      <c r="A6154" t="s">
        <v>18</v>
      </c>
      <c r="B6154" t="s">
        <v>16641</v>
      </c>
      <c r="C6154" t="s">
        <v>16642</v>
      </c>
      <c r="D6154" t="s">
        <v>20</v>
      </c>
      <c r="E6154" t="s">
        <v>11</v>
      </c>
      <c r="F6154">
        <v>130.548</v>
      </c>
      <c r="G6154">
        <v>18</v>
      </c>
      <c r="L6154" t="s">
        <v>16643</v>
      </c>
    </row>
    <row r="6155" spans="1:12" x14ac:dyDescent="0.25">
      <c r="A6155" t="s">
        <v>18</v>
      </c>
      <c r="B6155" t="s">
        <v>16643</v>
      </c>
      <c r="C6155" t="s">
        <v>16644</v>
      </c>
      <c r="D6155" t="s">
        <v>20</v>
      </c>
      <c r="E6155" t="s">
        <v>11</v>
      </c>
      <c r="F6155">
        <v>2610.96</v>
      </c>
      <c r="G6155">
        <v>18</v>
      </c>
      <c r="L6155" t="s">
        <v>16645</v>
      </c>
    </row>
    <row r="6156" spans="1:12" x14ac:dyDescent="0.25">
      <c r="A6156" t="s">
        <v>18</v>
      </c>
      <c r="B6156" t="s">
        <v>16645</v>
      </c>
      <c r="C6156" t="s">
        <v>16646</v>
      </c>
      <c r="D6156" t="s">
        <v>20</v>
      </c>
      <c r="E6156" t="s">
        <v>11</v>
      </c>
      <c r="F6156">
        <v>848.5619999999999</v>
      </c>
      <c r="G6156">
        <v>18</v>
      </c>
      <c r="L6156" t="s">
        <v>16647</v>
      </c>
    </row>
    <row r="6157" spans="1:12" x14ac:dyDescent="0.25">
      <c r="A6157" t="s">
        <v>18</v>
      </c>
      <c r="B6157" t="s">
        <v>16647</v>
      </c>
      <c r="C6157" t="s">
        <v>16648</v>
      </c>
      <c r="D6157" t="s">
        <v>20</v>
      </c>
      <c r="E6157" t="s">
        <v>11</v>
      </c>
      <c r="F6157">
        <v>1827.672</v>
      </c>
      <c r="G6157">
        <v>18</v>
      </c>
      <c r="L6157" t="s">
        <v>16649</v>
      </c>
    </row>
    <row r="6158" spans="1:12" x14ac:dyDescent="0.25">
      <c r="A6158" t="s">
        <v>18</v>
      </c>
      <c r="B6158" t="s">
        <v>16649</v>
      </c>
      <c r="C6158" t="s">
        <v>16650</v>
      </c>
      <c r="D6158" t="s">
        <v>20</v>
      </c>
      <c r="E6158" t="s">
        <v>11</v>
      </c>
      <c r="F6158">
        <v>261.096</v>
      </c>
      <c r="G6158">
        <v>18</v>
      </c>
      <c r="L6158" t="s">
        <v>16651</v>
      </c>
    </row>
    <row r="6159" spans="1:12" x14ac:dyDescent="0.25">
      <c r="A6159" t="s">
        <v>18</v>
      </c>
      <c r="B6159" t="s">
        <v>16651</v>
      </c>
      <c r="C6159" t="s">
        <v>16652</v>
      </c>
      <c r="D6159" t="s">
        <v>20</v>
      </c>
      <c r="E6159" t="s">
        <v>11</v>
      </c>
      <c r="F6159">
        <v>326.37</v>
      </c>
      <c r="G6159">
        <v>18</v>
      </c>
      <c r="L6159" t="s">
        <v>16653</v>
      </c>
    </row>
    <row r="6160" spans="1:12" x14ac:dyDescent="0.25">
      <c r="A6160" t="s">
        <v>18</v>
      </c>
      <c r="B6160" t="s">
        <v>16653</v>
      </c>
      <c r="C6160" t="s">
        <v>16654</v>
      </c>
      <c r="D6160" t="s">
        <v>20</v>
      </c>
      <c r="E6160" t="s">
        <v>11</v>
      </c>
      <c r="F6160">
        <v>1892.946</v>
      </c>
      <c r="G6160">
        <v>18</v>
      </c>
      <c r="L6160" t="s">
        <v>16655</v>
      </c>
    </row>
    <row r="6161" spans="1:12" x14ac:dyDescent="0.25">
      <c r="A6161" t="s">
        <v>18</v>
      </c>
      <c r="B6161" t="s">
        <v>16655</v>
      </c>
      <c r="C6161" t="s">
        <v>16656</v>
      </c>
      <c r="D6161" t="s">
        <v>20</v>
      </c>
      <c r="E6161" t="s">
        <v>11</v>
      </c>
      <c r="F6161">
        <v>979.11</v>
      </c>
      <c r="G6161">
        <v>18</v>
      </c>
      <c r="L6161" t="s">
        <v>16657</v>
      </c>
    </row>
    <row r="6162" spans="1:12" x14ac:dyDescent="0.25">
      <c r="A6162" t="s">
        <v>18</v>
      </c>
      <c r="B6162" t="s">
        <v>16657</v>
      </c>
      <c r="C6162" t="s">
        <v>16658</v>
      </c>
      <c r="D6162" t="s">
        <v>20</v>
      </c>
      <c r="E6162" t="s">
        <v>11</v>
      </c>
      <c r="F6162">
        <v>2937.3300000000004</v>
      </c>
      <c r="G6162">
        <v>18</v>
      </c>
      <c r="L6162" t="s">
        <v>16659</v>
      </c>
    </row>
    <row r="6163" spans="1:12" x14ac:dyDescent="0.25">
      <c r="A6163" t="s">
        <v>18</v>
      </c>
      <c r="B6163" t="s">
        <v>16659</v>
      </c>
      <c r="C6163" t="s">
        <v>16660</v>
      </c>
      <c r="D6163" t="s">
        <v>20</v>
      </c>
      <c r="E6163" t="s">
        <v>11</v>
      </c>
      <c r="F6163">
        <v>19908.57</v>
      </c>
      <c r="G6163">
        <v>18</v>
      </c>
      <c r="L6163" t="s">
        <v>16661</v>
      </c>
    </row>
    <row r="6164" spans="1:12" x14ac:dyDescent="0.25">
      <c r="A6164" t="s">
        <v>18</v>
      </c>
      <c r="B6164" t="s">
        <v>16661</v>
      </c>
      <c r="C6164" t="s">
        <v>16662</v>
      </c>
      <c r="D6164" t="s">
        <v>20</v>
      </c>
      <c r="E6164" t="s">
        <v>11</v>
      </c>
      <c r="F6164">
        <v>4112.262</v>
      </c>
      <c r="G6164">
        <v>18</v>
      </c>
      <c r="L6164" t="s">
        <v>16663</v>
      </c>
    </row>
    <row r="6165" spans="1:12" x14ac:dyDescent="0.25">
      <c r="A6165" t="s">
        <v>18</v>
      </c>
      <c r="B6165" t="s">
        <v>16663</v>
      </c>
      <c r="C6165" t="s">
        <v>16664</v>
      </c>
      <c r="D6165" t="s">
        <v>20</v>
      </c>
      <c r="E6165" t="s">
        <v>11</v>
      </c>
      <c r="F6165">
        <v>10574.387999999997</v>
      </c>
      <c r="G6165">
        <v>18</v>
      </c>
      <c r="L6165" t="s">
        <v>16665</v>
      </c>
    </row>
    <row r="6166" spans="1:12" x14ac:dyDescent="0.25">
      <c r="A6166" t="s">
        <v>18</v>
      </c>
      <c r="B6166" t="s">
        <v>16665</v>
      </c>
      <c r="C6166" t="s">
        <v>16666</v>
      </c>
      <c r="D6166" t="s">
        <v>20</v>
      </c>
      <c r="E6166" t="s">
        <v>11</v>
      </c>
      <c r="F6166">
        <v>35052.138</v>
      </c>
      <c r="G6166">
        <v>18</v>
      </c>
      <c r="L6166" t="s">
        <v>16667</v>
      </c>
    </row>
    <row r="6167" spans="1:12" x14ac:dyDescent="0.25">
      <c r="A6167" t="s">
        <v>18</v>
      </c>
      <c r="B6167" t="s">
        <v>16667</v>
      </c>
      <c r="C6167" t="s">
        <v>16668</v>
      </c>
      <c r="D6167" t="s">
        <v>20</v>
      </c>
      <c r="E6167" t="s">
        <v>11</v>
      </c>
      <c r="F6167">
        <v>12728.429999999998</v>
      </c>
      <c r="G6167">
        <v>18</v>
      </c>
      <c r="L6167" t="s">
        <v>16669</v>
      </c>
    </row>
    <row r="6168" spans="1:12" x14ac:dyDescent="0.25">
      <c r="A6168" t="s">
        <v>18</v>
      </c>
      <c r="B6168" t="s">
        <v>16669</v>
      </c>
      <c r="C6168" t="s">
        <v>16670</v>
      </c>
      <c r="D6168" t="s">
        <v>20</v>
      </c>
      <c r="E6168" t="s">
        <v>11</v>
      </c>
      <c r="F6168">
        <v>9563.400000000001</v>
      </c>
      <c r="G6168">
        <v>18</v>
      </c>
      <c r="L6168" t="s">
        <v>16671</v>
      </c>
    </row>
    <row r="6169" spans="1:12" x14ac:dyDescent="0.25">
      <c r="A6169" t="s">
        <v>18</v>
      </c>
      <c r="B6169" t="s">
        <v>16671</v>
      </c>
      <c r="C6169" t="s">
        <v>16672</v>
      </c>
      <c r="D6169" t="s">
        <v>20</v>
      </c>
      <c r="E6169" t="s">
        <v>11</v>
      </c>
      <c r="F6169">
        <v>16318.5</v>
      </c>
      <c r="G6169">
        <v>18</v>
      </c>
      <c r="L6169" t="s">
        <v>16673</v>
      </c>
    </row>
    <row r="6170" spans="1:12" x14ac:dyDescent="0.25">
      <c r="A6170" t="s">
        <v>18</v>
      </c>
      <c r="B6170" t="s">
        <v>16673</v>
      </c>
      <c r="C6170" t="s">
        <v>16674</v>
      </c>
      <c r="D6170" t="s">
        <v>20</v>
      </c>
      <c r="E6170" t="s">
        <v>11</v>
      </c>
      <c r="F6170">
        <v>10313.292</v>
      </c>
      <c r="G6170">
        <v>18</v>
      </c>
      <c r="L6170" t="s">
        <v>16675</v>
      </c>
    </row>
    <row r="6171" spans="1:12" x14ac:dyDescent="0.25">
      <c r="A6171" t="s">
        <v>18</v>
      </c>
      <c r="B6171" t="s">
        <v>16675</v>
      </c>
      <c r="C6171" t="s">
        <v>16676</v>
      </c>
      <c r="D6171" t="s">
        <v>20</v>
      </c>
      <c r="E6171" t="s">
        <v>11</v>
      </c>
      <c r="F6171">
        <v>18864.185999999998</v>
      </c>
      <c r="G6171">
        <v>18</v>
      </c>
      <c r="L6171" t="s">
        <v>16677</v>
      </c>
    </row>
    <row r="6172" spans="1:12" x14ac:dyDescent="0.25">
      <c r="A6172" t="s">
        <v>18</v>
      </c>
      <c r="B6172" t="s">
        <v>16677</v>
      </c>
      <c r="C6172" t="s">
        <v>16678</v>
      </c>
      <c r="D6172" t="s">
        <v>20</v>
      </c>
      <c r="E6172" t="s">
        <v>11</v>
      </c>
      <c r="F6172">
        <v>8289.797999999999</v>
      </c>
      <c r="G6172">
        <v>18</v>
      </c>
      <c r="L6172" t="s">
        <v>16679</v>
      </c>
    </row>
    <row r="6173" spans="1:12" x14ac:dyDescent="0.25">
      <c r="A6173" t="s">
        <v>18</v>
      </c>
      <c r="B6173" t="s">
        <v>16679</v>
      </c>
      <c r="C6173" t="s">
        <v>16680</v>
      </c>
      <c r="D6173" t="s">
        <v>20</v>
      </c>
      <c r="E6173" t="s">
        <v>11</v>
      </c>
      <c r="F6173">
        <v>22388.982</v>
      </c>
      <c r="G6173">
        <v>18</v>
      </c>
      <c r="L6173" t="s">
        <v>16681</v>
      </c>
    </row>
    <row r="6174" spans="1:12" x14ac:dyDescent="0.25">
      <c r="A6174" t="s">
        <v>18</v>
      </c>
      <c r="B6174" t="s">
        <v>16681</v>
      </c>
      <c r="C6174" t="s">
        <v>16682</v>
      </c>
      <c r="D6174" t="s">
        <v>20</v>
      </c>
      <c r="E6174" t="s">
        <v>11</v>
      </c>
      <c r="F6174">
        <v>22388.982</v>
      </c>
      <c r="G6174">
        <v>18</v>
      </c>
      <c r="L6174" t="s">
        <v>16683</v>
      </c>
    </row>
    <row r="6175" spans="1:12" x14ac:dyDescent="0.25">
      <c r="A6175" t="s">
        <v>18</v>
      </c>
      <c r="B6175" t="s">
        <v>16683</v>
      </c>
      <c r="C6175" t="s">
        <v>16684</v>
      </c>
      <c r="D6175" t="s">
        <v>20</v>
      </c>
      <c r="E6175" t="s">
        <v>11</v>
      </c>
      <c r="F6175">
        <v>10770.210000000001</v>
      </c>
      <c r="G6175">
        <v>18</v>
      </c>
      <c r="L6175" t="s">
        <v>16685</v>
      </c>
    </row>
    <row r="6176" spans="1:12" x14ac:dyDescent="0.25">
      <c r="A6176" t="s">
        <v>18</v>
      </c>
      <c r="B6176" t="s">
        <v>16685</v>
      </c>
      <c r="C6176" t="s">
        <v>16686</v>
      </c>
      <c r="D6176" t="s">
        <v>20</v>
      </c>
      <c r="E6176" t="s">
        <v>11</v>
      </c>
      <c r="F6176">
        <v>8681.442000000001</v>
      </c>
      <c r="G6176">
        <v>18</v>
      </c>
      <c r="L6176" t="s">
        <v>16687</v>
      </c>
    </row>
    <row r="6177" spans="1:12" x14ac:dyDescent="0.25">
      <c r="A6177" t="s">
        <v>18</v>
      </c>
      <c r="B6177" t="s">
        <v>16687</v>
      </c>
      <c r="C6177" t="s">
        <v>16688</v>
      </c>
      <c r="D6177" t="s">
        <v>20</v>
      </c>
      <c r="E6177" t="s">
        <v>11</v>
      </c>
      <c r="F6177">
        <v>522.192</v>
      </c>
      <c r="G6177">
        <v>18</v>
      </c>
      <c r="L6177" t="s">
        <v>16689</v>
      </c>
    </row>
    <row r="6178" spans="1:12" x14ac:dyDescent="0.25">
      <c r="A6178" t="s">
        <v>18</v>
      </c>
      <c r="B6178" t="s">
        <v>16689</v>
      </c>
      <c r="C6178" t="s">
        <v>16690</v>
      </c>
      <c r="D6178" t="s">
        <v>20</v>
      </c>
      <c r="E6178" t="s">
        <v>11</v>
      </c>
      <c r="F6178">
        <v>783.2879999999999</v>
      </c>
      <c r="G6178">
        <v>18</v>
      </c>
      <c r="L6178" t="s">
        <v>16691</v>
      </c>
    </row>
    <row r="6179" spans="1:12" x14ac:dyDescent="0.25">
      <c r="A6179" t="s">
        <v>18</v>
      </c>
      <c r="B6179" t="s">
        <v>16691</v>
      </c>
      <c r="C6179" t="s">
        <v>16692</v>
      </c>
      <c r="D6179" t="s">
        <v>20</v>
      </c>
      <c r="E6179" t="s">
        <v>11</v>
      </c>
      <c r="F6179">
        <v>17428.158</v>
      </c>
      <c r="G6179">
        <v>18</v>
      </c>
      <c r="L6179" t="s">
        <v>16693</v>
      </c>
    </row>
    <row r="6180" spans="1:12" x14ac:dyDescent="0.25">
      <c r="A6180" t="s">
        <v>18</v>
      </c>
      <c r="B6180" t="s">
        <v>16693</v>
      </c>
      <c r="C6180" t="s">
        <v>16694</v>
      </c>
      <c r="D6180" t="s">
        <v>20</v>
      </c>
      <c r="E6180" t="s">
        <v>11</v>
      </c>
      <c r="F6180">
        <v>17101.787999999997</v>
      </c>
      <c r="G6180">
        <v>18</v>
      </c>
      <c r="L6180" t="s">
        <v>16695</v>
      </c>
    </row>
    <row r="6181" spans="1:12" x14ac:dyDescent="0.25">
      <c r="A6181" t="s">
        <v>18</v>
      </c>
      <c r="B6181" t="s">
        <v>16695</v>
      </c>
      <c r="C6181" t="s">
        <v>16696</v>
      </c>
      <c r="D6181" t="s">
        <v>20</v>
      </c>
      <c r="E6181" t="s">
        <v>11</v>
      </c>
      <c r="F6181">
        <v>2676.234</v>
      </c>
      <c r="G6181">
        <v>18</v>
      </c>
      <c r="L6181" t="s">
        <v>16697</v>
      </c>
    </row>
    <row r="6182" spans="1:12" x14ac:dyDescent="0.25">
      <c r="A6182" t="s">
        <v>18</v>
      </c>
      <c r="B6182" t="s">
        <v>16697</v>
      </c>
      <c r="C6182" t="s">
        <v>16698</v>
      </c>
      <c r="D6182" t="s">
        <v>20</v>
      </c>
      <c r="E6182" t="s">
        <v>11</v>
      </c>
      <c r="F6182">
        <v>28524.738</v>
      </c>
      <c r="G6182">
        <v>18</v>
      </c>
      <c r="L6182" t="s">
        <v>16699</v>
      </c>
    </row>
    <row r="6183" spans="1:12" x14ac:dyDescent="0.25">
      <c r="A6183" t="s">
        <v>18</v>
      </c>
      <c r="B6183" t="s">
        <v>16699</v>
      </c>
      <c r="C6183" t="s">
        <v>16700</v>
      </c>
      <c r="D6183" t="s">
        <v>20</v>
      </c>
      <c r="E6183" t="s">
        <v>11</v>
      </c>
      <c r="F6183">
        <v>19582.2</v>
      </c>
      <c r="G6183">
        <v>18</v>
      </c>
      <c r="L6183" t="s">
        <v>16701</v>
      </c>
    </row>
    <row r="6184" spans="1:12" x14ac:dyDescent="0.25">
      <c r="A6184" t="s">
        <v>18</v>
      </c>
      <c r="B6184" t="s">
        <v>16701</v>
      </c>
      <c r="C6184" t="s">
        <v>16702</v>
      </c>
      <c r="D6184" t="s">
        <v>20</v>
      </c>
      <c r="E6184" t="s">
        <v>11</v>
      </c>
      <c r="F6184">
        <v>27284.532</v>
      </c>
      <c r="G6184">
        <v>18</v>
      </c>
      <c r="L6184" t="s">
        <v>16703</v>
      </c>
    </row>
    <row r="6185" spans="1:12" x14ac:dyDescent="0.25">
      <c r="A6185" t="s">
        <v>18</v>
      </c>
      <c r="B6185" t="s">
        <v>16703</v>
      </c>
      <c r="C6185" t="s">
        <v>16704</v>
      </c>
      <c r="D6185" t="s">
        <v>20</v>
      </c>
      <c r="E6185" t="s">
        <v>11</v>
      </c>
      <c r="F6185">
        <v>25783.23</v>
      </c>
      <c r="G6185">
        <v>18</v>
      </c>
      <c r="L6185" t="s">
        <v>16705</v>
      </c>
    </row>
    <row r="6186" spans="1:12" x14ac:dyDescent="0.25">
      <c r="A6186" t="s">
        <v>18</v>
      </c>
      <c r="B6186" t="s">
        <v>16705</v>
      </c>
      <c r="C6186" t="s">
        <v>16706</v>
      </c>
      <c r="D6186" t="s">
        <v>20</v>
      </c>
      <c r="E6186" t="s">
        <v>11</v>
      </c>
      <c r="F6186">
        <v>41448.990000000005</v>
      </c>
      <c r="G6186">
        <v>18</v>
      </c>
      <c r="L6186" t="s">
        <v>16707</v>
      </c>
    </row>
    <row r="6187" spans="1:12" x14ac:dyDescent="0.25">
      <c r="A6187" t="s">
        <v>18</v>
      </c>
      <c r="B6187" t="s">
        <v>16707</v>
      </c>
      <c r="C6187" t="s">
        <v>16708</v>
      </c>
      <c r="D6187" t="s">
        <v>20</v>
      </c>
      <c r="E6187" t="s">
        <v>11</v>
      </c>
      <c r="F6187">
        <v>39360.221999999994</v>
      </c>
      <c r="G6187">
        <v>18</v>
      </c>
      <c r="L6187" t="s">
        <v>16709</v>
      </c>
    </row>
    <row r="6188" spans="1:12" x14ac:dyDescent="0.25">
      <c r="A6188" t="s">
        <v>18</v>
      </c>
      <c r="B6188" t="s">
        <v>16709</v>
      </c>
      <c r="C6188" t="s">
        <v>16710</v>
      </c>
      <c r="D6188" t="s">
        <v>20</v>
      </c>
      <c r="E6188" t="s">
        <v>11</v>
      </c>
      <c r="F6188">
        <v>40600.42799999999</v>
      </c>
      <c r="G6188">
        <v>18</v>
      </c>
      <c r="L6188" t="s">
        <v>16711</v>
      </c>
    </row>
    <row r="6189" spans="1:12" x14ac:dyDescent="0.25">
      <c r="A6189" t="s">
        <v>18</v>
      </c>
      <c r="B6189" t="s">
        <v>16711</v>
      </c>
      <c r="C6189" t="s">
        <v>16712</v>
      </c>
      <c r="D6189" t="s">
        <v>20</v>
      </c>
      <c r="E6189" t="s">
        <v>11</v>
      </c>
      <c r="F6189">
        <v>37597.82399999999</v>
      </c>
      <c r="G6189">
        <v>18</v>
      </c>
      <c r="L6189" t="s">
        <v>16713</v>
      </c>
    </row>
    <row r="6190" spans="1:12" x14ac:dyDescent="0.25">
      <c r="A6190" t="s">
        <v>18</v>
      </c>
      <c r="B6190" t="s">
        <v>16713</v>
      </c>
      <c r="C6190" t="s">
        <v>16714</v>
      </c>
      <c r="D6190" t="s">
        <v>20</v>
      </c>
      <c r="E6190" t="s">
        <v>11</v>
      </c>
      <c r="F6190">
        <v>13185.347999999998</v>
      </c>
      <c r="G6190">
        <v>18</v>
      </c>
      <c r="L6190" t="s">
        <v>16715</v>
      </c>
    </row>
    <row r="6191" spans="1:12" x14ac:dyDescent="0.25">
      <c r="A6191" t="s">
        <v>18</v>
      </c>
      <c r="B6191" t="s">
        <v>16715</v>
      </c>
      <c r="C6191" t="s">
        <v>16716</v>
      </c>
      <c r="D6191" t="s">
        <v>20</v>
      </c>
      <c r="E6191" t="s">
        <v>11</v>
      </c>
      <c r="F6191">
        <v>17167.061999999998</v>
      </c>
      <c r="G6191">
        <v>18</v>
      </c>
      <c r="L6191" t="s">
        <v>16717</v>
      </c>
    </row>
    <row r="6192" spans="1:12" x14ac:dyDescent="0.25">
      <c r="A6192" t="s">
        <v>18</v>
      </c>
      <c r="B6192" t="s">
        <v>16717</v>
      </c>
      <c r="C6192" t="s">
        <v>16718</v>
      </c>
      <c r="D6192" t="s">
        <v>20</v>
      </c>
      <c r="E6192" t="s">
        <v>11</v>
      </c>
      <c r="F6192">
        <v>17428.158</v>
      </c>
      <c r="G6192">
        <v>18</v>
      </c>
      <c r="L6192" t="s">
        <v>16719</v>
      </c>
    </row>
    <row r="6193" spans="1:12" x14ac:dyDescent="0.25">
      <c r="A6193" t="s">
        <v>18</v>
      </c>
      <c r="B6193" t="s">
        <v>16719</v>
      </c>
      <c r="C6193" t="s">
        <v>16720</v>
      </c>
      <c r="D6193" t="s">
        <v>20</v>
      </c>
      <c r="E6193" t="s">
        <v>11</v>
      </c>
      <c r="F6193">
        <v>15078.294000000002</v>
      </c>
      <c r="G6193">
        <v>18</v>
      </c>
      <c r="L6193" t="s">
        <v>16721</v>
      </c>
    </row>
    <row r="6194" spans="1:12" x14ac:dyDescent="0.25">
      <c r="A6194" t="s">
        <v>18</v>
      </c>
      <c r="B6194" t="s">
        <v>16721</v>
      </c>
      <c r="C6194" t="s">
        <v>16722</v>
      </c>
      <c r="D6194" t="s">
        <v>20</v>
      </c>
      <c r="E6194" t="s">
        <v>11</v>
      </c>
      <c r="F6194">
        <v>25261.038</v>
      </c>
      <c r="G6194">
        <v>18</v>
      </c>
      <c r="L6194" t="s">
        <v>16723</v>
      </c>
    </row>
    <row r="6195" spans="1:12" x14ac:dyDescent="0.25">
      <c r="A6195" t="s">
        <v>18</v>
      </c>
      <c r="B6195" t="s">
        <v>16723</v>
      </c>
      <c r="C6195" t="s">
        <v>16724</v>
      </c>
      <c r="D6195" t="s">
        <v>20</v>
      </c>
      <c r="E6195" t="s">
        <v>11</v>
      </c>
      <c r="F6195">
        <v>23302.818</v>
      </c>
      <c r="G6195">
        <v>18</v>
      </c>
      <c r="L6195" t="s">
        <v>16725</v>
      </c>
    </row>
    <row r="6196" spans="1:12" x14ac:dyDescent="0.25">
      <c r="A6196" t="s">
        <v>18</v>
      </c>
      <c r="B6196" t="s">
        <v>16725</v>
      </c>
      <c r="C6196" t="s">
        <v>16726</v>
      </c>
      <c r="D6196" t="s">
        <v>20</v>
      </c>
      <c r="E6196" t="s">
        <v>11</v>
      </c>
      <c r="F6196">
        <v>29438.573999999997</v>
      </c>
      <c r="G6196">
        <v>18</v>
      </c>
      <c r="L6196" t="s">
        <v>16727</v>
      </c>
    </row>
    <row r="6197" spans="1:12" x14ac:dyDescent="0.25">
      <c r="A6197" t="s">
        <v>18</v>
      </c>
      <c r="B6197" t="s">
        <v>16727</v>
      </c>
      <c r="C6197" t="s">
        <v>16728</v>
      </c>
      <c r="D6197" t="s">
        <v>20</v>
      </c>
      <c r="E6197" t="s">
        <v>11</v>
      </c>
      <c r="F6197">
        <v>30221.861999999997</v>
      </c>
      <c r="G6197">
        <v>18</v>
      </c>
      <c r="L6197" t="s">
        <v>16729</v>
      </c>
    </row>
    <row r="6198" spans="1:12" x14ac:dyDescent="0.25">
      <c r="A6198" t="s">
        <v>18</v>
      </c>
      <c r="B6198" t="s">
        <v>16729</v>
      </c>
      <c r="C6198" t="s">
        <v>16730</v>
      </c>
      <c r="D6198" t="s">
        <v>20</v>
      </c>
      <c r="E6198" t="s">
        <v>11</v>
      </c>
      <c r="F6198">
        <v>16057.403999999999</v>
      </c>
      <c r="G6198">
        <v>18</v>
      </c>
      <c r="L6198" t="s">
        <v>16731</v>
      </c>
    </row>
    <row r="6199" spans="1:12" x14ac:dyDescent="0.25">
      <c r="A6199" t="s">
        <v>18</v>
      </c>
      <c r="B6199" t="s">
        <v>16731</v>
      </c>
      <c r="C6199" t="s">
        <v>16732</v>
      </c>
      <c r="D6199" t="s">
        <v>20</v>
      </c>
      <c r="E6199" t="s">
        <v>11</v>
      </c>
      <c r="F6199">
        <v>29242.752</v>
      </c>
      <c r="G6199">
        <v>18</v>
      </c>
      <c r="L6199" t="s">
        <v>16733</v>
      </c>
    </row>
    <row r="6200" spans="1:12" x14ac:dyDescent="0.25">
      <c r="A6200" t="s">
        <v>18</v>
      </c>
      <c r="B6200" t="s">
        <v>16733</v>
      </c>
      <c r="C6200" t="s">
        <v>16734</v>
      </c>
      <c r="D6200" t="s">
        <v>20</v>
      </c>
      <c r="E6200" t="s">
        <v>11</v>
      </c>
      <c r="F6200">
        <v>32571.725999999995</v>
      </c>
      <c r="G6200">
        <v>18</v>
      </c>
      <c r="L6200" t="s">
        <v>16735</v>
      </c>
    </row>
    <row r="6201" spans="1:12" x14ac:dyDescent="0.25">
      <c r="A6201" t="s">
        <v>18</v>
      </c>
      <c r="B6201" t="s">
        <v>16735</v>
      </c>
      <c r="C6201" t="s">
        <v>16736</v>
      </c>
      <c r="D6201" t="s">
        <v>20</v>
      </c>
      <c r="E6201" t="s">
        <v>11</v>
      </c>
      <c r="F6201">
        <v>848.5619999999999</v>
      </c>
      <c r="G6201">
        <v>18</v>
      </c>
      <c r="L6201" t="s">
        <v>16737</v>
      </c>
    </row>
    <row r="6202" spans="1:12" x14ac:dyDescent="0.25">
      <c r="A6202" t="s">
        <v>18</v>
      </c>
      <c r="B6202" t="s">
        <v>16737</v>
      </c>
      <c r="C6202" t="s">
        <v>16738</v>
      </c>
      <c r="D6202" t="s">
        <v>20</v>
      </c>
      <c r="E6202" t="s">
        <v>11</v>
      </c>
      <c r="F6202">
        <v>848.5619999999999</v>
      </c>
      <c r="G6202">
        <v>18</v>
      </c>
      <c r="L6202" t="s">
        <v>16739</v>
      </c>
    </row>
    <row r="6203" spans="1:12" x14ac:dyDescent="0.25">
      <c r="A6203" t="s">
        <v>18</v>
      </c>
      <c r="B6203" t="s">
        <v>16739</v>
      </c>
      <c r="C6203" t="s">
        <v>16740</v>
      </c>
      <c r="D6203" t="s">
        <v>20</v>
      </c>
      <c r="E6203" t="s">
        <v>11</v>
      </c>
      <c r="F6203">
        <v>391.64399999999995</v>
      </c>
      <c r="G6203">
        <v>18</v>
      </c>
      <c r="L6203" t="s">
        <v>16741</v>
      </c>
    </row>
    <row r="6204" spans="1:12" x14ac:dyDescent="0.25">
      <c r="A6204" t="s">
        <v>18</v>
      </c>
      <c r="B6204" t="s">
        <v>16741</v>
      </c>
      <c r="C6204" t="s">
        <v>16742</v>
      </c>
      <c r="D6204" t="s">
        <v>20</v>
      </c>
      <c r="E6204" t="s">
        <v>11</v>
      </c>
      <c r="F6204">
        <v>5548.29</v>
      </c>
      <c r="G6204">
        <v>18</v>
      </c>
      <c r="L6204" t="s">
        <v>16743</v>
      </c>
    </row>
    <row r="6205" spans="1:12" x14ac:dyDescent="0.25">
      <c r="A6205" t="s">
        <v>18</v>
      </c>
      <c r="B6205" t="s">
        <v>16743</v>
      </c>
      <c r="C6205" t="s">
        <v>16744</v>
      </c>
      <c r="D6205" t="s">
        <v>20</v>
      </c>
      <c r="E6205" t="s">
        <v>11</v>
      </c>
      <c r="F6205">
        <v>7963.428</v>
      </c>
      <c r="G6205">
        <v>18</v>
      </c>
      <c r="L6205" t="s">
        <v>16745</v>
      </c>
    </row>
    <row r="6206" spans="1:12" x14ac:dyDescent="0.25">
      <c r="A6206" t="s">
        <v>18</v>
      </c>
      <c r="B6206" t="s">
        <v>16745</v>
      </c>
      <c r="C6206" t="s">
        <v>16746</v>
      </c>
      <c r="D6206" t="s">
        <v>20</v>
      </c>
      <c r="E6206" t="s">
        <v>11</v>
      </c>
      <c r="F6206">
        <v>2741.508</v>
      </c>
      <c r="G6206">
        <v>18</v>
      </c>
      <c r="L6206" t="s">
        <v>16747</v>
      </c>
    </row>
    <row r="6207" spans="1:12" x14ac:dyDescent="0.25">
      <c r="A6207" t="s">
        <v>18</v>
      </c>
      <c r="B6207" t="s">
        <v>16747</v>
      </c>
      <c r="C6207" t="s">
        <v>16748</v>
      </c>
      <c r="D6207" t="s">
        <v>20</v>
      </c>
      <c r="E6207" t="s">
        <v>11</v>
      </c>
      <c r="F6207">
        <v>5221.92</v>
      </c>
      <c r="G6207">
        <v>18</v>
      </c>
      <c r="L6207" t="s">
        <v>16749</v>
      </c>
    </row>
    <row r="6208" spans="1:12" x14ac:dyDescent="0.25">
      <c r="A6208" t="s">
        <v>18</v>
      </c>
      <c r="B6208" t="s">
        <v>16749</v>
      </c>
      <c r="C6208" t="s">
        <v>16750</v>
      </c>
      <c r="D6208" t="s">
        <v>20</v>
      </c>
      <c r="E6208" t="s">
        <v>11</v>
      </c>
      <c r="F6208">
        <v>6723.222000000001</v>
      </c>
      <c r="G6208">
        <v>18</v>
      </c>
      <c r="L6208" t="s">
        <v>16751</v>
      </c>
    </row>
    <row r="6209" spans="1:12" x14ac:dyDescent="0.25">
      <c r="A6209" t="s">
        <v>18</v>
      </c>
      <c r="B6209" t="s">
        <v>16751</v>
      </c>
      <c r="C6209" t="s">
        <v>16752</v>
      </c>
      <c r="D6209" t="s">
        <v>20</v>
      </c>
      <c r="E6209" t="s">
        <v>11</v>
      </c>
      <c r="F6209">
        <v>1109.658</v>
      </c>
      <c r="G6209">
        <v>18</v>
      </c>
      <c r="L6209" t="s">
        <v>16753</v>
      </c>
    </row>
    <row r="6210" spans="1:12" x14ac:dyDescent="0.25">
      <c r="A6210" t="s">
        <v>18</v>
      </c>
      <c r="B6210" t="s">
        <v>16753</v>
      </c>
      <c r="C6210" t="s">
        <v>16754</v>
      </c>
      <c r="D6210" t="s">
        <v>20</v>
      </c>
      <c r="E6210" t="s">
        <v>11</v>
      </c>
      <c r="F6210">
        <v>391.64399999999995</v>
      </c>
      <c r="G6210">
        <v>18</v>
      </c>
      <c r="L6210" t="s">
        <v>16755</v>
      </c>
    </row>
    <row r="6211" spans="1:12" x14ac:dyDescent="0.25">
      <c r="A6211" t="s">
        <v>18</v>
      </c>
      <c r="B6211" t="s">
        <v>16755</v>
      </c>
      <c r="C6211" t="s">
        <v>16756</v>
      </c>
      <c r="D6211" t="s">
        <v>20</v>
      </c>
      <c r="E6211" t="s">
        <v>11</v>
      </c>
      <c r="F6211">
        <v>2023.494</v>
      </c>
      <c r="G6211">
        <v>18</v>
      </c>
      <c r="L6211" t="s">
        <v>16757</v>
      </c>
    </row>
    <row r="6212" spans="1:12" x14ac:dyDescent="0.25">
      <c r="A6212" t="s">
        <v>18</v>
      </c>
      <c r="B6212" t="s">
        <v>16757</v>
      </c>
      <c r="C6212" t="s">
        <v>16758</v>
      </c>
      <c r="D6212" t="s">
        <v>20</v>
      </c>
      <c r="E6212" t="s">
        <v>11</v>
      </c>
      <c r="F6212">
        <v>2545.6859999999997</v>
      </c>
      <c r="G6212">
        <v>18</v>
      </c>
      <c r="L6212" t="s">
        <v>16759</v>
      </c>
    </row>
    <row r="6213" spans="1:12" x14ac:dyDescent="0.25">
      <c r="A6213" t="s">
        <v>18</v>
      </c>
      <c r="B6213" t="s">
        <v>16759</v>
      </c>
      <c r="C6213" t="s">
        <v>16760</v>
      </c>
      <c r="D6213" t="s">
        <v>20</v>
      </c>
      <c r="E6213" t="s">
        <v>11</v>
      </c>
      <c r="F6213">
        <v>3590.0699999999997</v>
      </c>
      <c r="G6213">
        <v>18</v>
      </c>
      <c r="L6213" t="s">
        <v>16761</v>
      </c>
    </row>
    <row r="6214" spans="1:12" x14ac:dyDescent="0.25">
      <c r="A6214" t="s">
        <v>18</v>
      </c>
      <c r="B6214" t="s">
        <v>16761</v>
      </c>
      <c r="C6214" t="s">
        <v>16762</v>
      </c>
      <c r="D6214" t="s">
        <v>20</v>
      </c>
      <c r="E6214" t="s">
        <v>11</v>
      </c>
      <c r="F6214">
        <v>4699.727999999999</v>
      </c>
      <c r="G6214">
        <v>18</v>
      </c>
      <c r="L6214" t="s">
        <v>16763</v>
      </c>
    </row>
    <row r="6215" spans="1:12" x14ac:dyDescent="0.25">
      <c r="A6215" t="s">
        <v>18</v>
      </c>
      <c r="B6215" t="s">
        <v>16763</v>
      </c>
      <c r="C6215" t="s">
        <v>16764</v>
      </c>
      <c r="D6215" t="s">
        <v>20</v>
      </c>
      <c r="E6215" t="s">
        <v>11</v>
      </c>
      <c r="F6215">
        <v>13838.087999999998</v>
      </c>
      <c r="G6215">
        <v>18</v>
      </c>
      <c r="L6215" t="s">
        <v>16765</v>
      </c>
    </row>
    <row r="6216" spans="1:12" x14ac:dyDescent="0.25">
      <c r="A6216" t="s">
        <v>18</v>
      </c>
      <c r="B6216" t="s">
        <v>16765</v>
      </c>
      <c r="C6216" t="s">
        <v>16766</v>
      </c>
      <c r="D6216" t="s">
        <v>20</v>
      </c>
      <c r="E6216" t="s">
        <v>11</v>
      </c>
      <c r="F6216">
        <v>1827.672</v>
      </c>
      <c r="G6216">
        <v>18</v>
      </c>
      <c r="L6216" t="s">
        <v>16767</v>
      </c>
    </row>
    <row r="6217" spans="1:12" x14ac:dyDescent="0.25">
      <c r="A6217" t="s">
        <v>18</v>
      </c>
      <c r="B6217" t="s">
        <v>16767</v>
      </c>
      <c r="C6217" t="s">
        <v>16768</v>
      </c>
      <c r="D6217" t="s">
        <v>20</v>
      </c>
      <c r="E6217" t="s">
        <v>11</v>
      </c>
      <c r="F6217">
        <v>4699.727999999999</v>
      </c>
      <c r="G6217">
        <v>18</v>
      </c>
      <c r="L6217" t="s">
        <v>16769</v>
      </c>
    </row>
    <row r="6218" spans="1:12" x14ac:dyDescent="0.25">
      <c r="A6218" t="s">
        <v>18</v>
      </c>
      <c r="B6218" t="s">
        <v>16769</v>
      </c>
      <c r="C6218" t="s">
        <v>16770</v>
      </c>
      <c r="D6218" t="s">
        <v>20</v>
      </c>
      <c r="E6218" t="s">
        <v>11</v>
      </c>
      <c r="F6218">
        <v>4016.6279999999997</v>
      </c>
      <c r="G6218">
        <v>18</v>
      </c>
      <c r="L6218" t="s">
        <v>16771</v>
      </c>
    </row>
    <row r="6219" spans="1:12" x14ac:dyDescent="0.25">
      <c r="A6219" t="s">
        <v>18</v>
      </c>
      <c r="B6219" t="s">
        <v>16771</v>
      </c>
      <c r="C6219" t="s">
        <v>16772</v>
      </c>
      <c r="D6219" t="s">
        <v>20</v>
      </c>
      <c r="E6219" t="s">
        <v>11</v>
      </c>
      <c r="F6219">
        <v>5744.112</v>
      </c>
      <c r="G6219">
        <v>18</v>
      </c>
      <c r="L6219" t="s">
        <v>16773</v>
      </c>
    </row>
    <row r="6220" spans="1:12" x14ac:dyDescent="0.25">
      <c r="A6220" t="s">
        <v>18</v>
      </c>
      <c r="B6220" t="s">
        <v>16773</v>
      </c>
      <c r="C6220" t="s">
        <v>16774</v>
      </c>
      <c r="D6220" t="s">
        <v>20</v>
      </c>
      <c r="E6220" t="s">
        <v>11</v>
      </c>
      <c r="F6220">
        <v>15469.937999999998</v>
      </c>
      <c r="G6220">
        <v>18</v>
      </c>
      <c r="L6220" t="s">
        <v>16775</v>
      </c>
    </row>
    <row r="6221" spans="1:12" x14ac:dyDescent="0.25">
      <c r="A6221" t="s">
        <v>18</v>
      </c>
      <c r="B6221" t="s">
        <v>16775</v>
      </c>
      <c r="C6221" t="s">
        <v>16776</v>
      </c>
      <c r="D6221" t="s">
        <v>20</v>
      </c>
      <c r="E6221" t="s">
        <v>11</v>
      </c>
      <c r="F6221">
        <v>10052.195999999998</v>
      </c>
      <c r="G6221">
        <v>18</v>
      </c>
      <c r="L6221" t="s">
        <v>16777</v>
      </c>
    </row>
    <row r="6222" spans="1:12" x14ac:dyDescent="0.25">
      <c r="A6222" t="s">
        <v>18</v>
      </c>
      <c r="B6222" t="s">
        <v>16777</v>
      </c>
      <c r="C6222" t="s">
        <v>16778</v>
      </c>
      <c r="D6222" t="s">
        <v>20</v>
      </c>
      <c r="E6222" t="s">
        <v>11</v>
      </c>
      <c r="F6222">
        <v>261.096</v>
      </c>
      <c r="G6222">
        <v>18</v>
      </c>
      <c r="L6222" t="s">
        <v>16779</v>
      </c>
    </row>
    <row r="6223" spans="1:12" x14ac:dyDescent="0.25">
      <c r="A6223" t="s">
        <v>18</v>
      </c>
      <c r="B6223" t="s">
        <v>16779</v>
      </c>
      <c r="C6223" t="s">
        <v>16780</v>
      </c>
      <c r="D6223" t="s">
        <v>20</v>
      </c>
      <c r="E6223" t="s">
        <v>11</v>
      </c>
      <c r="F6223">
        <v>326.37</v>
      </c>
      <c r="G6223">
        <v>18</v>
      </c>
      <c r="L6223" t="s">
        <v>16781</v>
      </c>
    </row>
    <row r="6224" spans="1:12" x14ac:dyDescent="0.25">
      <c r="A6224" t="s">
        <v>18</v>
      </c>
      <c r="B6224" t="s">
        <v>16781</v>
      </c>
      <c r="C6224" t="s">
        <v>16782</v>
      </c>
      <c r="D6224" t="s">
        <v>20</v>
      </c>
      <c r="E6224" t="s">
        <v>11</v>
      </c>
      <c r="F6224">
        <v>5678.838</v>
      </c>
      <c r="G6224">
        <v>18</v>
      </c>
      <c r="L6224" t="s">
        <v>16783</v>
      </c>
    </row>
    <row r="6225" spans="1:12" x14ac:dyDescent="0.25">
      <c r="A6225" t="s">
        <v>18</v>
      </c>
      <c r="B6225" t="s">
        <v>16783</v>
      </c>
      <c r="C6225" t="s">
        <v>16784</v>
      </c>
      <c r="D6225" t="s">
        <v>20</v>
      </c>
      <c r="E6225" t="s">
        <v>11</v>
      </c>
      <c r="F6225">
        <v>7375.962</v>
      </c>
      <c r="G6225">
        <v>18</v>
      </c>
      <c r="L6225" t="s">
        <v>16785</v>
      </c>
    </row>
    <row r="6226" spans="1:12" x14ac:dyDescent="0.25">
      <c r="A6226" t="s">
        <v>18</v>
      </c>
      <c r="B6226" t="s">
        <v>16785</v>
      </c>
      <c r="C6226" t="s">
        <v>16786</v>
      </c>
      <c r="D6226" t="s">
        <v>20</v>
      </c>
      <c r="E6226" t="s">
        <v>11</v>
      </c>
      <c r="F6226">
        <v>6135.755999999999</v>
      </c>
      <c r="G6226">
        <v>18</v>
      </c>
      <c r="L6226" t="s">
        <v>16787</v>
      </c>
    </row>
    <row r="6227" spans="1:12" x14ac:dyDescent="0.25">
      <c r="A6227" t="s">
        <v>18</v>
      </c>
      <c r="B6227" t="s">
        <v>16787</v>
      </c>
      <c r="C6227" t="s">
        <v>16788</v>
      </c>
      <c r="D6227" t="s">
        <v>20</v>
      </c>
      <c r="E6227" t="s">
        <v>11</v>
      </c>
      <c r="F6227">
        <v>14556.101999999999</v>
      </c>
      <c r="G6227">
        <v>18</v>
      </c>
      <c r="L6227" t="s">
        <v>16789</v>
      </c>
    </row>
    <row r="6228" spans="1:12" x14ac:dyDescent="0.25">
      <c r="A6228" t="s">
        <v>18</v>
      </c>
      <c r="B6228" t="s">
        <v>16789</v>
      </c>
      <c r="C6228" t="s">
        <v>16790</v>
      </c>
      <c r="D6228" t="s">
        <v>20</v>
      </c>
      <c r="E6228" t="s">
        <v>11</v>
      </c>
      <c r="F6228">
        <v>41579.53799999999</v>
      </c>
      <c r="G6228">
        <v>18</v>
      </c>
      <c r="L6228" t="s">
        <v>16791</v>
      </c>
    </row>
    <row r="6229" spans="1:12" x14ac:dyDescent="0.25">
      <c r="A6229" t="s">
        <v>18</v>
      </c>
      <c r="B6229" t="s">
        <v>16791</v>
      </c>
      <c r="C6229" t="s">
        <v>16792</v>
      </c>
      <c r="D6229" t="s">
        <v>20</v>
      </c>
      <c r="E6229" t="s">
        <v>11</v>
      </c>
      <c r="F6229">
        <v>12467.334</v>
      </c>
      <c r="G6229">
        <v>18</v>
      </c>
      <c r="L6229" t="s">
        <v>16793</v>
      </c>
    </row>
    <row r="6230" spans="1:12" x14ac:dyDescent="0.25">
      <c r="A6230" t="s">
        <v>18</v>
      </c>
      <c r="B6230" t="s">
        <v>16793</v>
      </c>
      <c r="C6230" t="s">
        <v>16794</v>
      </c>
      <c r="D6230" t="s">
        <v>20</v>
      </c>
      <c r="E6230" t="s">
        <v>11</v>
      </c>
      <c r="F6230">
        <v>7049.592000000001</v>
      </c>
      <c r="G6230">
        <v>18</v>
      </c>
      <c r="L6230" t="s">
        <v>16795</v>
      </c>
    </row>
    <row r="6231" spans="1:12" x14ac:dyDescent="0.25">
      <c r="A6231" t="s">
        <v>18</v>
      </c>
      <c r="B6231" t="s">
        <v>16795</v>
      </c>
      <c r="C6231" t="s">
        <v>16796</v>
      </c>
      <c r="D6231" t="s">
        <v>20</v>
      </c>
      <c r="E6231" t="s">
        <v>11</v>
      </c>
      <c r="F6231">
        <v>3720.6179999999995</v>
      </c>
      <c r="G6231">
        <v>18</v>
      </c>
      <c r="L6231" t="s">
        <v>16797</v>
      </c>
    </row>
    <row r="6232" spans="1:12" x14ac:dyDescent="0.25">
      <c r="A6232" t="s">
        <v>18</v>
      </c>
      <c r="B6232" t="s">
        <v>16797</v>
      </c>
      <c r="C6232" t="s">
        <v>16798</v>
      </c>
      <c r="D6232" t="s">
        <v>20</v>
      </c>
      <c r="E6232" t="s">
        <v>11</v>
      </c>
      <c r="F6232">
        <v>1109.658</v>
      </c>
      <c r="G6232">
        <v>18</v>
      </c>
      <c r="L6232" t="s">
        <v>16799</v>
      </c>
    </row>
    <row r="6233" spans="1:12" x14ac:dyDescent="0.25">
      <c r="A6233" t="s">
        <v>18</v>
      </c>
      <c r="B6233" t="s">
        <v>16799</v>
      </c>
      <c r="C6233" t="s">
        <v>16800</v>
      </c>
      <c r="D6233" t="s">
        <v>20</v>
      </c>
      <c r="E6233" t="s">
        <v>11</v>
      </c>
      <c r="F6233">
        <v>1109.658</v>
      </c>
      <c r="G6233">
        <v>18</v>
      </c>
      <c r="L6233" t="s">
        <v>16801</v>
      </c>
    </row>
    <row r="6234" spans="1:12" x14ac:dyDescent="0.25">
      <c r="A6234" t="s">
        <v>18</v>
      </c>
      <c r="B6234" t="s">
        <v>16801</v>
      </c>
      <c r="C6234" t="s">
        <v>16802</v>
      </c>
      <c r="D6234" t="s">
        <v>20</v>
      </c>
      <c r="E6234" t="s">
        <v>11</v>
      </c>
      <c r="F6234">
        <v>3851.166</v>
      </c>
      <c r="G6234">
        <v>18</v>
      </c>
      <c r="L6234" t="s">
        <v>16803</v>
      </c>
    </row>
    <row r="6235" spans="1:12" x14ac:dyDescent="0.25">
      <c r="A6235" t="s">
        <v>18</v>
      </c>
      <c r="B6235" t="s">
        <v>16803</v>
      </c>
      <c r="C6235" t="s">
        <v>16804</v>
      </c>
      <c r="D6235" t="s">
        <v>20</v>
      </c>
      <c r="E6235" t="s">
        <v>11</v>
      </c>
      <c r="F6235">
        <v>9203.633999999998</v>
      </c>
      <c r="G6235">
        <v>18</v>
      </c>
      <c r="L6235" t="s">
        <v>16805</v>
      </c>
    </row>
    <row r="6236" spans="1:12" x14ac:dyDescent="0.25">
      <c r="A6236" t="s">
        <v>18</v>
      </c>
      <c r="B6236" t="s">
        <v>16805</v>
      </c>
      <c r="C6236" t="s">
        <v>16806</v>
      </c>
      <c r="D6236" t="s">
        <v>20</v>
      </c>
      <c r="E6236" t="s">
        <v>11</v>
      </c>
      <c r="F6236">
        <v>6723.222000000001</v>
      </c>
      <c r="G6236">
        <v>18</v>
      </c>
      <c r="L6236" t="s">
        <v>16807</v>
      </c>
    </row>
    <row r="6237" spans="1:12" x14ac:dyDescent="0.25">
      <c r="A6237" t="s">
        <v>18</v>
      </c>
      <c r="B6237" t="s">
        <v>16807</v>
      </c>
      <c r="C6237" t="s">
        <v>16808</v>
      </c>
      <c r="D6237" t="s">
        <v>20</v>
      </c>
      <c r="E6237" t="s">
        <v>11</v>
      </c>
      <c r="F6237">
        <v>9268.908</v>
      </c>
      <c r="G6237">
        <v>18</v>
      </c>
      <c r="L6237" t="s">
        <v>16809</v>
      </c>
    </row>
    <row r="6238" spans="1:12" x14ac:dyDescent="0.25">
      <c r="A6238" t="s">
        <v>18</v>
      </c>
      <c r="B6238" t="s">
        <v>16809</v>
      </c>
      <c r="C6238" t="s">
        <v>16810</v>
      </c>
      <c r="D6238" t="s">
        <v>20</v>
      </c>
      <c r="E6238" t="s">
        <v>11</v>
      </c>
      <c r="F6238">
        <v>11227.127999999999</v>
      </c>
      <c r="G6238">
        <v>18</v>
      </c>
      <c r="L6238" t="s">
        <v>16811</v>
      </c>
    </row>
    <row r="6239" spans="1:12" x14ac:dyDescent="0.25">
      <c r="A6239" t="s">
        <v>18</v>
      </c>
      <c r="B6239" t="s">
        <v>16811</v>
      </c>
      <c r="C6239" t="s">
        <v>16812</v>
      </c>
      <c r="D6239" t="s">
        <v>20</v>
      </c>
      <c r="E6239" t="s">
        <v>11</v>
      </c>
      <c r="F6239">
        <v>11227.127999999999</v>
      </c>
      <c r="G6239">
        <v>18</v>
      </c>
      <c r="L6239" t="s">
        <v>16813</v>
      </c>
    </row>
    <row r="6240" spans="1:12" x14ac:dyDescent="0.25">
      <c r="A6240" t="s">
        <v>18</v>
      </c>
      <c r="B6240" t="s">
        <v>16813</v>
      </c>
      <c r="C6240" t="s">
        <v>16814</v>
      </c>
      <c r="D6240" t="s">
        <v>20</v>
      </c>
      <c r="E6240" t="s">
        <v>11</v>
      </c>
      <c r="F6240">
        <v>11227.127999999999</v>
      </c>
      <c r="G6240">
        <v>18</v>
      </c>
      <c r="L6240" t="s">
        <v>16815</v>
      </c>
    </row>
    <row r="6241" spans="1:12" x14ac:dyDescent="0.25">
      <c r="A6241" t="s">
        <v>18</v>
      </c>
      <c r="B6241" t="s">
        <v>16815</v>
      </c>
      <c r="C6241" t="s">
        <v>16816</v>
      </c>
      <c r="D6241" t="s">
        <v>20</v>
      </c>
      <c r="E6241" t="s">
        <v>11</v>
      </c>
      <c r="F6241">
        <v>10182.743999999999</v>
      </c>
      <c r="G6241">
        <v>18</v>
      </c>
      <c r="L6241" t="s">
        <v>16817</v>
      </c>
    </row>
    <row r="6242" spans="1:12" x14ac:dyDescent="0.25">
      <c r="A6242" t="s">
        <v>18</v>
      </c>
      <c r="B6242" t="s">
        <v>16817</v>
      </c>
      <c r="C6242" t="s">
        <v>16818</v>
      </c>
      <c r="D6242" t="s">
        <v>20</v>
      </c>
      <c r="E6242" t="s">
        <v>11</v>
      </c>
      <c r="F6242">
        <v>9203.633999999998</v>
      </c>
      <c r="G6242">
        <v>18</v>
      </c>
      <c r="L6242" t="s">
        <v>16819</v>
      </c>
    </row>
    <row r="6243" spans="1:12" x14ac:dyDescent="0.25">
      <c r="A6243" t="s">
        <v>18</v>
      </c>
      <c r="B6243" t="s">
        <v>16819</v>
      </c>
      <c r="C6243" t="s">
        <v>16820</v>
      </c>
      <c r="D6243" t="s">
        <v>20</v>
      </c>
      <c r="E6243" t="s">
        <v>11</v>
      </c>
      <c r="F6243">
        <v>12989.526</v>
      </c>
      <c r="G6243">
        <v>18</v>
      </c>
      <c r="L6243" t="s">
        <v>16821</v>
      </c>
    </row>
    <row r="6244" spans="1:12" x14ac:dyDescent="0.25">
      <c r="A6244" t="s">
        <v>18</v>
      </c>
      <c r="B6244" t="s">
        <v>16821</v>
      </c>
      <c r="C6244" t="s">
        <v>16822</v>
      </c>
      <c r="D6244" t="s">
        <v>20</v>
      </c>
      <c r="E6244" t="s">
        <v>11</v>
      </c>
      <c r="F6244">
        <v>9268.908</v>
      </c>
      <c r="G6244">
        <v>18</v>
      </c>
      <c r="L6244" t="s">
        <v>16823</v>
      </c>
    </row>
    <row r="6245" spans="1:12" x14ac:dyDescent="0.25">
      <c r="A6245" t="s">
        <v>18</v>
      </c>
      <c r="B6245" t="s">
        <v>16823</v>
      </c>
      <c r="C6245" t="s">
        <v>16824</v>
      </c>
      <c r="D6245" t="s">
        <v>20</v>
      </c>
      <c r="E6245" t="s">
        <v>11</v>
      </c>
      <c r="F6245">
        <v>1631.85</v>
      </c>
      <c r="G6245">
        <v>18</v>
      </c>
      <c r="L6245" t="s">
        <v>16825</v>
      </c>
    </row>
    <row r="6246" spans="1:12" x14ac:dyDescent="0.25">
      <c r="A6246" t="s">
        <v>18</v>
      </c>
      <c r="B6246" t="s">
        <v>16825</v>
      </c>
      <c r="C6246" t="s">
        <v>16826</v>
      </c>
      <c r="D6246" t="s">
        <v>20</v>
      </c>
      <c r="E6246" t="s">
        <v>11</v>
      </c>
      <c r="F6246">
        <v>652.74</v>
      </c>
      <c r="G6246">
        <v>18</v>
      </c>
      <c r="L6246" t="s">
        <v>16827</v>
      </c>
    </row>
    <row r="6247" spans="1:12" x14ac:dyDescent="0.25">
      <c r="A6247" t="s">
        <v>18</v>
      </c>
      <c r="B6247" t="s">
        <v>16827</v>
      </c>
      <c r="C6247" t="s">
        <v>16828</v>
      </c>
      <c r="D6247" t="s">
        <v>20</v>
      </c>
      <c r="E6247" t="s">
        <v>11</v>
      </c>
      <c r="F6247">
        <v>652.74</v>
      </c>
      <c r="G6247">
        <v>18</v>
      </c>
      <c r="L6247" t="s">
        <v>16829</v>
      </c>
    </row>
    <row r="6248" spans="1:12" x14ac:dyDescent="0.25">
      <c r="A6248" t="s">
        <v>18</v>
      </c>
      <c r="B6248" t="s">
        <v>16829</v>
      </c>
      <c r="C6248" t="s">
        <v>16830</v>
      </c>
      <c r="D6248" t="s">
        <v>20</v>
      </c>
      <c r="E6248" t="s">
        <v>11</v>
      </c>
      <c r="F6248">
        <v>913.836</v>
      </c>
      <c r="G6248">
        <v>18</v>
      </c>
      <c r="L6248" t="s">
        <v>16831</v>
      </c>
    </row>
    <row r="6249" spans="1:12" x14ac:dyDescent="0.25">
      <c r="A6249" t="s">
        <v>18</v>
      </c>
      <c r="B6249" t="s">
        <v>16831</v>
      </c>
      <c r="C6249" t="s">
        <v>16832</v>
      </c>
      <c r="D6249" t="s">
        <v>20</v>
      </c>
      <c r="E6249" t="s">
        <v>11</v>
      </c>
      <c r="F6249">
        <v>913.836</v>
      </c>
      <c r="G6249">
        <v>18</v>
      </c>
      <c r="L6249" t="s">
        <v>16833</v>
      </c>
    </row>
    <row r="6250" spans="1:12" x14ac:dyDescent="0.25">
      <c r="A6250" t="s">
        <v>18</v>
      </c>
      <c r="B6250" t="s">
        <v>16833</v>
      </c>
      <c r="C6250" t="s">
        <v>16834</v>
      </c>
      <c r="D6250" t="s">
        <v>20</v>
      </c>
      <c r="E6250" t="s">
        <v>11</v>
      </c>
      <c r="F6250">
        <v>718.014</v>
      </c>
      <c r="G6250">
        <v>18</v>
      </c>
      <c r="L6250" t="s">
        <v>16835</v>
      </c>
    </row>
    <row r="6251" spans="1:12" x14ac:dyDescent="0.25">
      <c r="A6251" t="s">
        <v>18</v>
      </c>
      <c r="B6251" t="s">
        <v>16835</v>
      </c>
      <c r="C6251" t="s">
        <v>16836</v>
      </c>
      <c r="D6251" t="s">
        <v>20</v>
      </c>
      <c r="E6251" t="s">
        <v>11</v>
      </c>
      <c r="F6251">
        <v>9334.181999999999</v>
      </c>
      <c r="G6251">
        <v>18</v>
      </c>
      <c r="L6251" t="s">
        <v>16837</v>
      </c>
    </row>
    <row r="6252" spans="1:12" x14ac:dyDescent="0.25">
      <c r="A6252" t="s">
        <v>18</v>
      </c>
      <c r="B6252" t="s">
        <v>16837</v>
      </c>
      <c r="C6252" t="s">
        <v>16838</v>
      </c>
      <c r="D6252" t="s">
        <v>20</v>
      </c>
      <c r="E6252" t="s">
        <v>11</v>
      </c>
      <c r="F6252">
        <v>7963.428</v>
      </c>
      <c r="G6252">
        <v>18</v>
      </c>
      <c r="L6252" t="s">
        <v>16839</v>
      </c>
    </row>
    <row r="6253" spans="1:12" x14ac:dyDescent="0.25">
      <c r="A6253" t="s">
        <v>18</v>
      </c>
      <c r="B6253" t="s">
        <v>16839</v>
      </c>
      <c r="C6253" t="s">
        <v>16840</v>
      </c>
      <c r="D6253" t="s">
        <v>20</v>
      </c>
      <c r="E6253" t="s">
        <v>11</v>
      </c>
      <c r="F6253">
        <v>8355.072</v>
      </c>
      <c r="G6253">
        <v>18</v>
      </c>
      <c r="L6253" t="s">
        <v>16841</v>
      </c>
    </row>
    <row r="6254" spans="1:12" x14ac:dyDescent="0.25">
      <c r="A6254" t="s">
        <v>18</v>
      </c>
      <c r="B6254" t="s">
        <v>16841</v>
      </c>
      <c r="C6254" t="s">
        <v>16842</v>
      </c>
      <c r="D6254" t="s">
        <v>20</v>
      </c>
      <c r="E6254" t="s">
        <v>11</v>
      </c>
      <c r="F6254">
        <v>11488.224</v>
      </c>
      <c r="G6254">
        <v>18</v>
      </c>
      <c r="L6254" t="s">
        <v>16843</v>
      </c>
    </row>
    <row r="6255" spans="1:12" x14ac:dyDescent="0.25">
      <c r="A6255" t="s">
        <v>18</v>
      </c>
      <c r="B6255" t="s">
        <v>16843</v>
      </c>
      <c r="C6255" t="s">
        <v>16844</v>
      </c>
      <c r="D6255" t="s">
        <v>20</v>
      </c>
      <c r="E6255" t="s">
        <v>11</v>
      </c>
      <c r="F6255">
        <v>2219.316</v>
      </c>
      <c r="G6255">
        <v>18</v>
      </c>
      <c r="L6255" t="s">
        <v>16845</v>
      </c>
    </row>
    <row r="6256" spans="1:12" x14ac:dyDescent="0.25">
      <c r="A6256" t="s">
        <v>18</v>
      </c>
      <c r="B6256" t="s">
        <v>16845</v>
      </c>
      <c r="C6256" t="s">
        <v>16846</v>
      </c>
      <c r="D6256" t="s">
        <v>20</v>
      </c>
      <c r="E6256" t="s">
        <v>11</v>
      </c>
      <c r="F6256">
        <v>701.316</v>
      </c>
      <c r="G6256">
        <v>18</v>
      </c>
      <c r="L6256" t="s">
        <v>16847</v>
      </c>
    </row>
    <row r="6257" spans="1:12" x14ac:dyDescent="0.25">
      <c r="A6257" t="s">
        <v>18</v>
      </c>
      <c r="B6257" t="s">
        <v>16847</v>
      </c>
      <c r="C6257" t="s">
        <v>16848</v>
      </c>
      <c r="D6257" t="s">
        <v>20</v>
      </c>
      <c r="E6257" t="s">
        <v>11</v>
      </c>
      <c r="F6257">
        <v>718.014</v>
      </c>
      <c r="G6257">
        <v>18</v>
      </c>
      <c r="L6257" t="s">
        <v>16849</v>
      </c>
    </row>
    <row r="6258" spans="1:12" x14ac:dyDescent="0.25">
      <c r="A6258" t="s">
        <v>18</v>
      </c>
      <c r="B6258" t="s">
        <v>16849</v>
      </c>
      <c r="C6258" t="s">
        <v>16850</v>
      </c>
      <c r="D6258" t="s">
        <v>20</v>
      </c>
      <c r="E6258" t="s">
        <v>11</v>
      </c>
      <c r="F6258">
        <v>261.096</v>
      </c>
      <c r="G6258">
        <v>18</v>
      </c>
      <c r="L6258" t="s">
        <v>16851</v>
      </c>
    </row>
    <row r="6259" spans="1:12" x14ac:dyDescent="0.25">
      <c r="A6259" t="s">
        <v>18</v>
      </c>
      <c r="B6259" t="s">
        <v>16851</v>
      </c>
      <c r="C6259" t="s">
        <v>16852</v>
      </c>
      <c r="D6259" t="s">
        <v>20</v>
      </c>
      <c r="E6259" t="s">
        <v>11</v>
      </c>
      <c r="F6259">
        <v>391.64399999999995</v>
      </c>
      <c r="G6259">
        <v>18</v>
      </c>
      <c r="L6259" t="s">
        <v>16853</v>
      </c>
    </row>
    <row r="6260" spans="1:12" x14ac:dyDescent="0.25">
      <c r="A6260" t="s">
        <v>18</v>
      </c>
      <c r="B6260" t="s">
        <v>16853</v>
      </c>
      <c r="C6260" t="s">
        <v>16854</v>
      </c>
      <c r="D6260" t="s">
        <v>20</v>
      </c>
      <c r="E6260" t="s">
        <v>11</v>
      </c>
      <c r="F6260">
        <v>391.64399999999995</v>
      </c>
      <c r="G6260">
        <v>18</v>
      </c>
      <c r="L6260" t="s">
        <v>16855</v>
      </c>
    </row>
    <row r="6261" spans="1:12" x14ac:dyDescent="0.25">
      <c r="A6261" t="s">
        <v>18</v>
      </c>
      <c r="B6261" t="s">
        <v>16855</v>
      </c>
      <c r="C6261" t="s">
        <v>16856</v>
      </c>
      <c r="D6261" t="s">
        <v>20</v>
      </c>
      <c r="E6261" t="s">
        <v>11</v>
      </c>
      <c r="F6261">
        <v>10966.032</v>
      </c>
      <c r="G6261">
        <v>18</v>
      </c>
      <c r="L6261" t="s">
        <v>16857</v>
      </c>
    </row>
    <row r="6262" spans="1:12" x14ac:dyDescent="0.25">
      <c r="A6262" t="s">
        <v>18</v>
      </c>
      <c r="B6262" t="s">
        <v>16857</v>
      </c>
      <c r="C6262" t="s">
        <v>16858</v>
      </c>
      <c r="D6262" t="s">
        <v>20</v>
      </c>
      <c r="E6262" t="s">
        <v>11</v>
      </c>
      <c r="F6262">
        <v>36357.618</v>
      </c>
      <c r="G6262">
        <v>18</v>
      </c>
      <c r="L6262" t="s">
        <v>16859</v>
      </c>
    </row>
    <row r="6263" spans="1:12" x14ac:dyDescent="0.25">
      <c r="A6263" t="s">
        <v>18</v>
      </c>
      <c r="B6263" t="s">
        <v>16859</v>
      </c>
      <c r="C6263" t="s">
        <v>16860</v>
      </c>
      <c r="D6263" t="s">
        <v>20</v>
      </c>
      <c r="E6263" t="s">
        <v>11</v>
      </c>
      <c r="F6263">
        <v>11031.305999999999</v>
      </c>
      <c r="G6263">
        <v>18</v>
      </c>
      <c r="L6263" t="s">
        <v>16861</v>
      </c>
    </row>
    <row r="6264" spans="1:12" x14ac:dyDescent="0.25">
      <c r="A6264" t="s">
        <v>18</v>
      </c>
      <c r="B6264" t="s">
        <v>16861</v>
      </c>
      <c r="C6264" t="s">
        <v>16862</v>
      </c>
      <c r="D6264" t="s">
        <v>20</v>
      </c>
      <c r="E6264" t="s">
        <v>11</v>
      </c>
      <c r="F6264">
        <v>3133.1519999999996</v>
      </c>
      <c r="G6264">
        <v>18</v>
      </c>
      <c r="L6264" t="s">
        <v>16863</v>
      </c>
    </row>
    <row r="6265" spans="1:12" x14ac:dyDescent="0.25">
      <c r="A6265" t="s">
        <v>18</v>
      </c>
      <c r="B6265" t="s">
        <v>16863</v>
      </c>
      <c r="C6265" t="s">
        <v>16864</v>
      </c>
      <c r="D6265" t="s">
        <v>20</v>
      </c>
      <c r="E6265" t="s">
        <v>11</v>
      </c>
      <c r="F6265">
        <v>5744.112</v>
      </c>
      <c r="G6265">
        <v>18</v>
      </c>
      <c r="L6265" t="s">
        <v>16865</v>
      </c>
    </row>
    <row r="6266" spans="1:12" x14ac:dyDescent="0.25">
      <c r="A6266" t="s">
        <v>18</v>
      </c>
      <c r="B6266" t="s">
        <v>16865</v>
      </c>
      <c r="C6266" t="s">
        <v>16866</v>
      </c>
      <c r="D6266" t="s">
        <v>20</v>
      </c>
      <c r="E6266" t="s">
        <v>11</v>
      </c>
      <c r="F6266">
        <v>6070.482</v>
      </c>
      <c r="G6266">
        <v>18</v>
      </c>
      <c r="L6266" t="s">
        <v>16867</v>
      </c>
    </row>
    <row r="6267" spans="1:12" x14ac:dyDescent="0.25">
      <c r="A6267" t="s">
        <v>18</v>
      </c>
      <c r="B6267" t="s">
        <v>16867</v>
      </c>
      <c r="C6267" t="s">
        <v>16868</v>
      </c>
      <c r="D6267" t="s">
        <v>20</v>
      </c>
      <c r="E6267" t="s">
        <v>11</v>
      </c>
      <c r="F6267">
        <v>8355.072</v>
      </c>
      <c r="G6267">
        <v>18</v>
      </c>
      <c r="L6267" t="s">
        <v>16869</v>
      </c>
    </row>
    <row r="6268" spans="1:12" x14ac:dyDescent="0.25">
      <c r="A6268" t="s">
        <v>18</v>
      </c>
      <c r="B6268" t="s">
        <v>16869</v>
      </c>
      <c r="C6268" t="s">
        <v>16870</v>
      </c>
      <c r="D6268" t="s">
        <v>20</v>
      </c>
      <c r="E6268" t="s">
        <v>11</v>
      </c>
      <c r="F6268">
        <v>4699.727999999999</v>
      </c>
      <c r="G6268">
        <v>18</v>
      </c>
      <c r="L6268" t="s">
        <v>16871</v>
      </c>
    </row>
    <row r="6269" spans="1:12" x14ac:dyDescent="0.25">
      <c r="A6269" t="s">
        <v>18</v>
      </c>
      <c r="B6269" t="s">
        <v>16871</v>
      </c>
      <c r="C6269" t="s">
        <v>16872</v>
      </c>
      <c r="D6269" t="s">
        <v>20</v>
      </c>
      <c r="E6269" t="s">
        <v>11</v>
      </c>
      <c r="F6269">
        <v>4046.988</v>
      </c>
      <c r="G6269">
        <v>18</v>
      </c>
      <c r="L6269" t="s">
        <v>16873</v>
      </c>
    </row>
    <row r="6270" spans="1:12" x14ac:dyDescent="0.25">
      <c r="A6270" t="s">
        <v>18</v>
      </c>
      <c r="B6270" t="s">
        <v>16873</v>
      </c>
      <c r="C6270" t="s">
        <v>16874</v>
      </c>
      <c r="D6270" t="s">
        <v>20</v>
      </c>
      <c r="E6270" t="s">
        <v>11</v>
      </c>
      <c r="F6270">
        <v>5417.742</v>
      </c>
      <c r="G6270">
        <v>18</v>
      </c>
      <c r="L6270" t="s">
        <v>16875</v>
      </c>
    </row>
    <row r="6271" spans="1:12" x14ac:dyDescent="0.25">
      <c r="A6271" t="s">
        <v>18</v>
      </c>
      <c r="B6271" t="s">
        <v>16875</v>
      </c>
      <c r="C6271" t="s">
        <v>16876</v>
      </c>
      <c r="D6271" t="s">
        <v>20</v>
      </c>
      <c r="E6271" t="s">
        <v>11</v>
      </c>
      <c r="F6271">
        <v>195.82199999999997</v>
      </c>
      <c r="G6271">
        <v>18</v>
      </c>
      <c r="L6271" t="s">
        <v>16877</v>
      </c>
    </row>
    <row r="6272" spans="1:12" x14ac:dyDescent="0.25">
      <c r="A6272" t="s">
        <v>18</v>
      </c>
      <c r="B6272" t="s">
        <v>16877</v>
      </c>
      <c r="C6272" t="s">
        <v>16878</v>
      </c>
      <c r="D6272" t="s">
        <v>20</v>
      </c>
      <c r="E6272" t="s">
        <v>11</v>
      </c>
      <c r="F6272">
        <v>130.548</v>
      </c>
      <c r="G6272">
        <v>18</v>
      </c>
      <c r="L6272" t="s">
        <v>16879</v>
      </c>
    </row>
    <row r="6273" spans="1:12" x14ac:dyDescent="0.25">
      <c r="A6273" t="s">
        <v>18</v>
      </c>
      <c r="B6273" t="s">
        <v>16879</v>
      </c>
      <c r="C6273" t="s">
        <v>16880</v>
      </c>
      <c r="D6273" t="s">
        <v>20</v>
      </c>
      <c r="E6273" t="s">
        <v>11</v>
      </c>
      <c r="F6273">
        <v>1827.672</v>
      </c>
      <c r="G6273">
        <v>18</v>
      </c>
      <c r="L6273" t="s">
        <v>16881</v>
      </c>
    </row>
    <row r="6274" spans="1:12" x14ac:dyDescent="0.25">
      <c r="A6274" t="s">
        <v>18</v>
      </c>
      <c r="B6274" t="s">
        <v>16881</v>
      </c>
      <c r="C6274" t="s">
        <v>16882</v>
      </c>
      <c r="D6274" t="s">
        <v>20</v>
      </c>
      <c r="E6274" t="s">
        <v>11</v>
      </c>
      <c r="F6274">
        <v>913.836</v>
      </c>
      <c r="G6274">
        <v>18</v>
      </c>
      <c r="L6274" t="s">
        <v>16883</v>
      </c>
    </row>
    <row r="6275" spans="1:12" x14ac:dyDescent="0.25">
      <c r="A6275" t="s">
        <v>18</v>
      </c>
      <c r="B6275" t="s">
        <v>16883</v>
      </c>
      <c r="C6275" t="s">
        <v>16884</v>
      </c>
      <c r="D6275" t="s">
        <v>20</v>
      </c>
      <c r="E6275" t="s">
        <v>11</v>
      </c>
      <c r="F6275">
        <v>130.548</v>
      </c>
      <c r="G6275">
        <v>18</v>
      </c>
      <c r="L6275" t="s">
        <v>16885</v>
      </c>
    </row>
    <row r="6276" spans="1:12" x14ac:dyDescent="0.25">
      <c r="A6276" t="s">
        <v>18</v>
      </c>
      <c r="B6276" t="s">
        <v>16885</v>
      </c>
      <c r="C6276" t="s">
        <v>16886</v>
      </c>
      <c r="D6276" t="s">
        <v>20</v>
      </c>
      <c r="E6276" t="s">
        <v>11</v>
      </c>
      <c r="F6276">
        <v>7571.784</v>
      </c>
      <c r="G6276">
        <v>18</v>
      </c>
      <c r="L6276" t="s">
        <v>16887</v>
      </c>
    </row>
    <row r="6277" spans="1:12" x14ac:dyDescent="0.25">
      <c r="A6277" t="s">
        <v>18</v>
      </c>
      <c r="B6277" t="s">
        <v>16887</v>
      </c>
      <c r="C6277" t="s">
        <v>16888</v>
      </c>
      <c r="D6277" t="s">
        <v>20</v>
      </c>
      <c r="E6277" t="s">
        <v>11</v>
      </c>
      <c r="F6277">
        <v>5744.112</v>
      </c>
      <c r="G6277">
        <v>18</v>
      </c>
      <c r="L6277" t="s">
        <v>16889</v>
      </c>
    </row>
    <row r="6278" spans="1:12" x14ac:dyDescent="0.25">
      <c r="A6278" t="s">
        <v>18</v>
      </c>
      <c r="B6278" t="s">
        <v>16889</v>
      </c>
      <c r="C6278" t="s">
        <v>16890</v>
      </c>
      <c r="D6278" t="s">
        <v>20</v>
      </c>
      <c r="E6278" t="s">
        <v>11</v>
      </c>
      <c r="F6278">
        <v>913.836</v>
      </c>
      <c r="G6278">
        <v>18</v>
      </c>
      <c r="L6278" t="s">
        <v>16891</v>
      </c>
    </row>
    <row r="6279" spans="1:12" x14ac:dyDescent="0.25">
      <c r="A6279" t="s">
        <v>18</v>
      </c>
      <c r="B6279" t="s">
        <v>16891</v>
      </c>
      <c r="C6279" t="s">
        <v>16892</v>
      </c>
      <c r="D6279" t="s">
        <v>20</v>
      </c>
      <c r="E6279" t="s">
        <v>11</v>
      </c>
      <c r="F6279">
        <v>6201.030000000001</v>
      </c>
      <c r="G6279">
        <v>18</v>
      </c>
      <c r="L6279" t="s">
        <v>16893</v>
      </c>
    </row>
    <row r="6280" spans="1:12" x14ac:dyDescent="0.25">
      <c r="A6280" t="s">
        <v>18</v>
      </c>
      <c r="B6280" t="s">
        <v>16893</v>
      </c>
      <c r="C6280" t="s">
        <v>16894</v>
      </c>
      <c r="D6280" t="s">
        <v>20</v>
      </c>
      <c r="E6280" t="s">
        <v>11</v>
      </c>
      <c r="F6280">
        <v>3067.8779999999997</v>
      </c>
      <c r="G6280">
        <v>18</v>
      </c>
      <c r="L6280" t="s">
        <v>16895</v>
      </c>
    </row>
    <row r="6281" spans="1:12" x14ac:dyDescent="0.25">
      <c r="A6281" t="s">
        <v>18</v>
      </c>
      <c r="B6281" t="s">
        <v>16895</v>
      </c>
      <c r="C6281" t="s">
        <v>16896</v>
      </c>
      <c r="D6281" t="s">
        <v>20</v>
      </c>
      <c r="E6281" t="s">
        <v>11</v>
      </c>
      <c r="F6281">
        <v>2480.4120000000003</v>
      </c>
      <c r="G6281">
        <v>18</v>
      </c>
      <c r="L6281" t="s">
        <v>16897</v>
      </c>
    </row>
    <row r="6282" spans="1:12" x14ac:dyDescent="0.25">
      <c r="A6282" t="s">
        <v>18</v>
      </c>
      <c r="B6282" t="s">
        <v>16897</v>
      </c>
      <c r="C6282" t="s">
        <v>16898</v>
      </c>
      <c r="D6282" t="s">
        <v>20</v>
      </c>
      <c r="E6282" t="s">
        <v>11</v>
      </c>
      <c r="F6282">
        <v>1827.672</v>
      </c>
      <c r="G6282">
        <v>18</v>
      </c>
      <c r="L6282" t="s">
        <v>16899</v>
      </c>
    </row>
    <row r="6283" spans="1:12" x14ac:dyDescent="0.25">
      <c r="A6283" t="s">
        <v>18</v>
      </c>
      <c r="B6283" t="s">
        <v>16899</v>
      </c>
      <c r="C6283" t="s">
        <v>16900</v>
      </c>
      <c r="D6283" t="s">
        <v>20</v>
      </c>
      <c r="E6283" t="s">
        <v>11</v>
      </c>
      <c r="F6283">
        <v>22715.352</v>
      </c>
      <c r="G6283">
        <v>18</v>
      </c>
      <c r="L6283" t="s">
        <v>16901</v>
      </c>
    </row>
    <row r="6284" spans="1:12" x14ac:dyDescent="0.25">
      <c r="A6284" t="s">
        <v>18</v>
      </c>
      <c r="B6284" t="s">
        <v>16901</v>
      </c>
      <c r="C6284" t="s">
        <v>16902</v>
      </c>
      <c r="D6284" t="s">
        <v>20</v>
      </c>
      <c r="E6284" t="s">
        <v>11</v>
      </c>
      <c r="F6284">
        <v>2545.6859999999997</v>
      </c>
      <c r="G6284">
        <v>18</v>
      </c>
      <c r="L6284" t="s">
        <v>16903</v>
      </c>
    </row>
    <row r="6285" spans="1:12" x14ac:dyDescent="0.25">
      <c r="A6285" t="s">
        <v>18</v>
      </c>
      <c r="B6285" t="s">
        <v>16903</v>
      </c>
      <c r="C6285" t="s">
        <v>16904</v>
      </c>
      <c r="D6285" t="s">
        <v>20</v>
      </c>
      <c r="E6285" t="s">
        <v>11</v>
      </c>
      <c r="F6285">
        <v>2741.508</v>
      </c>
      <c r="G6285">
        <v>18</v>
      </c>
      <c r="L6285" t="s">
        <v>16905</v>
      </c>
    </row>
    <row r="6286" spans="1:12" x14ac:dyDescent="0.25">
      <c r="A6286" t="s">
        <v>18</v>
      </c>
      <c r="B6286" t="s">
        <v>16905</v>
      </c>
      <c r="C6286" t="s">
        <v>16906</v>
      </c>
      <c r="D6286" t="s">
        <v>20</v>
      </c>
      <c r="E6286" t="s">
        <v>11</v>
      </c>
      <c r="F6286">
        <v>3002.604</v>
      </c>
      <c r="G6286">
        <v>18</v>
      </c>
      <c r="L6286" t="s">
        <v>16907</v>
      </c>
    </row>
    <row r="6287" spans="1:12" x14ac:dyDescent="0.25">
      <c r="A6287" t="s">
        <v>18</v>
      </c>
      <c r="B6287" t="s">
        <v>16907</v>
      </c>
      <c r="C6287" t="s">
        <v>16908</v>
      </c>
      <c r="D6287" t="s">
        <v>20</v>
      </c>
      <c r="E6287" t="s">
        <v>11</v>
      </c>
      <c r="F6287">
        <v>21018.228</v>
      </c>
      <c r="G6287">
        <v>18</v>
      </c>
      <c r="L6287" t="s">
        <v>16909</v>
      </c>
    </row>
    <row r="6288" spans="1:12" x14ac:dyDescent="0.25">
      <c r="A6288" t="s">
        <v>18</v>
      </c>
      <c r="B6288" t="s">
        <v>16909</v>
      </c>
      <c r="C6288" t="s">
        <v>16910</v>
      </c>
      <c r="D6288" t="s">
        <v>20</v>
      </c>
      <c r="E6288" t="s">
        <v>11</v>
      </c>
      <c r="F6288">
        <v>3590.0699999999997</v>
      </c>
      <c r="G6288">
        <v>18</v>
      </c>
      <c r="L6288" t="s">
        <v>16911</v>
      </c>
    </row>
    <row r="6289" spans="1:12" x14ac:dyDescent="0.25">
      <c r="A6289" t="s">
        <v>18</v>
      </c>
      <c r="B6289" t="s">
        <v>16911</v>
      </c>
      <c r="C6289" t="s">
        <v>16912</v>
      </c>
      <c r="D6289" t="s">
        <v>20</v>
      </c>
      <c r="E6289" t="s">
        <v>11</v>
      </c>
      <c r="F6289">
        <v>25391.586</v>
      </c>
      <c r="G6289">
        <v>18</v>
      </c>
      <c r="L6289" t="s">
        <v>16913</v>
      </c>
    </row>
    <row r="6290" spans="1:12" x14ac:dyDescent="0.25">
      <c r="A6290" t="s">
        <v>18</v>
      </c>
      <c r="B6290" t="s">
        <v>16913</v>
      </c>
      <c r="C6290" t="s">
        <v>16914</v>
      </c>
      <c r="D6290" t="s">
        <v>20</v>
      </c>
      <c r="E6290" t="s">
        <v>11</v>
      </c>
      <c r="F6290">
        <v>31657.890000000003</v>
      </c>
      <c r="G6290">
        <v>18</v>
      </c>
      <c r="L6290" t="s">
        <v>16915</v>
      </c>
    </row>
    <row r="6291" spans="1:12" x14ac:dyDescent="0.25">
      <c r="A6291" t="s">
        <v>18</v>
      </c>
      <c r="B6291" t="s">
        <v>16915</v>
      </c>
      <c r="C6291" t="s">
        <v>16916</v>
      </c>
      <c r="D6291" t="s">
        <v>20</v>
      </c>
      <c r="E6291" t="s">
        <v>11</v>
      </c>
      <c r="F6291">
        <v>6592.673999999999</v>
      </c>
      <c r="G6291">
        <v>18</v>
      </c>
      <c r="L6291" t="s">
        <v>16917</v>
      </c>
    </row>
    <row r="6292" spans="1:12" x14ac:dyDescent="0.25">
      <c r="A6292" t="s">
        <v>18</v>
      </c>
      <c r="B6292" t="s">
        <v>16917</v>
      </c>
      <c r="C6292" t="s">
        <v>16918</v>
      </c>
      <c r="D6292" t="s">
        <v>20</v>
      </c>
      <c r="E6292" t="s">
        <v>11</v>
      </c>
      <c r="F6292">
        <v>3002.604</v>
      </c>
      <c r="G6292">
        <v>18</v>
      </c>
      <c r="L6292" t="s">
        <v>16919</v>
      </c>
    </row>
    <row r="6293" spans="1:12" x14ac:dyDescent="0.25">
      <c r="A6293" t="s">
        <v>18</v>
      </c>
      <c r="B6293" t="s">
        <v>16919</v>
      </c>
      <c r="C6293" t="s">
        <v>16920</v>
      </c>
      <c r="D6293" t="s">
        <v>20</v>
      </c>
      <c r="E6293" t="s">
        <v>11</v>
      </c>
      <c r="F6293">
        <v>5809.3859999999995</v>
      </c>
      <c r="G6293">
        <v>18</v>
      </c>
      <c r="L6293" t="s">
        <v>16921</v>
      </c>
    </row>
    <row r="6294" spans="1:12" x14ac:dyDescent="0.25">
      <c r="A6294" t="s">
        <v>18</v>
      </c>
      <c r="B6294" t="s">
        <v>16921</v>
      </c>
      <c r="C6294" t="s">
        <v>16922</v>
      </c>
      <c r="D6294" t="s">
        <v>20</v>
      </c>
      <c r="E6294" t="s">
        <v>11</v>
      </c>
      <c r="F6294">
        <v>20496.036</v>
      </c>
      <c r="G6294">
        <v>18</v>
      </c>
      <c r="L6294" t="s">
        <v>16923</v>
      </c>
    </row>
    <row r="6295" spans="1:12" x14ac:dyDescent="0.25">
      <c r="A6295" t="s">
        <v>18</v>
      </c>
      <c r="B6295" t="s">
        <v>16923</v>
      </c>
      <c r="C6295" t="s">
        <v>16924</v>
      </c>
      <c r="D6295" t="s">
        <v>20</v>
      </c>
      <c r="E6295" t="s">
        <v>11</v>
      </c>
      <c r="F6295">
        <v>2480.4120000000003</v>
      </c>
      <c r="G6295">
        <v>18</v>
      </c>
      <c r="L6295" t="s">
        <v>16925</v>
      </c>
    </row>
    <row r="6296" spans="1:12" x14ac:dyDescent="0.25">
      <c r="A6296" t="s">
        <v>18</v>
      </c>
      <c r="B6296" t="s">
        <v>16925</v>
      </c>
      <c r="C6296" t="s">
        <v>16926</v>
      </c>
      <c r="D6296" t="s">
        <v>20</v>
      </c>
      <c r="E6296" t="s">
        <v>11</v>
      </c>
      <c r="F6296">
        <v>5939.933999999999</v>
      </c>
      <c r="G6296">
        <v>18</v>
      </c>
      <c r="L6296" t="s">
        <v>16927</v>
      </c>
    </row>
    <row r="6297" spans="1:12" x14ac:dyDescent="0.25">
      <c r="A6297" t="s">
        <v>18</v>
      </c>
      <c r="B6297" t="s">
        <v>16927</v>
      </c>
      <c r="C6297" t="s">
        <v>16928</v>
      </c>
      <c r="D6297" t="s">
        <v>20</v>
      </c>
      <c r="E6297" t="s">
        <v>11</v>
      </c>
      <c r="F6297">
        <v>2806.7819999999997</v>
      </c>
      <c r="G6297">
        <v>18</v>
      </c>
      <c r="L6297" t="s">
        <v>16929</v>
      </c>
    </row>
    <row r="6298" spans="1:12" x14ac:dyDescent="0.25">
      <c r="A6298" t="s">
        <v>18</v>
      </c>
      <c r="B6298" t="s">
        <v>16929</v>
      </c>
      <c r="C6298" t="s">
        <v>16930</v>
      </c>
      <c r="D6298" t="s">
        <v>20</v>
      </c>
      <c r="E6298" t="s">
        <v>11</v>
      </c>
      <c r="F6298">
        <v>4177.536</v>
      </c>
      <c r="G6298">
        <v>18</v>
      </c>
      <c r="L6298" t="s">
        <v>16931</v>
      </c>
    </row>
    <row r="6299" spans="1:12" x14ac:dyDescent="0.25">
      <c r="A6299" t="s">
        <v>18</v>
      </c>
      <c r="B6299" t="s">
        <v>16931</v>
      </c>
      <c r="C6299" t="s">
        <v>16932</v>
      </c>
      <c r="D6299" t="s">
        <v>20</v>
      </c>
      <c r="E6299" t="s">
        <v>11</v>
      </c>
      <c r="F6299">
        <v>3002.604</v>
      </c>
      <c r="G6299">
        <v>18</v>
      </c>
      <c r="L6299" t="s">
        <v>16933</v>
      </c>
    </row>
    <row r="6300" spans="1:12" x14ac:dyDescent="0.25">
      <c r="A6300" t="s">
        <v>18</v>
      </c>
      <c r="B6300" t="s">
        <v>16933</v>
      </c>
      <c r="C6300" t="s">
        <v>16934</v>
      </c>
      <c r="D6300" t="s">
        <v>20</v>
      </c>
      <c r="E6300" t="s">
        <v>11</v>
      </c>
      <c r="F6300">
        <v>2741.508</v>
      </c>
      <c r="G6300">
        <v>18</v>
      </c>
      <c r="L6300" t="s">
        <v>16935</v>
      </c>
    </row>
    <row r="6301" spans="1:12" x14ac:dyDescent="0.25">
      <c r="A6301" t="s">
        <v>18</v>
      </c>
      <c r="B6301" t="s">
        <v>16935</v>
      </c>
      <c r="C6301" t="s">
        <v>16936</v>
      </c>
      <c r="D6301" t="s">
        <v>20</v>
      </c>
      <c r="E6301" t="s">
        <v>11</v>
      </c>
      <c r="F6301">
        <v>11422.95</v>
      </c>
      <c r="G6301">
        <v>18</v>
      </c>
      <c r="L6301" t="s">
        <v>16937</v>
      </c>
    </row>
    <row r="6302" spans="1:12" x14ac:dyDescent="0.25">
      <c r="A6302" t="s">
        <v>18</v>
      </c>
      <c r="B6302" t="s">
        <v>16937</v>
      </c>
      <c r="C6302" t="s">
        <v>16938</v>
      </c>
      <c r="D6302" t="s">
        <v>20</v>
      </c>
      <c r="E6302" t="s">
        <v>11</v>
      </c>
      <c r="F6302">
        <v>30809.328</v>
      </c>
      <c r="G6302">
        <v>18</v>
      </c>
      <c r="L6302" t="s">
        <v>16939</v>
      </c>
    </row>
    <row r="6303" spans="1:12" x14ac:dyDescent="0.25">
      <c r="A6303" t="s">
        <v>18</v>
      </c>
      <c r="B6303" t="s">
        <v>16939</v>
      </c>
      <c r="C6303" t="s">
        <v>16940</v>
      </c>
      <c r="D6303" t="s">
        <v>20</v>
      </c>
      <c r="E6303" t="s">
        <v>11</v>
      </c>
      <c r="F6303">
        <v>20365.487999999998</v>
      </c>
      <c r="G6303">
        <v>18</v>
      </c>
      <c r="L6303" t="s">
        <v>16941</v>
      </c>
    </row>
    <row r="6304" spans="1:12" x14ac:dyDescent="0.25">
      <c r="A6304" t="s">
        <v>18</v>
      </c>
      <c r="B6304" t="s">
        <v>16941</v>
      </c>
      <c r="C6304" t="s">
        <v>16942</v>
      </c>
      <c r="D6304" t="s">
        <v>20</v>
      </c>
      <c r="E6304" t="s">
        <v>11</v>
      </c>
      <c r="F6304">
        <v>1275.12</v>
      </c>
      <c r="G6304">
        <v>18</v>
      </c>
      <c r="L6304" t="s">
        <v>16943</v>
      </c>
    </row>
    <row r="6305" spans="1:12" x14ac:dyDescent="0.25">
      <c r="A6305" t="s">
        <v>18</v>
      </c>
      <c r="B6305" t="s">
        <v>16943</v>
      </c>
      <c r="C6305" t="s">
        <v>16944</v>
      </c>
      <c r="D6305" t="s">
        <v>20</v>
      </c>
      <c r="E6305" t="s">
        <v>11</v>
      </c>
      <c r="F6305">
        <v>522.192</v>
      </c>
      <c r="G6305">
        <v>18</v>
      </c>
      <c r="L6305" t="s">
        <v>16945</v>
      </c>
    </row>
    <row r="6306" spans="1:12" x14ac:dyDescent="0.25">
      <c r="A6306" t="s">
        <v>18</v>
      </c>
      <c r="B6306" t="s">
        <v>16945</v>
      </c>
      <c r="C6306" t="s">
        <v>16946</v>
      </c>
      <c r="D6306" t="s">
        <v>20</v>
      </c>
      <c r="E6306" t="s">
        <v>11</v>
      </c>
      <c r="F6306">
        <v>587.4659999999999</v>
      </c>
      <c r="G6306">
        <v>18</v>
      </c>
      <c r="L6306" t="s">
        <v>16947</v>
      </c>
    </row>
    <row r="6307" spans="1:12" x14ac:dyDescent="0.25">
      <c r="A6307" t="s">
        <v>18</v>
      </c>
      <c r="B6307" t="s">
        <v>16947</v>
      </c>
      <c r="C6307" t="s">
        <v>16948</v>
      </c>
      <c r="D6307" t="s">
        <v>20</v>
      </c>
      <c r="E6307" t="s">
        <v>11</v>
      </c>
      <c r="F6307">
        <v>8681.442000000001</v>
      </c>
      <c r="G6307">
        <v>18</v>
      </c>
      <c r="L6307" t="s">
        <v>16949</v>
      </c>
    </row>
    <row r="6308" spans="1:12" x14ac:dyDescent="0.25">
      <c r="A6308" t="s">
        <v>18</v>
      </c>
      <c r="B6308" t="s">
        <v>16949</v>
      </c>
      <c r="C6308" t="s">
        <v>16950</v>
      </c>
      <c r="D6308" t="s">
        <v>20</v>
      </c>
      <c r="E6308" t="s">
        <v>11</v>
      </c>
      <c r="F6308">
        <v>261.096</v>
      </c>
      <c r="G6308">
        <v>18</v>
      </c>
      <c r="L6308" t="s">
        <v>16951</v>
      </c>
    </row>
    <row r="6309" spans="1:12" x14ac:dyDescent="0.25">
      <c r="A6309" t="s">
        <v>18</v>
      </c>
      <c r="B6309" t="s">
        <v>16951</v>
      </c>
      <c r="C6309" t="s">
        <v>16952</v>
      </c>
      <c r="D6309" t="s">
        <v>20</v>
      </c>
      <c r="E6309" t="s">
        <v>11</v>
      </c>
      <c r="F6309">
        <v>4503.906</v>
      </c>
      <c r="G6309">
        <v>18</v>
      </c>
      <c r="L6309" t="s">
        <v>16953</v>
      </c>
    </row>
    <row r="6310" spans="1:12" x14ac:dyDescent="0.25">
      <c r="A6310" t="s">
        <v>18</v>
      </c>
      <c r="B6310" t="s">
        <v>16953</v>
      </c>
      <c r="C6310" t="s">
        <v>16954</v>
      </c>
      <c r="D6310" t="s">
        <v>20</v>
      </c>
      <c r="E6310" t="s">
        <v>11</v>
      </c>
      <c r="F6310">
        <v>2088.768</v>
      </c>
      <c r="G6310">
        <v>18</v>
      </c>
      <c r="L6310" t="s">
        <v>16955</v>
      </c>
    </row>
    <row r="6311" spans="1:12" x14ac:dyDescent="0.25">
      <c r="A6311" t="s">
        <v>18</v>
      </c>
      <c r="B6311" t="s">
        <v>16955</v>
      </c>
      <c r="C6311" t="s">
        <v>16956</v>
      </c>
      <c r="D6311" t="s">
        <v>20</v>
      </c>
      <c r="E6311" t="s">
        <v>11</v>
      </c>
      <c r="F6311">
        <v>2415.138</v>
      </c>
      <c r="G6311">
        <v>18</v>
      </c>
      <c r="L6311" t="s">
        <v>16957</v>
      </c>
    </row>
    <row r="6312" spans="1:12" x14ac:dyDescent="0.25">
      <c r="A6312" t="s">
        <v>18</v>
      </c>
      <c r="B6312" t="s">
        <v>16957</v>
      </c>
      <c r="C6312" t="s">
        <v>16958</v>
      </c>
      <c r="D6312" t="s">
        <v>20</v>
      </c>
      <c r="E6312" t="s">
        <v>11</v>
      </c>
      <c r="F6312">
        <v>7310.688</v>
      </c>
      <c r="G6312">
        <v>18</v>
      </c>
      <c r="L6312" t="s">
        <v>16959</v>
      </c>
    </row>
    <row r="6313" spans="1:12" x14ac:dyDescent="0.25">
      <c r="A6313" t="s">
        <v>18</v>
      </c>
      <c r="B6313" t="s">
        <v>16959</v>
      </c>
      <c r="C6313" t="s">
        <v>16960</v>
      </c>
      <c r="D6313" t="s">
        <v>20</v>
      </c>
      <c r="E6313" t="s">
        <v>11</v>
      </c>
      <c r="F6313">
        <v>5809.3859999999995</v>
      </c>
      <c r="G6313">
        <v>18</v>
      </c>
      <c r="L6313" t="s">
        <v>16961</v>
      </c>
    </row>
    <row r="6314" spans="1:12" x14ac:dyDescent="0.25">
      <c r="A6314" t="s">
        <v>18</v>
      </c>
      <c r="B6314" t="s">
        <v>16961</v>
      </c>
      <c r="C6314" t="s">
        <v>16962</v>
      </c>
      <c r="D6314" t="s">
        <v>20</v>
      </c>
      <c r="E6314" t="s">
        <v>11</v>
      </c>
      <c r="F6314">
        <v>1566.5759999999998</v>
      </c>
      <c r="G6314">
        <v>18</v>
      </c>
      <c r="L6314" t="s">
        <v>16963</v>
      </c>
    </row>
    <row r="6315" spans="1:12" x14ac:dyDescent="0.25">
      <c r="A6315" t="s">
        <v>18</v>
      </c>
      <c r="B6315" t="s">
        <v>16963</v>
      </c>
      <c r="C6315" t="s">
        <v>16964</v>
      </c>
      <c r="D6315" t="s">
        <v>20</v>
      </c>
      <c r="E6315" t="s">
        <v>11</v>
      </c>
      <c r="F6315">
        <v>7310.688</v>
      </c>
      <c r="G6315">
        <v>18</v>
      </c>
      <c r="L6315" t="s">
        <v>16965</v>
      </c>
    </row>
    <row r="6316" spans="1:12" x14ac:dyDescent="0.25">
      <c r="A6316" t="s">
        <v>18</v>
      </c>
      <c r="B6316" t="s">
        <v>16965</v>
      </c>
      <c r="C6316" t="s">
        <v>16966</v>
      </c>
      <c r="D6316" t="s">
        <v>20</v>
      </c>
      <c r="E6316" t="s">
        <v>11</v>
      </c>
      <c r="F6316">
        <v>587.4659999999999</v>
      </c>
      <c r="G6316">
        <v>18</v>
      </c>
      <c r="L6316" t="s">
        <v>16967</v>
      </c>
    </row>
    <row r="6317" spans="1:12" x14ac:dyDescent="0.25">
      <c r="A6317" t="s">
        <v>18</v>
      </c>
      <c r="B6317" t="s">
        <v>16967</v>
      </c>
      <c r="C6317" t="s">
        <v>16968</v>
      </c>
      <c r="D6317" t="s">
        <v>20</v>
      </c>
      <c r="E6317" t="s">
        <v>11</v>
      </c>
      <c r="F6317">
        <v>7702.332</v>
      </c>
      <c r="G6317">
        <v>18</v>
      </c>
      <c r="L6317" t="s">
        <v>16969</v>
      </c>
    </row>
    <row r="6318" spans="1:12" x14ac:dyDescent="0.25">
      <c r="A6318" t="s">
        <v>18</v>
      </c>
      <c r="B6318" t="s">
        <v>16969</v>
      </c>
      <c r="C6318" t="s">
        <v>16970</v>
      </c>
      <c r="D6318" t="s">
        <v>20</v>
      </c>
      <c r="E6318" t="s">
        <v>11</v>
      </c>
      <c r="F6318">
        <v>3394.2479999999996</v>
      </c>
      <c r="G6318">
        <v>18</v>
      </c>
      <c r="L6318" t="s">
        <v>16971</v>
      </c>
    </row>
    <row r="6319" spans="1:12" x14ac:dyDescent="0.25">
      <c r="A6319" t="s">
        <v>18</v>
      </c>
      <c r="B6319" t="s">
        <v>16971</v>
      </c>
      <c r="C6319" t="s">
        <v>16972</v>
      </c>
      <c r="D6319" t="s">
        <v>20</v>
      </c>
      <c r="E6319" t="s">
        <v>11</v>
      </c>
      <c r="F6319">
        <v>522.192</v>
      </c>
      <c r="G6319">
        <v>18</v>
      </c>
      <c r="L6319" t="s">
        <v>16973</v>
      </c>
    </row>
    <row r="6320" spans="1:12" x14ac:dyDescent="0.25">
      <c r="A6320" t="s">
        <v>18</v>
      </c>
      <c r="B6320" t="s">
        <v>16973</v>
      </c>
      <c r="C6320" t="s">
        <v>16974</v>
      </c>
      <c r="D6320" t="s">
        <v>20</v>
      </c>
      <c r="E6320" t="s">
        <v>11</v>
      </c>
      <c r="F6320">
        <v>522.192</v>
      </c>
      <c r="G6320">
        <v>18</v>
      </c>
      <c r="L6320" t="s">
        <v>16975</v>
      </c>
    </row>
    <row r="6321" spans="1:12" x14ac:dyDescent="0.25">
      <c r="A6321" t="s">
        <v>18</v>
      </c>
      <c r="B6321" t="s">
        <v>16975</v>
      </c>
      <c r="C6321" t="s">
        <v>16976</v>
      </c>
      <c r="D6321" t="s">
        <v>20</v>
      </c>
      <c r="E6321" t="s">
        <v>11</v>
      </c>
      <c r="F6321">
        <v>6723.222000000001</v>
      </c>
      <c r="G6321">
        <v>18</v>
      </c>
      <c r="L6321" t="s">
        <v>16977</v>
      </c>
    </row>
    <row r="6322" spans="1:12" x14ac:dyDescent="0.25">
      <c r="A6322" t="s">
        <v>18</v>
      </c>
      <c r="B6322" t="s">
        <v>16977</v>
      </c>
      <c r="C6322" t="s">
        <v>16978</v>
      </c>
      <c r="D6322" t="s">
        <v>20</v>
      </c>
      <c r="E6322" t="s">
        <v>11</v>
      </c>
      <c r="F6322">
        <v>5744.112</v>
      </c>
      <c r="G6322">
        <v>18</v>
      </c>
      <c r="L6322" t="s">
        <v>16979</v>
      </c>
    </row>
    <row r="6323" spans="1:12" x14ac:dyDescent="0.25">
      <c r="A6323" t="s">
        <v>18</v>
      </c>
      <c r="B6323" t="s">
        <v>16979</v>
      </c>
      <c r="C6323" t="s">
        <v>16980</v>
      </c>
      <c r="D6323" t="s">
        <v>20</v>
      </c>
      <c r="E6323" t="s">
        <v>11</v>
      </c>
      <c r="F6323">
        <v>4438.632</v>
      </c>
      <c r="G6323">
        <v>18</v>
      </c>
      <c r="L6323" t="s">
        <v>16981</v>
      </c>
    </row>
    <row r="6324" spans="1:12" x14ac:dyDescent="0.25">
      <c r="A6324" t="s">
        <v>18</v>
      </c>
      <c r="B6324" t="s">
        <v>16981</v>
      </c>
      <c r="C6324" t="s">
        <v>16982</v>
      </c>
      <c r="D6324" t="s">
        <v>20</v>
      </c>
      <c r="E6324" t="s">
        <v>11</v>
      </c>
      <c r="F6324">
        <v>4438.632</v>
      </c>
      <c r="G6324">
        <v>18</v>
      </c>
      <c r="L6324" t="s">
        <v>16983</v>
      </c>
    </row>
    <row r="6325" spans="1:12" x14ac:dyDescent="0.25">
      <c r="A6325" t="s">
        <v>18</v>
      </c>
      <c r="B6325" t="s">
        <v>16983</v>
      </c>
      <c r="C6325" t="s">
        <v>16984</v>
      </c>
      <c r="D6325" t="s">
        <v>20</v>
      </c>
      <c r="E6325" t="s">
        <v>11</v>
      </c>
      <c r="F6325">
        <v>3981.714</v>
      </c>
      <c r="G6325">
        <v>18</v>
      </c>
      <c r="L6325" t="s">
        <v>16985</v>
      </c>
    </row>
    <row r="6326" spans="1:12" x14ac:dyDescent="0.25">
      <c r="A6326" t="s">
        <v>18</v>
      </c>
      <c r="B6326" t="s">
        <v>16985</v>
      </c>
      <c r="C6326" t="s">
        <v>16986</v>
      </c>
      <c r="D6326" t="s">
        <v>20</v>
      </c>
      <c r="E6326" t="s">
        <v>11</v>
      </c>
      <c r="F6326">
        <v>3133.1519999999996</v>
      </c>
      <c r="G6326">
        <v>18</v>
      </c>
      <c r="L6326" t="s">
        <v>16987</v>
      </c>
    </row>
    <row r="6327" spans="1:12" x14ac:dyDescent="0.25">
      <c r="A6327" t="s">
        <v>18</v>
      </c>
      <c r="B6327" t="s">
        <v>16987</v>
      </c>
      <c r="C6327" t="s">
        <v>16988</v>
      </c>
      <c r="D6327" t="s">
        <v>20</v>
      </c>
      <c r="E6327" t="s">
        <v>11</v>
      </c>
      <c r="F6327">
        <v>1044.384</v>
      </c>
      <c r="G6327">
        <v>18</v>
      </c>
      <c r="L6327" t="s">
        <v>16989</v>
      </c>
    </row>
    <row r="6328" spans="1:12" x14ac:dyDescent="0.25">
      <c r="A6328" t="s">
        <v>18</v>
      </c>
      <c r="B6328" t="s">
        <v>16989</v>
      </c>
      <c r="C6328" t="s">
        <v>16990</v>
      </c>
      <c r="D6328" t="s">
        <v>20</v>
      </c>
      <c r="E6328" t="s">
        <v>11</v>
      </c>
      <c r="F6328">
        <v>1697.1239999999998</v>
      </c>
      <c r="G6328">
        <v>18</v>
      </c>
      <c r="L6328" t="s">
        <v>16991</v>
      </c>
    </row>
    <row r="6329" spans="1:12" x14ac:dyDescent="0.25">
      <c r="A6329" t="s">
        <v>18</v>
      </c>
      <c r="B6329" t="s">
        <v>16991</v>
      </c>
      <c r="C6329" t="s">
        <v>16992</v>
      </c>
      <c r="D6329" t="s">
        <v>20</v>
      </c>
      <c r="E6329" t="s">
        <v>11</v>
      </c>
      <c r="F6329">
        <v>2219.316</v>
      </c>
      <c r="G6329">
        <v>18</v>
      </c>
      <c r="L6329" t="s">
        <v>16993</v>
      </c>
    </row>
    <row r="6330" spans="1:12" x14ac:dyDescent="0.25">
      <c r="A6330" t="s">
        <v>18</v>
      </c>
      <c r="B6330" t="s">
        <v>16993</v>
      </c>
      <c r="C6330" t="s">
        <v>16994</v>
      </c>
      <c r="D6330" t="s">
        <v>20</v>
      </c>
      <c r="E6330" t="s">
        <v>11</v>
      </c>
      <c r="F6330">
        <v>456.918</v>
      </c>
      <c r="G6330">
        <v>18</v>
      </c>
      <c r="L6330" t="s">
        <v>16995</v>
      </c>
    </row>
    <row r="6331" spans="1:12" x14ac:dyDescent="0.25">
      <c r="A6331" t="s">
        <v>18</v>
      </c>
      <c r="B6331" t="s">
        <v>16995</v>
      </c>
      <c r="C6331" t="s">
        <v>16996</v>
      </c>
      <c r="D6331" t="s">
        <v>20</v>
      </c>
      <c r="E6331" t="s">
        <v>11</v>
      </c>
      <c r="F6331">
        <v>1827.672</v>
      </c>
      <c r="G6331">
        <v>18</v>
      </c>
      <c r="L6331" t="s">
        <v>16997</v>
      </c>
    </row>
    <row r="6332" spans="1:12" x14ac:dyDescent="0.25">
      <c r="A6332" t="s">
        <v>18</v>
      </c>
      <c r="B6332" t="s">
        <v>16997</v>
      </c>
      <c r="C6332" t="s">
        <v>16998</v>
      </c>
      <c r="D6332" t="s">
        <v>20</v>
      </c>
      <c r="E6332" t="s">
        <v>11</v>
      </c>
      <c r="F6332">
        <v>1848.9239999999998</v>
      </c>
      <c r="G6332">
        <v>18</v>
      </c>
      <c r="L6332" t="s">
        <v>16999</v>
      </c>
    </row>
    <row r="6333" spans="1:12" x14ac:dyDescent="0.25">
      <c r="A6333" t="s">
        <v>18</v>
      </c>
      <c r="B6333" t="s">
        <v>16999</v>
      </c>
      <c r="C6333" t="s">
        <v>17000</v>
      </c>
      <c r="D6333" t="s">
        <v>20</v>
      </c>
      <c r="E6333" t="s">
        <v>11</v>
      </c>
      <c r="F6333">
        <v>1827.672</v>
      </c>
      <c r="G6333">
        <v>18</v>
      </c>
      <c r="L6333" t="s">
        <v>17001</v>
      </c>
    </row>
    <row r="6334" spans="1:12" x14ac:dyDescent="0.25">
      <c r="A6334" t="s">
        <v>18</v>
      </c>
      <c r="B6334" t="s">
        <v>17001</v>
      </c>
      <c r="C6334" t="s">
        <v>17002</v>
      </c>
      <c r="D6334" t="s">
        <v>20</v>
      </c>
      <c r="E6334" t="s">
        <v>11</v>
      </c>
      <c r="F6334">
        <v>2415.138</v>
      </c>
      <c r="G6334">
        <v>18</v>
      </c>
      <c r="L6334" t="s">
        <v>17003</v>
      </c>
    </row>
    <row r="6335" spans="1:12" x14ac:dyDescent="0.25">
      <c r="A6335" t="s">
        <v>18</v>
      </c>
      <c r="B6335" t="s">
        <v>17003</v>
      </c>
      <c r="C6335" t="s">
        <v>17004</v>
      </c>
      <c r="D6335" t="s">
        <v>20</v>
      </c>
      <c r="E6335" t="s">
        <v>11</v>
      </c>
      <c r="F6335">
        <v>456.918</v>
      </c>
      <c r="G6335">
        <v>18</v>
      </c>
      <c r="L6335" t="s">
        <v>17005</v>
      </c>
    </row>
    <row r="6336" spans="1:12" x14ac:dyDescent="0.25">
      <c r="A6336" t="s">
        <v>18</v>
      </c>
      <c r="B6336" t="s">
        <v>17005</v>
      </c>
      <c r="C6336" t="s">
        <v>17006</v>
      </c>
      <c r="D6336" t="s">
        <v>20</v>
      </c>
      <c r="E6336" t="s">
        <v>11</v>
      </c>
      <c r="F6336">
        <v>587.4659999999999</v>
      </c>
      <c r="G6336">
        <v>18</v>
      </c>
      <c r="L6336" t="s">
        <v>17007</v>
      </c>
    </row>
    <row r="6337" spans="1:12" x14ac:dyDescent="0.25">
      <c r="A6337" t="s">
        <v>18</v>
      </c>
      <c r="B6337" t="s">
        <v>17007</v>
      </c>
      <c r="C6337" t="s">
        <v>17008</v>
      </c>
      <c r="D6337" t="s">
        <v>20</v>
      </c>
      <c r="E6337" t="s">
        <v>11</v>
      </c>
      <c r="F6337">
        <v>4112.262</v>
      </c>
      <c r="G6337">
        <v>18</v>
      </c>
      <c r="L6337" t="s">
        <v>17009</v>
      </c>
    </row>
    <row r="6338" spans="1:12" x14ac:dyDescent="0.25">
      <c r="A6338" t="s">
        <v>18</v>
      </c>
      <c r="B6338" t="s">
        <v>17009</v>
      </c>
      <c r="C6338" t="s">
        <v>17010</v>
      </c>
      <c r="D6338" t="s">
        <v>20</v>
      </c>
      <c r="E6338" t="s">
        <v>11</v>
      </c>
      <c r="F6338">
        <v>652.74</v>
      </c>
      <c r="G6338">
        <v>18</v>
      </c>
      <c r="L6338" t="s">
        <v>17011</v>
      </c>
    </row>
    <row r="6339" spans="1:12" x14ac:dyDescent="0.25">
      <c r="A6339" t="s">
        <v>18</v>
      </c>
      <c r="B6339" t="s">
        <v>17011</v>
      </c>
      <c r="C6339" t="s">
        <v>17012</v>
      </c>
      <c r="D6339" t="s">
        <v>20</v>
      </c>
      <c r="E6339" t="s">
        <v>11</v>
      </c>
      <c r="F6339">
        <v>522.192</v>
      </c>
      <c r="G6339">
        <v>18</v>
      </c>
      <c r="L6339" t="s">
        <v>17013</v>
      </c>
    </row>
    <row r="6340" spans="1:12" x14ac:dyDescent="0.25">
      <c r="A6340" t="s">
        <v>18</v>
      </c>
      <c r="B6340" t="s">
        <v>17013</v>
      </c>
      <c r="C6340" t="s">
        <v>17014</v>
      </c>
      <c r="D6340" t="s">
        <v>20</v>
      </c>
      <c r="E6340" t="s">
        <v>11</v>
      </c>
      <c r="F6340">
        <v>2610.96</v>
      </c>
      <c r="G6340">
        <v>18</v>
      </c>
      <c r="L6340" t="s">
        <v>17015</v>
      </c>
    </row>
    <row r="6341" spans="1:12" x14ac:dyDescent="0.25">
      <c r="A6341" t="s">
        <v>18</v>
      </c>
      <c r="B6341" t="s">
        <v>17015</v>
      </c>
      <c r="C6341" t="s">
        <v>17016</v>
      </c>
      <c r="D6341" t="s">
        <v>20</v>
      </c>
      <c r="E6341" t="s">
        <v>11</v>
      </c>
      <c r="F6341">
        <v>2676.234</v>
      </c>
      <c r="G6341">
        <v>18</v>
      </c>
      <c r="L6341" t="s">
        <v>17017</v>
      </c>
    </row>
    <row r="6342" spans="1:12" x14ac:dyDescent="0.25">
      <c r="A6342" t="s">
        <v>18</v>
      </c>
      <c r="B6342" t="s">
        <v>17017</v>
      </c>
      <c r="C6342" t="s">
        <v>17018</v>
      </c>
      <c r="D6342" t="s">
        <v>20</v>
      </c>
      <c r="E6342" t="s">
        <v>11</v>
      </c>
      <c r="F6342">
        <v>1109.658</v>
      </c>
      <c r="G6342">
        <v>18</v>
      </c>
      <c r="L6342" t="s">
        <v>17019</v>
      </c>
    </row>
    <row r="6343" spans="1:12" x14ac:dyDescent="0.25">
      <c r="A6343" t="s">
        <v>18</v>
      </c>
      <c r="B6343" t="s">
        <v>17019</v>
      </c>
      <c r="C6343" t="s">
        <v>17020</v>
      </c>
      <c r="D6343" t="s">
        <v>20</v>
      </c>
      <c r="E6343" t="s">
        <v>11</v>
      </c>
      <c r="F6343">
        <v>2806.7819999999997</v>
      </c>
      <c r="G6343">
        <v>18</v>
      </c>
      <c r="L6343" t="s">
        <v>17021</v>
      </c>
    </row>
    <row r="6344" spans="1:12" x14ac:dyDescent="0.25">
      <c r="A6344" t="s">
        <v>18</v>
      </c>
      <c r="B6344" t="s">
        <v>17021</v>
      </c>
      <c r="C6344" t="s">
        <v>17022</v>
      </c>
      <c r="D6344" t="s">
        <v>20</v>
      </c>
      <c r="E6344" t="s">
        <v>11</v>
      </c>
      <c r="F6344">
        <v>2415.138</v>
      </c>
      <c r="G6344">
        <v>18</v>
      </c>
      <c r="L6344" t="s">
        <v>17023</v>
      </c>
    </row>
    <row r="6345" spans="1:12" x14ac:dyDescent="0.25">
      <c r="A6345" t="s">
        <v>18</v>
      </c>
      <c r="B6345" t="s">
        <v>17023</v>
      </c>
      <c r="C6345" t="s">
        <v>17024</v>
      </c>
      <c r="D6345" t="s">
        <v>20</v>
      </c>
      <c r="E6345" t="s">
        <v>11</v>
      </c>
      <c r="F6345">
        <v>718.014</v>
      </c>
      <c r="G6345">
        <v>18</v>
      </c>
      <c r="L6345" t="s">
        <v>17025</v>
      </c>
    </row>
    <row r="6346" spans="1:12" x14ac:dyDescent="0.25">
      <c r="A6346" t="s">
        <v>18</v>
      </c>
      <c r="B6346" t="s">
        <v>17025</v>
      </c>
      <c r="C6346" t="s">
        <v>17026</v>
      </c>
      <c r="D6346" t="s">
        <v>20</v>
      </c>
      <c r="E6346" t="s">
        <v>11</v>
      </c>
      <c r="F6346">
        <v>20561.309999999998</v>
      </c>
      <c r="G6346">
        <v>18</v>
      </c>
      <c r="L6346" t="s">
        <v>17027</v>
      </c>
    </row>
    <row r="6347" spans="1:12" x14ac:dyDescent="0.25">
      <c r="A6347" t="s">
        <v>18</v>
      </c>
      <c r="B6347" t="s">
        <v>17027</v>
      </c>
      <c r="C6347" t="s">
        <v>7567</v>
      </c>
      <c r="D6347" t="s">
        <v>20</v>
      </c>
      <c r="E6347" t="s">
        <v>11</v>
      </c>
      <c r="F6347">
        <v>13511.717999999999</v>
      </c>
      <c r="G6347">
        <v>18</v>
      </c>
      <c r="L6347" t="s">
        <v>17028</v>
      </c>
    </row>
    <row r="6348" spans="1:12" x14ac:dyDescent="0.25">
      <c r="A6348" t="s">
        <v>18</v>
      </c>
      <c r="B6348" t="s">
        <v>17028</v>
      </c>
      <c r="C6348" t="s">
        <v>17026</v>
      </c>
      <c r="D6348" t="s">
        <v>20</v>
      </c>
      <c r="E6348" t="s">
        <v>11</v>
      </c>
      <c r="F6348">
        <v>14686.65</v>
      </c>
      <c r="G6348">
        <v>18</v>
      </c>
      <c r="L6348" t="s">
        <v>17029</v>
      </c>
    </row>
    <row r="6349" spans="1:12" x14ac:dyDescent="0.25">
      <c r="A6349" t="s">
        <v>18</v>
      </c>
      <c r="B6349" t="s">
        <v>17029</v>
      </c>
      <c r="C6349" t="s">
        <v>7567</v>
      </c>
      <c r="D6349" t="s">
        <v>20</v>
      </c>
      <c r="E6349" t="s">
        <v>11</v>
      </c>
      <c r="F6349">
        <v>21358.26</v>
      </c>
      <c r="G6349">
        <v>18</v>
      </c>
      <c r="L6349" t="s">
        <v>17030</v>
      </c>
    </row>
    <row r="6350" spans="1:12" x14ac:dyDescent="0.25">
      <c r="A6350" t="s">
        <v>18</v>
      </c>
      <c r="B6350" t="s">
        <v>17030</v>
      </c>
      <c r="C6350" t="s">
        <v>17031</v>
      </c>
      <c r="D6350" t="s">
        <v>20</v>
      </c>
      <c r="E6350" t="s">
        <v>11</v>
      </c>
      <c r="F6350">
        <v>12075.689999999999</v>
      </c>
      <c r="G6350">
        <v>18</v>
      </c>
      <c r="L6350" t="s">
        <v>17032</v>
      </c>
    </row>
    <row r="6351" spans="1:12" x14ac:dyDescent="0.25">
      <c r="A6351" t="s">
        <v>18</v>
      </c>
      <c r="B6351" t="s">
        <v>17032</v>
      </c>
      <c r="C6351" t="s">
        <v>17033</v>
      </c>
      <c r="D6351" t="s">
        <v>20</v>
      </c>
      <c r="E6351" t="s">
        <v>11</v>
      </c>
      <c r="F6351">
        <v>5744.112</v>
      </c>
      <c r="G6351">
        <v>18</v>
      </c>
      <c r="L6351" t="s">
        <v>17034</v>
      </c>
    </row>
    <row r="6352" spans="1:12" x14ac:dyDescent="0.25">
      <c r="A6352" t="s">
        <v>18</v>
      </c>
      <c r="B6352" t="s">
        <v>17034</v>
      </c>
      <c r="C6352" t="s">
        <v>17035</v>
      </c>
      <c r="D6352" t="s">
        <v>20</v>
      </c>
      <c r="E6352" t="s">
        <v>11</v>
      </c>
      <c r="F6352">
        <v>522.192</v>
      </c>
      <c r="G6352">
        <v>18</v>
      </c>
      <c r="L6352" t="s">
        <v>17036</v>
      </c>
    </row>
    <row r="6353" spans="1:12" x14ac:dyDescent="0.25">
      <c r="A6353" t="s">
        <v>18</v>
      </c>
      <c r="B6353" t="s">
        <v>17036</v>
      </c>
      <c r="C6353" t="s">
        <v>17037</v>
      </c>
      <c r="D6353" t="s">
        <v>20</v>
      </c>
      <c r="E6353" t="s">
        <v>11</v>
      </c>
      <c r="F6353">
        <v>7767.605999999999</v>
      </c>
      <c r="G6353">
        <v>18</v>
      </c>
      <c r="L6353" t="s">
        <v>17038</v>
      </c>
    </row>
    <row r="6354" spans="1:12" x14ac:dyDescent="0.25">
      <c r="A6354" t="s">
        <v>18</v>
      </c>
      <c r="B6354" t="s">
        <v>17038</v>
      </c>
      <c r="C6354" t="s">
        <v>17039</v>
      </c>
      <c r="D6354" t="s">
        <v>20</v>
      </c>
      <c r="E6354" t="s">
        <v>11</v>
      </c>
      <c r="F6354">
        <v>7767.605999999999</v>
      </c>
      <c r="G6354">
        <v>18</v>
      </c>
      <c r="L6354" t="s">
        <v>17040</v>
      </c>
    </row>
    <row r="6355" spans="1:12" x14ac:dyDescent="0.25">
      <c r="A6355" t="s">
        <v>18</v>
      </c>
      <c r="B6355" t="s">
        <v>17040</v>
      </c>
      <c r="C6355" t="s">
        <v>17041</v>
      </c>
      <c r="D6355" t="s">
        <v>20</v>
      </c>
      <c r="E6355" t="s">
        <v>11</v>
      </c>
      <c r="F6355">
        <v>2023.494</v>
      </c>
      <c r="G6355">
        <v>18</v>
      </c>
      <c r="L6355" t="s">
        <v>17042</v>
      </c>
    </row>
    <row r="6356" spans="1:12" x14ac:dyDescent="0.25">
      <c r="A6356" t="s">
        <v>18</v>
      </c>
      <c r="B6356" t="s">
        <v>17042</v>
      </c>
      <c r="C6356" t="s">
        <v>17043</v>
      </c>
      <c r="D6356" t="s">
        <v>20</v>
      </c>
      <c r="E6356" t="s">
        <v>11</v>
      </c>
      <c r="F6356">
        <v>14947.746</v>
      </c>
      <c r="G6356">
        <v>18</v>
      </c>
      <c r="L6356" t="s">
        <v>17044</v>
      </c>
    </row>
    <row r="6357" spans="1:12" x14ac:dyDescent="0.25">
      <c r="A6357" t="s">
        <v>18</v>
      </c>
      <c r="B6357" t="s">
        <v>17044</v>
      </c>
      <c r="C6357" t="s">
        <v>17045</v>
      </c>
      <c r="D6357" t="s">
        <v>20</v>
      </c>
      <c r="E6357" t="s">
        <v>11</v>
      </c>
      <c r="F6357">
        <v>9464.73</v>
      </c>
      <c r="G6357">
        <v>18</v>
      </c>
      <c r="L6357" t="s">
        <v>17046</v>
      </c>
    </row>
    <row r="6358" spans="1:12" x14ac:dyDescent="0.25">
      <c r="A6358" t="s">
        <v>18</v>
      </c>
      <c r="B6358" t="s">
        <v>17046</v>
      </c>
      <c r="C6358" t="s">
        <v>17047</v>
      </c>
      <c r="D6358" t="s">
        <v>20</v>
      </c>
      <c r="E6358" t="s">
        <v>11</v>
      </c>
      <c r="F6358">
        <v>14947.746</v>
      </c>
      <c r="G6358">
        <v>18</v>
      </c>
      <c r="L6358" t="s">
        <v>17048</v>
      </c>
    </row>
    <row r="6359" spans="1:12" x14ac:dyDescent="0.25">
      <c r="A6359" t="s">
        <v>18</v>
      </c>
      <c r="B6359" t="s">
        <v>17048</v>
      </c>
      <c r="C6359" t="s">
        <v>17049</v>
      </c>
      <c r="D6359" t="s">
        <v>20</v>
      </c>
      <c r="E6359" t="s">
        <v>11</v>
      </c>
      <c r="F6359">
        <v>6723.222000000001</v>
      </c>
      <c r="G6359">
        <v>18</v>
      </c>
      <c r="L6359" t="s">
        <v>17050</v>
      </c>
    </row>
    <row r="6360" spans="1:12" x14ac:dyDescent="0.25">
      <c r="A6360" t="s">
        <v>18</v>
      </c>
      <c r="B6360" t="s">
        <v>17050</v>
      </c>
      <c r="C6360" t="s">
        <v>17051</v>
      </c>
      <c r="D6360" t="s">
        <v>20</v>
      </c>
      <c r="E6360" t="s">
        <v>11</v>
      </c>
      <c r="F6360">
        <v>4634.454</v>
      </c>
      <c r="G6360">
        <v>18</v>
      </c>
      <c r="L6360" t="s">
        <v>17052</v>
      </c>
    </row>
    <row r="6361" spans="1:12" x14ac:dyDescent="0.25">
      <c r="A6361" t="s">
        <v>18</v>
      </c>
      <c r="B6361" t="s">
        <v>17052</v>
      </c>
      <c r="C6361" t="s">
        <v>17053</v>
      </c>
      <c r="D6361" t="s">
        <v>20</v>
      </c>
      <c r="E6361" t="s">
        <v>11</v>
      </c>
      <c r="F6361">
        <v>20039.118</v>
      </c>
      <c r="G6361">
        <v>18</v>
      </c>
      <c r="L6361" t="s">
        <v>17054</v>
      </c>
    </row>
    <row r="6362" spans="1:12" x14ac:dyDescent="0.25">
      <c r="A6362" t="s">
        <v>18</v>
      </c>
      <c r="B6362" t="s">
        <v>17054</v>
      </c>
      <c r="C6362" t="s">
        <v>17055</v>
      </c>
      <c r="D6362" t="s">
        <v>20</v>
      </c>
      <c r="E6362" t="s">
        <v>11</v>
      </c>
      <c r="F6362">
        <v>8811.99</v>
      </c>
      <c r="G6362">
        <v>18</v>
      </c>
      <c r="L6362" t="s">
        <v>17056</v>
      </c>
    </row>
    <row r="6363" spans="1:12" x14ac:dyDescent="0.25">
      <c r="A6363" t="s">
        <v>18</v>
      </c>
      <c r="B6363" t="s">
        <v>17056</v>
      </c>
      <c r="C6363" t="s">
        <v>17057</v>
      </c>
      <c r="D6363" t="s">
        <v>20</v>
      </c>
      <c r="E6363" t="s">
        <v>11</v>
      </c>
      <c r="F6363">
        <v>10966.032</v>
      </c>
      <c r="G6363">
        <v>18</v>
      </c>
      <c r="L6363" t="s">
        <v>17058</v>
      </c>
    </row>
    <row r="6364" spans="1:12" x14ac:dyDescent="0.25">
      <c r="A6364" t="s">
        <v>18</v>
      </c>
      <c r="B6364" t="s">
        <v>17058</v>
      </c>
      <c r="C6364" t="s">
        <v>17059</v>
      </c>
      <c r="D6364" t="s">
        <v>20</v>
      </c>
      <c r="E6364" t="s">
        <v>11</v>
      </c>
      <c r="F6364">
        <v>1044.384</v>
      </c>
      <c r="G6364">
        <v>18</v>
      </c>
      <c r="L6364" t="s">
        <v>17060</v>
      </c>
    </row>
    <row r="6365" spans="1:12" x14ac:dyDescent="0.25">
      <c r="A6365" t="s">
        <v>18</v>
      </c>
      <c r="B6365" t="s">
        <v>17060</v>
      </c>
      <c r="C6365" t="s">
        <v>17061</v>
      </c>
      <c r="D6365" t="s">
        <v>20</v>
      </c>
      <c r="E6365" t="s">
        <v>11</v>
      </c>
      <c r="F6365">
        <v>2741.508</v>
      </c>
      <c r="G6365">
        <v>18</v>
      </c>
      <c r="L6365" t="s">
        <v>17062</v>
      </c>
    </row>
    <row r="6366" spans="1:12" x14ac:dyDescent="0.25">
      <c r="A6366" t="s">
        <v>18</v>
      </c>
      <c r="B6366" t="s">
        <v>17062</v>
      </c>
      <c r="C6366" t="s">
        <v>17063</v>
      </c>
      <c r="D6366" t="s">
        <v>20</v>
      </c>
      <c r="E6366" t="s">
        <v>11</v>
      </c>
      <c r="F6366">
        <v>652.74</v>
      </c>
      <c r="G6366">
        <v>18</v>
      </c>
      <c r="L6366" t="s">
        <v>17064</v>
      </c>
    </row>
    <row r="6367" spans="1:12" x14ac:dyDescent="0.25">
      <c r="A6367" t="s">
        <v>18</v>
      </c>
      <c r="B6367" t="s">
        <v>17064</v>
      </c>
      <c r="C6367" t="s">
        <v>17065</v>
      </c>
      <c r="D6367" t="s">
        <v>20</v>
      </c>
      <c r="E6367" t="s">
        <v>11</v>
      </c>
      <c r="F6367">
        <v>195.82199999999997</v>
      </c>
      <c r="G6367">
        <v>18</v>
      </c>
      <c r="L6367" t="s">
        <v>17066</v>
      </c>
    </row>
    <row r="6368" spans="1:12" x14ac:dyDescent="0.25">
      <c r="A6368" t="s">
        <v>18</v>
      </c>
      <c r="B6368" t="s">
        <v>17066</v>
      </c>
      <c r="C6368" t="s">
        <v>17067</v>
      </c>
      <c r="D6368" t="s">
        <v>20</v>
      </c>
      <c r="E6368" t="s">
        <v>11</v>
      </c>
      <c r="F6368">
        <v>4960.8240000000005</v>
      </c>
      <c r="G6368">
        <v>18</v>
      </c>
      <c r="L6368" t="s">
        <v>17068</v>
      </c>
    </row>
    <row r="6369" spans="1:12" x14ac:dyDescent="0.25">
      <c r="A6369" t="s">
        <v>18</v>
      </c>
      <c r="B6369" t="s">
        <v>17068</v>
      </c>
      <c r="C6369" t="s">
        <v>17069</v>
      </c>
      <c r="D6369" t="s">
        <v>20</v>
      </c>
      <c r="E6369" t="s">
        <v>11</v>
      </c>
      <c r="F6369">
        <v>13054.8</v>
      </c>
      <c r="G6369">
        <v>18</v>
      </c>
      <c r="L6369" t="s">
        <v>17070</v>
      </c>
    </row>
    <row r="6370" spans="1:12" x14ac:dyDescent="0.25">
      <c r="A6370" t="s">
        <v>18</v>
      </c>
      <c r="B6370" t="s">
        <v>17070</v>
      </c>
      <c r="C6370" t="s">
        <v>17071</v>
      </c>
      <c r="D6370" t="s">
        <v>20</v>
      </c>
      <c r="E6370" t="s">
        <v>11</v>
      </c>
      <c r="F6370">
        <v>23237.543999999998</v>
      </c>
      <c r="G6370">
        <v>18</v>
      </c>
      <c r="L6370" t="s">
        <v>17072</v>
      </c>
    </row>
    <row r="6371" spans="1:12" x14ac:dyDescent="0.25">
      <c r="A6371" t="s">
        <v>18</v>
      </c>
      <c r="B6371" t="s">
        <v>17072</v>
      </c>
      <c r="C6371" t="s">
        <v>17073</v>
      </c>
      <c r="D6371" t="s">
        <v>20</v>
      </c>
      <c r="E6371" t="s">
        <v>11</v>
      </c>
      <c r="F6371">
        <v>783.2879999999999</v>
      </c>
      <c r="G6371">
        <v>18</v>
      </c>
      <c r="L6371" t="s">
        <v>17074</v>
      </c>
    </row>
    <row r="6372" spans="1:12" x14ac:dyDescent="0.25">
      <c r="A6372" t="s">
        <v>18</v>
      </c>
      <c r="B6372" t="s">
        <v>17074</v>
      </c>
      <c r="C6372" t="s">
        <v>17075</v>
      </c>
      <c r="D6372" t="s">
        <v>20</v>
      </c>
      <c r="E6372" t="s">
        <v>11</v>
      </c>
      <c r="F6372">
        <v>20169.665999999997</v>
      </c>
      <c r="G6372">
        <v>18</v>
      </c>
      <c r="L6372" t="s">
        <v>17076</v>
      </c>
    </row>
    <row r="6373" spans="1:12" x14ac:dyDescent="0.25">
      <c r="A6373" t="s">
        <v>18</v>
      </c>
      <c r="B6373" t="s">
        <v>17076</v>
      </c>
      <c r="C6373" t="s">
        <v>17077</v>
      </c>
      <c r="D6373" t="s">
        <v>20</v>
      </c>
      <c r="E6373" t="s">
        <v>11</v>
      </c>
      <c r="F6373">
        <v>3590.0699999999997</v>
      </c>
      <c r="G6373">
        <v>18</v>
      </c>
      <c r="L6373" t="s">
        <v>17078</v>
      </c>
    </row>
    <row r="6374" spans="1:12" x14ac:dyDescent="0.25">
      <c r="A6374" t="s">
        <v>18</v>
      </c>
      <c r="B6374" t="s">
        <v>17078</v>
      </c>
      <c r="C6374" t="s">
        <v>17079</v>
      </c>
      <c r="D6374" t="s">
        <v>20</v>
      </c>
      <c r="E6374" t="s">
        <v>11</v>
      </c>
      <c r="F6374">
        <v>4242.8099999999995</v>
      </c>
      <c r="G6374">
        <v>18</v>
      </c>
      <c r="L6374" t="s">
        <v>17080</v>
      </c>
    </row>
    <row r="6375" spans="1:12" x14ac:dyDescent="0.25">
      <c r="A6375" t="s">
        <v>18</v>
      </c>
      <c r="B6375" t="s">
        <v>17080</v>
      </c>
      <c r="C6375" t="s">
        <v>17081</v>
      </c>
      <c r="D6375" t="s">
        <v>20</v>
      </c>
      <c r="E6375" t="s">
        <v>11</v>
      </c>
      <c r="F6375">
        <v>391.64399999999995</v>
      </c>
      <c r="G6375">
        <v>18</v>
      </c>
      <c r="L6375" t="s">
        <v>17082</v>
      </c>
    </row>
    <row r="6376" spans="1:12" x14ac:dyDescent="0.25">
      <c r="A6376" t="s">
        <v>18</v>
      </c>
      <c r="B6376" t="s">
        <v>17082</v>
      </c>
      <c r="C6376" t="s">
        <v>17083</v>
      </c>
      <c r="D6376" t="s">
        <v>20</v>
      </c>
      <c r="E6376" t="s">
        <v>11</v>
      </c>
      <c r="F6376">
        <v>6462.126</v>
      </c>
      <c r="G6376">
        <v>18</v>
      </c>
      <c r="L6376" t="s">
        <v>17084</v>
      </c>
    </row>
    <row r="6377" spans="1:12" x14ac:dyDescent="0.25">
      <c r="A6377" t="s">
        <v>18</v>
      </c>
      <c r="B6377" t="s">
        <v>17084</v>
      </c>
      <c r="C6377" t="s">
        <v>17085</v>
      </c>
      <c r="D6377" t="s">
        <v>20</v>
      </c>
      <c r="E6377" t="s">
        <v>11</v>
      </c>
      <c r="F6377">
        <v>22388.982</v>
      </c>
      <c r="G6377">
        <v>18</v>
      </c>
      <c r="L6377" t="s">
        <v>17086</v>
      </c>
    </row>
    <row r="6378" spans="1:12" x14ac:dyDescent="0.25">
      <c r="A6378" t="s">
        <v>18</v>
      </c>
      <c r="B6378" t="s">
        <v>17086</v>
      </c>
      <c r="C6378" t="s">
        <v>17087</v>
      </c>
      <c r="D6378" t="s">
        <v>20</v>
      </c>
      <c r="E6378" t="s">
        <v>11</v>
      </c>
      <c r="F6378">
        <v>28067.82</v>
      </c>
      <c r="G6378">
        <v>18</v>
      </c>
      <c r="L6378" t="s">
        <v>17088</v>
      </c>
    </row>
    <row r="6379" spans="1:12" x14ac:dyDescent="0.25">
      <c r="A6379" t="s">
        <v>18</v>
      </c>
      <c r="B6379" t="s">
        <v>17088</v>
      </c>
      <c r="C6379" t="s">
        <v>17089</v>
      </c>
      <c r="D6379" t="s">
        <v>20</v>
      </c>
      <c r="E6379" t="s">
        <v>11</v>
      </c>
      <c r="F6379">
        <v>13511.717999999999</v>
      </c>
      <c r="G6379">
        <v>18</v>
      </c>
      <c r="L6379" t="s">
        <v>17090</v>
      </c>
    </row>
    <row r="6380" spans="1:12" x14ac:dyDescent="0.25">
      <c r="A6380" t="s">
        <v>18</v>
      </c>
      <c r="B6380" t="s">
        <v>17090</v>
      </c>
      <c r="C6380" t="s">
        <v>17091</v>
      </c>
      <c r="D6380" t="s">
        <v>20</v>
      </c>
      <c r="E6380" t="s">
        <v>11</v>
      </c>
      <c r="F6380">
        <v>11749.320000000002</v>
      </c>
      <c r="G6380">
        <v>18</v>
      </c>
      <c r="L6380" t="s">
        <v>17092</v>
      </c>
    </row>
    <row r="6381" spans="1:12" x14ac:dyDescent="0.25">
      <c r="A6381" t="s">
        <v>18</v>
      </c>
      <c r="B6381" t="s">
        <v>17092</v>
      </c>
      <c r="C6381" t="s">
        <v>17093</v>
      </c>
      <c r="D6381" t="s">
        <v>20</v>
      </c>
      <c r="E6381" t="s">
        <v>11</v>
      </c>
      <c r="F6381">
        <v>7767.605999999999</v>
      </c>
      <c r="G6381">
        <v>18</v>
      </c>
      <c r="L6381" t="s">
        <v>17094</v>
      </c>
    </row>
    <row r="6382" spans="1:12" x14ac:dyDescent="0.25">
      <c r="A6382" t="s">
        <v>18</v>
      </c>
      <c r="B6382" t="s">
        <v>17094</v>
      </c>
      <c r="C6382" t="s">
        <v>17095</v>
      </c>
      <c r="D6382" t="s">
        <v>20</v>
      </c>
      <c r="E6382" t="s">
        <v>11</v>
      </c>
      <c r="F6382">
        <v>24543.023999999998</v>
      </c>
      <c r="G6382">
        <v>18</v>
      </c>
      <c r="L6382" t="s">
        <v>17096</v>
      </c>
    </row>
    <row r="6383" spans="1:12" x14ac:dyDescent="0.25">
      <c r="A6383" t="s">
        <v>18</v>
      </c>
      <c r="B6383" t="s">
        <v>17096</v>
      </c>
      <c r="C6383" t="s">
        <v>17097</v>
      </c>
      <c r="D6383" t="s">
        <v>20</v>
      </c>
      <c r="E6383" t="s">
        <v>11</v>
      </c>
      <c r="F6383">
        <v>1109.658</v>
      </c>
      <c r="G6383">
        <v>18</v>
      </c>
      <c r="L6383" t="s">
        <v>17098</v>
      </c>
    </row>
    <row r="6384" spans="1:12" x14ac:dyDescent="0.25">
      <c r="A6384" t="s">
        <v>18</v>
      </c>
      <c r="B6384" t="s">
        <v>17098</v>
      </c>
      <c r="C6384" t="s">
        <v>17099</v>
      </c>
      <c r="D6384" t="s">
        <v>20</v>
      </c>
      <c r="E6384" t="s">
        <v>11</v>
      </c>
      <c r="F6384">
        <v>6005.208</v>
      </c>
      <c r="G6384">
        <v>18</v>
      </c>
      <c r="L6384" t="s">
        <v>17100</v>
      </c>
    </row>
    <row r="6385" spans="1:12" x14ac:dyDescent="0.25">
      <c r="A6385" t="s">
        <v>18</v>
      </c>
      <c r="B6385" t="s">
        <v>17100</v>
      </c>
      <c r="C6385" t="s">
        <v>17101</v>
      </c>
      <c r="D6385" t="s">
        <v>20</v>
      </c>
      <c r="E6385" t="s">
        <v>11</v>
      </c>
      <c r="F6385">
        <v>5548.29</v>
      </c>
      <c r="G6385">
        <v>18</v>
      </c>
      <c r="L6385" t="s">
        <v>17102</v>
      </c>
    </row>
    <row r="6386" spans="1:12" x14ac:dyDescent="0.25">
      <c r="A6386" t="s">
        <v>18</v>
      </c>
      <c r="B6386" t="s">
        <v>17102</v>
      </c>
      <c r="C6386" t="s">
        <v>17103</v>
      </c>
      <c r="D6386" t="s">
        <v>20</v>
      </c>
      <c r="E6386" t="s">
        <v>11</v>
      </c>
      <c r="F6386">
        <v>8093.976</v>
      </c>
      <c r="G6386">
        <v>18</v>
      </c>
      <c r="L6386" t="s">
        <v>17104</v>
      </c>
    </row>
    <row r="6387" spans="1:12" x14ac:dyDescent="0.25">
      <c r="A6387" t="s">
        <v>18</v>
      </c>
      <c r="B6387" t="s">
        <v>17104</v>
      </c>
      <c r="C6387" t="s">
        <v>17105</v>
      </c>
      <c r="D6387" t="s">
        <v>20</v>
      </c>
      <c r="E6387" t="s">
        <v>11</v>
      </c>
      <c r="F6387">
        <v>6201.030000000001</v>
      </c>
      <c r="G6387">
        <v>18</v>
      </c>
      <c r="L6387" t="s">
        <v>17106</v>
      </c>
    </row>
    <row r="6388" spans="1:12" x14ac:dyDescent="0.25">
      <c r="A6388" t="s">
        <v>18</v>
      </c>
      <c r="B6388" t="s">
        <v>17106</v>
      </c>
      <c r="C6388" t="s">
        <v>17107</v>
      </c>
      <c r="D6388" t="s">
        <v>20</v>
      </c>
      <c r="E6388" t="s">
        <v>11</v>
      </c>
      <c r="F6388">
        <v>34529.945999999996</v>
      </c>
      <c r="G6388">
        <v>18</v>
      </c>
      <c r="L6388" t="s">
        <v>17108</v>
      </c>
    </row>
    <row r="6389" spans="1:12" x14ac:dyDescent="0.25">
      <c r="A6389" t="s">
        <v>18</v>
      </c>
      <c r="B6389" t="s">
        <v>17108</v>
      </c>
      <c r="C6389" t="s">
        <v>17109</v>
      </c>
      <c r="D6389" t="s">
        <v>20</v>
      </c>
      <c r="E6389" t="s">
        <v>11</v>
      </c>
      <c r="F6389">
        <v>4308.084</v>
      </c>
      <c r="G6389">
        <v>18</v>
      </c>
      <c r="L6389" t="s">
        <v>17110</v>
      </c>
    </row>
    <row r="6390" spans="1:12" x14ac:dyDescent="0.25">
      <c r="A6390" t="s">
        <v>18</v>
      </c>
      <c r="B6390" t="s">
        <v>17110</v>
      </c>
      <c r="C6390" t="s">
        <v>17111</v>
      </c>
      <c r="D6390" t="s">
        <v>20</v>
      </c>
      <c r="E6390" t="s">
        <v>11</v>
      </c>
      <c r="F6390">
        <v>13185.347999999998</v>
      </c>
      <c r="G6390">
        <v>18</v>
      </c>
      <c r="L6390" t="s">
        <v>17112</v>
      </c>
    </row>
    <row r="6391" spans="1:12" x14ac:dyDescent="0.25">
      <c r="A6391" t="s">
        <v>18</v>
      </c>
      <c r="B6391" t="s">
        <v>17112</v>
      </c>
      <c r="C6391" t="s">
        <v>17113</v>
      </c>
      <c r="D6391" t="s">
        <v>20</v>
      </c>
      <c r="E6391" t="s">
        <v>11</v>
      </c>
      <c r="F6391">
        <v>391.64399999999995</v>
      </c>
      <c r="G6391">
        <v>18</v>
      </c>
      <c r="L6391" t="s">
        <v>17114</v>
      </c>
    </row>
    <row r="6392" spans="1:12" x14ac:dyDescent="0.25">
      <c r="A6392" t="s">
        <v>18</v>
      </c>
      <c r="B6392" t="s">
        <v>17114</v>
      </c>
      <c r="C6392" t="s">
        <v>17115</v>
      </c>
      <c r="D6392" t="s">
        <v>20</v>
      </c>
      <c r="E6392" t="s">
        <v>11</v>
      </c>
      <c r="F6392">
        <v>17362.884000000002</v>
      </c>
      <c r="G6392">
        <v>18</v>
      </c>
      <c r="L6392" t="s">
        <v>17116</v>
      </c>
    </row>
    <row r="6393" spans="1:12" x14ac:dyDescent="0.25">
      <c r="A6393" t="s">
        <v>18</v>
      </c>
      <c r="B6393" t="s">
        <v>17116</v>
      </c>
      <c r="C6393" t="s">
        <v>17117</v>
      </c>
      <c r="D6393" t="s">
        <v>20</v>
      </c>
      <c r="E6393" t="s">
        <v>11</v>
      </c>
      <c r="F6393">
        <v>17362.884000000002</v>
      </c>
      <c r="G6393">
        <v>18</v>
      </c>
      <c r="L6393" t="s">
        <v>17118</v>
      </c>
    </row>
    <row r="6394" spans="1:12" x14ac:dyDescent="0.25">
      <c r="A6394" t="s">
        <v>18</v>
      </c>
      <c r="B6394" t="s">
        <v>17118</v>
      </c>
      <c r="C6394" t="s">
        <v>17119</v>
      </c>
      <c r="D6394" t="s">
        <v>20</v>
      </c>
      <c r="E6394" t="s">
        <v>11</v>
      </c>
      <c r="F6394">
        <v>391.64399999999995</v>
      </c>
      <c r="G6394">
        <v>18</v>
      </c>
      <c r="L6394" t="s">
        <v>17120</v>
      </c>
    </row>
    <row r="6395" spans="1:12" x14ac:dyDescent="0.25">
      <c r="A6395" t="s">
        <v>18</v>
      </c>
      <c r="B6395" t="s">
        <v>17120</v>
      </c>
      <c r="C6395" t="s">
        <v>17121</v>
      </c>
      <c r="D6395" t="s">
        <v>20</v>
      </c>
      <c r="E6395" t="s">
        <v>11</v>
      </c>
      <c r="F6395">
        <v>2676.234</v>
      </c>
      <c r="G6395">
        <v>18</v>
      </c>
      <c r="L6395" t="s">
        <v>17122</v>
      </c>
    </row>
    <row r="6396" spans="1:12" x14ac:dyDescent="0.25">
      <c r="A6396" t="s">
        <v>18</v>
      </c>
      <c r="B6396" t="s">
        <v>17122</v>
      </c>
      <c r="C6396" t="s">
        <v>17123</v>
      </c>
      <c r="D6396" t="s">
        <v>20</v>
      </c>
      <c r="E6396" t="s">
        <v>11</v>
      </c>
      <c r="F6396">
        <v>391.64399999999995</v>
      </c>
      <c r="G6396">
        <v>18</v>
      </c>
      <c r="L6396" t="s">
        <v>17124</v>
      </c>
    </row>
    <row r="6397" spans="1:12" x14ac:dyDescent="0.25">
      <c r="A6397" t="s">
        <v>18</v>
      </c>
      <c r="B6397" t="s">
        <v>17124</v>
      </c>
      <c r="C6397" t="s">
        <v>17125</v>
      </c>
      <c r="D6397" t="s">
        <v>20</v>
      </c>
      <c r="E6397" t="s">
        <v>11</v>
      </c>
      <c r="F6397">
        <v>4242.8099999999995</v>
      </c>
      <c r="G6397">
        <v>18</v>
      </c>
      <c r="L6397" t="s">
        <v>17126</v>
      </c>
    </row>
    <row r="6398" spans="1:12" x14ac:dyDescent="0.25">
      <c r="A6398" t="s">
        <v>18</v>
      </c>
      <c r="B6398" t="s">
        <v>17126</v>
      </c>
      <c r="C6398" t="s">
        <v>17127</v>
      </c>
      <c r="D6398" t="s">
        <v>20</v>
      </c>
      <c r="E6398" t="s">
        <v>11</v>
      </c>
      <c r="F6398">
        <v>3981.714</v>
      </c>
      <c r="G6398">
        <v>18</v>
      </c>
      <c r="L6398" t="s">
        <v>17128</v>
      </c>
    </row>
    <row r="6399" spans="1:12" x14ac:dyDescent="0.25">
      <c r="A6399" t="s">
        <v>18</v>
      </c>
      <c r="B6399" t="s">
        <v>17128</v>
      </c>
      <c r="C6399" t="s">
        <v>17129</v>
      </c>
      <c r="D6399" t="s">
        <v>20</v>
      </c>
      <c r="E6399" t="s">
        <v>11</v>
      </c>
      <c r="F6399">
        <v>2545.6859999999997</v>
      </c>
      <c r="G6399">
        <v>18</v>
      </c>
      <c r="L6399" t="s">
        <v>17130</v>
      </c>
    </row>
    <row r="6400" spans="1:12" x14ac:dyDescent="0.25">
      <c r="A6400" t="s">
        <v>18</v>
      </c>
      <c r="B6400" t="s">
        <v>17130</v>
      </c>
      <c r="C6400" t="s">
        <v>17131</v>
      </c>
      <c r="D6400" t="s">
        <v>20</v>
      </c>
      <c r="E6400" t="s">
        <v>11</v>
      </c>
      <c r="F6400">
        <v>2349.8639999999996</v>
      </c>
      <c r="G6400">
        <v>18</v>
      </c>
      <c r="L6400" t="s">
        <v>17132</v>
      </c>
    </row>
    <row r="6401" spans="1:12" x14ac:dyDescent="0.25">
      <c r="A6401" t="s">
        <v>18</v>
      </c>
      <c r="B6401" t="s">
        <v>17132</v>
      </c>
      <c r="C6401" t="s">
        <v>17133</v>
      </c>
      <c r="D6401" t="s">
        <v>20</v>
      </c>
      <c r="E6401" t="s">
        <v>11</v>
      </c>
      <c r="F6401">
        <v>522.192</v>
      </c>
      <c r="G6401">
        <v>18</v>
      </c>
      <c r="L6401" t="s">
        <v>17134</v>
      </c>
    </row>
    <row r="6402" spans="1:12" x14ac:dyDescent="0.25">
      <c r="A6402" t="s">
        <v>18</v>
      </c>
      <c r="B6402" t="s">
        <v>17134</v>
      </c>
      <c r="C6402" t="s">
        <v>17135</v>
      </c>
      <c r="D6402" t="s">
        <v>20</v>
      </c>
      <c r="E6402" t="s">
        <v>11</v>
      </c>
      <c r="F6402">
        <v>14817.197999999999</v>
      </c>
      <c r="G6402">
        <v>18</v>
      </c>
      <c r="L6402" t="s">
        <v>17136</v>
      </c>
    </row>
    <row r="6403" spans="1:12" x14ac:dyDescent="0.25">
      <c r="A6403" t="s">
        <v>18</v>
      </c>
      <c r="B6403" t="s">
        <v>17136</v>
      </c>
      <c r="C6403" t="s">
        <v>17137</v>
      </c>
      <c r="D6403" t="s">
        <v>20</v>
      </c>
      <c r="E6403" t="s">
        <v>11</v>
      </c>
      <c r="F6403">
        <v>456.918</v>
      </c>
      <c r="G6403">
        <v>18</v>
      </c>
      <c r="L6403" t="s">
        <v>17138</v>
      </c>
    </row>
    <row r="6404" spans="1:12" x14ac:dyDescent="0.25">
      <c r="A6404" t="s">
        <v>18</v>
      </c>
      <c r="B6404" t="s">
        <v>17138</v>
      </c>
      <c r="C6404" t="s">
        <v>17139</v>
      </c>
      <c r="D6404" t="s">
        <v>20</v>
      </c>
      <c r="E6404" t="s">
        <v>11</v>
      </c>
      <c r="F6404">
        <v>456.918</v>
      </c>
      <c r="G6404">
        <v>18</v>
      </c>
      <c r="L6404" t="s">
        <v>17140</v>
      </c>
    </row>
    <row r="6405" spans="1:12" x14ac:dyDescent="0.25">
      <c r="A6405" t="s">
        <v>18</v>
      </c>
      <c r="B6405" t="s">
        <v>17140</v>
      </c>
      <c r="C6405" t="s">
        <v>17141</v>
      </c>
      <c r="D6405" t="s">
        <v>20</v>
      </c>
      <c r="E6405" t="s">
        <v>11</v>
      </c>
      <c r="F6405">
        <v>456.918</v>
      </c>
      <c r="G6405">
        <v>18</v>
      </c>
      <c r="L6405" t="s">
        <v>17142</v>
      </c>
    </row>
    <row r="6406" spans="1:12" x14ac:dyDescent="0.25">
      <c r="A6406" t="s">
        <v>18</v>
      </c>
      <c r="B6406" t="s">
        <v>17142</v>
      </c>
      <c r="C6406" t="s">
        <v>17143</v>
      </c>
      <c r="D6406" t="s">
        <v>20</v>
      </c>
      <c r="E6406" t="s">
        <v>11</v>
      </c>
      <c r="F6406">
        <v>718.014</v>
      </c>
      <c r="G6406">
        <v>18</v>
      </c>
      <c r="L6406" t="s">
        <v>17144</v>
      </c>
    </row>
    <row r="6407" spans="1:12" x14ac:dyDescent="0.25">
      <c r="A6407" t="s">
        <v>18</v>
      </c>
      <c r="B6407" t="s">
        <v>17144</v>
      </c>
      <c r="C6407" t="s">
        <v>17145</v>
      </c>
      <c r="D6407" t="s">
        <v>20</v>
      </c>
      <c r="E6407" t="s">
        <v>11</v>
      </c>
      <c r="F6407">
        <v>3002.604</v>
      </c>
      <c r="G6407">
        <v>18</v>
      </c>
      <c r="L6407" t="s">
        <v>17146</v>
      </c>
    </row>
    <row r="6408" spans="1:12" x14ac:dyDescent="0.25">
      <c r="A6408" t="s">
        <v>18</v>
      </c>
      <c r="B6408" t="s">
        <v>17146</v>
      </c>
      <c r="C6408" t="s">
        <v>17147</v>
      </c>
      <c r="D6408" t="s">
        <v>20</v>
      </c>
      <c r="E6408" t="s">
        <v>11</v>
      </c>
      <c r="F6408">
        <v>522.192</v>
      </c>
      <c r="G6408">
        <v>18</v>
      </c>
      <c r="L6408" t="s">
        <v>17148</v>
      </c>
    </row>
    <row r="6409" spans="1:12" x14ac:dyDescent="0.25">
      <c r="A6409" t="s">
        <v>18</v>
      </c>
      <c r="B6409" t="s">
        <v>17148</v>
      </c>
      <c r="C6409" t="s">
        <v>17149</v>
      </c>
      <c r="D6409" t="s">
        <v>20</v>
      </c>
      <c r="E6409" t="s">
        <v>11</v>
      </c>
      <c r="F6409">
        <v>1109.658</v>
      </c>
      <c r="G6409">
        <v>18</v>
      </c>
      <c r="L6409" t="s">
        <v>17150</v>
      </c>
    </row>
    <row r="6410" spans="1:12" x14ac:dyDescent="0.25">
      <c r="A6410" t="s">
        <v>18</v>
      </c>
      <c r="B6410" t="s">
        <v>17150</v>
      </c>
      <c r="C6410" t="s">
        <v>17151</v>
      </c>
      <c r="D6410" t="s">
        <v>20</v>
      </c>
      <c r="E6410" t="s">
        <v>11</v>
      </c>
      <c r="F6410">
        <v>130.548</v>
      </c>
      <c r="G6410">
        <v>18</v>
      </c>
      <c r="L6410" t="s">
        <v>17152</v>
      </c>
    </row>
    <row r="6411" spans="1:12" x14ac:dyDescent="0.25">
      <c r="A6411" t="s">
        <v>18</v>
      </c>
      <c r="B6411" t="s">
        <v>17152</v>
      </c>
      <c r="C6411" t="s">
        <v>17153</v>
      </c>
      <c r="D6411" t="s">
        <v>20</v>
      </c>
      <c r="E6411" t="s">
        <v>11</v>
      </c>
      <c r="F6411">
        <v>4112.262</v>
      </c>
      <c r="G6411">
        <v>18</v>
      </c>
      <c r="L6411" t="s">
        <v>17154</v>
      </c>
    </row>
    <row r="6412" spans="1:12" x14ac:dyDescent="0.25">
      <c r="A6412" t="s">
        <v>18</v>
      </c>
      <c r="B6412" t="s">
        <v>17154</v>
      </c>
      <c r="C6412" t="s">
        <v>17155</v>
      </c>
      <c r="D6412" t="s">
        <v>20</v>
      </c>
      <c r="E6412" t="s">
        <v>11</v>
      </c>
      <c r="F6412">
        <v>195.82199999999997</v>
      </c>
      <c r="G6412">
        <v>18</v>
      </c>
      <c r="L6412" t="s">
        <v>17156</v>
      </c>
    </row>
    <row r="6413" spans="1:12" x14ac:dyDescent="0.25">
      <c r="A6413" t="s">
        <v>18</v>
      </c>
      <c r="B6413" t="s">
        <v>17156</v>
      </c>
      <c r="C6413" t="s">
        <v>17157</v>
      </c>
      <c r="D6413" t="s">
        <v>20</v>
      </c>
      <c r="E6413" t="s">
        <v>11</v>
      </c>
      <c r="F6413">
        <v>195.82199999999997</v>
      </c>
      <c r="G6413">
        <v>18</v>
      </c>
      <c r="L6413" t="s">
        <v>17158</v>
      </c>
    </row>
    <row r="6414" spans="1:12" x14ac:dyDescent="0.25">
      <c r="A6414" t="s">
        <v>18</v>
      </c>
      <c r="B6414" t="s">
        <v>17158</v>
      </c>
      <c r="C6414" t="s">
        <v>17159</v>
      </c>
      <c r="D6414" t="s">
        <v>20</v>
      </c>
      <c r="E6414" t="s">
        <v>11</v>
      </c>
      <c r="F6414">
        <v>587.4659999999999</v>
      </c>
      <c r="G6414">
        <v>18</v>
      </c>
      <c r="L6414" t="s">
        <v>17160</v>
      </c>
    </row>
    <row r="6415" spans="1:12" x14ac:dyDescent="0.25">
      <c r="A6415" t="s">
        <v>18</v>
      </c>
      <c r="B6415" t="s">
        <v>17160</v>
      </c>
      <c r="C6415" t="s">
        <v>17161</v>
      </c>
      <c r="D6415" t="s">
        <v>20</v>
      </c>
      <c r="E6415" t="s">
        <v>11</v>
      </c>
      <c r="F6415">
        <v>326.37</v>
      </c>
      <c r="G6415">
        <v>18</v>
      </c>
      <c r="L6415" t="s">
        <v>17162</v>
      </c>
    </row>
    <row r="6416" spans="1:12" x14ac:dyDescent="0.25">
      <c r="A6416" t="s">
        <v>18</v>
      </c>
      <c r="B6416" t="s">
        <v>17162</v>
      </c>
      <c r="C6416" t="s">
        <v>17163</v>
      </c>
      <c r="D6416" t="s">
        <v>20</v>
      </c>
      <c r="E6416" t="s">
        <v>11</v>
      </c>
      <c r="F6416">
        <v>130.548</v>
      </c>
      <c r="G6416">
        <v>18</v>
      </c>
      <c r="L6416" t="s">
        <v>17164</v>
      </c>
    </row>
    <row r="6417" spans="1:12" x14ac:dyDescent="0.25">
      <c r="A6417" t="s">
        <v>18</v>
      </c>
      <c r="B6417" t="s">
        <v>17164</v>
      </c>
      <c r="C6417" t="s">
        <v>17165</v>
      </c>
      <c r="D6417" t="s">
        <v>20</v>
      </c>
      <c r="E6417" t="s">
        <v>11</v>
      </c>
      <c r="F6417">
        <v>456.918</v>
      </c>
      <c r="G6417">
        <v>18</v>
      </c>
      <c r="L6417" t="s">
        <v>17166</v>
      </c>
    </row>
    <row r="6418" spans="1:12" x14ac:dyDescent="0.25">
      <c r="A6418" t="s">
        <v>18</v>
      </c>
      <c r="B6418" t="s">
        <v>17166</v>
      </c>
      <c r="C6418" t="s">
        <v>17167</v>
      </c>
      <c r="D6418" t="s">
        <v>20</v>
      </c>
      <c r="E6418" t="s">
        <v>11</v>
      </c>
      <c r="F6418">
        <v>652.74</v>
      </c>
      <c r="G6418">
        <v>18</v>
      </c>
      <c r="L6418" t="s">
        <v>17168</v>
      </c>
    </row>
    <row r="6419" spans="1:12" x14ac:dyDescent="0.25">
      <c r="A6419" t="s">
        <v>18</v>
      </c>
      <c r="B6419" t="s">
        <v>17168</v>
      </c>
      <c r="C6419" t="s">
        <v>17169</v>
      </c>
      <c r="D6419" t="s">
        <v>20</v>
      </c>
      <c r="E6419" t="s">
        <v>11</v>
      </c>
      <c r="F6419">
        <v>326.37</v>
      </c>
      <c r="G6419">
        <v>18</v>
      </c>
      <c r="L6419" t="s">
        <v>17170</v>
      </c>
    </row>
    <row r="6420" spans="1:12" x14ac:dyDescent="0.25">
      <c r="A6420" t="s">
        <v>18</v>
      </c>
      <c r="B6420" t="s">
        <v>17170</v>
      </c>
      <c r="C6420" t="s">
        <v>17171</v>
      </c>
      <c r="D6420" t="s">
        <v>20</v>
      </c>
      <c r="E6420" t="s">
        <v>11</v>
      </c>
      <c r="F6420">
        <v>1827.672</v>
      </c>
      <c r="G6420">
        <v>18</v>
      </c>
      <c r="L6420" t="s">
        <v>17172</v>
      </c>
    </row>
    <row r="6421" spans="1:12" x14ac:dyDescent="0.25">
      <c r="A6421" t="s">
        <v>18</v>
      </c>
      <c r="B6421" t="s">
        <v>17172</v>
      </c>
      <c r="C6421" t="s">
        <v>17173</v>
      </c>
      <c r="D6421" t="s">
        <v>20</v>
      </c>
      <c r="E6421" t="s">
        <v>11</v>
      </c>
      <c r="F6421">
        <v>261.096</v>
      </c>
      <c r="G6421">
        <v>18</v>
      </c>
      <c r="L6421" t="s">
        <v>17174</v>
      </c>
    </row>
    <row r="6422" spans="1:12" x14ac:dyDescent="0.25">
      <c r="A6422" t="s">
        <v>18</v>
      </c>
      <c r="B6422" t="s">
        <v>17174</v>
      </c>
      <c r="C6422" t="s">
        <v>17175</v>
      </c>
      <c r="D6422" t="s">
        <v>20</v>
      </c>
      <c r="E6422" t="s">
        <v>11</v>
      </c>
      <c r="F6422">
        <v>4503.906</v>
      </c>
      <c r="G6422">
        <v>18</v>
      </c>
      <c r="L6422" t="s">
        <v>17176</v>
      </c>
    </row>
    <row r="6423" spans="1:12" x14ac:dyDescent="0.25">
      <c r="A6423" t="s">
        <v>18</v>
      </c>
      <c r="B6423" t="s">
        <v>17176</v>
      </c>
      <c r="C6423" t="s">
        <v>17177</v>
      </c>
      <c r="D6423" t="s">
        <v>20</v>
      </c>
      <c r="E6423" t="s">
        <v>11</v>
      </c>
      <c r="F6423">
        <v>3590.0699999999997</v>
      </c>
      <c r="G6423">
        <v>18</v>
      </c>
      <c r="L6423" t="s">
        <v>17178</v>
      </c>
    </row>
    <row r="6424" spans="1:12" x14ac:dyDescent="0.25">
      <c r="A6424" t="s">
        <v>18</v>
      </c>
      <c r="B6424" t="s">
        <v>17178</v>
      </c>
      <c r="C6424" t="s">
        <v>17179</v>
      </c>
      <c r="D6424" t="s">
        <v>20</v>
      </c>
      <c r="E6424" t="s">
        <v>11</v>
      </c>
      <c r="F6424">
        <v>15078.294000000002</v>
      </c>
      <c r="G6424">
        <v>18</v>
      </c>
      <c r="L6424" t="s">
        <v>17180</v>
      </c>
    </row>
    <row r="6425" spans="1:12" x14ac:dyDescent="0.25">
      <c r="A6425" t="s">
        <v>18</v>
      </c>
      <c r="B6425" t="s">
        <v>17180</v>
      </c>
      <c r="C6425" t="s">
        <v>17181</v>
      </c>
      <c r="D6425" t="s">
        <v>20</v>
      </c>
      <c r="E6425" t="s">
        <v>11</v>
      </c>
      <c r="F6425">
        <v>17689.254</v>
      </c>
      <c r="G6425">
        <v>18</v>
      </c>
      <c r="L6425" t="s">
        <v>17182</v>
      </c>
    </row>
    <row r="6426" spans="1:12" x14ac:dyDescent="0.25">
      <c r="A6426" t="s">
        <v>18</v>
      </c>
      <c r="B6426" t="s">
        <v>17182</v>
      </c>
      <c r="C6426" t="s">
        <v>17183</v>
      </c>
      <c r="D6426" t="s">
        <v>20</v>
      </c>
      <c r="E6426" t="s">
        <v>11</v>
      </c>
      <c r="F6426">
        <v>5026.097999999999</v>
      </c>
      <c r="G6426">
        <v>18</v>
      </c>
      <c r="L6426" t="s">
        <v>17184</v>
      </c>
    </row>
    <row r="6427" spans="1:12" x14ac:dyDescent="0.25">
      <c r="A6427" t="s">
        <v>18</v>
      </c>
      <c r="B6427" t="s">
        <v>17184</v>
      </c>
      <c r="C6427" t="s">
        <v>17185</v>
      </c>
      <c r="D6427" t="s">
        <v>20</v>
      </c>
      <c r="E6427" t="s">
        <v>11</v>
      </c>
      <c r="F6427">
        <v>7963.428</v>
      </c>
      <c r="G6427">
        <v>18</v>
      </c>
      <c r="L6427" t="s">
        <v>17186</v>
      </c>
    </row>
    <row r="6428" spans="1:12" x14ac:dyDescent="0.25">
      <c r="A6428" t="s">
        <v>18</v>
      </c>
      <c r="B6428" t="s">
        <v>17186</v>
      </c>
      <c r="C6428" t="s">
        <v>17187</v>
      </c>
      <c r="D6428" t="s">
        <v>20</v>
      </c>
      <c r="E6428" t="s">
        <v>11</v>
      </c>
      <c r="F6428">
        <v>4242.8099999999995</v>
      </c>
      <c r="G6428">
        <v>18</v>
      </c>
      <c r="L6428" t="s">
        <v>17188</v>
      </c>
    </row>
    <row r="6429" spans="1:12" x14ac:dyDescent="0.25">
      <c r="A6429" t="s">
        <v>18</v>
      </c>
      <c r="B6429" t="s">
        <v>17188</v>
      </c>
      <c r="C6429" t="s">
        <v>17189</v>
      </c>
      <c r="D6429" t="s">
        <v>20</v>
      </c>
      <c r="E6429" t="s">
        <v>11</v>
      </c>
      <c r="F6429">
        <v>20365.487999999998</v>
      </c>
      <c r="G6429">
        <v>18</v>
      </c>
      <c r="L6429" t="s">
        <v>17190</v>
      </c>
    </row>
    <row r="6430" spans="1:12" x14ac:dyDescent="0.25">
      <c r="A6430" t="s">
        <v>18</v>
      </c>
      <c r="B6430" t="s">
        <v>17190</v>
      </c>
      <c r="C6430" t="s">
        <v>17191</v>
      </c>
      <c r="D6430" t="s">
        <v>20</v>
      </c>
      <c r="E6430" t="s">
        <v>11</v>
      </c>
      <c r="F6430">
        <v>14360.279999999999</v>
      </c>
      <c r="G6430">
        <v>18</v>
      </c>
      <c r="L6430" t="s">
        <v>17192</v>
      </c>
    </row>
    <row r="6431" spans="1:12" x14ac:dyDescent="0.25">
      <c r="A6431" t="s">
        <v>18</v>
      </c>
      <c r="B6431" t="s">
        <v>17192</v>
      </c>
      <c r="C6431" t="s">
        <v>17193</v>
      </c>
      <c r="D6431" t="s">
        <v>20</v>
      </c>
      <c r="E6431" t="s">
        <v>11</v>
      </c>
      <c r="F6431">
        <v>100978.878</v>
      </c>
      <c r="G6431">
        <v>18</v>
      </c>
      <c r="L6431" t="s">
        <v>17194</v>
      </c>
    </row>
    <row r="6432" spans="1:12" x14ac:dyDescent="0.25">
      <c r="A6432" t="s">
        <v>18</v>
      </c>
      <c r="B6432" t="s">
        <v>17194</v>
      </c>
      <c r="C6432" t="s">
        <v>17195</v>
      </c>
      <c r="D6432" t="s">
        <v>20</v>
      </c>
      <c r="E6432" t="s">
        <v>11</v>
      </c>
      <c r="F6432">
        <v>109138.128</v>
      </c>
      <c r="G6432">
        <v>18</v>
      </c>
      <c r="L6432" t="s">
        <v>17196</v>
      </c>
    </row>
    <row r="6433" spans="1:12" x14ac:dyDescent="0.25">
      <c r="A6433" t="s">
        <v>18</v>
      </c>
      <c r="B6433" t="s">
        <v>17196</v>
      </c>
      <c r="C6433" t="s">
        <v>17197</v>
      </c>
      <c r="D6433" t="s">
        <v>20</v>
      </c>
      <c r="E6433" t="s">
        <v>11</v>
      </c>
      <c r="F6433">
        <v>111357.44399999999</v>
      </c>
      <c r="G6433">
        <v>18</v>
      </c>
      <c r="L6433" t="s">
        <v>17198</v>
      </c>
    </row>
    <row r="6434" spans="1:12" x14ac:dyDescent="0.25">
      <c r="A6434" t="s">
        <v>18</v>
      </c>
      <c r="B6434" t="s">
        <v>17198</v>
      </c>
      <c r="C6434" t="s">
        <v>17199</v>
      </c>
      <c r="D6434" t="s">
        <v>20</v>
      </c>
      <c r="E6434" t="s">
        <v>11</v>
      </c>
      <c r="F6434">
        <v>64294.89</v>
      </c>
      <c r="G6434">
        <v>18</v>
      </c>
      <c r="L6434" t="s">
        <v>17200</v>
      </c>
    </row>
    <row r="6435" spans="1:12" x14ac:dyDescent="0.25">
      <c r="A6435" t="s">
        <v>18</v>
      </c>
      <c r="B6435" t="s">
        <v>17200</v>
      </c>
      <c r="C6435" t="s">
        <v>17201</v>
      </c>
      <c r="D6435" t="s">
        <v>20</v>
      </c>
      <c r="E6435" t="s">
        <v>11</v>
      </c>
      <c r="F6435">
        <v>70365.372</v>
      </c>
      <c r="G6435">
        <v>18</v>
      </c>
      <c r="L6435" t="s">
        <v>17202</v>
      </c>
    </row>
    <row r="6436" spans="1:12" x14ac:dyDescent="0.25">
      <c r="A6436" t="s">
        <v>18</v>
      </c>
      <c r="B6436" t="s">
        <v>17202</v>
      </c>
      <c r="C6436" t="s">
        <v>17203</v>
      </c>
      <c r="D6436" t="s">
        <v>20</v>
      </c>
      <c r="E6436" t="s">
        <v>11</v>
      </c>
      <c r="F6436">
        <v>103916.208</v>
      </c>
      <c r="G6436">
        <v>18</v>
      </c>
      <c r="L6436" t="s">
        <v>17204</v>
      </c>
    </row>
    <row r="6437" spans="1:12" x14ac:dyDescent="0.25">
      <c r="A6437" t="s">
        <v>18</v>
      </c>
      <c r="B6437" t="s">
        <v>17204</v>
      </c>
      <c r="C6437" t="s">
        <v>17205</v>
      </c>
      <c r="D6437" t="s">
        <v>20</v>
      </c>
      <c r="E6437" t="s">
        <v>11</v>
      </c>
      <c r="F6437">
        <v>124542.792</v>
      </c>
      <c r="G6437">
        <v>18</v>
      </c>
      <c r="L6437" t="s">
        <v>17206</v>
      </c>
    </row>
    <row r="6438" spans="1:12" x14ac:dyDescent="0.25">
      <c r="A6438" t="s">
        <v>18</v>
      </c>
      <c r="B6438" t="s">
        <v>17206</v>
      </c>
      <c r="C6438" t="s">
        <v>17207</v>
      </c>
      <c r="D6438" t="s">
        <v>20</v>
      </c>
      <c r="E6438" t="s">
        <v>11</v>
      </c>
      <c r="F6438">
        <v>70300.098</v>
      </c>
      <c r="G6438">
        <v>18</v>
      </c>
      <c r="L6438" t="s">
        <v>17208</v>
      </c>
    </row>
    <row r="6439" spans="1:12" x14ac:dyDescent="0.25">
      <c r="A6439" t="s">
        <v>18</v>
      </c>
      <c r="B6439" t="s">
        <v>17208</v>
      </c>
      <c r="C6439" t="s">
        <v>17209</v>
      </c>
      <c r="D6439" t="s">
        <v>20</v>
      </c>
      <c r="E6439" t="s">
        <v>11</v>
      </c>
      <c r="F6439">
        <v>112401.828</v>
      </c>
      <c r="G6439">
        <v>18</v>
      </c>
      <c r="L6439" t="s">
        <v>17210</v>
      </c>
    </row>
    <row r="6440" spans="1:12" x14ac:dyDescent="0.25">
      <c r="A6440" t="s">
        <v>18</v>
      </c>
      <c r="B6440" t="s">
        <v>17210</v>
      </c>
      <c r="C6440" t="s">
        <v>17211</v>
      </c>
      <c r="D6440" t="s">
        <v>20</v>
      </c>
      <c r="E6440" t="s">
        <v>11</v>
      </c>
      <c r="F6440">
        <v>131592.384</v>
      </c>
      <c r="G6440">
        <v>18</v>
      </c>
      <c r="L6440" t="s">
        <v>17212</v>
      </c>
    </row>
    <row r="6441" spans="1:12" x14ac:dyDescent="0.25">
      <c r="A6441" t="s">
        <v>18</v>
      </c>
      <c r="B6441" t="s">
        <v>17212</v>
      </c>
      <c r="C6441" t="s">
        <v>17213</v>
      </c>
      <c r="D6441" t="s">
        <v>20</v>
      </c>
      <c r="E6441" t="s">
        <v>11</v>
      </c>
      <c r="F6441">
        <v>82375.788</v>
      </c>
      <c r="G6441">
        <v>18</v>
      </c>
      <c r="L6441" t="s">
        <v>17214</v>
      </c>
    </row>
    <row r="6442" spans="1:12" x14ac:dyDescent="0.25">
      <c r="A6442" t="s">
        <v>18</v>
      </c>
      <c r="B6442" t="s">
        <v>17214</v>
      </c>
      <c r="C6442" t="s">
        <v>17215</v>
      </c>
      <c r="D6442" t="s">
        <v>20</v>
      </c>
      <c r="E6442" t="s">
        <v>11</v>
      </c>
      <c r="F6442">
        <v>91253.05200000001</v>
      </c>
      <c r="G6442">
        <v>18</v>
      </c>
      <c r="L6442" t="s">
        <v>17216</v>
      </c>
    </row>
    <row r="6443" spans="1:12" x14ac:dyDescent="0.25">
      <c r="A6443" t="s">
        <v>18</v>
      </c>
      <c r="B6443" t="s">
        <v>17216</v>
      </c>
      <c r="C6443" t="s">
        <v>17217</v>
      </c>
      <c r="D6443" t="s">
        <v>20</v>
      </c>
      <c r="E6443" t="s">
        <v>11</v>
      </c>
      <c r="F6443">
        <v>59007.696</v>
      </c>
      <c r="G6443">
        <v>18</v>
      </c>
      <c r="L6443" t="s">
        <v>17218</v>
      </c>
    </row>
    <row r="6444" spans="1:12" x14ac:dyDescent="0.25">
      <c r="A6444" t="s">
        <v>18</v>
      </c>
      <c r="B6444" t="s">
        <v>17218</v>
      </c>
      <c r="C6444" t="s">
        <v>17219</v>
      </c>
      <c r="D6444" t="s">
        <v>20</v>
      </c>
      <c r="E6444" t="s">
        <v>11</v>
      </c>
      <c r="F6444">
        <v>72584.688</v>
      </c>
      <c r="G6444">
        <v>18</v>
      </c>
      <c r="L6444" t="s">
        <v>17220</v>
      </c>
    </row>
    <row r="6445" spans="1:12" x14ac:dyDescent="0.25">
      <c r="A6445" t="s">
        <v>18</v>
      </c>
      <c r="B6445" t="s">
        <v>17220</v>
      </c>
      <c r="C6445" t="s">
        <v>17221</v>
      </c>
      <c r="D6445" t="s">
        <v>20</v>
      </c>
      <c r="E6445" t="s">
        <v>11</v>
      </c>
      <c r="F6445">
        <v>42819.744</v>
      </c>
      <c r="G6445">
        <v>18</v>
      </c>
      <c r="L6445" t="s">
        <v>17222</v>
      </c>
    </row>
    <row r="6446" spans="1:12" x14ac:dyDescent="0.25">
      <c r="A6446" t="s">
        <v>18</v>
      </c>
      <c r="B6446" t="s">
        <v>17222</v>
      </c>
      <c r="C6446" t="s">
        <v>17223</v>
      </c>
      <c r="D6446" t="s">
        <v>20</v>
      </c>
      <c r="E6446" t="s">
        <v>11</v>
      </c>
      <c r="F6446">
        <v>1566.5759999999998</v>
      </c>
      <c r="G6446">
        <v>18</v>
      </c>
      <c r="L6446" t="s">
        <v>17224</v>
      </c>
    </row>
    <row r="6447" spans="1:12" x14ac:dyDescent="0.25">
      <c r="A6447" t="s">
        <v>18</v>
      </c>
      <c r="B6447" t="s">
        <v>17224</v>
      </c>
      <c r="C6447" t="s">
        <v>17225</v>
      </c>
      <c r="D6447" t="s">
        <v>20</v>
      </c>
      <c r="E6447" t="s">
        <v>11</v>
      </c>
      <c r="F6447">
        <v>326.37</v>
      </c>
      <c r="G6447">
        <v>18</v>
      </c>
      <c r="L6447" t="s">
        <v>17226</v>
      </c>
    </row>
    <row r="6448" spans="1:12" x14ac:dyDescent="0.25">
      <c r="A6448" t="s">
        <v>18</v>
      </c>
      <c r="B6448" t="s">
        <v>17226</v>
      </c>
      <c r="C6448" t="s">
        <v>17227</v>
      </c>
      <c r="D6448" t="s">
        <v>20</v>
      </c>
      <c r="E6448" t="s">
        <v>11</v>
      </c>
      <c r="F6448">
        <v>261.096</v>
      </c>
      <c r="G6448">
        <v>18</v>
      </c>
      <c r="L6448" t="s">
        <v>17228</v>
      </c>
    </row>
    <row r="6449" spans="1:12" x14ac:dyDescent="0.25">
      <c r="A6449" t="s">
        <v>18</v>
      </c>
      <c r="B6449" t="s">
        <v>17228</v>
      </c>
      <c r="C6449" t="s">
        <v>17229</v>
      </c>
      <c r="D6449" t="s">
        <v>20</v>
      </c>
      <c r="E6449" t="s">
        <v>11</v>
      </c>
      <c r="F6449">
        <v>195.82199999999997</v>
      </c>
      <c r="G6449">
        <v>18</v>
      </c>
      <c r="L6449" t="s">
        <v>17230</v>
      </c>
    </row>
    <row r="6450" spans="1:12" x14ac:dyDescent="0.25">
      <c r="A6450" t="s">
        <v>18</v>
      </c>
      <c r="B6450" t="s">
        <v>17230</v>
      </c>
      <c r="C6450" t="s">
        <v>17231</v>
      </c>
      <c r="D6450" t="s">
        <v>20</v>
      </c>
      <c r="E6450" t="s">
        <v>11</v>
      </c>
      <c r="F6450">
        <v>1109.658</v>
      </c>
      <c r="G6450">
        <v>18</v>
      </c>
      <c r="L6450" t="s">
        <v>17232</v>
      </c>
    </row>
    <row r="6451" spans="1:12" x14ac:dyDescent="0.25">
      <c r="A6451" t="s">
        <v>18</v>
      </c>
      <c r="B6451" t="s">
        <v>17232</v>
      </c>
      <c r="C6451" t="s">
        <v>17233</v>
      </c>
      <c r="D6451" t="s">
        <v>20</v>
      </c>
      <c r="E6451" t="s">
        <v>11</v>
      </c>
      <c r="F6451">
        <v>261.096</v>
      </c>
      <c r="G6451">
        <v>18</v>
      </c>
      <c r="L6451" t="s">
        <v>17234</v>
      </c>
    </row>
    <row r="6452" spans="1:12" x14ac:dyDescent="0.25">
      <c r="A6452" t="s">
        <v>18</v>
      </c>
      <c r="B6452" t="s">
        <v>17234</v>
      </c>
      <c r="C6452" t="s">
        <v>17235</v>
      </c>
      <c r="D6452" t="s">
        <v>20</v>
      </c>
      <c r="E6452" t="s">
        <v>11</v>
      </c>
      <c r="F6452">
        <v>65.274</v>
      </c>
      <c r="G6452">
        <v>18</v>
      </c>
      <c r="L6452" t="s">
        <v>17236</v>
      </c>
    </row>
    <row r="6453" spans="1:12" x14ac:dyDescent="0.25">
      <c r="A6453" t="s">
        <v>18</v>
      </c>
      <c r="B6453" t="s">
        <v>17236</v>
      </c>
      <c r="C6453" t="s">
        <v>17237</v>
      </c>
      <c r="D6453" t="s">
        <v>20</v>
      </c>
      <c r="E6453" t="s">
        <v>11</v>
      </c>
      <c r="F6453">
        <v>65.274</v>
      </c>
      <c r="G6453">
        <v>18</v>
      </c>
      <c r="L6453" t="s">
        <v>17238</v>
      </c>
    </row>
    <row r="6454" spans="1:12" x14ac:dyDescent="0.25">
      <c r="A6454" t="s">
        <v>18</v>
      </c>
      <c r="B6454" t="s">
        <v>17238</v>
      </c>
      <c r="C6454" t="s">
        <v>17239</v>
      </c>
      <c r="D6454" t="s">
        <v>20</v>
      </c>
      <c r="E6454" t="s">
        <v>11</v>
      </c>
      <c r="F6454">
        <v>65.274</v>
      </c>
      <c r="G6454">
        <v>18</v>
      </c>
      <c r="L6454" t="s">
        <v>17240</v>
      </c>
    </row>
    <row r="6455" spans="1:12" x14ac:dyDescent="0.25">
      <c r="A6455" t="s">
        <v>18</v>
      </c>
      <c r="B6455" t="s">
        <v>17240</v>
      </c>
      <c r="C6455" t="s">
        <v>17241</v>
      </c>
      <c r="D6455" t="s">
        <v>20</v>
      </c>
      <c r="E6455" t="s">
        <v>11</v>
      </c>
      <c r="F6455">
        <v>65.274</v>
      </c>
      <c r="G6455">
        <v>18</v>
      </c>
      <c r="L6455" t="s">
        <v>17242</v>
      </c>
    </row>
    <row r="6456" spans="1:12" x14ac:dyDescent="0.25">
      <c r="A6456" t="s">
        <v>18</v>
      </c>
      <c r="B6456" t="s">
        <v>17242</v>
      </c>
      <c r="C6456" t="s">
        <v>17243</v>
      </c>
      <c r="D6456" t="s">
        <v>20</v>
      </c>
      <c r="E6456" t="s">
        <v>11</v>
      </c>
      <c r="F6456">
        <v>65.274</v>
      </c>
      <c r="G6456">
        <v>18</v>
      </c>
      <c r="L6456" t="s">
        <v>17244</v>
      </c>
    </row>
    <row r="6457" spans="1:12" x14ac:dyDescent="0.25">
      <c r="A6457" t="s">
        <v>18</v>
      </c>
      <c r="B6457" t="s">
        <v>17244</v>
      </c>
      <c r="C6457" t="s">
        <v>17245</v>
      </c>
      <c r="D6457" t="s">
        <v>20</v>
      </c>
      <c r="E6457" t="s">
        <v>11</v>
      </c>
      <c r="F6457">
        <v>65.274</v>
      </c>
      <c r="G6457">
        <v>18</v>
      </c>
      <c r="L6457" t="s">
        <v>17246</v>
      </c>
    </row>
    <row r="6458" spans="1:12" x14ac:dyDescent="0.25">
      <c r="A6458" t="s">
        <v>18</v>
      </c>
      <c r="B6458" t="s">
        <v>17246</v>
      </c>
      <c r="C6458" t="s">
        <v>17247</v>
      </c>
      <c r="D6458" t="s">
        <v>20</v>
      </c>
      <c r="E6458" t="s">
        <v>11</v>
      </c>
      <c r="F6458">
        <v>65.274</v>
      </c>
      <c r="G6458">
        <v>18</v>
      </c>
      <c r="L6458" t="s">
        <v>17248</v>
      </c>
    </row>
    <row r="6459" spans="1:12" x14ac:dyDescent="0.25">
      <c r="A6459" t="s">
        <v>18</v>
      </c>
      <c r="B6459" t="s">
        <v>17248</v>
      </c>
      <c r="C6459" t="s">
        <v>17249</v>
      </c>
      <c r="D6459" t="s">
        <v>20</v>
      </c>
      <c r="E6459" t="s">
        <v>11</v>
      </c>
      <c r="F6459">
        <v>65.274</v>
      </c>
      <c r="G6459">
        <v>18</v>
      </c>
      <c r="L6459" t="s">
        <v>17250</v>
      </c>
    </row>
    <row r="6460" spans="1:12" x14ac:dyDescent="0.25">
      <c r="A6460" t="s">
        <v>18</v>
      </c>
      <c r="B6460" t="s">
        <v>17250</v>
      </c>
      <c r="C6460" t="s">
        <v>17251</v>
      </c>
      <c r="D6460" t="s">
        <v>20</v>
      </c>
      <c r="E6460" t="s">
        <v>11</v>
      </c>
      <c r="F6460">
        <v>783.2879999999999</v>
      </c>
      <c r="G6460">
        <v>18</v>
      </c>
      <c r="L6460" t="s">
        <v>17252</v>
      </c>
    </row>
    <row r="6461" spans="1:12" x14ac:dyDescent="0.25">
      <c r="A6461" t="s">
        <v>18</v>
      </c>
      <c r="B6461" t="s">
        <v>17252</v>
      </c>
      <c r="C6461" t="s">
        <v>17253</v>
      </c>
      <c r="D6461" t="s">
        <v>20</v>
      </c>
      <c r="E6461" t="s">
        <v>11</v>
      </c>
      <c r="F6461">
        <v>1109.658</v>
      </c>
      <c r="G6461">
        <v>18</v>
      </c>
      <c r="L6461" t="s">
        <v>17254</v>
      </c>
    </row>
    <row r="6462" spans="1:12" x14ac:dyDescent="0.25">
      <c r="A6462" t="s">
        <v>18</v>
      </c>
      <c r="B6462" t="s">
        <v>17254</v>
      </c>
      <c r="C6462" t="s">
        <v>17255</v>
      </c>
      <c r="D6462" t="s">
        <v>20</v>
      </c>
      <c r="E6462" t="s">
        <v>11</v>
      </c>
      <c r="F6462">
        <v>3981.714</v>
      </c>
      <c r="G6462">
        <v>18</v>
      </c>
      <c r="L6462" t="s">
        <v>17256</v>
      </c>
    </row>
    <row r="6463" spans="1:12" x14ac:dyDescent="0.25">
      <c r="A6463" t="s">
        <v>18</v>
      </c>
      <c r="B6463" t="s">
        <v>17256</v>
      </c>
      <c r="C6463" t="s">
        <v>17257</v>
      </c>
      <c r="D6463" t="s">
        <v>20</v>
      </c>
      <c r="E6463" t="s">
        <v>11</v>
      </c>
      <c r="F6463">
        <v>848.5619999999999</v>
      </c>
      <c r="G6463">
        <v>18</v>
      </c>
      <c r="L6463" t="s">
        <v>17258</v>
      </c>
    </row>
    <row r="6464" spans="1:12" x14ac:dyDescent="0.25">
      <c r="A6464" t="s">
        <v>18</v>
      </c>
      <c r="B6464" t="s">
        <v>17258</v>
      </c>
      <c r="C6464" t="s">
        <v>17259</v>
      </c>
      <c r="D6464" t="s">
        <v>20</v>
      </c>
      <c r="E6464" t="s">
        <v>11</v>
      </c>
      <c r="F6464">
        <v>522.192</v>
      </c>
      <c r="G6464">
        <v>18</v>
      </c>
      <c r="L6464" t="s">
        <v>17260</v>
      </c>
    </row>
    <row r="6465" spans="1:12" x14ac:dyDescent="0.25">
      <c r="A6465" t="s">
        <v>18</v>
      </c>
      <c r="B6465" t="s">
        <v>17260</v>
      </c>
      <c r="C6465" t="s">
        <v>17261</v>
      </c>
      <c r="D6465" t="s">
        <v>20</v>
      </c>
      <c r="E6465" t="s">
        <v>11</v>
      </c>
      <c r="F6465">
        <v>587.4659999999999</v>
      </c>
      <c r="G6465">
        <v>18</v>
      </c>
      <c r="L6465" t="s">
        <v>17262</v>
      </c>
    </row>
    <row r="6466" spans="1:12" x14ac:dyDescent="0.25">
      <c r="A6466" t="s">
        <v>18</v>
      </c>
      <c r="B6466" t="s">
        <v>17262</v>
      </c>
      <c r="C6466" t="s">
        <v>17263</v>
      </c>
      <c r="D6466" t="s">
        <v>20</v>
      </c>
      <c r="E6466" t="s">
        <v>11</v>
      </c>
      <c r="F6466">
        <v>19582.2</v>
      </c>
      <c r="G6466">
        <v>18</v>
      </c>
      <c r="L6466" t="s">
        <v>17264</v>
      </c>
    </row>
    <row r="6467" spans="1:12" x14ac:dyDescent="0.25">
      <c r="A6467" t="s">
        <v>18</v>
      </c>
      <c r="B6467" t="s">
        <v>17264</v>
      </c>
      <c r="C6467" t="s">
        <v>17265</v>
      </c>
      <c r="D6467" t="s">
        <v>20</v>
      </c>
      <c r="E6467" t="s">
        <v>11</v>
      </c>
      <c r="F6467">
        <v>20169.665999999997</v>
      </c>
      <c r="G6467">
        <v>18</v>
      </c>
      <c r="L6467" t="s">
        <v>17266</v>
      </c>
    </row>
    <row r="6468" spans="1:12" x14ac:dyDescent="0.25">
      <c r="A6468" t="s">
        <v>18</v>
      </c>
      <c r="B6468" t="s">
        <v>17266</v>
      </c>
      <c r="C6468" t="s">
        <v>17267</v>
      </c>
      <c r="D6468" t="s">
        <v>20</v>
      </c>
      <c r="E6468" t="s">
        <v>11</v>
      </c>
      <c r="F6468">
        <v>17232.336</v>
      </c>
      <c r="G6468">
        <v>18</v>
      </c>
      <c r="L6468" t="s">
        <v>17268</v>
      </c>
    </row>
    <row r="6469" spans="1:12" x14ac:dyDescent="0.25">
      <c r="A6469" t="s">
        <v>18</v>
      </c>
      <c r="B6469" t="s">
        <v>17268</v>
      </c>
      <c r="C6469" t="s">
        <v>17269</v>
      </c>
      <c r="D6469" t="s">
        <v>20</v>
      </c>
      <c r="E6469" t="s">
        <v>11</v>
      </c>
      <c r="F6469">
        <v>718.014</v>
      </c>
      <c r="G6469">
        <v>18</v>
      </c>
      <c r="L6469" t="s">
        <v>17270</v>
      </c>
    </row>
    <row r="6470" spans="1:12" x14ac:dyDescent="0.25">
      <c r="A6470" t="s">
        <v>18</v>
      </c>
      <c r="B6470" t="s">
        <v>17270</v>
      </c>
      <c r="C6470" t="s">
        <v>17271</v>
      </c>
      <c r="D6470" t="s">
        <v>20</v>
      </c>
      <c r="E6470" t="s">
        <v>11</v>
      </c>
      <c r="F6470">
        <v>326.37</v>
      </c>
      <c r="G6470">
        <v>18</v>
      </c>
      <c r="L6470" t="s">
        <v>17272</v>
      </c>
    </row>
    <row r="6471" spans="1:12" x14ac:dyDescent="0.25">
      <c r="A6471" t="s">
        <v>18</v>
      </c>
      <c r="B6471" t="s">
        <v>17272</v>
      </c>
      <c r="C6471" t="s">
        <v>17273</v>
      </c>
      <c r="D6471" t="s">
        <v>20</v>
      </c>
      <c r="E6471" t="s">
        <v>11</v>
      </c>
      <c r="F6471">
        <v>5678.838</v>
      </c>
      <c r="G6471">
        <v>18</v>
      </c>
      <c r="L6471" t="s">
        <v>17274</v>
      </c>
    </row>
    <row r="6472" spans="1:12" x14ac:dyDescent="0.25">
      <c r="A6472" t="s">
        <v>18</v>
      </c>
      <c r="B6472" t="s">
        <v>17274</v>
      </c>
      <c r="C6472" t="s">
        <v>17275</v>
      </c>
      <c r="D6472" t="s">
        <v>20</v>
      </c>
      <c r="E6472" t="s">
        <v>11</v>
      </c>
      <c r="F6472">
        <v>391.64399999999995</v>
      </c>
      <c r="G6472">
        <v>18</v>
      </c>
      <c r="L6472" t="s">
        <v>17276</v>
      </c>
    </row>
    <row r="6473" spans="1:12" x14ac:dyDescent="0.25">
      <c r="A6473" t="s">
        <v>18</v>
      </c>
      <c r="B6473" t="s">
        <v>17276</v>
      </c>
      <c r="C6473" t="s">
        <v>17277</v>
      </c>
      <c r="D6473" t="s">
        <v>20</v>
      </c>
      <c r="E6473" t="s">
        <v>11</v>
      </c>
      <c r="F6473">
        <v>195.82199999999997</v>
      </c>
      <c r="G6473">
        <v>18</v>
      </c>
      <c r="L6473" t="s">
        <v>17278</v>
      </c>
    </row>
    <row r="6474" spans="1:12" x14ac:dyDescent="0.25">
      <c r="A6474" t="s">
        <v>18</v>
      </c>
      <c r="B6474" t="s">
        <v>17278</v>
      </c>
      <c r="C6474" t="s">
        <v>17279</v>
      </c>
      <c r="D6474" t="s">
        <v>20</v>
      </c>
      <c r="E6474" t="s">
        <v>11</v>
      </c>
      <c r="F6474">
        <v>261.096</v>
      </c>
      <c r="G6474">
        <v>18</v>
      </c>
      <c r="L6474" t="s">
        <v>17280</v>
      </c>
    </row>
    <row r="6475" spans="1:12" x14ac:dyDescent="0.25">
      <c r="A6475" t="s">
        <v>18</v>
      </c>
      <c r="B6475" t="s">
        <v>17280</v>
      </c>
      <c r="C6475" t="s">
        <v>17281</v>
      </c>
      <c r="D6475" t="s">
        <v>20</v>
      </c>
      <c r="E6475" t="s">
        <v>11</v>
      </c>
      <c r="F6475">
        <v>9921.648000000001</v>
      </c>
      <c r="G6475">
        <v>18</v>
      </c>
      <c r="L6475" t="s">
        <v>17282</v>
      </c>
    </row>
    <row r="6476" spans="1:12" x14ac:dyDescent="0.25">
      <c r="A6476" t="s">
        <v>18</v>
      </c>
      <c r="B6476" t="s">
        <v>17282</v>
      </c>
      <c r="C6476" t="s">
        <v>17283</v>
      </c>
      <c r="D6476" t="s">
        <v>20</v>
      </c>
      <c r="E6476" t="s">
        <v>11</v>
      </c>
      <c r="F6476">
        <v>7310.688</v>
      </c>
      <c r="G6476">
        <v>18</v>
      </c>
      <c r="L6476" t="s">
        <v>17284</v>
      </c>
    </row>
    <row r="6477" spans="1:12" x14ac:dyDescent="0.25">
      <c r="A6477" t="s">
        <v>18</v>
      </c>
      <c r="B6477" t="s">
        <v>17284</v>
      </c>
      <c r="C6477" t="s">
        <v>17285</v>
      </c>
      <c r="D6477" t="s">
        <v>20</v>
      </c>
      <c r="E6477" t="s">
        <v>11</v>
      </c>
      <c r="F6477">
        <v>2480.4120000000003</v>
      </c>
      <c r="G6477">
        <v>18</v>
      </c>
      <c r="L6477" t="s">
        <v>17286</v>
      </c>
    </row>
    <row r="6478" spans="1:12" x14ac:dyDescent="0.25">
      <c r="A6478" t="s">
        <v>18</v>
      </c>
      <c r="B6478" t="s">
        <v>17286</v>
      </c>
      <c r="C6478" t="s">
        <v>17287</v>
      </c>
      <c r="D6478" t="s">
        <v>20</v>
      </c>
      <c r="E6478" t="s">
        <v>11</v>
      </c>
      <c r="F6478">
        <v>130.548</v>
      </c>
      <c r="G6478">
        <v>18</v>
      </c>
      <c r="L6478" t="s">
        <v>17288</v>
      </c>
    </row>
    <row r="6479" spans="1:12" x14ac:dyDescent="0.25">
      <c r="A6479" t="s">
        <v>18</v>
      </c>
      <c r="B6479" t="s">
        <v>17288</v>
      </c>
      <c r="C6479" t="s">
        <v>17289</v>
      </c>
      <c r="D6479" t="s">
        <v>20</v>
      </c>
      <c r="E6479" t="s">
        <v>11</v>
      </c>
      <c r="F6479">
        <v>25913.778</v>
      </c>
      <c r="G6479">
        <v>18</v>
      </c>
      <c r="L6479" t="s">
        <v>17290</v>
      </c>
    </row>
    <row r="6480" spans="1:12" x14ac:dyDescent="0.25">
      <c r="A6480" t="s">
        <v>18</v>
      </c>
      <c r="B6480" t="s">
        <v>17290</v>
      </c>
      <c r="C6480" t="s">
        <v>17291</v>
      </c>
      <c r="D6480" t="s">
        <v>20</v>
      </c>
      <c r="E6480" t="s">
        <v>11</v>
      </c>
      <c r="F6480">
        <v>25913.778</v>
      </c>
      <c r="G6480">
        <v>18</v>
      </c>
      <c r="L6480" t="s">
        <v>17292</v>
      </c>
    </row>
    <row r="6481" spans="1:12" x14ac:dyDescent="0.25">
      <c r="A6481" t="s">
        <v>18</v>
      </c>
      <c r="B6481" t="s">
        <v>17292</v>
      </c>
      <c r="C6481" t="s">
        <v>17293</v>
      </c>
      <c r="D6481" t="s">
        <v>20</v>
      </c>
      <c r="E6481" t="s">
        <v>11</v>
      </c>
      <c r="F6481">
        <v>25913.778</v>
      </c>
      <c r="G6481">
        <v>18</v>
      </c>
      <c r="L6481" t="s">
        <v>17294</v>
      </c>
    </row>
    <row r="6482" spans="1:12" x14ac:dyDescent="0.25">
      <c r="A6482" t="s">
        <v>18</v>
      </c>
      <c r="B6482" t="s">
        <v>17294</v>
      </c>
      <c r="C6482" t="s">
        <v>17295</v>
      </c>
      <c r="D6482" t="s">
        <v>20</v>
      </c>
      <c r="E6482" t="s">
        <v>11</v>
      </c>
      <c r="F6482">
        <v>27610.902000000002</v>
      </c>
      <c r="G6482">
        <v>18</v>
      </c>
      <c r="L6482" t="s">
        <v>17296</v>
      </c>
    </row>
    <row r="6483" spans="1:12" x14ac:dyDescent="0.25">
      <c r="A6483" t="s">
        <v>18</v>
      </c>
      <c r="B6483" t="s">
        <v>17296</v>
      </c>
      <c r="C6483" t="s">
        <v>17297</v>
      </c>
      <c r="D6483" t="s">
        <v>20</v>
      </c>
      <c r="E6483" t="s">
        <v>11</v>
      </c>
      <c r="F6483">
        <v>27610.902000000002</v>
      </c>
      <c r="G6483">
        <v>18</v>
      </c>
      <c r="L6483" t="s">
        <v>17298</v>
      </c>
    </row>
    <row r="6484" spans="1:12" x14ac:dyDescent="0.25">
      <c r="A6484" t="s">
        <v>18</v>
      </c>
      <c r="B6484" t="s">
        <v>17298</v>
      </c>
      <c r="C6484" t="s">
        <v>17299</v>
      </c>
      <c r="D6484" t="s">
        <v>20</v>
      </c>
      <c r="E6484" t="s">
        <v>11</v>
      </c>
      <c r="F6484">
        <v>31788.438000000002</v>
      </c>
      <c r="G6484">
        <v>18</v>
      </c>
      <c r="L6484" t="s">
        <v>17300</v>
      </c>
    </row>
    <row r="6485" spans="1:12" x14ac:dyDescent="0.25">
      <c r="A6485" t="s">
        <v>18</v>
      </c>
      <c r="B6485" t="s">
        <v>17300</v>
      </c>
      <c r="C6485" t="s">
        <v>17301</v>
      </c>
      <c r="D6485" t="s">
        <v>20</v>
      </c>
      <c r="E6485" t="s">
        <v>11</v>
      </c>
      <c r="F6485">
        <v>25913.778</v>
      </c>
      <c r="G6485">
        <v>18</v>
      </c>
      <c r="L6485" t="s">
        <v>17302</v>
      </c>
    </row>
    <row r="6486" spans="1:12" x14ac:dyDescent="0.25">
      <c r="A6486" t="s">
        <v>18</v>
      </c>
      <c r="B6486" t="s">
        <v>17302</v>
      </c>
      <c r="C6486" t="s">
        <v>17303</v>
      </c>
      <c r="D6486" t="s">
        <v>20</v>
      </c>
      <c r="E6486" t="s">
        <v>11</v>
      </c>
      <c r="F6486">
        <v>25913.778</v>
      </c>
      <c r="G6486">
        <v>18</v>
      </c>
      <c r="L6486" t="s">
        <v>17304</v>
      </c>
    </row>
    <row r="6487" spans="1:12" x14ac:dyDescent="0.25">
      <c r="A6487" t="s">
        <v>18</v>
      </c>
      <c r="B6487" t="s">
        <v>17304</v>
      </c>
      <c r="C6487" t="s">
        <v>17305</v>
      </c>
      <c r="D6487" t="s">
        <v>20</v>
      </c>
      <c r="E6487" t="s">
        <v>11</v>
      </c>
      <c r="F6487">
        <v>25913.778</v>
      </c>
      <c r="G6487">
        <v>18</v>
      </c>
      <c r="L6487" t="s">
        <v>17306</v>
      </c>
    </row>
    <row r="6488" spans="1:12" x14ac:dyDescent="0.25">
      <c r="A6488" t="s">
        <v>18</v>
      </c>
      <c r="B6488" t="s">
        <v>17306</v>
      </c>
      <c r="C6488" t="s">
        <v>17307</v>
      </c>
      <c r="D6488" t="s">
        <v>20</v>
      </c>
      <c r="E6488" t="s">
        <v>11</v>
      </c>
      <c r="F6488">
        <v>27610.902000000002</v>
      </c>
      <c r="G6488">
        <v>18</v>
      </c>
      <c r="L6488" t="s">
        <v>17308</v>
      </c>
    </row>
    <row r="6489" spans="1:12" x14ac:dyDescent="0.25">
      <c r="A6489" t="s">
        <v>18</v>
      </c>
      <c r="B6489" t="s">
        <v>17308</v>
      </c>
      <c r="C6489" t="s">
        <v>17309</v>
      </c>
      <c r="D6489" t="s">
        <v>20</v>
      </c>
      <c r="E6489" t="s">
        <v>11</v>
      </c>
      <c r="F6489">
        <v>27610.902000000002</v>
      </c>
      <c r="G6489">
        <v>18</v>
      </c>
      <c r="L6489" t="s">
        <v>17310</v>
      </c>
    </row>
    <row r="6490" spans="1:12" x14ac:dyDescent="0.25">
      <c r="A6490" t="s">
        <v>18</v>
      </c>
      <c r="B6490" t="s">
        <v>17310</v>
      </c>
      <c r="C6490" t="s">
        <v>17311</v>
      </c>
      <c r="D6490" t="s">
        <v>20</v>
      </c>
      <c r="E6490" t="s">
        <v>11</v>
      </c>
      <c r="F6490">
        <v>31788.438000000002</v>
      </c>
      <c r="G6490">
        <v>18</v>
      </c>
      <c r="L6490" t="s">
        <v>17312</v>
      </c>
    </row>
    <row r="6491" spans="1:12" x14ac:dyDescent="0.25">
      <c r="A6491" t="s">
        <v>18</v>
      </c>
      <c r="B6491" t="s">
        <v>17312</v>
      </c>
      <c r="C6491" t="s">
        <v>17313</v>
      </c>
      <c r="D6491" t="s">
        <v>20</v>
      </c>
      <c r="E6491" t="s">
        <v>11</v>
      </c>
      <c r="F6491">
        <v>41187.894</v>
      </c>
      <c r="G6491">
        <v>18</v>
      </c>
      <c r="L6491" t="s">
        <v>17314</v>
      </c>
    </row>
    <row r="6492" spans="1:12" x14ac:dyDescent="0.25">
      <c r="A6492" t="s">
        <v>18</v>
      </c>
      <c r="B6492" t="s">
        <v>17314</v>
      </c>
      <c r="C6492" t="s">
        <v>17315</v>
      </c>
      <c r="D6492" t="s">
        <v>20</v>
      </c>
      <c r="E6492" t="s">
        <v>11</v>
      </c>
      <c r="F6492">
        <v>41187.894</v>
      </c>
      <c r="G6492">
        <v>18</v>
      </c>
      <c r="L6492" t="s">
        <v>17316</v>
      </c>
    </row>
    <row r="6493" spans="1:12" x14ac:dyDescent="0.25">
      <c r="A6493" t="s">
        <v>18</v>
      </c>
      <c r="B6493" t="s">
        <v>17316</v>
      </c>
      <c r="C6493" t="s">
        <v>17317</v>
      </c>
      <c r="D6493" t="s">
        <v>20</v>
      </c>
      <c r="E6493" t="s">
        <v>11</v>
      </c>
      <c r="F6493">
        <v>46932.006</v>
      </c>
      <c r="G6493">
        <v>18</v>
      </c>
      <c r="L6493" t="s">
        <v>17318</v>
      </c>
    </row>
    <row r="6494" spans="1:12" x14ac:dyDescent="0.25">
      <c r="A6494" t="s">
        <v>18</v>
      </c>
      <c r="B6494" t="s">
        <v>17318</v>
      </c>
      <c r="C6494" t="s">
        <v>17319</v>
      </c>
      <c r="D6494" t="s">
        <v>20</v>
      </c>
      <c r="E6494" t="s">
        <v>11</v>
      </c>
      <c r="F6494">
        <v>3524.7960000000003</v>
      </c>
      <c r="G6494">
        <v>18</v>
      </c>
      <c r="L6494" t="s">
        <v>17320</v>
      </c>
    </row>
    <row r="6495" spans="1:12" x14ac:dyDescent="0.25">
      <c r="A6495" t="s">
        <v>18</v>
      </c>
      <c r="B6495" t="s">
        <v>17320</v>
      </c>
      <c r="C6495" t="s">
        <v>17321</v>
      </c>
      <c r="D6495" t="s">
        <v>20</v>
      </c>
      <c r="E6495" t="s">
        <v>11</v>
      </c>
      <c r="F6495">
        <v>3590.0699999999997</v>
      </c>
      <c r="G6495">
        <v>18</v>
      </c>
      <c r="L6495" t="s">
        <v>17322</v>
      </c>
    </row>
    <row r="6496" spans="1:12" x14ac:dyDescent="0.25">
      <c r="A6496" t="s">
        <v>18</v>
      </c>
      <c r="B6496" t="s">
        <v>17322</v>
      </c>
      <c r="C6496" t="s">
        <v>17323</v>
      </c>
      <c r="D6496" t="s">
        <v>20</v>
      </c>
      <c r="E6496" t="s">
        <v>11</v>
      </c>
      <c r="F6496">
        <v>195.82199999999997</v>
      </c>
      <c r="G6496">
        <v>18</v>
      </c>
      <c r="L6496" t="s">
        <v>17324</v>
      </c>
    </row>
    <row r="6497" spans="1:12" x14ac:dyDescent="0.25">
      <c r="A6497" t="s">
        <v>18</v>
      </c>
      <c r="B6497" t="s">
        <v>17324</v>
      </c>
      <c r="C6497" t="s">
        <v>17325</v>
      </c>
      <c r="D6497" t="s">
        <v>20</v>
      </c>
      <c r="E6497" t="s">
        <v>11</v>
      </c>
      <c r="F6497">
        <v>195.82199999999997</v>
      </c>
      <c r="G6497">
        <v>18</v>
      </c>
      <c r="L6497" t="s">
        <v>17326</v>
      </c>
    </row>
    <row r="6498" spans="1:12" x14ac:dyDescent="0.25">
      <c r="A6498" t="s">
        <v>18</v>
      </c>
      <c r="B6498" t="s">
        <v>17326</v>
      </c>
      <c r="C6498" t="s">
        <v>17327</v>
      </c>
      <c r="D6498" t="s">
        <v>20</v>
      </c>
      <c r="E6498" t="s">
        <v>11</v>
      </c>
      <c r="F6498">
        <v>49869.336</v>
      </c>
      <c r="G6498">
        <v>18</v>
      </c>
      <c r="L6498" t="s">
        <v>17328</v>
      </c>
    </row>
    <row r="6499" spans="1:12" x14ac:dyDescent="0.25">
      <c r="A6499" t="s">
        <v>18</v>
      </c>
      <c r="B6499" t="s">
        <v>17328</v>
      </c>
      <c r="C6499" t="s">
        <v>17329</v>
      </c>
      <c r="D6499" t="s">
        <v>20</v>
      </c>
      <c r="E6499" t="s">
        <v>11</v>
      </c>
      <c r="F6499">
        <v>5874.660000000001</v>
      </c>
      <c r="G6499">
        <v>18</v>
      </c>
      <c r="L6499" t="s">
        <v>17330</v>
      </c>
    </row>
    <row r="6500" spans="1:12" x14ac:dyDescent="0.25">
      <c r="A6500" t="s">
        <v>18</v>
      </c>
      <c r="B6500" t="s">
        <v>17330</v>
      </c>
      <c r="C6500" t="s">
        <v>17331</v>
      </c>
      <c r="D6500" t="s">
        <v>20</v>
      </c>
      <c r="E6500" t="s">
        <v>11</v>
      </c>
      <c r="F6500">
        <v>6592.673999999999</v>
      </c>
      <c r="G6500">
        <v>18</v>
      </c>
      <c r="L6500" t="s">
        <v>17332</v>
      </c>
    </row>
    <row r="6501" spans="1:12" x14ac:dyDescent="0.25">
      <c r="A6501" t="s">
        <v>18</v>
      </c>
      <c r="B6501" t="s">
        <v>17332</v>
      </c>
      <c r="C6501" t="s">
        <v>10683</v>
      </c>
      <c r="D6501" t="s">
        <v>20</v>
      </c>
      <c r="E6501" t="s">
        <v>11</v>
      </c>
      <c r="F6501">
        <v>573.8039999999999</v>
      </c>
      <c r="G6501">
        <v>18</v>
      </c>
      <c r="L6501" t="s">
        <v>17333</v>
      </c>
    </row>
    <row r="6502" spans="1:12" x14ac:dyDescent="0.25">
      <c r="A6502" t="s">
        <v>18</v>
      </c>
      <c r="B6502" t="s">
        <v>17333</v>
      </c>
      <c r="C6502" t="s">
        <v>17334</v>
      </c>
      <c r="D6502" t="s">
        <v>20</v>
      </c>
      <c r="E6502" t="s">
        <v>11</v>
      </c>
      <c r="F6502">
        <v>391.64399999999995</v>
      </c>
      <c r="G6502">
        <v>18</v>
      </c>
      <c r="L6502" t="s">
        <v>17335</v>
      </c>
    </row>
    <row r="6503" spans="1:12" x14ac:dyDescent="0.25">
      <c r="A6503" t="s">
        <v>18</v>
      </c>
      <c r="B6503" t="s">
        <v>17335</v>
      </c>
      <c r="C6503" t="s">
        <v>17336</v>
      </c>
      <c r="D6503" t="s">
        <v>20</v>
      </c>
      <c r="E6503" t="s">
        <v>11</v>
      </c>
      <c r="F6503">
        <v>391.64399999999995</v>
      </c>
      <c r="G6503">
        <v>18</v>
      </c>
      <c r="L6503" t="s">
        <v>17337</v>
      </c>
    </row>
    <row r="6504" spans="1:12" x14ac:dyDescent="0.25">
      <c r="A6504" t="s">
        <v>18</v>
      </c>
      <c r="B6504" t="s">
        <v>17337</v>
      </c>
      <c r="C6504" t="s">
        <v>17338</v>
      </c>
      <c r="D6504" t="s">
        <v>20</v>
      </c>
      <c r="E6504" t="s">
        <v>11</v>
      </c>
      <c r="F6504">
        <v>652.74</v>
      </c>
      <c r="G6504">
        <v>18</v>
      </c>
      <c r="L6504" t="s">
        <v>17339</v>
      </c>
    </row>
    <row r="6505" spans="1:12" x14ac:dyDescent="0.25">
      <c r="A6505" t="s">
        <v>18</v>
      </c>
      <c r="B6505" t="s">
        <v>17339</v>
      </c>
      <c r="C6505" t="s">
        <v>17340</v>
      </c>
      <c r="D6505" t="s">
        <v>20</v>
      </c>
      <c r="E6505" t="s">
        <v>11</v>
      </c>
      <c r="F6505">
        <v>3328.9739999999997</v>
      </c>
      <c r="G6505">
        <v>18</v>
      </c>
      <c r="L6505" t="s">
        <v>17341</v>
      </c>
    </row>
    <row r="6506" spans="1:12" x14ac:dyDescent="0.25">
      <c r="A6506" t="s">
        <v>18</v>
      </c>
      <c r="B6506" t="s">
        <v>17341</v>
      </c>
      <c r="C6506" t="s">
        <v>17342</v>
      </c>
      <c r="D6506" t="s">
        <v>20</v>
      </c>
      <c r="E6506" t="s">
        <v>11</v>
      </c>
      <c r="F6506">
        <v>2023.494</v>
      </c>
      <c r="G6506">
        <v>18</v>
      </c>
      <c r="L6506" t="s">
        <v>17343</v>
      </c>
    </row>
    <row r="6507" spans="1:12" x14ac:dyDescent="0.25">
      <c r="A6507" t="s">
        <v>18</v>
      </c>
      <c r="B6507" t="s">
        <v>17343</v>
      </c>
      <c r="C6507" t="s">
        <v>17344</v>
      </c>
      <c r="D6507" t="s">
        <v>20</v>
      </c>
      <c r="E6507" t="s">
        <v>11</v>
      </c>
      <c r="F6507">
        <v>261.096</v>
      </c>
      <c r="G6507">
        <v>18</v>
      </c>
      <c r="L6507" t="s">
        <v>17345</v>
      </c>
    </row>
    <row r="6508" spans="1:12" x14ac:dyDescent="0.25">
      <c r="A6508" t="s">
        <v>18</v>
      </c>
      <c r="B6508" t="s">
        <v>17345</v>
      </c>
      <c r="C6508" t="s">
        <v>17346</v>
      </c>
      <c r="D6508" t="s">
        <v>20</v>
      </c>
      <c r="E6508" t="s">
        <v>11</v>
      </c>
      <c r="F6508">
        <v>391.64399999999995</v>
      </c>
      <c r="G6508">
        <v>18</v>
      </c>
      <c r="L6508" t="s">
        <v>17347</v>
      </c>
    </row>
    <row r="6509" spans="1:12" x14ac:dyDescent="0.25">
      <c r="A6509" t="s">
        <v>18</v>
      </c>
      <c r="B6509" t="s">
        <v>17347</v>
      </c>
      <c r="C6509" t="s">
        <v>17348</v>
      </c>
      <c r="D6509" t="s">
        <v>20</v>
      </c>
      <c r="E6509" t="s">
        <v>11</v>
      </c>
      <c r="F6509">
        <v>391.64399999999995</v>
      </c>
      <c r="G6509">
        <v>18</v>
      </c>
      <c r="L6509" t="s">
        <v>17349</v>
      </c>
    </row>
    <row r="6510" spans="1:12" x14ac:dyDescent="0.25">
      <c r="A6510" t="s">
        <v>18</v>
      </c>
      <c r="B6510" t="s">
        <v>17349</v>
      </c>
      <c r="C6510" t="s">
        <v>17350</v>
      </c>
      <c r="D6510" t="s">
        <v>20</v>
      </c>
      <c r="E6510" t="s">
        <v>11</v>
      </c>
      <c r="F6510">
        <v>391.64399999999995</v>
      </c>
      <c r="G6510">
        <v>18</v>
      </c>
      <c r="L6510" t="s">
        <v>17351</v>
      </c>
    </row>
    <row r="6511" spans="1:12" x14ac:dyDescent="0.25">
      <c r="A6511" t="s">
        <v>18</v>
      </c>
      <c r="B6511" t="s">
        <v>17351</v>
      </c>
      <c r="C6511" t="s">
        <v>17352</v>
      </c>
      <c r="D6511" t="s">
        <v>20</v>
      </c>
      <c r="E6511" t="s">
        <v>11</v>
      </c>
      <c r="F6511">
        <v>391.64399999999995</v>
      </c>
      <c r="G6511">
        <v>18</v>
      </c>
      <c r="L6511" t="s">
        <v>17353</v>
      </c>
    </row>
    <row r="6512" spans="1:12" x14ac:dyDescent="0.25">
      <c r="A6512" t="s">
        <v>18</v>
      </c>
      <c r="B6512" t="s">
        <v>17353</v>
      </c>
      <c r="C6512" t="s">
        <v>17354</v>
      </c>
      <c r="D6512" t="s">
        <v>20</v>
      </c>
      <c r="E6512" t="s">
        <v>11</v>
      </c>
      <c r="F6512">
        <v>261.096</v>
      </c>
      <c r="G6512">
        <v>18</v>
      </c>
      <c r="L6512" t="s">
        <v>17355</v>
      </c>
    </row>
    <row r="6513" spans="1:12" x14ac:dyDescent="0.25">
      <c r="A6513" t="s">
        <v>18</v>
      </c>
      <c r="B6513" t="s">
        <v>17355</v>
      </c>
      <c r="C6513" t="s">
        <v>17356</v>
      </c>
      <c r="D6513" t="s">
        <v>20</v>
      </c>
      <c r="E6513" t="s">
        <v>11</v>
      </c>
      <c r="F6513">
        <v>391.64399999999995</v>
      </c>
      <c r="G6513">
        <v>18</v>
      </c>
      <c r="L6513" t="s">
        <v>17357</v>
      </c>
    </row>
    <row r="6514" spans="1:12" x14ac:dyDescent="0.25">
      <c r="A6514" t="s">
        <v>18</v>
      </c>
      <c r="B6514" t="s">
        <v>17357</v>
      </c>
      <c r="C6514" t="s">
        <v>17358</v>
      </c>
      <c r="D6514" t="s">
        <v>20</v>
      </c>
      <c r="E6514" t="s">
        <v>11</v>
      </c>
      <c r="F6514">
        <v>391.64399999999995</v>
      </c>
      <c r="G6514">
        <v>18</v>
      </c>
      <c r="L6514" t="s">
        <v>17359</v>
      </c>
    </row>
    <row r="6515" spans="1:12" x14ac:dyDescent="0.25">
      <c r="A6515" t="s">
        <v>18</v>
      </c>
      <c r="B6515" t="s">
        <v>17359</v>
      </c>
      <c r="C6515" t="s">
        <v>17360</v>
      </c>
      <c r="D6515" t="s">
        <v>20</v>
      </c>
      <c r="E6515" t="s">
        <v>11</v>
      </c>
      <c r="F6515">
        <v>587.4659999999999</v>
      </c>
      <c r="G6515">
        <v>18</v>
      </c>
      <c r="L6515" t="s">
        <v>17361</v>
      </c>
    </row>
    <row r="6516" spans="1:12" x14ac:dyDescent="0.25">
      <c r="A6516" t="s">
        <v>18</v>
      </c>
      <c r="B6516" t="s">
        <v>17361</v>
      </c>
      <c r="C6516" t="s">
        <v>17362</v>
      </c>
      <c r="D6516" t="s">
        <v>20</v>
      </c>
      <c r="E6516" t="s">
        <v>11</v>
      </c>
      <c r="F6516">
        <v>130.548</v>
      </c>
      <c r="G6516">
        <v>18</v>
      </c>
      <c r="L6516" t="s">
        <v>17363</v>
      </c>
    </row>
    <row r="6517" spans="1:12" x14ac:dyDescent="0.25">
      <c r="A6517" t="s">
        <v>18</v>
      </c>
      <c r="B6517" t="s">
        <v>17363</v>
      </c>
      <c r="C6517" t="s">
        <v>17364</v>
      </c>
      <c r="D6517" t="s">
        <v>20</v>
      </c>
      <c r="E6517" t="s">
        <v>11</v>
      </c>
      <c r="F6517">
        <v>261.096</v>
      </c>
      <c r="G6517">
        <v>18</v>
      </c>
      <c r="L6517" t="s">
        <v>17365</v>
      </c>
    </row>
    <row r="6518" spans="1:12" x14ac:dyDescent="0.25">
      <c r="A6518" t="s">
        <v>18</v>
      </c>
      <c r="B6518" t="s">
        <v>17365</v>
      </c>
      <c r="C6518" t="s">
        <v>17366</v>
      </c>
      <c r="D6518" t="s">
        <v>20</v>
      </c>
      <c r="E6518" t="s">
        <v>11</v>
      </c>
      <c r="F6518">
        <v>6331.5779999999995</v>
      </c>
      <c r="G6518">
        <v>18</v>
      </c>
      <c r="L6518" t="s">
        <v>17367</v>
      </c>
    </row>
    <row r="6519" spans="1:12" x14ac:dyDescent="0.25">
      <c r="A6519" t="s">
        <v>18</v>
      </c>
      <c r="B6519" t="s">
        <v>17367</v>
      </c>
      <c r="C6519" t="s">
        <v>17368</v>
      </c>
      <c r="D6519" t="s">
        <v>20</v>
      </c>
      <c r="E6519" t="s">
        <v>11</v>
      </c>
      <c r="F6519">
        <v>6331.5779999999995</v>
      </c>
      <c r="G6519">
        <v>18</v>
      </c>
      <c r="L6519" t="s">
        <v>17369</v>
      </c>
    </row>
    <row r="6520" spans="1:12" x14ac:dyDescent="0.25">
      <c r="A6520" t="s">
        <v>18</v>
      </c>
      <c r="B6520" t="s">
        <v>17369</v>
      </c>
      <c r="C6520" t="s">
        <v>17370</v>
      </c>
      <c r="D6520" t="s">
        <v>20</v>
      </c>
      <c r="E6520" t="s">
        <v>11</v>
      </c>
      <c r="F6520">
        <v>5287.193999999999</v>
      </c>
      <c r="G6520">
        <v>18</v>
      </c>
      <c r="L6520" t="s">
        <v>17371</v>
      </c>
    </row>
    <row r="6521" spans="1:12" x14ac:dyDescent="0.25">
      <c r="A6521" t="s">
        <v>18</v>
      </c>
      <c r="B6521" t="s">
        <v>17371</v>
      </c>
      <c r="C6521" t="s">
        <v>17372</v>
      </c>
      <c r="D6521" t="s">
        <v>20</v>
      </c>
      <c r="E6521" t="s">
        <v>11</v>
      </c>
      <c r="F6521">
        <v>3002.604</v>
      </c>
      <c r="G6521">
        <v>18</v>
      </c>
      <c r="L6521" t="s">
        <v>17373</v>
      </c>
    </row>
    <row r="6522" spans="1:12" x14ac:dyDescent="0.25">
      <c r="A6522" t="s">
        <v>18</v>
      </c>
      <c r="B6522" t="s">
        <v>17373</v>
      </c>
      <c r="C6522" t="s">
        <v>17374</v>
      </c>
      <c r="D6522" t="s">
        <v>20</v>
      </c>
      <c r="E6522" t="s">
        <v>11</v>
      </c>
      <c r="F6522">
        <v>3524.7960000000003</v>
      </c>
      <c r="G6522">
        <v>18</v>
      </c>
      <c r="L6522" t="s">
        <v>17375</v>
      </c>
    </row>
    <row r="6523" spans="1:12" x14ac:dyDescent="0.25">
      <c r="A6523" t="s">
        <v>18</v>
      </c>
      <c r="B6523" t="s">
        <v>17375</v>
      </c>
      <c r="C6523" t="s">
        <v>17376</v>
      </c>
      <c r="D6523" t="s">
        <v>20</v>
      </c>
      <c r="E6523" t="s">
        <v>11</v>
      </c>
      <c r="F6523">
        <v>6788.495999999999</v>
      </c>
      <c r="G6523">
        <v>18</v>
      </c>
      <c r="L6523" t="s">
        <v>17377</v>
      </c>
    </row>
    <row r="6524" spans="1:12" x14ac:dyDescent="0.25">
      <c r="A6524" t="s">
        <v>18</v>
      </c>
      <c r="B6524" t="s">
        <v>17377</v>
      </c>
      <c r="C6524" t="s">
        <v>17378</v>
      </c>
      <c r="D6524" t="s">
        <v>20</v>
      </c>
      <c r="E6524" t="s">
        <v>11</v>
      </c>
      <c r="F6524">
        <v>6788.495999999999</v>
      </c>
      <c r="G6524">
        <v>18</v>
      </c>
      <c r="L6524" t="s">
        <v>17379</v>
      </c>
    </row>
    <row r="6525" spans="1:12" x14ac:dyDescent="0.25">
      <c r="A6525" t="s">
        <v>18</v>
      </c>
      <c r="B6525" t="s">
        <v>17379</v>
      </c>
      <c r="C6525" t="s">
        <v>17380</v>
      </c>
      <c r="D6525" t="s">
        <v>20</v>
      </c>
      <c r="E6525" t="s">
        <v>11</v>
      </c>
      <c r="F6525">
        <v>6788.495999999999</v>
      </c>
      <c r="G6525">
        <v>18</v>
      </c>
      <c r="L6525" t="s">
        <v>17381</v>
      </c>
    </row>
    <row r="6526" spans="1:12" x14ac:dyDescent="0.25">
      <c r="A6526" t="s">
        <v>18</v>
      </c>
      <c r="B6526" t="s">
        <v>17381</v>
      </c>
      <c r="C6526" t="s">
        <v>17382</v>
      </c>
      <c r="D6526" t="s">
        <v>20</v>
      </c>
      <c r="E6526" t="s">
        <v>11</v>
      </c>
      <c r="F6526">
        <v>1892.946</v>
      </c>
      <c r="G6526">
        <v>18</v>
      </c>
      <c r="L6526" t="s">
        <v>17383</v>
      </c>
    </row>
    <row r="6527" spans="1:12" x14ac:dyDescent="0.25">
      <c r="A6527" t="s">
        <v>18</v>
      </c>
      <c r="B6527" t="s">
        <v>17383</v>
      </c>
      <c r="C6527" t="s">
        <v>17384</v>
      </c>
      <c r="D6527" t="s">
        <v>20</v>
      </c>
      <c r="E6527" t="s">
        <v>11</v>
      </c>
      <c r="F6527">
        <v>130.548</v>
      </c>
      <c r="G6527">
        <v>18</v>
      </c>
      <c r="L6527" t="s">
        <v>17385</v>
      </c>
    </row>
    <row r="6528" spans="1:12" x14ac:dyDescent="0.25">
      <c r="A6528" t="s">
        <v>18</v>
      </c>
      <c r="B6528" t="s">
        <v>17385</v>
      </c>
      <c r="C6528" t="s">
        <v>17386</v>
      </c>
      <c r="D6528" t="s">
        <v>20</v>
      </c>
      <c r="E6528" t="s">
        <v>11</v>
      </c>
      <c r="F6528">
        <v>195.82199999999997</v>
      </c>
      <c r="G6528">
        <v>18</v>
      </c>
      <c r="L6528" t="s">
        <v>17387</v>
      </c>
    </row>
    <row r="6529" spans="1:12" x14ac:dyDescent="0.25">
      <c r="A6529" t="s">
        <v>18</v>
      </c>
      <c r="B6529" t="s">
        <v>17387</v>
      </c>
      <c r="C6529" t="s">
        <v>17360</v>
      </c>
      <c r="D6529" t="s">
        <v>20</v>
      </c>
      <c r="E6529" t="s">
        <v>11</v>
      </c>
      <c r="F6529">
        <v>4960.8240000000005</v>
      </c>
      <c r="G6529">
        <v>18</v>
      </c>
      <c r="L6529" t="s">
        <v>17388</v>
      </c>
    </row>
    <row r="6530" spans="1:12" x14ac:dyDescent="0.25">
      <c r="A6530" t="s">
        <v>18</v>
      </c>
      <c r="B6530" t="s">
        <v>17388</v>
      </c>
      <c r="C6530" t="s">
        <v>17389</v>
      </c>
      <c r="D6530" t="s">
        <v>20</v>
      </c>
      <c r="E6530" t="s">
        <v>11</v>
      </c>
      <c r="F6530">
        <v>6396.852</v>
      </c>
      <c r="G6530">
        <v>18</v>
      </c>
      <c r="L6530" t="s">
        <v>17390</v>
      </c>
    </row>
    <row r="6531" spans="1:12" x14ac:dyDescent="0.25">
      <c r="A6531" t="s">
        <v>18</v>
      </c>
      <c r="B6531" t="s">
        <v>17390</v>
      </c>
      <c r="C6531" t="s">
        <v>17391</v>
      </c>
      <c r="D6531" t="s">
        <v>20</v>
      </c>
      <c r="E6531" t="s">
        <v>11</v>
      </c>
      <c r="F6531">
        <v>6396.852</v>
      </c>
      <c r="G6531">
        <v>18</v>
      </c>
      <c r="L6531" t="s">
        <v>17392</v>
      </c>
    </row>
    <row r="6532" spans="1:12" x14ac:dyDescent="0.25">
      <c r="A6532" t="s">
        <v>18</v>
      </c>
      <c r="B6532" t="s">
        <v>17392</v>
      </c>
      <c r="C6532" t="s">
        <v>17393</v>
      </c>
      <c r="D6532" t="s">
        <v>20</v>
      </c>
      <c r="E6532" t="s">
        <v>11</v>
      </c>
      <c r="F6532">
        <v>6396.852</v>
      </c>
      <c r="G6532">
        <v>18</v>
      </c>
      <c r="L6532" t="s">
        <v>17394</v>
      </c>
    </row>
    <row r="6533" spans="1:12" x14ac:dyDescent="0.25">
      <c r="A6533" t="s">
        <v>18</v>
      </c>
      <c r="B6533" t="s">
        <v>17394</v>
      </c>
      <c r="C6533" t="s">
        <v>17395</v>
      </c>
      <c r="D6533" t="s">
        <v>20</v>
      </c>
      <c r="E6533" t="s">
        <v>11</v>
      </c>
      <c r="F6533">
        <v>391.64399999999995</v>
      </c>
      <c r="G6533">
        <v>18</v>
      </c>
      <c r="L6533" t="s">
        <v>17396</v>
      </c>
    </row>
    <row r="6534" spans="1:12" x14ac:dyDescent="0.25">
      <c r="A6534" t="s">
        <v>18</v>
      </c>
      <c r="B6534" t="s">
        <v>17396</v>
      </c>
      <c r="C6534" t="s">
        <v>17397</v>
      </c>
      <c r="D6534" t="s">
        <v>20</v>
      </c>
      <c r="E6534" t="s">
        <v>11</v>
      </c>
      <c r="F6534">
        <v>8224.524</v>
      </c>
      <c r="G6534">
        <v>18</v>
      </c>
      <c r="L6534" t="s">
        <v>17398</v>
      </c>
    </row>
    <row r="6535" spans="1:12" x14ac:dyDescent="0.25">
      <c r="A6535" t="s">
        <v>18</v>
      </c>
      <c r="B6535" t="s">
        <v>17398</v>
      </c>
      <c r="C6535" t="s">
        <v>17399</v>
      </c>
      <c r="D6535" t="s">
        <v>20</v>
      </c>
      <c r="E6535" t="s">
        <v>11</v>
      </c>
      <c r="F6535">
        <v>391.64399999999995</v>
      </c>
      <c r="G6535">
        <v>18</v>
      </c>
      <c r="L6535" t="s">
        <v>17400</v>
      </c>
    </row>
    <row r="6536" spans="1:12" x14ac:dyDescent="0.25">
      <c r="A6536" t="s">
        <v>18</v>
      </c>
      <c r="B6536" t="s">
        <v>17400</v>
      </c>
      <c r="C6536" t="s">
        <v>17401</v>
      </c>
      <c r="D6536" t="s">
        <v>20</v>
      </c>
      <c r="E6536" t="s">
        <v>11</v>
      </c>
      <c r="F6536">
        <v>1109.658</v>
      </c>
      <c r="G6536">
        <v>18</v>
      </c>
      <c r="L6536" t="s">
        <v>17402</v>
      </c>
    </row>
    <row r="6537" spans="1:12" x14ac:dyDescent="0.25">
      <c r="A6537" t="s">
        <v>18</v>
      </c>
      <c r="B6537" t="s">
        <v>17402</v>
      </c>
      <c r="C6537" t="s">
        <v>17403</v>
      </c>
      <c r="D6537" t="s">
        <v>20</v>
      </c>
      <c r="E6537" t="s">
        <v>11</v>
      </c>
      <c r="F6537">
        <v>6396.852</v>
      </c>
      <c r="G6537">
        <v>18</v>
      </c>
      <c r="L6537" t="s">
        <v>17404</v>
      </c>
    </row>
    <row r="6538" spans="1:12" x14ac:dyDescent="0.25">
      <c r="A6538" t="s">
        <v>18</v>
      </c>
      <c r="B6538" t="s">
        <v>17404</v>
      </c>
      <c r="C6538" t="s">
        <v>17405</v>
      </c>
      <c r="D6538" t="s">
        <v>20</v>
      </c>
      <c r="E6538" t="s">
        <v>11</v>
      </c>
      <c r="F6538">
        <v>6396.852</v>
      </c>
      <c r="G6538">
        <v>18</v>
      </c>
      <c r="L6538" t="s">
        <v>17406</v>
      </c>
    </row>
    <row r="6539" spans="1:12" x14ac:dyDescent="0.25">
      <c r="A6539" t="s">
        <v>18</v>
      </c>
      <c r="B6539" t="s">
        <v>17406</v>
      </c>
      <c r="C6539" t="s">
        <v>17407</v>
      </c>
      <c r="D6539" t="s">
        <v>20</v>
      </c>
      <c r="E6539" t="s">
        <v>11</v>
      </c>
      <c r="F6539">
        <v>5483.016</v>
      </c>
      <c r="G6539">
        <v>18</v>
      </c>
      <c r="L6539" t="s">
        <v>17408</v>
      </c>
    </row>
    <row r="6540" spans="1:12" x14ac:dyDescent="0.25">
      <c r="A6540" t="s">
        <v>18</v>
      </c>
      <c r="B6540" t="s">
        <v>17408</v>
      </c>
      <c r="C6540" t="s">
        <v>17409</v>
      </c>
      <c r="D6540" t="s">
        <v>20</v>
      </c>
      <c r="E6540" t="s">
        <v>11</v>
      </c>
      <c r="F6540">
        <v>5809.3859999999995</v>
      </c>
      <c r="G6540">
        <v>18</v>
      </c>
      <c r="L6540" t="s">
        <v>17410</v>
      </c>
    </row>
    <row r="6541" spans="1:12" x14ac:dyDescent="0.25">
      <c r="A6541" t="s">
        <v>18</v>
      </c>
      <c r="B6541" t="s">
        <v>17410</v>
      </c>
      <c r="C6541" t="s">
        <v>17411</v>
      </c>
      <c r="D6541" t="s">
        <v>20</v>
      </c>
      <c r="E6541" t="s">
        <v>11</v>
      </c>
      <c r="F6541">
        <v>5809.3859999999995</v>
      </c>
      <c r="G6541">
        <v>18</v>
      </c>
      <c r="L6541" t="s">
        <v>17412</v>
      </c>
    </row>
    <row r="6542" spans="1:12" x14ac:dyDescent="0.25">
      <c r="A6542" t="s">
        <v>18</v>
      </c>
      <c r="B6542" t="s">
        <v>17412</v>
      </c>
      <c r="C6542" t="s">
        <v>17413</v>
      </c>
      <c r="D6542" t="s">
        <v>20</v>
      </c>
      <c r="E6542" t="s">
        <v>11</v>
      </c>
      <c r="F6542">
        <v>1697.1239999999998</v>
      </c>
      <c r="G6542">
        <v>18</v>
      </c>
      <c r="L6542" t="s">
        <v>17414</v>
      </c>
    </row>
    <row r="6543" spans="1:12" x14ac:dyDescent="0.25">
      <c r="A6543" t="s">
        <v>18</v>
      </c>
      <c r="B6543" t="s">
        <v>17414</v>
      </c>
      <c r="C6543" t="s">
        <v>17415</v>
      </c>
      <c r="D6543" t="s">
        <v>20</v>
      </c>
      <c r="E6543" t="s">
        <v>11</v>
      </c>
      <c r="F6543">
        <v>2937.3300000000004</v>
      </c>
      <c r="G6543">
        <v>18</v>
      </c>
      <c r="L6543" t="s">
        <v>17416</v>
      </c>
    </row>
    <row r="6544" spans="1:12" x14ac:dyDescent="0.25">
      <c r="A6544" t="s">
        <v>18</v>
      </c>
      <c r="B6544" t="s">
        <v>17416</v>
      </c>
      <c r="C6544" t="s">
        <v>17417</v>
      </c>
      <c r="D6544" t="s">
        <v>20</v>
      </c>
      <c r="E6544" t="s">
        <v>11</v>
      </c>
      <c r="F6544">
        <v>7114.866</v>
      </c>
      <c r="G6544">
        <v>18</v>
      </c>
      <c r="L6544" t="s">
        <v>17418</v>
      </c>
    </row>
    <row r="6545" spans="1:12" x14ac:dyDescent="0.25">
      <c r="A6545" t="s">
        <v>18</v>
      </c>
      <c r="B6545" t="s">
        <v>17418</v>
      </c>
      <c r="C6545" t="s">
        <v>17419</v>
      </c>
      <c r="D6545" t="s">
        <v>20</v>
      </c>
      <c r="E6545" t="s">
        <v>11</v>
      </c>
      <c r="F6545">
        <v>3720.6179999999995</v>
      </c>
      <c r="G6545">
        <v>18</v>
      </c>
      <c r="L6545" t="s">
        <v>17420</v>
      </c>
    </row>
    <row r="6546" spans="1:12" x14ac:dyDescent="0.25">
      <c r="A6546" t="s">
        <v>18</v>
      </c>
      <c r="B6546" t="s">
        <v>17420</v>
      </c>
      <c r="C6546" t="s">
        <v>17421</v>
      </c>
      <c r="D6546" t="s">
        <v>20</v>
      </c>
      <c r="E6546" t="s">
        <v>11</v>
      </c>
      <c r="F6546">
        <v>456.918</v>
      </c>
      <c r="G6546">
        <v>18</v>
      </c>
      <c r="L6546" t="s">
        <v>17422</v>
      </c>
    </row>
    <row r="6547" spans="1:12" x14ac:dyDescent="0.25">
      <c r="A6547" t="s">
        <v>18</v>
      </c>
      <c r="B6547" t="s">
        <v>17422</v>
      </c>
      <c r="C6547" t="s">
        <v>17423</v>
      </c>
      <c r="D6547" t="s">
        <v>20</v>
      </c>
      <c r="E6547" t="s">
        <v>11</v>
      </c>
      <c r="F6547">
        <v>7049.592000000001</v>
      </c>
      <c r="G6547">
        <v>18</v>
      </c>
      <c r="L6547" t="s">
        <v>17424</v>
      </c>
    </row>
    <row r="6548" spans="1:12" x14ac:dyDescent="0.25">
      <c r="A6548" t="s">
        <v>18</v>
      </c>
      <c r="B6548" t="s">
        <v>17424</v>
      </c>
      <c r="C6548" t="s">
        <v>17425</v>
      </c>
      <c r="D6548" t="s">
        <v>20</v>
      </c>
      <c r="E6548" t="s">
        <v>11</v>
      </c>
      <c r="F6548">
        <v>2937.3300000000004</v>
      </c>
      <c r="G6548">
        <v>18</v>
      </c>
      <c r="L6548" t="s">
        <v>17426</v>
      </c>
    </row>
    <row r="6549" spans="1:12" x14ac:dyDescent="0.25">
      <c r="A6549" t="s">
        <v>18</v>
      </c>
      <c r="B6549" t="s">
        <v>17426</v>
      </c>
      <c r="C6549" t="s">
        <v>17427</v>
      </c>
      <c r="D6549" t="s">
        <v>20</v>
      </c>
      <c r="E6549" t="s">
        <v>11</v>
      </c>
      <c r="F6549">
        <v>7963.428</v>
      </c>
      <c r="G6549">
        <v>18</v>
      </c>
      <c r="L6549" t="s">
        <v>17428</v>
      </c>
    </row>
    <row r="6550" spans="1:12" x14ac:dyDescent="0.25">
      <c r="A6550" t="s">
        <v>18</v>
      </c>
      <c r="B6550" t="s">
        <v>17428</v>
      </c>
      <c r="C6550" t="s">
        <v>17429</v>
      </c>
      <c r="D6550" t="s">
        <v>20</v>
      </c>
      <c r="E6550" t="s">
        <v>11</v>
      </c>
      <c r="F6550">
        <v>3851.166</v>
      </c>
      <c r="G6550">
        <v>18</v>
      </c>
      <c r="L6550" t="s">
        <v>17430</v>
      </c>
    </row>
    <row r="6551" spans="1:12" x14ac:dyDescent="0.25">
      <c r="A6551" t="s">
        <v>18</v>
      </c>
      <c r="B6551" t="s">
        <v>17430</v>
      </c>
      <c r="C6551" t="s">
        <v>17431</v>
      </c>
      <c r="D6551" t="s">
        <v>20</v>
      </c>
      <c r="E6551" t="s">
        <v>11</v>
      </c>
      <c r="F6551">
        <v>3655.344</v>
      </c>
      <c r="G6551">
        <v>18</v>
      </c>
      <c r="L6551" t="s">
        <v>17432</v>
      </c>
    </row>
    <row r="6552" spans="1:12" x14ac:dyDescent="0.25">
      <c r="A6552" t="s">
        <v>18</v>
      </c>
      <c r="B6552" t="s">
        <v>17432</v>
      </c>
      <c r="C6552" t="s">
        <v>17433</v>
      </c>
      <c r="D6552" t="s">
        <v>20</v>
      </c>
      <c r="E6552" t="s">
        <v>11</v>
      </c>
      <c r="F6552">
        <v>7049.592000000001</v>
      </c>
      <c r="G6552">
        <v>18</v>
      </c>
      <c r="L6552" t="s">
        <v>17434</v>
      </c>
    </row>
    <row r="6553" spans="1:12" x14ac:dyDescent="0.25">
      <c r="A6553" t="s">
        <v>18</v>
      </c>
      <c r="B6553" t="s">
        <v>17434</v>
      </c>
      <c r="C6553" t="s">
        <v>17435</v>
      </c>
      <c r="D6553" t="s">
        <v>20</v>
      </c>
      <c r="E6553" t="s">
        <v>11</v>
      </c>
      <c r="F6553">
        <v>1044.384</v>
      </c>
      <c r="G6553">
        <v>18</v>
      </c>
      <c r="L6553" t="s">
        <v>17436</v>
      </c>
    </row>
    <row r="6554" spans="1:12" x14ac:dyDescent="0.25">
      <c r="A6554" t="s">
        <v>18</v>
      </c>
      <c r="B6554" t="s">
        <v>17436</v>
      </c>
      <c r="C6554" t="s">
        <v>17437</v>
      </c>
      <c r="D6554" t="s">
        <v>20</v>
      </c>
      <c r="E6554" t="s">
        <v>11</v>
      </c>
      <c r="F6554">
        <v>5744.112</v>
      </c>
      <c r="G6554">
        <v>18</v>
      </c>
      <c r="L6554" t="s">
        <v>17438</v>
      </c>
    </row>
    <row r="6555" spans="1:12" x14ac:dyDescent="0.25">
      <c r="A6555" t="s">
        <v>18</v>
      </c>
      <c r="B6555" t="s">
        <v>17438</v>
      </c>
      <c r="C6555" t="s">
        <v>17439</v>
      </c>
      <c r="D6555" t="s">
        <v>20</v>
      </c>
      <c r="E6555" t="s">
        <v>11</v>
      </c>
      <c r="F6555">
        <v>30744.054</v>
      </c>
      <c r="G6555">
        <v>18</v>
      </c>
      <c r="L6555" t="s">
        <v>17440</v>
      </c>
    </row>
    <row r="6556" spans="1:12" x14ac:dyDescent="0.25">
      <c r="A6556" t="s">
        <v>18</v>
      </c>
      <c r="B6556" t="s">
        <v>17440</v>
      </c>
      <c r="C6556" t="s">
        <v>17441</v>
      </c>
      <c r="D6556" t="s">
        <v>20</v>
      </c>
      <c r="E6556" t="s">
        <v>11</v>
      </c>
      <c r="F6556">
        <v>4569.18</v>
      </c>
      <c r="G6556">
        <v>18</v>
      </c>
      <c r="L6556" t="s">
        <v>17442</v>
      </c>
    </row>
    <row r="6557" spans="1:12" x14ac:dyDescent="0.25">
      <c r="A6557" t="s">
        <v>18</v>
      </c>
      <c r="B6557" t="s">
        <v>17442</v>
      </c>
      <c r="C6557" t="s">
        <v>17443</v>
      </c>
      <c r="D6557" t="s">
        <v>20</v>
      </c>
      <c r="E6557" t="s">
        <v>11</v>
      </c>
      <c r="F6557">
        <v>28655.286</v>
      </c>
      <c r="G6557">
        <v>18</v>
      </c>
      <c r="L6557" t="s">
        <v>17444</v>
      </c>
    </row>
    <row r="6558" spans="1:12" x14ac:dyDescent="0.25">
      <c r="A6558" t="s">
        <v>18</v>
      </c>
      <c r="B6558" t="s">
        <v>17444</v>
      </c>
      <c r="C6558" t="s">
        <v>17445</v>
      </c>
      <c r="D6558" t="s">
        <v>20</v>
      </c>
      <c r="E6558" t="s">
        <v>11</v>
      </c>
      <c r="F6558">
        <v>391.64399999999995</v>
      </c>
      <c r="G6558">
        <v>18</v>
      </c>
      <c r="L6558" t="s">
        <v>17446</v>
      </c>
    </row>
    <row r="6559" spans="1:12" x14ac:dyDescent="0.25">
      <c r="A6559" t="s">
        <v>18</v>
      </c>
      <c r="B6559" t="s">
        <v>17446</v>
      </c>
      <c r="C6559" t="s">
        <v>17447</v>
      </c>
      <c r="D6559" t="s">
        <v>20</v>
      </c>
      <c r="E6559" t="s">
        <v>11</v>
      </c>
      <c r="F6559">
        <v>456.918</v>
      </c>
      <c r="G6559">
        <v>18</v>
      </c>
      <c r="L6559" t="s">
        <v>17448</v>
      </c>
    </row>
    <row r="6560" spans="1:12" x14ac:dyDescent="0.25">
      <c r="A6560" t="s">
        <v>18</v>
      </c>
      <c r="B6560" t="s">
        <v>17448</v>
      </c>
      <c r="C6560" t="s">
        <v>17449</v>
      </c>
      <c r="D6560" t="s">
        <v>20</v>
      </c>
      <c r="E6560" t="s">
        <v>11</v>
      </c>
      <c r="F6560">
        <v>326.37</v>
      </c>
      <c r="G6560">
        <v>18</v>
      </c>
      <c r="L6560" t="s">
        <v>17450</v>
      </c>
    </row>
    <row r="6561" spans="1:12" x14ac:dyDescent="0.25">
      <c r="A6561" t="s">
        <v>18</v>
      </c>
      <c r="B6561" t="s">
        <v>17450</v>
      </c>
      <c r="C6561" t="s">
        <v>17451</v>
      </c>
      <c r="D6561" t="s">
        <v>20</v>
      </c>
      <c r="E6561" t="s">
        <v>11</v>
      </c>
      <c r="F6561">
        <v>6657.947999999999</v>
      </c>
      <c r="G6561">
        <v>18</v>
      </c>
      <c r="L6561" t="s">
        <v>17452</v>
      </c>
    </row>
    <row r="6562" spans="1:12" x14ac:dyDescent="0.25">
      <c r="A6562" t="s">
        <v>18</v>
      </c>
      <c r="B6562" t="s">
        <v>17452</v>
      </c>
      <c r="C6562" t="s">
        <v>17453</v>
      </c>
      <c r="D6562" t="s">
        <v>20</v>
      </c>
      <c r="E6562" t="s">
        <v>11</v>
      </c>
      <c r="F6562">
        <v>6657.947999999999</v>
      </c>
      <c r="G6562">
        <v>18</v>
      </c>
      <c r="L6562" t="s">
        <v>17454</v>
      </c>
    </row>
    <row r="6563" spans="1:12" x14ac:dyDescent="0.25">
      <c r="A6563" t="s">
        <v>18</v>
      </c>
      <c r="B6563" t="s">
        <v>17454</v>
      </c>
      <c r="C6563" t="s">
        <v>17455</v>
      </c>
      <c r="D6563" t="s">
        <v>20</v>
      </c>
      <c r="E6563" t="s">
        <v>11</v>
      </c>
      <c r="F6563">
        <v>2937.3300000000004</v>
      </c>
      <c r="G6563">
        <v>18</v>
      </c>
      <c r="L6563" t="s">
        <v>17456</v>
      </c>
    </row>
    <row r="6564" spans="1:12" x14ac:dyDescent="0.25">
      <c r="A6564" t="s">
        <v>18</v>
      </c>
      <c r="B6564" t="s">
        <v>17456</v>
      </c>
      <c r="C6564" t="s">
        <v>17457</v>
      </c>
      <c r="D6564" t="s">
        <v>20</v>
      </c>
      <c r="E6564" t="s">
        <v>11</v>
      </c>
      <c r="F6564">
        <v>4373.358</v>
      </c>
      <c r="G6564">
        <v>18</v>
      </c>
      <c r="L6564" t="s">
        <v>17458</v>
      </c>
    </row>
    <row r="6565" spans="1:12" x14ac:dyDescent="0.25">
      <c r="A6565" t="s">
        <v>18</v>
      </c>
      <c r="B6565" t="s">
        <v>17458</v>
      </c>
      <c r="C6565" t="s">
        <v>17459</v>
      </c>
      <c r="D6565" t="s">
        <v>20</v>
      </c>
      <c r="E6565" t="s">
        <v>11</v>
      </c>
      <c r="F6565">
        <v>5874.660000000001</v>
      </c>
      <c r="G6565">
        <v>18</v>
      </c>
      <c r="L6565" t="s">
        <v>17460</v>
      </c>
    </row>
    <row r="6566" spans="1:12" x14ac:dyDescent="0.25">
      <c r="A6566" t="s">
        <v>18</v>
      </c>
      <c r="B6566" t="s">
        <v>17460</v>
      </c>
      <c r="C6566" t="s">
        <v>17461</v>
      </c>
      <c r="D6566" t="s">
        <v>20</v>
      </c>
      <c r="E6566" t="s">
        <v>11</v>
      </c>
      <c r="F6566">
        <v>4242.8099999999995</v>
      </c>
      <c r="G6566">
        <v>18</v>
      </c>
      <c r="L6566" t="s">
        <v>17462</v>
      </c>
    </row>
    <row r="6567" spans="1:12" x14ac:dyDescent="0.25">
      <c r="A6567" t="s">
        <v>18</v>
      </c>
      <c r="B6567" t="s">
        <v>17462</v>
      </c>
      <c r="C6567" t="s">
        <v>17463</v>
      </c>
      <c r="D6567" t="s">
        <v>20</v>
      </c>
      <c r="E6567" t="s">
        <v>11</v>
      </c>
      <c r="F6567">
        <v>7375.962</v>
      </c>
      <c r="G6567">
        <v>18</v>
      </c>
      <c r="L6567" t="s">
        <v>17464</v>
      </c>
    </row>
    <row r="6568" spans="1:12" x14ac:dyDescent="0.25">
      <c r="A6568" t="s">
        <v>18</v>
      </c>
      <c r="B6568" t="s">
        <v>17464</v>
      </c>
      <c r="C6568" t="s">
        <v>17465</v>
      </c>
      <c r="D6568" t="s">
        <v>20</v>
      </c>
      <c r="E6568" t="s">
        <v>11</v>
      </c>
      <c r="F6568">
        <v>4765.0019999999995</v>
      </c>
      <c r="G6568">
        <v>18</v>
      </c>
      <c r="L6568" t="s">
        <v>17466</v>
      </c>
    </row>
    <row r="6569" spans="1:12" x14ac:dyDescent="0.25">
      <c r="A6569" t="s">
        <v>18</v>
      </c>
      <c r="B6569" t="s">
        <v>17466</v>
      </c>
      <c r="C6569" t="s">
        <v>17467</v>
      </c>
      <c r="D6569" t="s">
        <v>20</v>
      </c>
      <c r="E6569" t="s">
        <v>11</v>
      </c>
      <c r="F6569">
        <v>5417.742</v>
      </c>
      <c r="G6569">
        <v>18</v>
      </c>
      <c r="L6569" t="s">
        <v>17468</v>
      </c>
    </row>
    <row r="6570" spans="1:12" x14ac:dyDescent="0.25">
      <c r="A6570" t="s">
        <v>18</v>
      </c>
      <c r="B6570" t="s">
        <v>17468</v>
      </c>
      <c r="C6570" t="s">
        <v>17469</v>
      </c>
      <c r="D6570" t="s">
        <v>20</v>
      </c>
      <c r="E6570" t="s">
        <v>11</v>
      </c>
      <c r="F6570">
        <v>7114.866</v>
      </c>
      <c r="G6570">
        <v>18</v>
      </c>
      <c r="L6570" t="s">
        <v>17470</v>
      </c>
    </row>
    <row r="6571" spans="1:12" x14ac:dyDescent="0.25">
      <c r="A6571" t="s">
        <v>18</v>
      </c>
      <c r="B6571" t="s">
        <v>17470</v>
      </c>
      <c r="C6571" t="s">
        <v>17471</v>
      </c>
      <c r="D6571" t="s">
        <v>20</v>
      </c>
      <c r="E6571" t="s">
        <v>11</v>
      </c>
      <c r="F6571">
        <v>5613.563999999999</v>
      </c>
      <c r="G6571">
        <v>18</v>
      </c>
      <c r="L6571" t="s">
        <v>17472</v>
      </c>
    </row>
    <row r="6572" spans="1:12" x14ac:dyDescent="0.25">
      <c r="A6572" t="s">
        <v>18</v>
      </c>
      <c r="B6572" t="s">
        <v>17472</v>
      </c>
      <c r="C6572" t="s">
        <v>17473</v>
      </c>
      <c r="D6572" t="s">
        <v>20</v>
      </c>
      <c r="E6572" t="s">
        <v>11</v>
      </c>
      <c r="F6572">
        <v>4634.454</v>
      </c>
      <c r="G6572">
        <v>18</v>
      </c>
      <c r="L6572" t="s">
        <v>17474</v>
      </c>
    </row>
    <row r="6573" spans="1:12" x14ac:dyDescent="0.25">
      <c r="A6573" t="s">
        <v>18</v>
      </c>
      <c r="B6573" t="s">
        <v>17474</v>
      </c>
      <c r="C6573" t="s">
        <v>17475</v>
      </c>
      <c r="D6573" t="s">
        <v>20</v>
      </c>
      <c r="E6573" t="s">
        <v>11</v>
      </c>
      <c r="F6573">
        <v>6005.208</v>
      </c>
      <c r="G6573">
        <v>18</v>
      </c>
      <c r="L6573" t="s">
        <v>17476</v>
      </c>
    </row>
    <row r="6574" spans="1:12" x14ac:dyDescent="0.25">
      <c r="A6574" t="s">
        <v>18</v>
      </c>
      <c r="B6574" t="s">
        <v>17476</v>
      </c>
      <c r="C6574" t="s">
        <v>17477</v>
      </c>
      <c r="D6574" t="s">
        <v>20</v>
      </c>
      <c r="E6574" t="s">
        <v>11</v>
      </c>
      <c r="F6574">
        <v>7375.962</v>
      </c>
      <c r="G6574">
        <v>18</v>
      </c>
      <c r="L6574" t="s">
        <v>17478</v>
      </c>
    </row>
    <row r="6575" spans="1:12" x14ac:dyDescent="0.25">
      <c r="A6575" t="s">
        <v>18</v>
      </c>
      <c r="B6575" t="s">
        <v>17478</v>
      </c>
      <c r="C6575" t="s">
        <v>17479</v>
      </c>
      <c r="D6575" t="s">
        <v>20</v>
      </c>
      <c r="E6575" t="s">
        <v>11</v>
      </c>
      <c r="F6575">
        <v>587.4659999999999</v>
      </c>
      <c r="G6575">
        <v>18</v>
      </c>
      <c r="L6575" t="s">
        <v>17480</v>
      </c>
    </row>
    <row r="6576" spans="1:12" x14ac:dyDescent="0.25">
      <c r="A6576" t="s">
        <v>18</v>
      </c>
      <c r="B6576" t="s">
        <v>17480</v>
      </c>
      <c r="C6576" t="s">
        <v>17481</v>
      </c>
      <c r="D6576" t="s">
        <v>20</v>
      </c>
      <c r="E6576" t="s">
        <v>11</v>
      </c>
      <c r="F6576">
        <v>3263.7</v>
      </c>
      <c r="G6576">
        <v>18</v>
      </c>
      <c r="L6576" t="s">
        <v>17482</v>
      </c>
    </row>
    <row r="6577" spans="1:12" x14ac:dyDescent="0.25">
      <c r="A6577" t="s">
        <v>18</v>
      </c>
      <c r="B6577" t="s">
        <v>17482</v>
      </c>
      <c r="C6577" t="s">
        <v>17483</v>
      </c>
      <c r="D6577" t="s">
        <v>20</v>
      </c>
      <c r="E6577" t="s">
        <v>11</v>
      </c>
      <c r="F6577">
        <v>4895.55</v>
      </c>
      <c r="G6577">
        <v>18</v>
      </c>
      <c r="L6577" t="s">
        <v>17484</v>
      </c>
    </row>
    <row r="6578" spans="1:12" x14ac:dyDescent="0.25">
      <c r="A6578" t="s">
        <v>18</v>
      </c>
      <c r="B6578" t="s">
        <v>17484</v>
      </c>
      <c r="C6578" t="s">
        <v>17485</v>
      </c>
      <c r="D6578" t="s">
        <v>20</v>
      </c>
      <c r="E6578" t="s">
        <v>11</v>
      </c>
      <c r="F6578">
        <v>2219.316</v>
      </c>
      <c r="G6578">
        <v>18</v>
      </c>
      <c r="L6578" t="s">
        <v>17486</v>
      </c>
    </row>
    <row r="6579" spans="1:12" x14ac:dyDescent="0.25">
      <c r="A6579" t="s">
        <v>18</v>
      </c>
      <c r="B6579" t="s">
        <v>17486</v>
      </c>
      <c r="C6579" t="s">
        <v>17487</v>
      </c>
      <c r="D6579" t="s">
        <v>20</v>
      </c>
      <c r="E6579" t="s">
        <v>11</v>
      </c>
      <c r="F6579">
        <v>2415.138</v>
      </c>
      <c r="G6579">
        <v>18</v>
      </c>
      <c r="L6579" t="s">
        <v>17488</v>
      </c>
    </row>
    <row r="6580" spans="1:12" x14ac:dyDescent="0.25">
      <c r="A6580" t="s">
        <v>18</v>
      </c>
      <c r="B6580" t="s">
        <v>17488</v>
      </c>
      <c r="C6580" t="s">
        <v>17489</v>
      </c>
      <c r="D6580" t="s">
        <v>20</v>
      </c>
      <c r="E6580" t="s">
        <v>11</v>
      </c>
      <c r="F6580">
        <v>848.5619999999999</v>
      </c>
      <c r="G6580">
        <v>18</v>
      </c>
      <c r="L6580" t="s">
        <v>17490</v>
      </c>
    </row>
    <row r="6581" spans="1:12" x14ac:dyDescent="0.25">
      <c r="A6581" t="s">
        <v>18</v>
      </c>
      <c r="B6581" t="s">
        <v>17490</v>
      </c>
      <c r="C6581" t="s">
        <v>17491</v>
      </c>
      <c r="D6581" t="s">
        <v>20</v>
      </c>
      <c r="E6581" t="s">
        <v>11</v>
      </c>
      <c r="F6581">
        <v>7114.866</v>
      </c>
      <c r="G6581">
        <v>18</v>
      </c>
      <c r="L6581" t="s">
        <v>17492</v>
      </c>
    </row>
    <row r="6582" spans="1:12" x14ac:dyDescent="0.25">
      <c r="A6582" t="s">
        <v>18</v>
      </c>
      <c r="B6582" t="s">
        <v>17492</v>
      </c>
      <c r="C6582" t="s">
        <v>17493</v>
      </c>
      <c r="D6582" t="s">
        <v>20</v>
      </c>
      <c r="E6582" t="s">
        <v>11</v>
      </c>
      <c r="F6582">
        <v>261.096</v>
      </c>
      <c r="G6582">
        <v>18</v>
      </c>
      <c r="L6582" t="s">
        <v>17494</v>
      </c>
    </row>
    <row r="6583" spans="1:7" x14ac:dyDescent="0.25">
      <c r="A6583" t="s">
        <v>18</v>
      </c>
      <c r="B6583" t="s">
        <v>17494</v>
      </c>
      <c r="C6583" t="s">
        <v>17495</v>
      </c>
      <c r="D6583" t="s">
        <v>20</v>
      </c>
      <c r="E6583" t="s">
        <v>11</v>
      </c>
      <c r="F6583">
        <v>4830.276</v>
      </c>
      <c r="G6583">
        <v>18</v>
      </c>
    </row>
    <row r="6584" spans="1:7" x14ac:dyDescent="0.25">
      <c r="A6584" t="s">
        <v>27</v>
      </c>
      <c r="B6584" t="s">
        <v>13</v>
      </c>
      <c r="C6584" t="s">
        <v>17496</v>
      </c>
      <c r="D6584" t="s">
        <v>20</v>
      </c>
      <c r="E6584" t="s">
        <v>11</v>
      </c>
      <c r="F6584">
        <v>27596</v>
      </c>
      <c r="G6584">
        <v>18</v>
      </c>
    </row>
    <row r="6585" spans="1:7" x14ac:dyDescent="0.25">
      <c r="A6585" t="s">
        <v>34</v>
      </c>
      <c r="B6585" t="s">
        <v>14</v>
      </c>
      <c r="C6585" t="s">
        <v>17497</v>
      </c>
      <c r="D6585" t="s">
        <v>20</v>
      </c>
      <c r="E6585" t="s">
        <v>11</v>
      </c>
      <c r="F6585">
        <v>129295</v>
      </c>
      <c r="G6585">
        <v>18</v>
      </c>
    </row>
    <row r="6586" spans="1:7" x14ac:dyDescent="0.25">
      <c r="A6586" t="s">
        <v>34</v>
      </c>
      <c r="B6586" t="s">
        <v>22</v>
      </c>
      <c r="C6586" t="s">
        <v>17498</v>
      </c>
      <c r="D6586" t="s">
        <v>20</v>
      </c>
      <c r="E6586" t="s">
        <v>11</v>
      </c>
      <c r="F6586">
        <v>129295</v>
      </c>
      <c r="G6586">
        <v>18</v>
      </c>
    </row>
    <row r="6587" spans="1:7" x14ac:dyDescent="0.25">
      <c r="A6587" t="s">
        <v>34</v>
      </c>
      <c r="B6587" t="s">
        <v>29</v>
      </c>
      <c r="C6587" t="s">
        <v>17499</v>
      </c>
      <c r="D6587" t="s">
        <v>17500</v>
      </c>
      <c r="E6587" t="s">
        <v>11</v>
      </c>
      <c r="F6587">
        <v>1944</v>
      </c>
      <c r="G6587">
        <v>18</v>
      </c>
    </row>
    <row r="6588" spans="1:7" x14ac:dyDescent="0.25">
      <c r="A6588" t="s">
        <v>34</v>
      </c>
      <c r="B6588" t="s">
        <v>36</v>
      </c>
      <c r="C6588" t="s">
        <v>17501</v>
      </c>
      <c r="D6588" t="s">
        <v>17502</v>
      </c>
      <c r="E6588" t="s">
        <v>11</v>
      </c>
      <c r="F6588">
        <v>1856</v>
      </c>
      <c r="G6588">
        <v>18</v>
      </c>
    </row>
    <row r="6589" spans="1:7" x14ac:dyDescent="0.25">
      <c r="A6589" t="s">
        <v>34</v>
      </c>
      <c r="B6589" t="s">
        <v>43</v>
      </c>
      <c r="C6589" t="s">
        <v>17503</v>
      </c>
      <c r="D6589" t="s">
        <v>17504</v>
      </c>
      <c r="E6589" t="s">
        <v>11</v>
      </c>
      <c r="F6589">
        <v>2768</v>
      </c>
      <c r="G6589">
        <v>18</v>
      </c>
    </row>
    <row r="6590" spans="1:7" x14ac:dyDescent="0.25">
      <c r="A6590" t="s">
        <v>41</v>
      </c>
      <c r="B6590" t="s">
        <v>15</v>
      </c>
      <c r="C6590" t="s">
        <v>17505</v>
      </c>
      <c r="D6590" t="s">
        <v>20</v>
      </c>
      <c r="E6590" t="s">
        <v>11</v>
      </c>
      <c r="F6590">
        <v>5228.3</v>
      </c>
      <c r="G6590">
        <v>18</v>
      </c>
    </row>
    <row r="6591" spans="1:7" x14ac:dyDescent="0.25">
      <c r="A6591" t="s">
        <v>41</v>
      </c>
      <c r="B6591" t="s">
        <v>23</v>
      </c>
      <c r="C6591" t="s">
        <v>17506</v>
      </c>
      <c r="D6591" t="s">
        <v>20</v>
      </c>
      <c r="E6591" t="s">
        <v>11</v>
      </c>
      <c r="F6591">
        <v>5387.799999999999</v>
      </c>
      <c r="G6591">
        <v>18</v>
      </c>
    </row>
    <row r="6592" spans="1:7" x14ac:dyDescent="0.25">
      <c r="A6592" t="s">
        <v>41</v>
      </c>
      <c r="B6592" t="s">
        <v>30</v>
      </c>
      <c r="C6592" t="s">
        <v>17507</v>
      </c>
      <c r="D6592" t="s">
        <v>20</v>
      </c>
      <c r="E6592" t="s">
        <v>11</v>
      </c>
      <c r="F6592">
        <v>28818.9</v>
      </c>
      <c r="G6592">
        <v>18</v>
      </c>
    </row>
    <row r="6593" spans="1:7" x14ac:dyDescent="0.25">
      <c r="A6593" t="s">
        <v>41</v>
      </c>
      <c r="B6593" t="s">
        <v>37</v>
      </c>
      <c r="C6593" t="s">
        <v>17508</v>
      </c>
      <c r="D6593" t="s">
        <v>20</v>
      </c>
      <c r="E6593" t="s">
        <v>11</v>
      </c>
      <c r="F6593">
        <v>4722.3</v>
      </c>
      <c r="G6593">
        <v>18</v>
      </c>
    </row>
    <row r="6594" spans="1:7" x14ac:dyDescent="0.25">
      <c r="A6594" t="s">
        <v>41</v>
      </c>
      <c r="B6594" t="s">
        <v>44</v>
      </c>
      <c r="C6594" t="s">
        <v>17509</v>
      </c>
      <c r="D6594" t="s">
        <v>20</v>
      </c>
      <c r="E6594" t="s">
        <v>11</v>
      </c>
      <c r="F6594">
        <v>2092.2</v>
      </c>
      <c r="G6594">
        <v>18</v>
      </c>
    </row>
    <row r="6595" spans="1:7" x14ac:dyDescent="0.25">
      <c r="A6595" t="s">
        <v>41</v>
      </c>
      <c r="B6595" t="s">
        <v>49</v>
      </c>
      <c r="C6595" t="s">
        <v>17510</v>
      </c>
      <c r="D6595" t="s">
        <v>20</v>
      </c>
      <c r="E6595" t="s">
        <v>11</v>
      </c>
      <c r="F6595">
        <v>1487.2</v>
      </c>
      <c r="G6595">
        <v>18</v>
      </c>
    </row>
    <row r="6596" spans="1:7" x14ac:dyDescent="0.25">
      <c r="A6596" t="s">
        <v>41</v>
      </c>
      <c r="B6596" t="s">
        <v>53</v>
      </c>
      <c r="C6596" t="s">
        <v>17511</v>
      </c>
      <c r="D6596" t="s">
        <v>20</v>
      </c>
      <c r="E6596" t="s">
        <v>11</v>
      </c>
      <c r="F6596">
        <v>201.3</v>
      </c>
      <c r="G6596">
        <v>18</v>
      </c>
    </row>
    <row r="6597" spans="1:7" x14ac:dyDescent="0.25">
      <c r="A6597" t="s">
        <v>41</v>
      </c>
      <c r="B6597" t="s">
        <v>56</v>
      </c>
      <c r="C6597" t="s">
        <v>17512</v>
      </c>
      <c r="D6597" t="s">
        <v>20</v>
      </c>
      <c r="E6597" t="s">
        <v>11</v>
      </c>
      <c r="F6597">
        <v>55376.200000000004</v>
      </c>
      <c r="G6597">
        <v>18</v>
      </c>
    </row>
    <row r="6598" spans="1:7" x14ac:dyDescent="0.25">
      <c r="A6598" t="s">
        <v>41</v>
      </c>
      <c r="B6598" t="s">
        <v>59</v>
      </c>
      <c r="C6598" t="s">
        <v>17513</v>
      </c>
      <c r="D6598" t="s">
        <v>20</v>
      </c>
      <c r="E6598" t="s">
        <v>11</v>
      </c>
      <c r="F6598">
        <v>52649.3</v>
      </c>
      <c r="G6598">
        <v>18</v>
      </c>
    </row>
    <row r="6599" spans="1:7" x14ac:dyDescent="0.25">
      <c r="A6599" t="s">
        <v>41</v>
      </c>
      <c r="B6599" t="s">
        <v>62</v>
      </c>
      <c r="C6599" t="s">
        <v>17514</v>
      </c>
      <c r="D6599" t="s">
        <v>20</v>
      </c>
      <c r="E6599" t="s">
        <v>11</v>
      </c>
      <c r="F6599">
        <v>58105.3</v>
      </c>
      <c r="G6599">
        <v>18</v>
      </c>
    </row>
    <row r="6600" spans="1:7" x14ac:dyDescent="0.25">
      <c r="A6600" t="s">
        <v>41</v>
      </c>
      <c r="B6600" t="s">
        <v>65</v>
      </c>
      <c r="C6600" t="s">
        <v>17515</v>
      </c>
      <c r="D6600" t="s">
        <v>20</v>
      </c>
      <c r="E6600" t="s">
        <v>11</v>
      </c>
      <c r="F6600">
        <v>25168</v>
      </c>
      <c r="G6600">
        <v>18</v>
      </c>
    </row>
    <row r="6601" spans="1:7" x14ac:dyDescent="0.25">
      <c r="A6601" t="s">
        <v>41</v>
      </c>
      <c r="B6601" t="s">
        <v>68</v>
      </c>
      <c r="C6601" t="s">
        <v>17516</v>
      </c>
      <c r="D6601" t="s">
        <v>20</v>
      </c>
      <c r="E6601" t="s">
        <v>11</v>
      </c>
      <c r="F6601">
        <v>14781.8</v>
      </c>
      <c r="G6601">
        <v>18</v>
      </c>
    </row>
    <row r="6602" spans="1:7" x14ac:dyDescent="0.25">
      <c r="A6602" t="s">
        <v>41</v>
      </c>
      <c r="B6602" t="s">
        <v>71</v>
      </c>
      <c r="C6602" t="s">
        <v>17517</v>
      </c>
      <c r="D6602" t="s">
        <v>20</v>
      </c>
      <c r="E6602" t="s">
        <v>11</v>
      </c>
      <c r="F6602">
        <v>15901.6</v>
      </c>
      <c r="G6602">
        <v>18</v>
      </c>
    </row>
    <row r="6603" spans="1:7" x14ac:dyDescent="0.25">
      <c r="A6603" t="s">
        <v>41</v>
      </c>
      <c r="B6603" t="s">
        <v>74</v>
      </c>
      <c r="C6603" t="s">
        <v>17518</v>
      </c>
      <c r="D6603" t="s">
        <v>20</v>
      </c>
      <c r="E6603" t="s">
        <v>11</v>
      </c>
      <c r="F6603">
        <v>58.300000000000004</v>
      </c>
      <c r="G6603">
        <v>18</v>
      </c>
    </row>
    <row r="6604" spans="1:7" x14ac:dyDescent="0.25">
      <c r="A6604" t="s">
        <v>41</v>
      </c>
      <c r="B6604" t="s">
        <v>77</v>
      </c>
      <c r="C6604" t="s">
        <v>17519</v>
      </c>
      <c r="D6604" t="s">
        <v>20</v>
      </c>
      <c r="E6604" t="s">
        <v>11</v>
      </c>
      <c r="F6604">
        <v>15818.000000000002</v>
      </c>
      <c r="G6604">
        <v>18</v>
      </c>
    </row>
    <row r="6605" spans="1:7" x14ac:dyDescent="0.25">
      <c r="A6605" t="s">
        <v>41</v>
      </c>
      <c r="B6605" t="s">
        <v>80</v>
      </c>
      <c r="C6605" t="s">
        <v>17520</v>
      </c>
      <c r="D6605" t="s">
        <v>20</v>
      </c>
      <c r="E6605" t="s">
        <v>11</v>
      </c>
      <c r="F6605">
        <v>15818.000000000002</v>
      </c>
      <c r="G6605">
        <v>18</v>
      </c>
    </row>
    <row r="6606" spans="1:7" x14ac:dyDescent="0.25">
      <c r="A6606" t="s">
        <v>41</v>
      </c>
      <c r="B6606" t="s">
        <v>83</v>
      </c>
      <c r="C6606" t="s">
        <v>17521</v>
      </c>
      <c r="D6606" t="s">
        <v>20</v>
      </c>
      <c r="E6606" t="s">
        <v>11</v>
      </c>
      <c r="F6606">
        <v>22709.5</v>
      </c>
      <c r="G6606">
        <v>18</v>
      </c>
    </row>
    <row r="6607" spans="1:7" x14ac:dyDescent="0.25">
      <c r="A6607" t="s">
        <v>41</v>
      </c>
      <c r="B6607" t="s">
        <v>86</v>
      </c>
      <c r="C6607" t="s">
        <v>17522</v>
      </c>
      <c r="D6607" t="s">
        <v>20</v>
      </c>
      <c r="E6607" t="s">
        <v>11</v>
      </c>
      <c r="F6607">
        <v>15818.000000000002</v>
      </c>
      <c r="G6607">
        <v>18</v>
      </c>
    </row>
    <row r="6608" spans="1:7" x14ac:dyDescent="0.25">
      <c r="A6608" t="s">
        <v>41</v>
      </c>
      <c r="B6608" t="s">
        <v>89</v>
      </c>
      <c r="C6608" t="s">
        <v>17523</v>
      </c>
      <c r="D6608" t="s">
        <v>20</v>
      </c>
      <c r="E6608" t="s">
        <v>11</v>
      </c>
      <c r="F6608">
        <v>15782.8</v>
      </c>
      <c r="G6608">
        <v>18</v>
      </c>
    </row>
    <row r="6609" spans="1:7" x14ac:dyDescent="0.25">
      <c r="A6609" t="s">
        <v>41</v>
      </c>
      <c r="B6609" t="s">
        <v>92</v>
      </c>
      <c r="C6609" t="s">
        <v>17524</v>
      </c>
      <c r="D6609" t="s">
        <v>20</v>
      </c>
      <c r="E6609" t="s">
        <v>11</v>
      </c>
      <c r="F6609">
        <v>15782.8</v>
      </c>
      <c r="G6609">
        <v>18</v>
      </c>
    </row>
    <row r="6610" spans="1:7" x14ac:dyDescent="0.25">
      <c r="A6610" t="s">
        <v>41</v>
      </c>
      <c r="B6610" t="s">
        <v>95</v>
      </c>
      <c r="C6610" t="s">
        <v>17525</v>
      </c>
      <c r="D6610" t="s">
        <v>20</v>
      </c>
      <c r="E6610" t="s">
        <v>11</v>
      </c>
      <c r="F6610">
        <v>21785.5</v>
      </c>
      <c r="G6610">
        <v>18</v>
      </c>
    </row>
    <row r="6611" spans="1:7" x14ac:dyDescent="0.25">
      <c r="A6611" t="s">
        <v>41</v>
      </c>
      <c r="B6611" t="s">
        <v>98</v>
      </c>
      <c r="C6611" t="s">
        <v>17526</v>
      </c>
      <c r="D6611" t="s">
        <v>20</v>
      </c>
      <c r="E6611" t="s">
        <v>11</v>
      </c>
      <c r="F6611">
        <v>55360.799999999996</v>
      </c>
      <c r="G6611">
        <v>18</v>
      </c>
    </row>
    <row r="6612" spans="1:7" x14ac:dyDescent="0.25">
      <c r="A6612" t="s">
        <v>41</v>
      </c>
      <c r="B6612" t="s">
        <v>101</v>
      </c>
      <c r="C6612" t="s">
        <v>17527</v>
      </c>
      <c r="D6612" t="s">
        <v>20</v>
      </c>
      <c r="E6612" t="s">
        <v>11</v>
      </c>
      <c r="F6612">
        <v>80175.7</v>
      </c>
      <c r="G6612">
        <v>18</v>
      </c>
    </row>
    <row r="6613" spans="1:7" x14ac:dyDescent="0.25">
      <c r="A6613" t="s">
        <v>41</v>
      </c>
      <c r="B6613" t="s">
        <v>104</v>
      </c>
      <c r="C6613" t="s">
        <v>17528</v>
      </c>
      <c r="D6613" t="s">
        <v>20</v>
      </c>
      <c r="E6613" t="s">
        <v>11</v>
      </c>
      <c r="F6613">
        <v>80175.7</v>
      </c>
      <c r="G6613">
        <v>18</v>
      </c>
    </row>
    <row r="6614" spans="1:7" x14ac:dyDescent="0.25">
      <c r="A6614" t="s">
        <v>41</v>
      </c>
      <c r="B6614" t="s">
        <v>107</v>
      </c>
      <c r="C6614" t="s">
        <v>17529</v>
      </c>
      <c r="D6614" t="s">
        <v>20</v>
      </c>
      <c r="E6614" t="s">
        <v>11</v>
      </c>
      <c r="F6614">
        <v>4594.700000000001</v>
      </c>
      <c r="G6614">
        <v>18</v>
      </c>
    </row>
    <row r="6615" spans="1:7" x14ac:dyDescent="0.25">
      <c r="A6615" t="s">
        <v>41</v>
      </c>
      <c r="B6615" t="s">
        <v>110</v>
      </c>
      <c r="C6615" t="s">
        <v>17530</v>
      </c>
      <c r="D6615" t="s">
        <v>20</v>
      </c>
      <c r="E6615" t="s">
        <v>11</v>
      </c>
      <c r="F6615">
        <v>7504.2</v>
      </c>
      <c r="G6615">
        <v>18</v>
      </c>
    </row>
    <row r="6616" spans="1:7" x14ac:dyDescent="0.25">
      <c r="A6616" t="s">
        <v>41</v>
      </c>
      <c r="B6616" t="s">
        <v>113</v>
      </c>
      <c r="C6616" t="s">
        <v>17531</v>
      </c>
      <c r="D6616" t="s">
        <v>20</v>
      </c>
      <c r="E6616" t="s">
        <v>11</v>
      </c>
      <c r="F6616">
        <v>4594.700000000001</v>
      </c>
      <c r="G6616">
        <v>18</v>
      </c>
    </row>
    <row r="6617" spans="1:7" x14ac:dyDescent="0.25">
      <c r="A6617" t="s">
        <v>41</v>
      </c>
      <c r="B6617" t="s">
        <v>116</v>
      </c>
      <c r="C6617" t="s">
        <v>17532</v>
      </c>
      <c r="D6617" t="s">
        <v>20</v>
      </c>
      <c r="E6617" t="s">
        <v>11</v>
      </c>
      <c r="F6617">
        <v>45378.299999999996</v>
      </c>
      <c r="G6617">
        <v>18</v>
      </c>
    </row>
    <row r="6618" spans="1:7" x14ac:dyDescent="0.25">
      <c r="A6618" t="s">
        <v>41</v>
      </c>
      <c r="B6618" t="s">
        <v>119</v>
      </c>
      <c r="C6618" t="s">
        <v>17533</v>
      </c>
      <c r="D6618" t="s">
        <v>20</v>
      </c>
      <c r="E6618" t="s">
        <v>11</v>
      </c>
      <c r="F6618">
        <v>80175.7</v>
      </c>
      <c r="G6618">
        <v>18</v>
      </c>
    </row>
    <row r="6619" spans="1:7" x14ac:dyDescent="0.25">
      <c r="A6619" t="s">
        <v>41</v>
      </c>
      <c r="B6619" t="s">
        <v>122</v>
      </c>
      <c r="C6619" t="s">
        <v>17534</v>
      </c>
      <c r="D6619" t="s">
        <v>20</v>
      </c>
      <c r="E6619" t="s">
        <v>11</v>
      </c>
      <c r="F6619">
        <v>80175.7</v>
      </c>
      <c r="G6619">
        <v>18</v>
      </c>
    </row>
    <row r="6620" spans="1:7" x14ac:dyDescent="0.25">
      <c r="A6620" t="s">
        <v>41</v>
      </c>
      <c r="B6620" t="s">
        <v>125</v>
      </c>
      <c r="C6620" t="s">
        <v>17535</v>
      </c>
      <c r="D6620" t="s">
        <v>20</v>
      </c>
      <c r="E6620" t="s">
        <v>11</v>
      </c>
      <c r="F6620">
        <v>8336.900000000001</v>
      </c>
      <c r="G6620">
        <v>18</v>
      </c>
    </row>
    <row r="6621" spans="1:7" x14ac:dyDescent="0.25">
      <c r="A6621" t="s">
        <v>41</v>
      </c>
      <c r="B6621" t="s">
        <v>128</v>
      </c>
      <c r="C6621" t="s">
        <v>17536</v>
      </c>
      <c r="D6621" t="s">
        <v>20</v>
      </c>
      <c r="E6621" t="s">
        <v>11</v>
      </c>
      <c r="F6621">
        <v>4594.700000000001</v>
      </c>
      <c r="G6621">
        <v>18</v>
      </c>
    </row>
    <row r="6622" spans="1:7" x14ac:dyDescent="0.25">
      <c r="A6622" t="s">
        <v>41</v>
      </c>
      <c r="B6622" t="s">
        <v>131</v>
      </c>
      <c r="C6622" t="s">
        <v>17537</v>
      </c>
      <c r="D6622" t="s">
        <v>20</v>
      </c>
      <c r="E6622" t="s">
        <v>11</v>
      </c>
      <c r="F6622">
        <v>46333.1</v>
      </c>
      <c r="G6622">
        <v>18</v>
      </c>
    </row>
    <row r="6623" spans="1:7" x14ac:dyDescent="0.25">
      <c r="A6623" t="s">
        <v>41</v>
      </c>
      <c r="B6623" t="s">
        <v>134</v>
      </c>
      <c r="C6623" t="s">
        <v>17538</v>
      </c>
      <c r="D6623" t="s">
        <v>20</v>
      </c>
      <c r="E6623" t="s">
        <v>11</v>
      </c>
      <c r="F6623">
        <v>45378.299999999996</v>
      </c>
      <c r="G6623">
        <v>18</v>
      </c>
    </row>
    <row r="6624" spans="1:7" x14ac:dyDescent="0.25">
      <c r="A6624" t="s">
        <v>41</v>
      </c>
      <c r="B6624" t="s">
        <v>137</v>
      </c>
      <c r="C6624" t="s">
        <v>17539</v>
      </c>
      <c r="D6624" t="s">
        <v>20</v>
      </c>
      <c r="E6624" t="s">
        <v>11</v>
      </c>
      <c r="F6624">
        <v>80175.7</v>
      </c>
      <c r="G6624">
        <v>18</v>
      </c>
    </row>
    <row r="6625" spans="1:7" x14ac:dyDescent="0.25">
      <c r="A6625" t="s">
        <v>41</v>
      </c>
      <c r="B6625" t="s">
        <v>140</v>
      </c>
      <c r="C6625" t="s">
        <v>17540</v>
      </c>
      <c r="D6625" t="s">
        <v>20</v>
      </c>
      <c r="E6625" t="s">
        <v>11</v>
      </c>
      <c r="F6625">
        <v>32942.8</v>
      </c>
      <c r="G6625">
        <v>18</v>
      </c>
    </row>
    <row r="6626" spans="1:7" x14ac:dyDescent="0.25">
      <c r="A6626" t="s">
        <v>41</v>
      </c>
      <c r="B6626" t="s">
        <v>143</v>
      </c>
      <c r="C6626" t="s">
        <v>17541</v>
      </c>
      <c r="D6626" t="s">
        <v>20</v>
      </c>
      <c r="E6626" t="s">
        <v>11</v>
      </c>
      <c r="F6626">
        <v>7911.2</v>
      </c>
      <c r="G6626">
        <v>18</v>
      </c>
    </row>
    <row r="6627" spans="1:7" x14ac:dyDescent="0.25">
      <c r="A6627" t="s">
        <v>41</v>
      </c>
      <c r="B6627" t="s">
        <v>146</v>
      </c>
      <c r="C6627" t="s">
        <v>17542</v>
      </c>
      <c r="D6627" t="s">
        <v>20</v>
      </c>
      <c r="E6627" t="s">
        <v>11</v>
      </c>
      <c r="F6627">
        <v>4570.5</v>
      </c>
      <c r="G6627">
        <v>18</v>
      </c>
    </row>
    <row r="6628" spans="1:7" x14ac:dyDescent="0.25">
      <c r="A6628" t="s">
        <v>41</v>
      </c>
      <c r="B6628" t="s">
        <v>149</v>
      </c>
      <c r="C6628" t="s">
        <v>17543</v>
      </c>
      <c r="D6628" t="s">
        <v>20</v>
      </c>
      <c r="E6628" t="s">
        <v>11</v>
      </c>
      <c r="F6628">
        <v>1658.8</v>
      </c>
      <c r="G6628">
        <v>18</v>
      </c>
    </row>
    <row r="6629" spans="1:7" x14ac:dyDescent="0.25">
      <c r="A6629" t="s">
        <v>41</v>
      </c>
      <c r="B6629" t="s">
        <v>152</v>
      </c>
      <c r="C6629" t="s">
        <v>17544</v>
      </c>
      <c r="D6629" t="s">
        <v>20</v>
      </c>
      <c r="E6629" t="s">
        <v>11</v>
      </c>
      <c r="F6629">
        <v>2098.7999999999997</v>
      </c>
      <c r="G6629">
        <v>18</v>
      </c>
    </row>
    <row r="6630" spans="1:7" x14ac:dyDescent="0.25">
      <c r="A6630" t="s">
        <v>41</v>
      </c>
      <c r="B6630" t="s">
        <v>155</v>
      </c>
      <c r="C6630" t="s">
        <v>17545</v>
      </c>
      <c r="D6630" t="s">
        <v>20</v>
      </c>
      <c r="E6630" t="s">
        <v>11</v>
      </c>
      <c r="F6630">
        <v>2516.7999999999997</v>
      </c>
      <c r="G6630">
        <v>18</v>
      </c>
    </row>
    <row r="6631" spans="1:7" x14ac:dyDescent="0.25">
      <c r="A6631" t="s">
        <v>41</v>
      </c>
      <c r="B6631" t="s">
        <v>158</v>
      </c>
      <c r="C6631" t="s">
        <v>17546</v>
      </c>
      <c r="D6631" t="s">
        <v>20</v>
      </c>
      <c r="E6631" t="s">
        <v>11</v>
      </c>
      <c r="F6631">
        <v>649</v>
      </c>
      <c r="G6631">
        <v>18</v>
      </c>
    </row>
    <row r="6632" spans="1:7" x14ac:dyDescent="0.25">
      <c r="A6632" t="s">
        <v>41</v>
      </c>
      <c r="B6632" t="s">
        <v>161</v>
      </c>
      <c r="C6632" t="s">
        <v>17547</v>
      </c>
      <c r="D6632" t="s">
        <v>20</v>
      </c>
      <c r="E6632" t="s">
        <v>11</v>
      </c>
      <c r="F6632">
        <v>9508.4</v>
      </c>
      <c r="G6632">
        <v>18</v>
      </c>
    </row>
    <row r="6633" spans="1:7" x14ac:dyDescent="0.25">
      <c r="A6633" t="s">
        <v>41</v>
      </c>
      <c r="B6633" t="s">
        <v>164</v>
      </c>
      <c r="C6633" t="s">
        <v>17548</v>
      </c>
      <c r="D6633" t="s">
        <v>20</v>
      </c>
      <c r="E6633" t="s">
        <v>11</v>
      </c>
      <c r="F6633">
        <v>4570.5</v>
      </c>
      <c r="G6633">
        <v>18</v>
      </c>
    </row>
    <row r="6634" spans="1:7" x14ac:dyDescent="0.25">
      <c r="A6634" t="s">
        <v>41</v>
      </c>
      <c r="B6634" t="s">
        <v>167</v>
      </c>
      <c r="C6634" t="s">
        <v>17549</v>
      </c>
      <c r="D6634" t="s">
        <v>20</v>
      </c>
      <c r="E6634" t="s">
        <v>11</v>
      </c>
      <c r="F6634">
        <v>4437.400000000001</v>
      </c>
      <c r="G6634">
        <v>18</v>
      </c>
    </row>
    <row r="6635" spans="1:7" x14ac:dyDescent="0.25">
      <c r="A6635" t="s">
        <v>41</v>
      </c>
      <c r="B6635" t="s">
        <v>170</v>
      </c>
      <c r="C6635" t="s">
        <v>17550</v>
      </c>
      <c r="D6635" t="s">
        <v>20</v>
      </c>
      <c r="E6635" t="s">
        <v>11</v>
      </c>
      <c r="F6635">
        <v>8566.8</v>
      </c>
      <c r="G6635">
        <v>18</v>
      </c>
    </row>
    <row r="6636" spans="1:7" x14ac:dyDescent="0.25">
      <c r="A6636" t="s">
        <v>41</v>
      </c>
      <c r="B6636" t="s">
        <v>173</v>
      </c>
      <c r="C6636" t="s">
        <v>17551</v>
      </c>
      <c r="D6636" t="s">
        <v>20</v>
      </c>
      <c r="E6636" t="s">
        <v>11</v>
      </c>
      <c r="F6636">
        <v>32942.8</v>
      </c>
      <c r="G6636">
        <v>18</v>
      </c>
    </row>
    <row r="6637" spans="1:7" x14ac:dyDescent="0.25">
      <c r="A6637" t="s">
        <v>41</v>
      </c>
      <c r="B6637" t="s">
        <v>176</v>
      </c>
      <c r="C6637" t="s">
        <v>17552</v>
      </c>
      <c r="D6637" t="s">
        <v>20</v>
      </c>
      <c r="E6637" t="s">
        <v>11</v>
      </c>
      <c r="F6637">
        <v>2054.8</v>
      </c>
      <c r="G6637">
        <v>18</v>
      </c>
    </row>
    <row r="6638" spans="1:7" x14ac:dyDescent="0.25">
      <c r="A6638" t="s">
        <v>41</v>
      </c>
      <c r="B6638" t="s">
        <v>179</v>
      </c>
      <c r="C6638" t="s">
        <v>17553</v>
      </c>
      <c r="D6638" t="s">
        <v>20</v>
      </c>
      <c r="E6638" t="s">
        <v>11</v>
      </c>
      <c r="F6638">
        <v>3461.7</v>
      </c>
      <c r="G6638">
        <v>18</v>
      </c>
    </row>
    <row r="6639" spans="1:7" x14ac:dyDescent="0.25">
      <c r="A6639" t="s">
        <v>41</v>
      </c>
      <c r="B6639" t="s">
        <v>182</v>
      </c>
      <c r="C6639" t="s">
        <v>17554</v>
      </c>
      <c r="D6639" t="s">
        <v>20</v>
      </c>
      <c r="E6639" t="s">
        <v>11</v>
      </c>
      <c r="F6639">
        <v>5098.5</v>
      </c>
      <c r="G6639">
        <v>18</v>
      </c>
    </row>
    <row r="6640" spans="1:7" x14ac:dyDescent="0.25">
      <c r="A6640" t="s">
        <v>41</v>
      </c>
      <c r="B6640" t="s">
        <v>185</v>
      </c>
      <c r="C6640" t="s">
        <v>17555</v>
      </c>
      <c r="D6640" t="s">
        <v>20</v>
      </c>
      <c r="E6640" t="s">
        <v>11</v>
      </c>
      <c r="F6640">
        <v>5098.5</v>
      </c>
      <c r="G6640">
        <v>18</v>
      </c>
    </row>
    <row r="6641" spans="1:7" x14ac:dyDescent="0.25">
      <c r="A6641" t="s">
        <v>41</v>
      </c>
      <c r="B6641" t="s">
        <v>188</v>
      </c>
      <c r="C6641" t="s">
        <v>17556</v>
      </c>
      <c r="D6641" t="s">
        <v>20</v>
      </c>
      <c r="E6641" t="s">
        <v>11</v>
      </c>
      <c r="F6641">
        <v>5098.5</v>
      </c>
      <c r="G6641">
        <v>18</v>
      </c>
    </row>
    <row r="6642" spans="1:7" x14ac:dyDescent="0.25">
      <c r="A6642" t="s">
        <v>41</v>
      </c>
      <c r="B6642" t="s">
        <v>191</v>
      </c>
      <c r="C6642" t="s">
        <v>17557</v>
      </c>
      <c r="D6642" t="s">
        <v>20</v>
      </c>
      <c r="E6642" t="s">
        <v>11</v>
      </c>
      <c r="F6642">
        <v>5098.5</v>
      </c>
      <c r="G6642">
        <v>18</v>
      </c>
    </row>
    <row r="6643" spans="1:7" x14ac:dyDescent="0.25">
      <c r="A6643" t="s">
        <v>41</v>
      </c>
      <c r="B6643" t="s">
        <v>194</v>
      </c>
      <c r="C6643" t="s">
        <v>17558</v>
      </c>
      <c r="D6643" t="s">
        <v>20</v>
      </c>
      <c r="E6643" t="s">
        <v>11</v>
      </c>
      <c r="F6643">
        <v>5098.5</v>
      </c>
      <c r="G6643">
        <v>18</v>
      </c>
    </row>
    <row r="6644" spans="1:7" x14ac:dyDescent="0.25">
      <c r="A6644" t="s">
        <v>41</v>
      </c>
      <c r="B6644" t="s">
        <v>197</v>
      </c>
      <c r="C6644" t="s">
        <v>17559</v>
      </c>
      <c r="D6644" t="s">
        <v>20</v>
      </c>
      <c r="E6644" t="s">
        <v>11</v>
      </c>
      <c r="F6644">
        <v>5098.5</v>
      </c>
      <c r="G6644">
        <v>18</v>
      </c>
    </row>
    <row r="6645" spans="1:7" x14ac:dyDescent="0.25">
      <c r="A6645" t="s">
        <v>41</v>
      </c>
      <c r="B6645" t="s">
        <v>200</v>
      </c>
      <c r="C6645" t="s">
        <v>17560</v>
      </c>
      <c r="D6645" t="s">
        <v>20</v>
      </c>
      <c r="E6645" t="s">
        <v>11</v>
      </c>
      <c r="F6645">
        <v>5098.5</v>
      </c>
      <c r="G6645">
        <v>18</v>
      </c>
    </row>
    <row r="6646" spans="1:7" x14ac:dyDescent="0.25">
      <c r="A6646" t="s">
        <v>41</v>
      </c>
      <c r="B6646" t="s">
        <v>203</v>
      </c>
      <c r="C6646" t="s">
        <v>17561</v>
      </c>
      <c r="D6646" t="s">
        <v>20</v>
      </c>
      <c r="E6646" t="s">
        <v>11</v>
      </c>
      <c r="F6646">
        <v>5098.5</v>
      </c>
      <c r="G6646">
        <v>18</v>
      </c>
    </row>
    <row r="6647" spans="1:7" x14ac:dyDescent="0.25">
      <c r="A6647" t="s">
        <v>41</v>
      </c>
      <c r="B6647" t="s">
        <v>206</v>
      </c>
      <c r="C6647" t="s">
        <v>17562</v>
      </c>
      <c r="D6647" t="s">
        <v>20</v>
      </c>
      <c r="E6647" t="s">
        <v>11</v>
      </c>
      <c r="F6647">
        <v>5098.5</v>
      </c>
      <c r="G6647">
        <v>18</v>
      </c>
    </row>
    <row r="6648" spans="1:7" x14ac:dyDescent="0.25">
      <c r="A6648" t="s">
        <v>41</v>
      </c>
      <c r="B6648" t="s">
        <v>209</v>
      </c>
      <c r="C6648" t="s">
        <v>17563</v>
      </c>
      <c r="D6648" t="s">
        <v>20</v>
      </c>
      <c r="E6648" t="s">
        <v>11</v>
      </c>
      <c r="F6648">
        <v>5098.5</v>
      </c>
      <c r="G6648">
        <v>18</v>
      </c>
    </row>
    <row r="6649" spans="1:7" x14ac:dyDescent="0.25">
      <c r="A6649" t="s">
        <v>41</v>
      </c>
      <c r="B6649" t="s">
        <v>212</v>
      </c>
      <c r="C6649" t="s">
        <v>17564</v>
      </c>
      <c r="D6649" t="s">
        <v>20</v>
      </c>
      <c r="E6649" t="s">
        <v>11</v>
      </c>
      <c r="F6649">
        <v>5098.5</v>
      </c>
      <c r="G6649">
        <v>18</v>
      </c>
    </row>
    <row r="6650" spans="1:7" x14ac:dyDescent="0.25">
      <c r="A6650" t="s">
        <v>41</v>
      </c>
      <c r="B6650" t="s">
        <v>214</v>
      </c>
      <c r="C6650" t="s">
        <v>17565</v>
      </c>
      <c r="D6650" t="s">
        <v>20</v>
      </c>
      <c r="E6650" t="s">
        <v>11</v>
      </c>
      <c r="F6650">
        <v>5098.5</v>
      </c>
      <c r="G6650">
        <v>18</v>
      </c>
    </row>
    <row r="6651" spans="1:7" x14ac:dyDescent="0.25">
      <c r="A6651" t="s">
        <v>41</v>
      </c>
      <c r="B6651" t="s">
        <v>217</v>
      </c>
      <c r="C6651" t="s">
        <v>17566</v>
      </c>
      <c r="D6651" t="s">
        <v>20</v>
      </c>
      <c r="E6651" t="s">
        <v>11</v>
      </c>
      <c r="F6651">
        <v>80175.7</v>
      </c>
      <c r="G6651">
        <v>18</v>
      </c>
    </row>
    <row r="6652" spans="1:7" x14ac:dyDescent="0.25">
      <c r="A6652" t="s">
        <v>41</v>
      </c>
      <c r="B6652" t="s">
        <v>220</v>
      </c>
      <c r="C6652" t="s">
        <v>17537</v>
      </c>
      <c r="D6652" t="s">
        <v>20</v>
      </c>
      <c r="E6652" t="s">
        <v>11</v>
      </c>
      <c r="F6652">
        <v>46333.1</v>
      </c>
      <c r="G6652">
        <v>18</v>
      </c>
    </row>
    <row r="6653" spans="1:7" x14ac:dyDescent="0.25">
      <c r="A6653" t="s">
        <v>41</v>
      </c>
      <c r="B6653" t="s">
        <v>222</v>
      </c>
      <c r="C6653" t="s">
        <v>17538</v>
      </c>
      <c r="D6653" t="s">
        <v>20</v>
      </c>
      <c r="E6653" t="s">
        <v>11</v>
      </c>
      <c r="F6653">
        <v>45378.299999999996</v>
      </c>
      <c r="G6653">
        <v>18</v>
      </c>
    </row>
    <row r="6654" spans="1:7" x14ac:dyDescent="0.25">
      <c r="A6654" t="s">
        <v>41</v>
      </c>
      <c r="B6654" t="s">
        <v>225</v>
      </c>
      <c r="C6654" t="s">
        <v>17567</v>
      </c>
      <c r="D6654" t="s">
        <v>20</v>
      </c>
      <c r="E6654" t="s">
        <v>11</v>
      </c>
      <c r="F6654">
        <v>4570.5</v>
      </c>
      <c r="G6654">
        <v>18</v>
      </c>
    </row>
    <row r="6655" spans="1:7" x14ac:dyDescent="0.25">
      <c r="A6655" t="s">
        <v>41</v>
      </c>
      <c r="B6655" t="s">
        <v>228</v>
      </c>
      <c r="C6655" t="s">
        <v>17568</v>
      </c>
      <c r="D6655" t="s">
        <v>20</v>
      </c>
      <c r="E6655" t="s">
        <v>11</v>
      </c>
      <c r="F6655">
        <v>2098.7999999999997</v>
      </c>
      <c r="G6655">
        <v>18</v>
      </c>
    </row>
    <row r="6656" spans="1:7" x14ac:dyDescent="0.25">
      <c r="A6656" t="s">
        <v>41</v>
      </c>
      <c r="B6656" t="s">
        <v>231</v>
      </c>
      <c r="C6656" t="s">
        <v>17545</v>
      </c>
      <c r="D6656" t="s">
        <v>20</v>
      </c>
      <c r="E6656" t="s">
        <v>11</v>
      </c>
      <c r="F6656">
        <v>2516.7999999999997</v>
      </c>
      <c r="G6656">
        <v>18</v>
      </c>
    </row>
    <row r="6657" spans="1:7" x14ac:dyDescent="0.25">
      <c r="A6657" t="s">
        <v>41</v>
      </c>
      <c r="B6657" t="s">
        <v>234</v>
      </c>
      <c r="C6657" t="s">
        <v>17569</v>
      </c>
      <c r="D6657" t="s">
        <v>20</v>
      </c>
      <c r="E6657" t="s">
        <v>11</v>
      </c>
      <c r="F6657">
        <v>9508.4</v>
      </c>
      <c r="G6657">
        <v>18</v>
      </c>
    </row>
    <row r="6658" spans="1:7" x14ac:dyDescent="0.25">
      <c r="A6658" t="s">
        <v>41</v>
      </c>
      <c r="B6658" t="s">
        <v>237</v>
      </c>
      <c r="C6658" t="s">
        <v>17570</v>
      </c>
      <c r="D6658" t="s">
        <v>20</v>
      </c>
      <c r="E6658" t="s">
        <v>11</v>
      </c>
      <c r="F6658">
        <v>8060.8</v>
      </c>
      <c r="G6658">
        <v>18</v>
      </c>
    </row>
    <row r="6659" spans="1:7" x14ac:dyDescent="0.25">
      <c r="A6659" t="s">
        <v>41</v>
      </c>
      <c r="B6659" t="s">
        <v>240</v>
      </c>
      <c r="C6659" t="s">
        <v>17571</v>
      </c>
      <c r="D6659" t="s">
        <v>20</v>
      </c>
      <c r="E6659" t="s">
        <v>11</v>
      </c>
      <c r="F6659">
        <v>8060.8</v>
      </c>
      <c r="G6659">
        <v>18</v>
      </c>
    </row>
    <row r="6660" spans="1:7" x14ac:dyDescent="0.25">
      <c r="A6660" t="s">
        <v>41</v>
      </c>
      <c r="B6660" t="s">
        <v>243</v>
      </c>
      <c r="C6660" t="s">
        <v>17548</v>
      </c>
      <c r="D6660" t="s">
        <v>20</v>
      </c>
      <c r="E6660" t="s">
        <v>11</v>
      </c>
      <c r="F6660">
        <v>4570.5</v>
      </c>
      <c r="G6660">
        <v>18</v>
      </c>
    </row>
    <row r="6661" spans="1:7" x14ac:dyDescent="0.25">
      <c r="A6661" t="s">
        <v>41</v>
      </c>
      <c r="B6661" t="s">
        <v>246</v>
      </c>
      <c r="C6661" t="s">
        <v>17549</v>
      </c>
      <c r="D6661" t="s">
        <v>20</v>
      </c>
      <c r="E6661" t="s">
        <v>11</v>
      </c>
      <c r="F6661">
        <v>4437.400000000001</v>
      </c>
      <c r="G6661">
        <v>18</v>
      </c>
    </row>
    <row r="6662" spans="1:7" x14ac:dyDescent="0.25">
      <c r="A6662" t="s">
        <v>41</v>
      </c>
      <c r="B6662" t="s">
        <v>249</v>
      </c>
      <c r="C6662" t="s">
        <v>17572</v>
      </c>
      <c r="D6662" t="s">
        <v>20</v>
      </c>
      <c r="E6662" t="s">
        <v>11</v>
      </c>
      <c r="F6662">
        <v>32942.8</v>
      </c>
      <c r="G6662">
        <v>18</v>
      </c>
    </row>
    <row r="6663" spans="1:7" x14ac:dyDescent="0.25">
      <c r="A6663" t="s">
        <v>41</v>
      </c>
      <c r="B6663" t="s">
        <v>252</v>
      </c>
      <c r="C6663" t="s">
        <v>17573</v>
      </c>
      <c r="D6663" t="s">
        <v>20</v>
      </c>
      <c r="E6663" t="s">
        <v>11</v>
      </c>
      <c r="F6663">
        <v>4722.3</v>
      </c>
      <c r="G6663">
        <v>18</v>
      </c>
    </row>
    <row r="6664" spans="1:7" x14ac:dyDescent="0.25">
      <c r="A6664" t="s">
        <v>41</v>
      </c>
      <c r="B6664" t="s">
        <v>255</v>
      </c>
      <c r="C6664" t="s">
        <v>17512</v>
      </c>
      <c r="D6664" t="s">
        <v>20</v>
      </c>
      <c r="E6664" t="s">
        <v>11</v>
      </c>
      <c r="F6664">
        <v>55376.200000000004</v>
      </c>
      <c r="G6664">
        <v>18</v>
      </c>
    </row>
    <row r="6665" spans="1:7" x14ac:dyDescent="0.25">
      <c r="A6665" t="s">
        <v>41</v>
      </c>
      <c r="B6665" t="s">
        <v>258</v>
      </c>
      <c r="C6665" t="s">
        <v>17574</v>
      </c>
      <c r="D6665" t="s">
        <v>20</v>
      </c>
      <c r="E6665" t="s">
        <v>11</v>
      </c>
      <c r="F6665">
        <v>55376.200000000004</v>
      </c>
      <c r="G6665">
        <v>18</v>
      </c>
    </row>
    <row r="6666" spans="1:7" x14ac:dyDescent="0.25">
      <c r="A6666" t="s">
        <v>41</v>
      </c>
      <c r="B6666" t="s">
        <v>261</v>
      </c>
      <c r="C6666" t="s">
        <v>17575</v>
      </c>
      <c r="D6666" t="s">
        <v>20</v>
      </c>
      <c r="E6666" t="s">
        <v>11</v>
      </c>
      <c r="F6666">
        <v>55376.200000000004</v>
      </c>
      <c r="G6666">
        <v>18</v>
      </c>
    </row>
    <row r="6667" spans="1:7" x14ac:dyDescent="0.25">
      <c r="A6667" t="s">
        <v>41</v>
      </c>
      <c r="B6667" t="s">
        <v>264</v>
      </c>
      <c r="C6667" t="s">
        <v>17576</v>
      </c>
      <c r="D6667" t="s">
        <v>20</v>
      </c>
      <c r="E6667" t="s">
        <v>11</v>
      </c>
      <c r="F6667">
        <v>23392.6</v>
      </c>
      <c r="G6667">
        <v>18</v>
      </c>
    </row>
    <row r="6668" spans="1:7" x14ac:dyDescent="0.25">
      <c r="A6668" t="s">
        <v>41</v>
      </c>
      <c r="B6668" t="s">
        <v>267</v>
      </c>
      <c r="C6668" t="s">
        <v>17577</v>
      </c>
      <c r="D6668" t="s">
        <v>20</v>
      </c>
      <c r="E6668" t="s">
        <v>11</v>
      </c>
      <c r="F6668">
        <v>14781.8</v>
      </c>
      <c r="G6668">
        <v>18</v>
      </c>
    </row>
    <row r="6669" spans="1:7" x14ac:dyDescent="0.25">
      <c r="A6669" t="s">
        <v>41</v>
      </c>
      <c r="B6669" t="s">
        <v>270</v>
      </c>
      <c r="C6669" t="s">
        <v>17578</v>
      </c>
      <c r="D6669" t="s">
        <v>20</v>
      </c>
      <c r="E6669" t="s">
        <v>11</v>
      </c>
      <c r="F6669">
        <v>15818.000000000002</v>
      </c>
      <c r="G6669">
        <v>18</v>
      </c>
    </row>
    <row r="6670" spans="1:7" x14ac:dyDescent="0.25">
      <c r="A6670" t="s">
        <v>41</v>
      </c>
      <c r="B6670" t="s">
        <v>272</v>
      </c>
      <c r="C6670" t="s">
        <v>17523</v>
      </c>
      <c r="D6670" t="s">
        <v>20</v>
      </c>
      <c r="E6670" t="s">
        <v>11</v>
      </c>
      <c r="F6670">
        <v>15782.8</v>
      </c>
      <c r="G6670">
        <v>18</v>
      </c>
    </row>
    <row r="6671" spans="1:7" x14ac:dyDescent="0.25">
      <c r="A6671" t="s">
        <v>41</v>
      </c>
      <c r="B6671" t="s">
        <v>275</v>
      </c>
      <c r="C6671" t="s">
        <v>17527</v>
      </c>
      <c r="D6671" t="s">
        <v>20</v>
      </c>
      <c r="E6671" t="s">
        <v>11</v>
      </c>
      <c r="F6671">
        <v>80175.7</v>
      </c>
      <c r="G6671">
        <v>18</v>
      </c>
    </row>
    <row r="6672" spans="1:7" x14ac:dyDescent="0.25">
      <c r="A6672" t="s">
        <v>41</v>
      </c>
      <c r="B6672" t="s">
        <v>278</v>
      </c>
      <c r="C6672" t="s">
        <v>17579</v>
      </c>
      <c r="D6672" t="s">
        <v>20</v>
      </c>
      <c r="E6672" t="s">
        <v>11</v>
      </c>
      <c r="F6672">
        <v>80175.7</v>
      </c>
      <c r="G6672">
        <v>18</v>
      </c>
    </row>
    <row r="6673" spans="1:7" x14ac:dyDescent="0.25">
      <c r="A6673" t="s">
        <v>41</v>
      </c>
      <c r="B6673" t="s">
        <v>281</v>
      </c>
      <c r="C6673" t="s">
        <v>17580</v>
      </c>
      <c r="D6673" t="s">
        <v>20</v>
      </c>
      <c r="E6673" t="s">
        <v>11</v>
      </c>
      <c r="F6673">
        <v>80175.7</v>
      </c>
      <c r="G6673">
        <v>18</v>
      </c>
    </row>
    <row r="6674" spans="1:7" x14ac:dyDescent="0.25">
      <c r="A6674" t="s">
        <v>41</v>
      </c>
      <c r="B6674" t="s">
        <v>284</v>
      </c>
      <c r="C6674" t="s">
        <v>17581</v>
      </c>
      <c r="D6674" t="s">
        <v>20</v>
      </c>
      <c r="E6674" t="s">
        <v>11</v>
      </c>
      <c r="F6674">
        <v>8336.900000000001</v>
      </c>
      <c r="G6674">
        <v>18</v>
      </c>
    </row>
    <row r="6675" spans="1:7" x14ac:dyDescent="0.25">
      <c r="A6675" t="s">
        <v>41</v>
      </c>
      <c r="B6675" t="s">
        <v>287</v>
      </c>
      <c r="C6675" t="s">
        <v>17582</v>
      </c>
      <c r="D6675" t="s">
        <v>20</v>
      </c>
      <c r="E6675" t="s">
        <v>11</v>
      </c>
      <c r="F6675">
        <v>4594.700000000001</v>
      </c>
      <c r="G6675">
        <v>18</v>
      </c>
    </row>
    <row r="6676" spans="1:7" x14ac:dyDescent="0.25">
      <c r="A6676" t="s">
        <v>41</v>
      </c>
      <c r="B6676" t="s">
        <v>290</v>
      </c>
      <c r="C6676" t="s">
        <v>17530</v>
      </c>
      <c r="D6676" t="s">
        <v>20</v>
      </c>
      <c r="E6676" t="s">
        <v>11</v>
      </c>
      <c r="F6676">
        <v>7504.2</v>
      </c>
      <c r="G6676">
        <v>18</v>
      </c>
    </row>
    <row r="6677" spans="1:7" x14ac:dyDescent="0.25">
      <c r="A6677" t="s">
        <v>41</v>
      </c>
      <c r="B6677" t="s">
        <v>293</v>
      </c>
      <c r="C6677" t="s">
        <v>17583</v>
      </c>
      <c r="D6677" t="s">
        <v>20</v>
      </c>
      <c r="E6677" t="s">
        <v>11</v>
      </c>
      <c r="F6677">
        <v>4594.700000000001</v>
      </c>
      <c r="G6677">
        <v>18</v>
      </c>
    </row>
    <row r="6678" spans="1:7" x14ac:dyDescent="0.25">
      <c r="A6678" t="s">
        <v>41</v>
      </c>
      <c r="B6678" t="s">
        <v>296</v>
      </c>
      <c r="C6678" t="s">
        <v>17537</v>
      </c>
      <c r="D6678" t="s">
        <v>20</v>
      </c>
      <c r="E6678" t="s">
        <v>11</v>
      </c>
      <c r="F6678">
        <v>46333.1</v>
      </c>
      <c r="G6678">
        <v>18</v>
      </c>
    </row>
    <row r="6679" spans="1:7" x14ac:dyDescent="0.25">
      <c r="A6679" t="s">
        <v>41</v>
      </c>
      <c r="B6679" t="s">
        <v>299</v>
      </c>
      <c r="C6679" t="s">
        <v>17538</v>
      </c>
      <c r="D6679" t="s">
        <v>20</v>
      </c>
      <c r="E6679" t="s">
        <v>11</v>
      </c>
      <c r="F6679">
        <v>45378.299999999996</v>
      </c>
      <c r="G6679">
        <v>18</v>
      </c>
    </row>
    <row r="6680" spans="1:7" x14ac:dyDescent="0.25">
      <c r="A6680" t="s">
        <v>41</v>
      </c>
      <c r="B6680" t="s">
        <v>302</v>
      </c>
      <c r="C6680" t="s">
        <v>17584</v>
      </c>
      <c r="D6680" t="s">
        <v>20</v>
      </c>
      <c r="E6680" t="s">
        <v>11</v>
      </c>
      <c r="F6680">
        <v>80175.7</v>
      </c>
      <c r="G6680">
        <v>18</v>
      </c>
    </row>
    <row r="6681" spans="1:7" x14ac:dyDescent="0.25">
      <c r="A6681" t="s">
        <v>41</v>
      </c>
      <c r="B6681" t="s">
        <v>305</v>
      </c>
      <c r="C6681" t="s">
        <v>17585</v>
      </c>
      <c r="D6681" t="s">
        <v>20</v>
      </c>
      <c r="E6681" t="s">
        <v>11</v>
      </c>
      <c r="F6681">
        <v>46470.6</v>
      </c>
      <c r="G6681">
        <v>18</v>
      </c>
    </row>
    <row r="6682" spans="1:7" x14ac:dyDescent="0.25">
      <c r="A6682" t="s">
        <v>41</v>
      </c>
      <c r="B6682" t="s">
        <v>308</v>
      </c>
      <c r="C6682" t="s">
        <v>17586</v>
      </c>
      <c r="D6682" t="s">
        <v>20</v>
      </c>
      <c r="E6682" t="s">
        <v>11</v>
      </c>
      <c r="F6682">
        <v>46470.6</v>
      </c>
      <c r="G6682">
        <v>18</v>
      </c>
    </row>
    <row r="6683" spans="1:7" x14ac:dyDescent="0.25">
      <c r="A6683" t="s">
        <v>41</v>
      </c>
      <c r="B6683" t="s">
        <v>311</v>
      </c>
      <c r="C6683" t="s">
        <v>17587</v>
      </c>
      <c r="D6683" t="s">
        <v>20</v>
      </c>
      <c r="E6683" t="s">
        <v>11</v>
      </c>
      <c r="F6683">
        <v>46470.6</v>
      </c>
      <c r="G6683">
        <v>18</v>
      </c>
    </row>
    <row r="6684" spans="1:7" x14ac:dyDescent="0.25">
      <c r="A6684" t="s">
        <v>41</v>
      </c>
      <c r="B6684" t="s">
        <v>314</v>
      </c>
      <c r="C6684" t="s">
        <v>17588</v>
      </c>
      <c r="D6684" t="s">
        <v>20</v>
      </c>
      <c r="E6684" t="s">
        <v>11</v>
      </c>
      <c r="F6684">
        <v>7165.4</v>
      </c>
      <c r="G6684">
        <v>18</v>
      </c>
    </row>
    <row r="6685" spans="1:7" x14ac:dyDescent="0.25">
      <c r="A6685" t="s">
        <v>41</v>
      </c>
      <c r="B6685" t="s">
        <v>317</v>
      </c>
      <c r="C6685" t="s">
        <v>17589</v>
      </c>
      <c r="D6685" t="s">
        <v>20</v>
      </c>
      <c r="E6685" t="s">
        <v>11</v>
      </c>
      <c r="F6685">
        <v>11086.900000000001</v>
      </c>
      <c r="G6685">
        <v>18</v>
      </c>
    </row>
    <row r="6686" spans="1:7" x14ac:dyDescent="0.25">
      <c r="A6686" t="s">
        <v>41</v>
      </c>
      <c r="B6686" t="s">
        <v>319</v>
      </c>
      <c r="C6686" t="s">
        <v>17590</v>
      </c>
      <c r="D6686" t="s">
        <v>20</v>
      </c>
      <c r="E6686" t="s">
        <v>11</v>
      </c>
      <c r="F6686">
        <v>6234.8</v>
      </c>
      <c r="G6686">
        <v>18</v>
      </c>
    </row>
    <row r="6687" spans="1:7" x14ac:dyDescent="0.25">
      <c r="A6687" t="s">
        <v>41</v>
      </c>
      <c r="B6687" t="s">
        <v>322</v>
      </c>
      <c r="C6687" t="s">
        <v>17591</v>
      </c>
      <c r="D6687" t="s">
        <v>20</v>
      </c>
      <c r="E6687" t="s">
        <v>11</v>
      </c>
      <c r="F6687">
        <v>6234.8</v>
      </c>
      <c r="G6687">
        <v>18</v>
      </c>
    </row>
    <row r="6688" spans="1:7" x14ac:dyDescent="0.25">
      <c r="A6688" t="s">
        <v>41</v>
      </c>
      <c r="B6688" t="s">
        <v>325</v>
      </c>
      <c r="C6688" t="s">
        <v>17592</v>
      </c>
      <c r="D6688" t="s">
        <v>20</v>
      </c>
      <c r="E6688" t="s">
        <v>11</v>
      </c>
      <c r="F6688">
        <v>661.1</v>
      </c>
      <c r="G6688">
        <v>18</v>
      </c>
    </row>
    <row r="6689" spans="1:7" x14ac:dyDescent="0.25">
      <c r="A6689" t="s">
        <v>41</v>
      </c>
      <c r="B6689" t="s">
        <v>328</v>
      </c>
      <c r="C6689" t="s">
        <v>17593</v>
      </c>
      <c r="D6689" t="s">
        <v>20</v>
      </c>
      <c r="E6689" t="s">
        <v>11</v>
      </c>
      <c r="F6689">
        <v>2098.7999999999997</v>
      </c>
      <c r="G6689">
        <v>18</v>
      </c>
    </row>
    <row r="6690" spans="1:7" x14ac:dyDescent="0.25">
      <c r="A6690" t="s">
        <v>41</v>
      </c>
      <c r="B6690" t="s">
        <v>331</v>
      </c>
      <c r="C6690" t="s">
        <v>17594</v>
      </c>
      <c r="D6690" t="s">
        <v>20</v>
      </c>
      <c r="E6690" t="s">
        <v>11</v>
      </c>
      <c r="F6690">
        <v>4570.5</v>
      </c>
      <c r="G6690">
        <v>18</v>
      </c>
    </row>
    <row r="6691" spans="1:7" x14ac:dyDescent="0.25">
      <c r="A6691" t="s">
        <v>41</v>
      </c>
      <c r="B6691" t="s">
        <v>334</v>
      </c>
      <c r="C6691" t="s">
        <v>17545</v>
      </c>
      <c r="D6691" t="s">
        <v>20</v>
      </c>
      <c r="E6691" t="s">
        <v>11</v>
      </c>
      <c r="F6691">
        <v>2516.7999999999997</v>
      </c>
      <c r="G6691">
        <v>18</v>
      </c>
    </row>
    <row r="6692" spans="1:7" x14ac:dyDescent="0.25">
      <c r="A6692" t="s">
        <v>41</v>
      </c>
      <c r="B6692" t="s">
        <v>337</v>
      </c>
      <c r="C6692" t="s">
        <v>17548</v>
      </c>
      <c r="D6692" t="s">
        <v>20</v>
      </c>
      <c r="E6692" t="s">
        <v>11</v>
      </c>
      <c r="F6692">
        <v>4570.5</v>
      </c>
      <c r="G6692">
        <v>18</v>
      </c>
    </row>
    <row r="6693" spans="1:7" x14ac:dyDescent="0.25">
      <c r="A6693" t="s">
        <v>41</v>
      </c>
      <c r="B6693" t="s">
        <v>340</v>
      </c>
      <c r="C6693" t="s">
        <v>17549</v>
      </c>
      <c r="D6693" t="s">
        <v>20</v>
      </c>
      <c r="E6693" t="s">
        <v>11</v>
      </c>
      <c r="F6693">
        <v>4437.400000000001</v>
      </c>
      <c r="G6693">
        <v>18</v>
      </c>
    </row>
    <row r="6694" spans="1:7" x14ac:dyDescent="0.25">
      <c r="A6694" t="s">
        <v>41</v>
      </c>
      <c r="B6694" t="s">
        <v>343</v>
      </c>
      <c r="C6694" t="s">
        <v>17595</v>
      </c>
      <c r="D6694" t="s">
        <v>20</v>
      </c>
      <c r="E6694" t="s">
        <v>11</v>
      </c>
      <c r="F6694">
        <v>46470.6</v>
      </c>
      <c r="G6694">
        <v>18</v>
      </c>
    </row>
    <row r="6695" spans="1:7" x14ac:dyDescent="0.25">
      <c r="A6695" t="s">
        <v>41</v>
      </c>
      <c r="B6695" t="s">
        <v>346</v>
      </c>
      <c r="C6695" t="s">
        <v>17596</v>
      </c>
      <c r="D6695" t="s">
        <v>20</v>
      </c>
      <c r="E6695" t="s">
        <v>11</v>
      </c>
      <c r="F6695">
        <v>11885.5</v>
      </c>
      <c r="G6695">
        <v>18</v>
      </c>
    </row>
    <row r="6696" spans="1:7" x14ac:dyDescent="0.25">
      <c r="A6696" t="s">
        <v>41</v>
      </c>
      <c r="B6696" t="s">
        <v>349</v>
      </c>
      <c r="C6696" t="s">
        <v>17597</v>
      </c>
      <c r="D6696" t="s">
        <v>20</v>
      </c>
      <c r="E6696" t="s">
        <v>11</v>
      </c>
      <c r="F6696">
        <v>8586.6</v>
      </c>
      <c r="G6696">
        <v>18</v>
      </c>
    </row>
    <row r="6697" spans="1:7" x14ac:dyDescent="0.25">
      <c r="A6697" t="s">
        <v>41</v>
      </c>
      <c r="B6697" t="s">
        <v>352</v>
      </c>
      <c r="C6697" t="s">
        <v>17598</v>
      </c>
      <c r="D6697" t="s">
        <v>20</v>
      </c>
      <c r="E6697" t="s">
        <v>11</v>
      </c>
      <c r="F6697">
        <v>80175.7</v>
      </c>
      <c r="G6697">
        <v>18</v>
      </c>
    </row>
    <row r="6698" spans="1:7" x14ac:dyDescent="0.25">
      <c r="A6698" t="s">
        <v>41</v>
      </c>
      <c r="B6698" t="s">
        <v>355</v>
      </c>
      <c r="C6698" t="s">
        <v>17599</v>
      </c>
      <c r="D6698" t="s">
        <v>20</v>
      </c>
      <c r="E6698" t="s">
        <v>11</v>
      </c>
      <c r="F6698">
        <v>45378.299999999996</v>
      </c>
      <c r="G6698">
        <v>18</v>
      </c>
    </row>
    <row r="6699" spans="1:7" x14ac:dyDescent="0.25">
      <c r="A6699" t="s">
        <v>41</v>
      </c>
      <c r="B6699" t="s">
        <v>358</v>
      </c>
      <c r="C6699" t="s">
        <v>17600</v>
      </c>
      <c r="D6699" t="s">
        <v>20</v>
      </c>
      <c r="E6699" t="s">
        <v>11</v>
      </c>
      <c r="F6699">
        <v>4570.5</v>
      </c>
      <c r="G6699">
        <v>18</v>
      </c>
    </row>
    <row r="6700" spans="1:7" x14ac:dyDescent="0.25">
      <c r="A6700" t="s">
        <v>41</v>
      </c>
      <c r="B6700" t="s">
        <v>361</v>
      </c>
      <c r="C6700" t="s">
        <v>17568</v>
      </c>
      <c r="D6700" t="s">
        <v>20</v>
      </c>
      <c r="E6700" t="s">
        <v>11</v>
      </c>
      <c r="F6700">
        <v>2098.7999999999997</v>
      </c>
      <c r="G6700">
        <v>18</v>
      </c>
    </row>
    <row r="6701" spans="1:7" x14ac:dyDescent="0.25">
      <c r="A6701" t="s">
        <v>41</v>
      </c>
      <c r="B6701" t="s">
        <v>364</v>
      </c>
      <c r="C6701" t="s">
        <v>17545</v>
      </c>
      <c r="D6701" t="s">
        <v>20</v>
      </c>
      <c r="E6701" t="s">
        <v>11</v>
      </c>
      <c r="F6701">
        <v>2516.7999999999997</v>
      </c>
      <c r="G6701">
        <v>18</v>
      </c>
    </row>
    <row r="6702" spans="1:7" x14ac:dyDescent="0.25">
      <c r="A6702" t="s">
        <v>41</v>
      </c>
      <c r="B6702" t="s">
        <v>367</v>
      </c>
      <c r="C6702" t="s">
        <v>17601</v>
      </c>
      <c r="D6702" t="s">
        <v>20</v>
      </c>
      <c r="E6702" t="s">
        <v>11</v>
      </c>
      <c r="F6702">
        <v>9508.4</v>
      </c>
      <c r="G6702">
        <v>18</v>
      </c>
    </row>
    <row r="6703" spans="1:7" x14ac:dyDescent="0.25">
      <c r="A6703" t="s">
        <v>41</v>
      </c>
      <c r="B6703" t="s">
        <v>370</v>
      </c>
      <c r="C6703" t="s">
        <v>17570</v>
      </c>
      <c r="D6703" t="s">
        <v>20</v>
      </c>
      <c r="E6703" t="s">
        <v>11</v>
      </c>
      <c r="F6703">
        <v>8060.8</v>
      </c>
      <c r="G6703">
        <v>18</v>
      </c>
    </row>
    <row r="6704" spans="1:7" x14ac:dyDescent="0.25">
      <c r="A6704" t="s">
        <v>41</v>
      </c>
      <c r="B6704" t="s">
        <v>373</v>
      </c>
      <c r="C6704" t="s">
        <v>17548</v>
      </c>
      <c r="D6704" t="s">
        <v>20</v>
      </c>
      <c r="E6704" t="s">
        <v>11</v>
      </c>
      <c r="F6704">
        <v>4570.5</v>
      </c>
      <c r="G6704">
        <v>18</v>
      </c>
    </row>
    <row r="6705" spans="1:7" x14ac:dyDescent="0.25">
      <c r="A6705" t="s">
        <v>41</v>
      </c>
      <c r="B6705" t="s">
        <v>376</v>
      </c>
      <c r="C6705" t="s">
        <v>17549</v>
      </c>
      <c r="D6705" t="s">
        <v>20</v>
      </c>
      <c r="E6705" t="s">
        <v>11</v>
      </c>
      <c r="F6705">
        <v>4437.400000000001</v>
      </c>
      <c r="G6705">
        <v>18</v>
      </c>
    </row>
    <row r="6706" spans="1:7" x14ac:dyDescent="0.25">
      <c r="A6706" t="s">
        <v>41</v>
      </c>
      <c r="B6706" t="s">
        <v>379</v>
      </c>
      <c r="C6706" t="s">
        <v>17572</v>
      </c>
      <c r="D6706" t="s">
        <v>20</v>
      </c>
      <c r="E6706" t="s">
        <v>11</v>
      </c>
      <c r="F6706">
        <v>32942.8</v>
      </c>
      <c r="G6706">
        <v>18</v>
      </c>
    </row>
    <row r="6707" spans="1:7" x14ac:dyDescent="0.25">
      <c r="A6707" t="s">
        <v>41</v>
      </c>
      <c r="B6707" t="s">
        <v>382</v>
      </c>
      <c r="C6707" t="s">
        <v>17602</v>
      </c>
      <c r="D6707" t="s">
        <v>20</v>
      </c>
      <c r="E6707" t="s">
        <v>11</v>
      </c>
      <c r="F6707">
        <v>5387.799999999999</v>
      </c>
      <c r="G6707">
        <v>18</v>
      </c>
    </row>
    <row r="6708" spans="1:7" x14ac:dyDescent="0.25">
      <c r="A6708" t="s">
        <v>41</v>
      </c>
      <c r="B6708" t="s">
        <v>385</v>
      </c>
      <c r="C6708" t="s">
        <v>17603</v>
      </c>
      <c r="D6708" t="s">
        <v>20</v>
      </c>
      <c r="E6708" t="s">
        <v>11</v>
      </c>
      <c r="F6708">
        <v>10890</v>
      </c>
      <c r="G6708">
        <v>18</v>
      </c>
    </row>
    <row r="6709" spans="1:7" x14ac:dyDescent="0.25">
      <c r="A6709" t="s">
        <v>41</v>
      </c>
      <c r="B6709" t="s">
        <v>388</v>
      </c>
      <c r="C6709" t="s">
        <v>17604</v>
      </c>
      <c r="D6709" t="s">
        <v>20</v>
      </c>
      <c r="E6709" t="s">
        <v>11</v>
      </c>
      <c r="F6709">
        <v>5813.5</v>
      </c>
      <c r="G6709">
        <v>18</v>
      </c>
    </row>
    <row r="6710" spans="1:7" x14ac:dyDescent="0.25">
      <c r="A6710" t="s">
        <v>41</v>
      </c>
      <c r="B6710" t="s">
        <v>391</v>
      </c>
      <c r="C6710" t="s">
        <v>17605</v>
      </c>
      <c r="D6710" t="s">
        <v>20</v>
      </c>
      <c r="E6710" t="s">
        <v>11</v>
      </c>
      <c r="F6710">
        <v>473</v>
      </c>
      <c r="G6710">
        <v>18</v>
      </c>
    </row>
    <row r="6711" spans="1:7" x14ac:dyDescent="0.25">
      <c r="A6711" t="s">
        <v>41</v>
      </c>
      <c r="B6711" t="s">
        <v>394</v>
      </c>
      <c r="C6711" t="s">
        <v>17606</v>
      </c>
      <c r="D6711" t="s">
        <v>20</v>
      </c>
      <c r="E6711" t="s">
        <v>11</v>
      </c>
      <c r="F6711">
        <v>3029.4</v>
      </c>
      <c r="G6711">
        <v>18</v>
      </c>
    </row>
    <row r="6712" spans="1:7" x14ac:dyDescent="0.25">
      <c r="A6712" t="s">
        <v>41</v>
      </c>
      <c r="B6712" t="s">
        <v>397</v>
      </c>
      <c r="C6712" t="s">
        <v>17607</v>
      </c>
      <c r="D6712" t="s">
        <v>20</v>
      </c>
      <c r="E6712" t="s">
        <v>11</v>
      </c>
      <c r="F6712">
        <v>1542.2</v>
      </c>
      <c r="G6712">
        <v>18</v>
      </c>
    </row>
    <row r="6713" spans="1:7" x14ac:dyDescent="0.25">
      <c r="A6713" t="s">
        <v>41</v>
      </c>
      <c r="B6713" t="s">
        <v>400</v>
      </c>
      <c r="C6713" t="s">
        <v>17608</v>
      </c>
      <c r="D6713" t="s">
        <v>20</v>
      </c>
      <c r="E6713" t="s">
        <v>11</v>
      </c>
      <c r="F6713">
        <v>1602.7</v>
      </c>
      <c r="G6713">
        <v>18</v>
      </c>
    </row>
    <row r="6714" spans="1:7" x14ac:dyDescent="0.25">
      <c r="A6714" t="s">
        <v>41</v>
      </c>
      <c r="B6714" t="s">
        <v>403</v>
      </c>
      <c r="C6714" t="s">
        <v>17609</v>
      </c>
      <c r="D6714" t="s">
        <v>20</v>
      </c>
      <c r="E6714" t="s">
        <v>11</v>
      </c>
      <c r="F6714">
        <v>347.6</v>
      </c>
      <c r="G6714">
        <v>18</v>
      </c>
    </row>
    <row r="6715" spans="1:7" x14ac:dyDescent="0.25">
      <c r="A6715" t="s">
        <v>41</v>
      </c>
      <c r="B6715" t="s">
        <v>406</v>
      </c>
      <c r="C6715" t="s">
        <v>17610</v>
      </c>
      <c r="D6715" t="s">
        <v>20</v>
      </c>
      <c r="E6715" t="s">
        <v>11</v>
      </c>
      <c r="F6715">
        <v>2174.7</v>
      </c>
      <c r="G6715">
        <v>18</v>
      </c>
    </row>
    <row r="6716" spans="1:7" x14ac:dyDescent="0.25">
      <c r="A6716" t="s">
        <v>41</v>
      </c>
      <c r="B6716" t="s">
        <v>409</v>
      </c>
      <c r="C6716" t="s">
        <v>17611</v>
      </c>
      <c r="D6716" t="s">
        <v>20</v>
      </c>
      <c r="E6716" t="s">
        <v>11</v>
      </c>
      <c r="F6716">
        <v>852.5</v>
      </c>
      <c r="G6716">
        <v>18</v>
      </c>
    </row>
    <row r="6717" spans="1:7" x14ac:dyDescent="0.25">
      <c r="A6717" t="s">
        <v>41</v>
      </c>
      <c r="B6717" t="s">
        <v>412</v>
      </c>
      <c r="C6717" t="s">
        <v>17612</v>
      </c>
      <c r="D6717" t="s">
        <v>20</v>
      </c>
      <c r="E6717" t="s">
        <v>11</v>
      </c>
      <c r="F6717">
        <v>885.5000000000001</v>
      </c>
      <c r="G6717">
        <v>18</v>
      </c>
    </row>
    <row r="6718" spans="1:7" x14ac:dyDescent="0.25">
      <c r="A6718" t="s">
        <v>41</v>
      </c>
      <c r="B6718" t="s">
        <v>415</v>
      </c>
      <c r="C6718" t="s">
        <v>17613</v>
      </c>
      <c r="D6718" t="s">
        <v>20</v>
      </c>
      <c r="E6718" t="s">
        <v>11</v>
      </c>
      <c r="F6718">
        <v>67.1</v>
      </c>
      <c r="G6718">
        <v>18</v>
      </c>
    </row>
    <row r="6719" spans="1:7" x14ac:dyDescent="0.25">
      <c r="A6719" t="s">
        <v>41</v>
      </c>
      <c r="B6719" t="s">
        <v>418</v>
      </c>
      <c r="C6719" t="s">
        <v>17614</v>
      </c>
      <c r="D6719" t="s">
        <v>20</v>
      </c>
      <c r="E6719" t="s">
        <v>11</v>
      </c>
      <c r="F6719">
        <v>7230.3</v>
      </c>
      <c r="G6719">
        <v>18</v>
      </c>
    </row>
    <row r="6720" spans="1:7" x14ac:dyDescent="0.25">
      <c r="A6720" t="s">
        <v>41</v>
      </c>
      <c r="B6720" t="s">
        <v>421</v>
      </c>
      <c r="C6720" t="s">
        <v>17615</v>
      </c>
      <c r="D6720" t="s">
        <v>20</v>
      </c>
      <c r="E6720" t="s">
        <v>11</v>
      </c>
      <c r="F6720">
        <v>5564.900000000001</v>
      </c>
      <c r="G6720">
        <v>18</v>
      </c>
    </row>
    <row r="6721" spans="1:7" x14ac:dyDescent="0.25">
      <c r="A6721" t="s">
        <v>41</v>
      </c>
      <c r="B6721" t="s">
        <v>424</v>
      </c>
      <c r="C6721" t="s">
        <v>17616</v>
      </c>
      <c r="D6721" t="s">
        <v>20</v>
      </c>
      <c r="E6721" t="s">
        <v>11</v>
      </c>
      <c r="F6721">
        <v>4448.4</v>
      </c>
      <c r="G6721">
        <v>18</v>
      </c>
    </row>
    <row r="6722" spans="1:7" x14ac:dyDescent="0.25">
      <c r="A6722" t="s">
        <v>41</v>
      </c>
      <c r="B6722" t="s">
        <v>427</v>
      </c>
      <c r="C6722" t="s">
        <v>17617</v>
      </c>
      <c r="D6722" t="s">
        <v>20</v>
      </c>
      <c r="E6722" t="s">
        <v>11</v>
      </c>
      <c r="F6722">
        <v>1109.9</v>
      </c>
      <c r="G6722">
        <v>18</v>
      </c>
    </row>
    <row r="6723" spans="1:7" x14ac:dyDescent="0.25">
      <c r="A6723" t="s">
        <v>41</v>
      </c>
      <c r="B6723" t="s">
        <v>430</v>
      </c>
      <c r="C6723" t="s">
        <v>17618</v>
      </c>
      <c r="D6723" t="s">
        <v>20</v>
      </c>
      <c r="E6723" t="s">
        <v>11</v>
      </c>
      <c r="F6723">
        <v>885.5000000000001</v>
      </c>
      <c r="G6723">
        <v>18</v>
      </c>
    </row>
    <row r="6724" spans="1:7" x14ac:dyDescent="0.25">
      <c r="A6724" t="s">
        <v>41</v>
      </c>
      <c r="B6724" t="s">
        <v>433</v>
      </c>
      <c r="C6724" t="s">
        <v>17619</v>
      </c>
      <c r="D6724" t="s">
        <v>20</v>
      </c>
      <c r="E6724" t="s">
        <v>11</v>
      </c>
      <c r="F6724">
        <v>224.4</v>
      </c>
      <c r="G6724">
        <v>18</v>
      </c>
    </row>
    <row r="6725" spans="1:7" x14ac:dyDescent="0.25">
      <c r="A6725" t="s">
        <v>41</v>
      </c>
      <c r="B6725" t="s">
        <v>436</v>
      </c>
      <c r="C6725" t="s">
        <v>17620</v>
      </c>
      <c r="D6725" t="s">
        <v>20</v>
      </c>
      <c r="E6725" t="s">
        <v>11</v>
      </c>
      <c r="F6725">
        <v>8383.099999999999</v>
      </c>
      <c r="G6725">
        <v>18</v>
      </c>
    </row>
    <row r="6726" spans="1:7" x14ac:dyDescent="0.25">
      <c r="A6726" t="s">
        <v>41</v>
      </c>
      <c r="B6726" t="s">
        <v>439</v>
      </c>
      <c r="C6726" t="s">
        <v>17621</v>
      </c>
      <c r="D6726" t="s">
        <v>20</v>
      </c>
      <c r="E6726" t="s">
        <v>11</v>
      </c>
      <c r="F6726">
        <v>18779.2</v>
      </c>
      <c r="G6726">
        <v>18</v>
      </c>
    </row>
    <row r="6727" spans="1:7" x14ac:dyDescent="0.25">
      <c r="A6727" t="s">
        <v>41</v>
      </c>
      <c r="B6727" t="s">
        <v>442</v>
      </c>
      <c r="C6727" t="s">
        <v>17622</v>
      </c>
      <c r="D6727" t="s">
        <v>20</v>
      </c>
      <c r="E6727" t="s">
        <v>11</v>
      </c>
      <c r="F6727">
        <v>7493.200000000001</v>
      </c>
      <c r="G6727">
        <v>18</v>
      </c>
    </row>
    <row r="6728" spans="1:7" x14ac:dyDescent="0.25">
      <c r="A6728" t="s">
        <v>41</v>
      </c>
      <c r="B6728" t="s">
        <v>444</v>
      </c>
      <c r="C6728" t="s">
        <v>17623</v>
      </c>
      <c r="D6728" t="s">
        <v>20</v>
      </c>
      <c r="E6728" t="s">
        <v>11</v>
      </c>
      <c r="F6728">
        <v>17881.6</v>
      </c>
      <c r="G6728">
        <v>18</v>
      </c>
    </row>
    <row r="6729" spans="1:7" x14ac:dyDescent="0.25">
      <c r="A6729" t="s">
        <v>41</v>
      </c>
      <c r="B6729" t="s">
        <v>447</v>
      </c>
      <c r="C6729" t="s">
        <v>17624</v>
      </c>
      <c r="D6729" t="s">
        <v>20</v>
      </c>
      <c r="E6729" t="s">
        <v>11</v>
      </c>
      <c r="F6729">
        <v>893.1999999999999</v>
      </c>
      <c r="G6729">
        <v>18</v>
      </c>
    </row>
    <row r="6730" spans="1:7" x14ac:dyDescent="0.25">
      <c r="A6730" t="s">
        <v>41</v>
      </c>
      <c r="B6730" t="s">
        <v>450</v>
      </c>
      <c r="C6730" t="s">
        <v>17625</v>
      </c>
      <c r="D6730" t="s">
        <v>20</v>
      </c>
      <c r="E6730" t="s">
        <v>11</v>
      </c>
      <c r="F6730">
        <v>5865.2</v>
      </c>
      <c r="G6730">
        <v>18</v>
      </c>
    </row>
    <row r="6731" spans="1:7" x14ac:dyDescent="0.25">
      <c r="A6731" t="s">
        <v>41</v>
      </c>
      <c r="B6731" t="s">
        <v>453</v>
      </c>
      <c r="C6731" t="s">
        <v>17626</v>
      </c>
      <c r="D6731" t="s">
        <v>20</v>
      </c>
      <c r="E6731" t="s">
        <v>11</v>
      </c>
      <c r="F6731">
        <v>781</v>
      </c>
      <c r="G6731">
        <v>18</v>
      </c>
    </row>
    <row r="6732" spans="1:7" x14ac:dyDescent="0.25">
      <c r="A6732" t="s">
        <v>41</v>
      </c>
      <c r="B6732" t="s">
        <v>456</v>
      </c>
      <c r="C6732" t="s">
        <v>17627</v>
      </c>
      <c r="D6732" t="s">
        <v>20</v>
      </c>
      <c r="E6732" t="s">
        <v>11</v>
      </c>
      <c r="F6732">
        <v>885.5000000000001</v>
      </c>
      <c r="G6732">
        <v>18</v>
      </c>
    </row>
    <row r="6733" spans="1:7" x14ac:dyDescent="0.25">
      <c r="A6733" t="s">
        <v>41</v>
      </c>
      <c r="B6733" t="s">
        <v>459</v>
      </c>
      <c r="C6733" t="s">
        <v>17628</v>
      </c>
      <c r="D6733" t="s">
        <v>20</v>
      </c>
      <c r="E6733" t="s">
        <v>11</v>
      </c>
      <c r="F6733">
        <v>448.8</v>
      </c>
      <c r="G6733">
        <v>18</v>
      </c>
    </row>
    <row r="6734" spans="1:7" x14ac:dyDescent="0.25">
      <c r="A6734" t="s">
        <v>41</v>
      </c>
      <c r="B6734" t="s">
        <v>462</v>
      </c>
      <c r="C6734" t="s">
        <v>17629</v>
      </c>
      <c r="D6734" t="s">
        <v>20</v>
      </c>
      <c r="E6734" t="s">
        <v>11</v>
      </c>
      <c r="F6734">
        <v>2968.8999999999996</v>
      </c>
      <c r="G6734">
        <v>18</v>
      </c>
    </row>
    <row r="6735" spans="1:7" x14ac:dyDescent="0.25">
      <c r="A6735" t="s">
        <v>41</v>
      </c>
      <c r="B6735" t="s">
        <v>465</v>
      </c>
      <c r="C6735" t="s">
        <v>17630</v>
      </c>
      <c r="D6735" t="s">
        <v>20</v>
      </c>
      <c r="E6735" t="s">
        <v>11</v>
      </c>
      <c r="F6735">
        <v>58.300000000000004</v>
      </c>
      <c r="G6735">
        <v>18</v>
      </c>
    </row>
    <row r="6736" spans="1:7" x14ac:dyDescent="0.25">
      <c r="A6736" t="s">
        <v>41</v>
      </c>
      <c r="B6736" t="s">
        <v>468</v>
      </c>
      <c r="C6736" t="s">
        <v>17631</v>
      </c>
      <c r="D6736" t="s">
        <v>20</v>
      </c>
      <c r="E6736" t="s">
        <v>11</v>
      </c>
      <c r="F6736">
        <v>13274.800000000001</v>
      </c>
      <c r="G6736">
        <v>18</v>
      </c>
    </row>
    <row r="6737" spans="1:7" x14ac:dyDescent="0.25">
      <c r="A6737" t="s">
        <v>41</v>
      </c>
      <c r="B6737" t="s">
        <v>471</v>
      </c>
      <c r="C6737" t="s">
        <v>17632</v>
      </c>
      <c r="D6737" t="s">
        <v>20</v>
      </c>
      <c r="E6737" t="s">
        <v>11</v>
      </c>
      <c r="F6737">
        <v>5281.099999999999</v>
      </c>
      <c r="G6737">
        <v>18</v>
      </c>
    </row>
    <row r="6738" spans="1:7" x14ac:dyDescent="0.25">
      <c r="A6738" t="s">
        <v>41</v>
      </c>
      <c r="B6738" t="s">
        <v>474</v>
      </c>
      <c r="C6738" t="s">
        <v>17633</v>
      </c>
      <c r="D6738" t="s">
        <v>20</v>
      </c>
      <c r="E6738" t="s">
        <v>11</v>
      </c>
      <c r="F6738">
        <v>473</v>
      </c>
      <c r="G6738">
        <v>18</v>
      </c>
    </row>
    <row r="6739" spans="1:7" x14ac:dyDescent="0.25">
      <c r="A6739" t="s">
        <v>41</v>
      </c>
      <c r="B6739" t="s">
        <v>477</v>
      </c>
      <c r="C6739" t="s">
        <v>17634</v>
      </c>
      <c r="D6739" t="s">
        <v>20</v>
      </c>
      <c r="E6739" t="s">
        <v>11</v>
      </c>
      <c r="F6739">
        <v>691.9</v>
      </c>
      <c r="G6739">
        <v>18</v>
      </c>
    </row>
    <row r="6740" spans="1:7" x14ac:dyDescent="0.25">
      <c r="A6740" t="s">
        <v>41</v>
      </c>
      <c r="B6740" t="s">
        <v>480</v>
      </c>
      <c r="C6740" t="s">
        <v>17635</v>
      </c>
      <c r="D6740" t="s">
        <v>20</v>
      </c>
      <c r="E6740" t="s">
        <v>11</v>
      </c>
      <c r="F6740">
        <v>669.9</v>
      </c>
      <c r="G6740">
        <v>18</v>
      </c>
    </row>
    <row r="6741" spans="1:7" x14ac:dyDescent="0.25">
      <c r="A6741" t="s">
        <v>41</v>
      </c>
      <c r="B6741" t="s">
        <v>483</v>
      </c>
      <c r="C6741" t="s">
        <v>17636</v>
      </c>
      <c r="D6741" t="s">
        <v>20</v>
      </c>
      <c r="E6741" t="s">
        <v>11</v>
      </c>
      <c r="F6741">
        <v>183.7</v>
      </c>
      <c r="G6741">
        <v>18</v>
      </c>
    </row>
    <row r="6742" spans="1:7" x14ac:dyDescent="0.25">
      <c r="A6742" t="s">
        <v>41</v>
      </c>
      <c r="B6742" t="s">
        <v>486</v>
      </c>
      <c r="C6742" t="s">
        <v>17637</v>
      </c>
      <c r="D6742" t="s">
        <v>20</v>
      </c>
      <c r="E6742" t="s">
        <v>11</v>
      </c>
      <c r="F6742">
        <v>595.1</v>
      </c>
      <c r="G6742">
        <v>18</v>
      </c>
    </row>
    <row r="6743" spans="1:7" x14ac:dyDescent="0.25">
      <c r="A6743" t="s">
        <v>41</v>
      </c>
      <c r="B6743" t="s">
        <v>489</v>
      </c>
      <c r="C6743" t="s">
        <v>17638</v>
      </c>
      <c r="D6743" t="s">
        <v>20</v>
      </c>
      <c r="E6743" t="s">
        <v>11</v>
      </c>
      <c r="F6743">
        <v>2747.8</v>
      </c>
      <c r="G6743">
        <v>18</v>
      </c>
    </row>
    <row r="6744" spans="1:7" x14ac:dyDescent="0.25">
      <c r="A6744" t="s">
        <v>41</v>
      </c>
      <c r="B6744" t="s">
        <v>492</v>
      </c>
      <c r="C6744" t="s">
        <v>17639</v>
      </c>
      <c r="D6744" t="s">
        <v>20</v>
      </c>
      <c r="E6744" t="s">
        <v>11</v>
      </c>
      <c r="F6744">
        <v>140.8</v>
      </c>
      <c r="G6744">
        <v>18</v>
      </c>
    </row>
    <row r="6745" spans="1:7" x14ac:dyDescent="0.25">
      <c r="A6745" t="s">
        <v>41</v>
      </c>
      <c r="B6745" t="s">
        <v>495</v>
      </c>
      <c r="C6745" t="s">
        <v>17640</v>
      </c>
      <c r="D6745" t="s">
        <v>20</v>
      </c>
      <c r="E6745" t="s">
        <v>11</v>
      </c>
      <c r="F6745">
        <v>51495.4</v>
      </c>
      <c r="G6745">
        <v>18</v>
      </c>
    </row>
    <row r="6746" spans="1:7" x14ac:dyDescent="0.25">
      <c r="A6746" t="s">
        <v>41</v>
      </c>
      <c r="B6746" t="s">
        <v>498</v>
      </c>
      <c r="C6746" t="s">
        <v>17641</v>
      </c>
      <c r="D6746" t="s">
        <v>20</v>
      </c>
      <c r="E6746" t="s">
        <v>11</v>
      </c>
      <c r="F6746">
        <v>51495.4</v>
      </c>
      <c r="G6746">
        <v>18</v>
      </c>
    </row>
    <row r="6747" spans="1:7" x14ac:dyDescent="0.25">
      <c r="A6747" t="s">
        <v>41</v>
      </c>
      <c r="B6747" t="s">
        <v>501</v>
      </c>
      <c r="C6747" t="s">
        <v>17642</v>
      </c>
      <c r="D6747" t="s">
        <v>20</v>
      </c>
      <c r="E6747" t="s">
        <v>11</v>
      </c>
      <c r="F6747">
        <v>4930.2</v>
      </c>
      <c r="G6747">
        <v>18</v>
      </c>
    </row>
    <row r="6748" spans="1:7" x14ac:dyDescent="0.25">
      <c r="A6748" t="s">
        <v>41</v>
      </c>
      <c r="B6748" t="s">
        <v>504</v>
      </c>
      <c r="C6748" t="s">
        <v>17643</v>
      </c>
      <c r="D6748" t="s">
        <v>20</v>
      </c>
      <c r="E6748" t="s">
        <v>11</v>
      </c>
      <c r="F6748">
        <v>2534.4</v>
      </c>
      <c r="G6748">
        <v>18</v>
      </c>
    </row>
    <row r="6749" spans="1:7" x14ac:dyDescent="0.25">
      <c r="A6749" t="s">
        <v>41</v>
      </c>
      <c r="B6749" t="s">
        <v>507</v>
      </c>
      <c r="C6749" t="s">
        <v>17644</v>
      </c>
      <c r="D6749" t="s">
        <v>20</v>
      </c>
      <c r="E6749" t="s">
        <v>11</v>
      </c>
      <c r="F6749">
        <v>874.5</v>
      </c>
      <c r="G6749">
        <v>18</v>
      </c>
    </row>
    <row r="6750" spans="1:7" x14ac:dyDescent="0.25">
      <c r="A6750" t="s">
        <v>41</v>
      </c>
      <c r="B6750" t="s">
        <v>510</v>
      </c>
      <c r="C6750" t="s">
        <v>17645</v>
      </c>
      <c r="D6750" t="s">
        <v>20</v>
      </c>
      <c r="E6750" t="s">
        <v>11</v>
      </c>
      <c r="F6750">
        <v>167.2</v>
      </c>
      <c r="G6750">
        <v>18</v>
      </c>
    </row>
    <row r="6751" spans="1:7" x14ac:dyDescent="0.25">
      <c r="A6751" t="s">
        <v>41</v>
      </c>
      <c r="B6751" t="s">
        <v>513</v>
      </c>
      <c r="C6751" t="s">
        <v>17646</v>
      </c>
      <c r="D6751" t="s">
        <v>20</v>
      </c>
      <c r="E6751" t="s">
        <v>11</v>
      </c>
      <c r="F6751">
        <v>70.4</v>
      </c>
      <c r="G6751">
        <v>18</v>
      </c>
    </row>
    <row r="6752" spans="1:7" x14ac:dyDescent="0.25">
      <c r="A6752" t="s">
        <v>41</v>
      </c>
      <c r="B6752" t="s">
        <v>516</v>
      </c>
      <c r="C6752" t="s">
        <v>17647</v>
      </c>
      <c r="D6752" t="s">
        <v>20</v>
      </c>
      <c r="E6752" t="s">
        <v>11</v>
      </c>
      <c r="F6752">
        <v>4930.2</v>
      </c>
      <c r="G6752">
        <v>18</v>
      </c>
    </row>
    <row r="6753" spans="1:7" x14ac:dyDescent="0.25">
      <c r="A6753" t="s">
        <v>41</v>
      </c>
      <c r="B6753" t="s">
        <v>519</v>
      </c>
      <c r="C6753" t="s">
        <v>17648</v>
      </c>
      <c r="D6753" t="s">
        <v>20</v>
      </c>
      <c r="E6753" t="s">
        <v>11</v>
      </c>
      <c r="F6753">
        <v>2534.4</v>
      </c>
      <c r="G6753">
        <v>18</v>
      </c>
    </row>
    <row r="6754" spans="1:7" x14ac:dyDescent="0.25">
      <c r="A6754" t="s">
        <v>41</v>
      </c>
      <c r="B6754" t="s">
        <v>522</v>
      </c>
      <c r="C6754" t="s">
        <v>17644</v>
      </c>
      <c r="D6754" t="s">
        <v>20</v>
      </c>
      <c r="E6754" t="s">
        <v>11</v>
      </c>
      <c r="F6754">
        <v>874.5</v>
      </c>
      <c r="G6754">
        <v>18</v>
      </c>
    </row>
    <row r="6755" spans="1:7" x14ac:dyDescent="0.25">
      <c r="A6755" t="s">
        <v>41</v>
      </c>
      <c r="B6755" t="s">
        <v>525</v>
      </c>
      <c r="C6755" t="s">
        <v>17645</v>
      </c>
      <c r="D6755" t="s">
        <v>20</v>
      </c>
      <c r="E6755" t="s">
        <v>11</v>
      </c>
      <c r="F6755">
        <v>167.2</v>
      </c>
      <c r="G6755">
        <v>18</v>
      </c>
    </row>
    <row r="6756" spans="1:7" x14ac:dyDescent="0.25">
      <c r="A6756" t="s">
        <v>41</v>
      </c>
      <c r="B6756" t="s">
        <v>528</v>
      </c>
      <c r="C6756" t="s">
        <v>17649</v>
      </c>
      <c r="D6756" t="s">
        <v>20</v>
      </c>
      <c r="E6756" t="s">
        <v>11</v>
      </c>
      <c r="F6756">
        <v>70.4</v>
      </c>
      <c r="G6756">
        <v>18</v>
      </c>
    </row>
    <row r="6757" spans="1:7" x14ac:dyDescent="0.25">
      <c r="A6757" t="s">
        <v>41</v>
      </c>
      <c r="B6757" t="s">
        <v>531</v>
      </c>
      <c r="C6757" t="s">
        <v>17650</v>
      </c>
      <c r="D6757" t="s">
        <v>20</v>
      </c>
      <c r="E6757" t="s">
        <v>11</v>
      </c>
      <c r="F6757">
        <v>25743.3</v>
      </c>
      <c r="G6757">
        <v>18</v>
      </c>
    </row>
    <row r="6758" spans="1:7" x14ac:dyDescent="0.25">
      <c r="A6758" t="s">
        <v>41</v>
      </c>
      <c r="B6758" t="s">
        <v>534</v>
      </c>
      <c r="C6758" t="s">
        <v>17651</v>
      </c>
      <c r="D6758" t="s">
        <v>20</v>
      </c>
      <c r="E6758" t="s">
        <v>11</v>
      </c>
      <c r="F6758">
        <v>25743.3</v>
      </c>
      <c r="G6758">
        <v>18</v>
      </c>
    </row>
    <row r="6759" spans="1:7" x14ac:dyDescent="0.25">
      <c r="A6759" t="s">
        <v>41</v>
      </c>
      <c r="B6759" t="s">
        <v>537</v>
      </c>
      <c r="C6759" t="s">
        <v>17652</v>
      </c>
      <c r="D6759" t="s">
        <v>20</v>
      </c>
      <c r="E6759" t="s">
        <v>11</v>
      </c>
      <c r="F6759">
        <v>8866</v>
      </c>
      <c r="G6759">
        <v>18</v>
      </c>
    </row>
    <row r="6760" spans="1:7" x14ac:dyDescent="0.25">
      <c r="A6760" t="s">
        <v>41</v>
      </c>
      <c r="B6760" t="s">
        <v>540</v>
      </c>
      <c r="C6760" t="s">
        <v>17653</v>
      </c>
      <c r="D6760" t="s">
        <v>20</v>
      </c>
      <c r="E6760" t="s">
        <v>11</v>
      </c>
      <c r="F6760">
        <v>212.29999999999998</v>
      </c>
      <c r="G6760">
        <v>18</v>
      </c>
    </row>
    <row r="6761" spans="1:7" x14ac:dyDescent="0.25">
      <c r="A6761" t="s">
        <v>41</v>
      </c>
      <c r="B6761" t="s">
        <v>543</v>
      </c>
      <c r="C6761" t="s">
        <v>17654</v>
      </c>
      <c r="D6761" t="s">
        <v>20</v>
      </c>
      <c r="E6761" t="s">
        <v>11</v>
      </c>
      <c r="F6761">
        <v>57.2</v>
      </c>
      <c r="G6761">
        <v>18</v>
      </c>
    </row>
    <row r="6762" spans="1:7" x14ac:dyDescent="0.25">
      <c r="A6762" t="s">
        <v>41</v>
      </c>
      <c r="B6762" t="s">
        <v>546</v>
      </c>
      <c r="C6762" t="s">
        <v>17655</v>
      </c>
      <c r="D6762" t="s">
        <v>20</v>
      </c>
      <c r="E6762" t="s">
        <v>11</v>
      </c>
      <c r="F6762">
        <v>58.300000000000004</v>
      </c>
      <c r="G6762">
        <v>18</v>
      </c>
    </row>
    <row r="6763" spans="1:7" x14ac:dyDescent="0.25">
      <c r="A6763" t="s">
        <v>41</v>
      </c>
      <c r="B6763" t="s">
        <v>549</v>
      </c>
      <c r="C6763" t="s">
        <v>17656</v>
      </c>
      <c r="D6763" t="s">
        <v>20</v>
      </c>
      <c r="E6763" t="s">
        <v>11</v>
      </c>
      <c r="F6763">
        <v>58.300000000000004</v>
      </c>
      <c r="G6763">
        <v>18</v>
      </c>
    </row>
    <row r="6764" spans="1:7" x14ac:dyDescent="0.25">
      <c r="A6764" t="s">
        <v>41</v>
      </c>
      <c r="B6764" t="s">
        <v>552</v>
      </c>
      <c r="C6764" t="s">
        <v>17657</v>
      </c>
      <c r="D6764" t="s">
        <v>20</v>
      </c>
      <c r="E6764" t="s">
        <v>11</v>
      </c>
      <c r="F6764">
        <v>58.300000000000004</v>
      </c>
      <c r="G6764">
        <v>18</v>
      </c>
    </row>
    <row r="6765" spans="1:7" x14ac:dyDescent="0.25">
      <c r="A6765" t="s">
        <v>41</v>
      </c>
      <c r="B6765" t="s">
        <v>555</v>
      </c>
      <c r="C6765" t="s">
        <v>17658</v>
      </c>
      <c r="D6765" t="s">
        <v>20</v>
      </c>
      <c r="E6765" t="s">
        <v>11</v>
      </c>
      <c r="F6765">
        <v>499.4</v>
      </c>
      <c r="G6765">
        <v>18</v>
      </c>
    </row>
    <row r="6766" spans="1:7" x14ac:dyDescent="0.25">
      <c r="A6766" t="s">
        <v>41</v>
      </c>
      <c r="B6766" t="s">
        <v>558</v>
      </c>
      <c r="C6766" t="s">
        <v>17659</v>
      </c>
      <c r="D6766" t="s">
        <v>20</v>
      </c>
      <c r="E6766" t="s">
        <v>11</v>
      </c>
      <c r="F6766">
        <v>51495.4</v>
      </c>
      <c r="G6766">
        <v>18</v>
      </c>
    </row>
    <row r="6767" spans="1:7" x14ac:dyDescent="0.25">
      <c r="A6767" t="s">
        <v>41</v>
      </c>
      <c r="B6767" t="s">
        <v>561</v>
      </c>
      <c r="C6767" t="s">
        <v>17660</v>
      </c>
      <c r="D6767" t="s">
        <v>20</v>
      </c>
      <c r="E6767" t="s">
        <v>11</v>
      </c>
      <c r="F6767">
        <v>8866</v>
      </c>
      <c r="G6767">
        <v>18</v>
      </c>
    </row>
    <row r="6768" spans="1:7" x14ac:dyDescent="0.25">
      <c r="A6768" t="s">
        <v>41</v>
      </c>
      <c r="B6768" t="s">
        <v>564</v>
      </c>
      <c r="C6768" t="s">
        <v>17661</v>
      </c>
      <c r="D6768" t="s">
        <v>20</v>
      </c>
      <c r="E6768" t="s">
        <v>11</v>
      </c>
      <c r="F6768">
        <v>13384.800000000001</v>
      </c>
      <c r="G6768">
        <v>18</v>
      </c>
    </row>
    <row r="6769" spans="1:7" x14ac:dyDescent="0.25">
      <c r="A6769" t="s">
        <v>41</v>
      </c>
      <c r="B6769" t="s">
        <v>567</v>
      </c>
      <c r="C6769" t="s">
        <v>17662</v>
      </c>
      <c r="D6769" t="s">
        <v>20</v>
      </c>
      <c r="E6769" t="s">
        <v>11</v>
      </c>
      <c r="F6769">
        <v>16016</v>
      </c>
      <c r="G6769">
        <v>18</v>
      </c>
    </row>
    <row r="6770" spans="1:7" x14ac:dyDescent="0.25">
      <c r="A6770" t="s">
        <v>41</v>
      </c>
      <c r="B6770" t="s">
        <v>570</v>
      </c>
      <c r="C6770" t="s">
        <v>17648</v>
      </c>
      <c r="D6770" t="s">
        <v>20</v>
      </c>
      <c r="E6770" t="s">
        <v>11</v>
      </c>
      <c r="F6770">
        <v>2534.4</v>
      </c>
      <c r="G6770">
        <v>18</v>
      </c>
    </row>
    <row r="6771" spans="1:7" x14ac:dyDescent="0.25">
      <c r="A6771" t="s">
        <v>41</v>
      </c>
      <c r="B6771" t="s">
        <v>573</v>
      </c>
      <c r="C6771" t="s">
        <v>17663</v>
      </c>
      <c r="D6771" t="s">
        <v>20</v>
      </c>
      <c r="E6771" t="s">
        <v>11</v>
      </c>
      <c r="F6771">
        <v>192.5</v>
      </c>
      <c r="G6771">
        <v>18</v>
      </c>
    </row>
    <row r="6772" spans="1:7" x14ac:dyDescent="0.25">
      <c r="A6772" t="s">
        <v>41</v>
      </c>
      <c r="B6772" t="s">
        <v>576</v>
      </c>
      <c r="C6772" t="s">
        <v>17664</v>
      </c>
      <c r="D6772" t="s">
        <v>20</v>
      </c>
      <c r="E6772" t="s">
        <v>11</v>
      </c>
      <c r="F6772">
        <v>4294.4</v>
      </c>
      <c r="G6772">
        <v>18</v>
      </c>
    </row>
    <row r="6773" spans="1:7" x14ac:dyDescent="0.25">
      <c r="A6773" t="s">
        <v>41</v>
      </c>
      <c r="B6773" t="s">
        <v>579</v>
      </c>
      <c r="C6773" t="s">
        <v>17665</v>
      </c>
      <c r="D6773" t="s">
        <v>20</v>
      </c>
      <c r="E6773" t="s">
        <v>11</v>
      </c>
      <c r="F6773">
        <v>20802.100000000002</v>
      </c>
      <c r="G6773">
        <v>18</v>
      </c>
    </row>
    <row r="6774" spans="1:7" x14ac:dyDescent="0.25">
      <c r="A6774" t="s">
        <v>41</v>
      </c>
      <c r="B6774" t="s">
        <v>582</v>
      </c>
      <c r="C6774" t="s">
        <v>17666</v>
      </c>
      <c r="D6774" t="s">
        <v>20</v>
      </c>
      <c r="E6774" t="s">
        <v>11</v>
      </c>
      <c r="F6774">
        <v>20802.100000000002</v>
      </c>
      <c r="G6774">
        <v>18</v>
      </c>
    </row>
    <row r="6775" spans="1:7" x14ac:dyDescent="0.25">
      <c r="A6775" t="s">
        <v>41</v>
      </c>
      <c r="B6775" t="s">
        <v>585</v>
      </c>
      <c r="C6775" t="s">
        <v>17667</v>
      </c>
      <c r="D6775" t="s">
        <v>20</v>
      </c>
      <c r="E6775" t="s">
        <v>11</v>
      </c>
      <c r="F6775">
        <v>29279.8</v>
      </c>
      <c r="G6775">
        <v>18</v>
      </c>
    </row>
    <row r="6776" spans="1:7" x14ac:dyDescent="0.25">
      <c r="A6776" t="s">
        <v>41</v>
      </c>
      <c r="B6776" t="s">
        <v>588</v>
      </c>
      <c r="C6776" t="s">
        <v>17668</v>
      </c>
      <c r="D6776" t="s">
        <v>20</v>
      </c>
      <c r="E6776" t="s">
        <v>11</v>
      </c>
      <c r="F6776">
        <v>29279.8</v>
      </c>
      <c r="G6776">
        <v>18</v>
      </c>
    </row>
    <row r="6777" spans="1:7" x14ac:dyDescent="0.25">
      <c r="A6777" t="s">
        <v>41</v>
      </c>
      <c r="B6777" t="s">
        <v>591</v>
      </c>
      <c r="C6777" t="s">
        <v>17669</v>
      </c>
      <c r="D6777" t="s">
        <v>20</v>
      </c>
      <c r="E6777" t="s">
        <v>11</v>
      </c>
      <c r="F6777">
        <v>9884.6</v>
      </c>
      <c r="G6777">
        <v>18</v>
      </c>
    </row>
    <row r="6778" spans="1:7" x14ac:dyDescent="0.25">
      <c r="A6778" t="s">
        <v>41</v>
      </c>
      <c r="B6778" t="s">
        <v>594</v>
      </c>
      <c r="C6778" t="s">
        <v>17670</v>
      </c>
      <c r="D6778" t="s">
        <v>20</v>
      </c>
      <c r="E6778" t="s">
        <v>11</v>
      </c>
      <c r="F6778">
        <v>18851.8</v>
      </c>
      <c r="G6778">
        <v>18</v>
      </c>
    </row>
    <row r="6779" spans="1:7" x14ac:dyDescent="0.25">
      <c r="A6779" t="s">
        <v>41</v>
      </c>
      <c r="B6779" t="s">
        <v>597</v>
      </c>
      <c r="C6779" t="s">
        <v>17671</v>
      </c>
      <c r="D6779" t="s">
        <v>20</v>
      </c>
      <c r="E6779" t="s">
        <v>11</v>
      </c>
      <c r="F6779">
        <v>9884.6</v>
      </c>
      <c r="G6779">
        <v>18</v>
      </c>
    </row>
    <row r="6780" spans="1:7" x14ac:dyDescent="0.25">
      <c r="A6780" t="s">
        <v>41</v>
      </c>
      <c r="B6780" t="s">
        <v>600</v>
      </c>
      <c r="C6780" t="s">
        <v>17672</v>
      </c>
      <c r="D6780" t="s">
        <v>20</v>
      </c>
      <c r="E6780" t="s">
        <v>11</v>
      </c>
      <c r="F6780">
        <v>1075.8</v>
      </c>
      <c r="G6780">
        <v>18</v>
      </c>
    </row>
    <row r="6781" spans="1:7" x14ac:dyDescent="0.25">
      <c r="A6781" t="s">
        <v>41</v>
      </c>
      <c r="B6781" t="s">
        <v>603</v>
      </c>
      <c r="C6781" t="s">
        <v>17673</v>
      </c>
      <c r="D6781" t="s">
        <v>20</v>
      </c>
      <c r="E6781" t="s">
        <v>11</v>
      </c>
      <c r="F6781">
        <v>630.3000000000001</v>
      </c>
      <c r="G6781">
        <v>18</v>
      </c>
    </row>
    <row r="6782" spans="1:7" x14ac:dyDescent="0.25">
      <c r="A6782" t="s">
        <v>41</v>
      </c>
      <c r="B6782" t="s">
        <v>605</v>
      </c>
      <c r="C6782" t="s">
        <v>17592</v>
      </c>
      <c r="D6782" t="s">
        <v>20</v>
      </c>
      <c r="E6782" t="s">
        <v>11</v>
      </c>
      <c r="F6782">
        <v>661.1</v>
      </c>
      <c r="G6782">
        <v>18</v>
      </c>
    </row>
    <row r="6783" spans="1:7" x14ac:dyDescent="0.25">
      <c r="A6783" t="s">
        <v>41</v>
      </c>
      <c r="B6783" t="s">
        <v>608</v>
      </c>
      <c r="C6783" t="s">
        <v>17674</v>
      </c>
      <c r="D6783" t="s">
        <v>20</v>
      </c>
      <c r="E6783" t="s">
        <v>11</v>
      </c>
      <c r="F6783">
        <v>430.1</v>
      </c>
      <c r="G6783">
        <v>18</v>
      </c>
    </row>
    <row r="6784" spans="1:7" x14ac:dyDescent="0.25">
      <c r="A6784" t="s">
        <v>41</v>
      </c>
      <c r="B6784" t="s">
        <v>611</v>
      </c>
      <c r="C6784" t="s">
        <v>17675</v>
      </c>
      <c r="D6784" t="s">
        <v>20</v>
      </c>
      <c r="E6784" t="s">
        <v>11</v>
      </c>
      <c r="F6784">
        <v>473</v>
      </c>
      <c r="G6784">
        <v>18</v>
      </c>
    </row>
    <row r="6785" spans="1:7" x14ac:dyDescent="0.25">
      <c r="A6785" t="s">
        <v>41</v>
      </c>
      <c r="B6785" t="s">
        <v>614</v>
      </c>
      <c r="C6785" t="s">
        <v>17676</v>
      </c>
      <c r="D6785" t="s">
        <v>20</v>
      </c>
      <c r="E6785" t="s">
        <v>11</v>
      </c>
      <c r="F6785">
        <v>157.29999999999998</v>
      </c>
      <c r="G6785">
        <v>18</v>
      </c>
    </row>
    <row r="6786" spans="1:7" x14ac:dyDescent="0.25">
      <c r="A6786" t="s">
        <v>41</v>
      </c>
      <c r="B6786" t="s">
        <v>617</v>
      </c>
      <c r="C6786" t="s">
        <v>17677</v>
      </c>
      <c r="D6786" t="s">
        <v>20</v>
      </c>
      <c r="E6786" t="s">
        <v>11</v>
      </c>
      <c r="F6786">
        <v>30.800000000000004</v>
      </c>
      <c r="G6786">
        <v>18</v>
      </c>
    </row>
    <row r="6787" spans="1:7" x14ac:dyDescent="0.25">
      <c r="A6787" t="s">
        <v>41</v>
      </c>
      <c r="B6787" t="s">
        <v>620</v>
      </c>
      <c r="C6787" t="s">
        <v>17678</v>
      </c>
      <c r="D6787" t="s">
        <v>20</v>
      </c>
      <c r="E6787" t="s">
        <v>11</v>
      </c>
      <c r="F6787">
        <v>70.4</v>
      </c>
      <c r="G6787">
        <v>18</v>
      </c>
    </row>
    <row r="6788" spans="1:7" x14ac:dyDescent="0.25">
      <c r="A6788" t="s">
        <v>41</v>
      </c>
      <c r="B6788" t="s">
        <v>623</v>
      </c>
      <c r="C6788" t="s">
        <v>17679</v>
      </c>
      <c r="D6788" t="s">
        <v>20</v>
      </c>
      <c r="E6788" t="s">
        <v>11</v>
      </c>
      <c r="F6788">
        <v>70.4</v>
      </c>
      <c r="G6788">
        <v>18</v>
      </c>
    </row>
    <row r="6789" spans="1:7" x14ac:dyDescent="0.25">
      <c r="A6789" t="s">
        <v>41</v>
      </c>
      <c r="B6789" t="s">
        <v>626</v>
      </c>
      <c r="C6789" t="s">
        <v>17680</v>
      </c>
      <c r="D6789" t="s">
        <v>20</v>
      </c>
      <c r="E6789" t="s">
        <v>11</v>
      </c>
      <c r="F6789">
        <v>2599.2999999999997</v>
      </c>
      <c r="G6789">
        <v>18</v>
      </c>
    </row>
    <row r="6790" spans="1:7" x14ac:dyDescent="0.25">
      <c r="A6790" t="s">
        <v>41</v>
      </c>
      <c r="B6790" t="s">
        <v>629</v>
      </c>
      <c r="C6790" t="s">
        <v>17545</v>
      </c>
      <c r="D6790" t="s">
        <v>20</v>
      </c>
      <c r="E6790" t="s">
        <v>11</v>
      </c>
      <c r="F6790">
        <v>2516.7999999999997</v>
      </c>
      <c r="G6790">
        <v>18</v>
      </c>
    </row>
    <row r="6791" spans="1:7" x14ac:dyDescent="0.25">
      <c r="A6791" t="s">
        <v>41</v>
      </c>
      <c r="B6791" t="s">
        <v>632</v>
      </c>
      <c r="C6791" t="s">
        <v>17681</v>
      </c>
      <c r="D6791" t="s">
        <v>20</v>
      </c>
      <c r="E6791" t="s">
        <v>11</v>
      </c>
      <c r="F6791">
        <v>58.300000000000004</v>
      </c>
      <c r="G6791">
        <v>18</v>
      </c>
    </row>
    <row r="6792" spans="1:7" x14ac:dyDescent="0.25">
      <c r="A6792" t="s">
        <v>41</v>
      </c>
      <c r="B6792" t="s">
        <v>635</v>
      </c>
      <c r="C6792" t="s">
        <v>17682</v>
      </c>
      <c r="D6792" t="s">
        <v>20</v>
      </c>
      <c r="E6792" t="s">
        <v>11</v>
      </c>
      <c r="F6792">
        <v>70.4</v>
      </c>
      <c r="G6792">
        <v>18</v>
      </c>
    </row>
    <row r="6793" spans="1:7" x14ac:dyDescent="0.25">
      <c r="A6793" t="s">
        <v>41</v>
      </c>
      <c r="B6793" t="s">
        <v>638</v>
      </c>
      <c r="C6793" t="s">
        <v>17683</v>
      </c>
      <c r="D6793" t="s">
        <v>20</v>
      </c>
      <c r="E6793" t="s">
        <v>11</v>
      </c>
      <c r="F6793">
        <v>70.4</v>
      </c>
      <c r="G6793">
        <v>18</v>
      </c>
    </row>
    <row r="6794" spans="1:7" x14ac:dyDescent="0.25">
      <c r="A6794" t="s">
        <v>41</v>
      </c>
      <c r="B6794" t="s">
        <v>641</v>
      </c>
      <c r="C6794" t="s">
        <v>17684</v>
      </c>
      <c r="D6794" t="s">
        <v>20</v>
      </c>
      <c r="E6794" t="s">
        <v>11</v>
      </c>
      <c r="F6794">
        <v>70.4</v>
      </c>
      <c r="G6794">
        <v>18</v>
      </c>
    </row>
    <row r="6795" spans="1:7" x14ac:dyDescent="0.25">
      <c r="A6795" t="s">
        <v>41</v>
      </c>
      <c r="B6795" t="s">
        <v>644</v>
      </c>
      <c r="C6795" t="s">
        <v>17685</v>
      </c>
      <c r="D6795" t="s">
        <v>20</v>
      </c>
      <c r="E6795" t="s">
        <v>11</v>
      </c>
      <c r="F6795">
        <v>57.2</v>
      </c>
      <c r="G6795">
        <v>18</v>
      </c>
    </row>
    <row r="6796" spans="1:7" x14ac:dyDescent="0.25">
      <c r="A6796" t="s">
        <v>41</v>
      </c>
      <c r="B6796" t="s">
        <v>647</v>
      </c>
      <c r="C6796" t="s">
        <v>17686</v>
      </c>
      <c r="D6796" t="s">
        <v>20</v>
      </c>
      <c r="E6796" t="s">
        <v>11</v>
      </c>
      <c r="F6796">
        <v>58.300000000000004</v>
      </c>
      <c r="G6796">
        <v>18</v>
      </c>
    </row>
    <row r="6797" spans="1:7" x14ac:dyDescent="0.25">
      <c r="A6797" t="s">
        <v>41</v>
      </c>
      <c r="B6797" t="s">
        <v>650</v>
      </c>
      <c r="C6797" t="s">
        <v>17687</v>
      </c>
      <c r="D6797" t="s">
        <v>20</v>
      </c>
      <c r="E6797" t="s">
        <v>11</v>
      </c>
      <c r="F6797">
        <v>70.4</v>
      </c>
      <c r="G6797">
        <v>18</v>
      </c>
    </row>
    <row r="6798" spans="1:7" x14ac:dyDescent="0.25">
      <c r="A6798" t="s">
        <v>41</v>
      </c>
      <c r="B6798" t="s">
        <v>653</v>
      </c>
      <c r="C6798" t="s">
        <v>17688</v>
      </c>
      <c r="D6798" t="s">
        <v>20</v>
      </c>
      <c r="E6798" t="s">
        <v>11</v>
      </c>
      <c r="F6798">
        <v>70.4</v>
      </c>
      <c r="G6798">
        <v>18</v>
      </c>
    </row>
    <row r="6799" spans="1:7" x14ac:dyDescent="0.25">
      <c r="A6799" t="s">
        <v>41</v>
      </c>
      <c r="B6799" t="s">
        <v>656</v>
      </c>
      <c r="C6799" t="s">
        <v>17689</v>
      </c>
      <c r="D6799" t="s">
        <v>20</v>
      </c>
      <c r="E6799" t="s">
        <v>11</v>
      </c>
      <c r="F6799">
        <v>57.2</v>
      </c>
      <c r="G6799">
        <v>18</v>
      </c>
    </row>
    <row r="6800" spans="1:7" x14ac:dyDescent="0.25">
      <c r="A6800" t="s">
        <v>41</v>
      </c>
      <c r="B6800" t="s">
        <v>659</v>
      </c>
      <c r="C6800" t="s">
        <v>17690</v>
      </c>
      <c r="D6800" t="s">
        <v>20</v>
      </c>
      <c r="E6800" t="s">
        <v>11</v>
      </c>
      <c r="F6800">
        <v>57.2</v>
      </c>
      <c r="G6800">
        <v>18</v>
      </c>
    </row>
    <row r="6801" spans="1:7" x14ac:dyDescent="0.25">
      <c r="A6801" t="s">
        <v>41</v>
      </c>
      <c r="B6801" t="s">
        <v>662</v>
      </c>
      <c r="C6801" t="s">
        <v>17691</v>
      </c>
      <c r="D6801" t="s">
        <v>20</v>
      </c>
      <c r="E6801" t="s">
        <v>11</v>
      </c>
      <c r="F6801">
        <v>229.89999999999998</v>
      </c>
      <c r="G6801">
        <v>18</v>
      </c>
    </row>
    <row r="6802" spans="1:7" x14ac:dyDescent="0.25">
      <c r="A6802" t="s">
        <v>41</v>
      </c>
      <c r="B6802" t="s">
        <v>665</v>
      </c>
      <c r="C6802" t="s">
        <v>17692</v>
      </c>
      <c r="D6802" t="s">
        <v>20</v>
      </c>
      <c r="E6802" t="s">
        <v>11</v>
      </c>
      <c r="F6802">
        <v>61.60000000000001</v>
      </c>
      <c r="G6802">
        <v>18</v>
      </c>
    </row>
    <row r="6803" spans="1:7" x14ac:dyDescent="0.25">
      <c r="A6803" t="s">
        <v>41</v>
      </c>
      <c r="B6803" t="s">
        <v>668</v>
      </c>
      <c r="C6803" t="s">
        <v>17693</v>
      </c>
      <c r="D6803" t="s">
        <v>20</v>
      </c>
      <c r="E6803" t="s">
        <v>11</v>
      </c>
      <c r="F6803">
        <v>20802.100000000002</v>
      </c>
      <c r="G6803">
        <v>18</v>
      </c>
    </row>
    <row r="6804" spans="1:7" x14ac:dyDescent="0.25">
      <c r="A6804" t="s">
        <v>41</v>
      </c>
      <c r="B6804" t="s">
        <v>671</v>
      </c>
      <c r="C6804" t="s">
        <v>17694</v>
      </c>
      <c r="D6804" t="s">
        <v>20</v>
      </c>
      <c r="E6804" t="s">
        <v>11</v>
      </c>
      <c r="F6804">
        <v>20802.100000000002</v>
      </c>
      <c r="G6804">
        <v>18</v>
      </c>
    </row>
    <row r="6805" spans="1:7" x14ac:dyDescent="0.25">
      <c r="A6805" t="s">
        <v>41</v>
      </c>
      <c r="B6805" t="s">
        <v>674</v>
      </c>
      <c r="C6805" t="s">
        <v>17695</v>
      </c>
      <c r="D6805" t="s">
        <v>20</v>
      </c>
      <c r="E6805" t="s">
        <v>11</v>
      </c>
      <c r="F6805">
        <v>13563</v>
      </c>
      <c r="G6805">
        <v>18</v>
      </c>
    </row>
    <row r="6806" spans="1:7" x14ac:dyDescent="0.25">
      <c r="A6806" t="s">
        <v>41</v>
      </c>
      <c r="B6806" t="s">
        <v>677</v>
      </c>
      <c r="C6806" t="s">
        <v>17696</v>
      </c>
      <c r="D6806" t="s">
        <v>20</v>
      </c>
      <c r="E6806" t="s">
        <v>11</v>
      </c>
      <c r="F6806">
        <v>4722.3</v>
      </c>
      <c r="G6806">
        <v>18</v>
      </c>
    </row>
    <row r="6807" spans="1:7" x14ac:dyDescent="0.25">
      <c r="A6807" t="s">
        <v>41</v>
      </c>
      <c r="B6807" t="s">
        <v>680</v>
      </c>
      <c r="C6807" t="s">
        <v>17697</v>
      </c>
      <c r="D6807" t="s">
        <v>20</v>
      </c>
      <c r="E6807" t="s">
        <v>11</v>
      </c>
      <c r="F6807">
        <v>965.8</v>
      </c>
      <c r="G6807">
        <v>18</v>
      </c>
    </row>
    <row r="6808" spans="1:7" x14ac:dyDescent="0.25">
      <c r="A6808" t="s">
        <v>41</v>
      </c>
      <c r="B6808" t="s">
        <v>683</v>
      </c>
      <c r="C6808" t="s">
        <v>17698</v>
      </c>
      <c r="D6808" t="s">
        <v>20</v>
      </c>
      <c r="E6808" t="s">
        <v>11</v>
      </c>
      <c r="F6808">
        <v>1967.9</v>
      </c>
      <c r="G6808">
        <v>18</v>
      </c>
    </row>
    <row r="6809" spans="1:7" x14ac:dyDescent="0.25">
      <c r="A6809" t="s">
        <v>41</v>
      </c>
      <c r="B6809" t="s">
        <v>686</v>
      </c>
      <c r="C6809" t="s">
        <v>17699</v>
      </c>
      <c r="D6809" t="s">
        <v>20</v>
      </c>
      <c r="E6809" t="s">
        <v>11</v>
      </c>
      <c r="F6809">
        <v>1487.2</v>
      </c>
      <c r="G6809">
        <v>18</v>
      </c>
    </row>
    <row r="6810" spans="1:7" x14ac:dyDescent="0.25">
      <c r="A6810" t="s">
        <v>41</v>
      </c>
      <c r="B6810" t="s">
        <v>689</v>
      </c>
      <c r="C6810" t="s">
        <v>17700</v>
      </c>
      <c r="D6810" t="s">
        <v>20</v>
      </c>
      <c r="E6810" t="s">
        <v>11</v>
      </c>
      <c r="F6810">
        <v>727.1</v>
      </c>
      <c r="G6810">
        <v>18</v>
      </c>
    </row>
    <row r="6811" spans="1:7" x14ac:dyDescent="0.25">
      <c r="A6811" t="s">
        <v>41</v>
      </c>
      <c r="B6811" t="s">
        <v>692</v>
      </c>
      <c r="C6811" t="s">
        <v>17511</v>
      </c>
      <c r="D6811" t="s">
        <v>20</v>
      </c>
      <c r="E6811" t="s">
        <v>11</v>
      </c>
      <c r="F6811">
        <v>201.3</v>
      </c>
      <c r="G6811">
        <v>18</v>
      </c>
    </row>
    <row r="6812" spans="1:7" x14ac:dyDescent="0.25">
      <c r="A6812" t="s">
        <v>41</v>
      </c>
      <c r="B6812" t="s">
        <v>695</v>
      </c>
      <c r="C6812" t="s">
        <v>17701</v>
      </c>
      <c r="D6812" t="s">
        <v>20</v>
      </c>
      <c r="E6812" t="s">
        <v>11</v>
      </c>
      <c r="F6812">
        <v>58.300000000000004</v>
      </c>
      <c r="G6812">
        <v>18</v>
      </c>
    </row>
    <row r="6813" spans="1:7" x14ac:dyDescent="0.25">
      <c r="A6813" t="s">
        <v>41</v>
      </c>
      <c r="B6813" t="s">
        <v>698</v>
      </c>
      <c r="C6813" t="s">
        <v>17702</v>
      </c>
      <c r="D6813" t="s">
        <v>20</v>
      </c>
      <c r="E6813" t="s">
        <v>11</v>
      </c>
      <c r="F6813">
        <v>103.39999999999999</v>
      </c>
      <c r="G6813">
        <v>18</v>
      </c>
    </row>
    <row r="6814" spans="1:7" x14ac:dyDescent="0.25">
      <c r="A6814" t="s">
        <v>41</v>
      </c>
      <c r="B6814" t="s">
        <v>701</v>
      </c>
      <c r="C6814" t="s">
        <v>17703</v>
      </c>
      <c r="D6814" t="s">
        <v>20</v>
      </c>
      <c r="E6814" t="s">
        <v>11</v>
      </c>
      <c r="F6814">
        <v>334.4</v>
      </c>
      <c r="G6814">
        <v>18</v>
      </c>
    </row>
    <row r="6815" spans="1:7" x14ac:dyDescent="0.25">
      <c r="A6815" t="s">
        <v>41</v>
      </c>
      <c r="B6815" t="s">
        <v>704</v>
      </c>
      <c r="C6815" t="s">
        <v>17704</v>
      </c>
      <c r="D6815" t="s">
        <v>20</v>
      </c>
      <c r="E6815" t="s">
        <v>11</v>
      </c>
      <c r="F6815">
        <v>1210</v>
      </c>
      <c r="G6815">
        <v>18</v>
      </c>
    </row>
    <row r="6816" spans="1:7" x14ac:dyDescent="0.25">
      <c r="A6816" t="s">
        <v>41</v>
      </c>
      <c r="B6816" t="s">
        <v>707</v>
      </c>
      <c r="C6816" t="s">
        <v>17705</v>
      </c>
      <c r="D6816" t="s">
        <v>20</v>
      </c>
      <c r="E6816" t="s">
        <v>11</v>
      </c>
      <c r="F6816">
        <v>1210</v>
      </c>
      <c r="G6816">
        <v>18</v>
      </c>
    </row>
    <row r="6817" spans="1:7" x14ac:dyDescent="0.25">
      <c r="A6817" t="s">
        <v>41</v>
      </c>
      <c r="B6817" t="s">
        <v>710</v>
      </c>
      <c r="C6817" t="s">
        <v>17706</v>
      </c>
      <c r="D6817" t="s">
        <v>20</v>
      </c>
      <c r="E6817" t="s">
        <v>11</v>
      </c>
      <c r="F6817">
        <v>12486.1</v>
      </c>
      <c r="G6817">
        <v>18</v>
      </c>
    </row>
    <row r="6818" spans="1:7" x14ac:dyDescent="0.25">
      <c r="A6818" t="s">
        <v>41</v>
      </c>
      <c r="B6818" t="s">
        <v>713</v>
      </c>
      <c r="C6818" t="s">
        <v>17707</v>
      </c>
      <c r="D6818" t="s">
        <v>20</v>
      </c>
      <c r="E6818" t="s">
        <v>11</v>
      </c>
      <c r="F6818">
        <v>5423</v>
      </c>
      <c r="G6818">
        <v>18</v>
      </c>
    </row>
    <row r="6819" spans="1:7" x14ac:dyDescent="0.25">
      <c r="A6819" t="s">
        <v>41</v>
      </c>
      <c r="B6819" t="s">
        <v>716</v>
      </c>
      <c r="C6819" t="s">
        <v>17708</v>
      </c>
      <c r="D6819" t="s">
        <v>20</v>
      </c>
      <c r="E6819" t="s">
        <v>11</v>
      </c>
      <c r="F6819">
        <v>16269</v>
      </c>
      <c r="G6819">
        <v>18</v>
      </c>
    </row>
    <row r="6820" spans="1:7" x14ac:dyDescent="0.25">
      <c r="A6820" t="s">
        <v>41</v>
      </c>
      <c r="B6820" t="s">
        <v>719</v>
      </c>
      <c r="C6820" t="s">
        <v>17709</v>
      </c>
      <c r="D6820" t="s">
        <v>20</v>
      </c>
      <c r="E6820" t="s">
        <v>11</v>
      </c>
      <c r="F6820">
        <v>1210</v>
      </c>
      <c r="G6820">
        <v>18</v>
      </c>
    </row>
    <row r="6821" spans="1:7" x14ac:dyDescent="0.25">
      <c r="A6821" t="s">
        <v>41</v>
      </c>
      <c r="B6821" t="s">
        <v>722</v>
      </c>
      <c r="C6821" t="s">
        <v>17710</v>
      </c>
      <c r="D6821" t="s">
        <v>20</v>
      </c>
      <c r="E6821" t="s">
        <v>11</v>
      </c>
      <c r="F6821">
        <v>289.3</v>
      </c>
      <c r="G6821">
        <v>18</v>
      </c>
    </row>
    <row r="6822" spans="1:7" x14ac:dyDescent="0.25">
      <c r="A6822" t="s">
        <v>41</v>
      </c>
      <c r="B6822" t="s">
        <v>725</v>
      </c>
      <c r="C6822" t="s">
        <v>17711</v>
      </c>
      <c r="D6822" t="s">
        <v>20</v>
      </c>
      <c r="E6822" t="s">
        <v>11</v>
      </c>
      <c r="F6822">
        <v>7841.900000000001</v>
      </c>
      <c r="G6822">
        <v>18</v>
      </c>
    </row>
    <row r="6823" spans="1:7" x14ac:dyDescent="0.25">
      <c r="A6823" t="s">
        <v>41</v>
      </c>
      <c r="B6823" t="s">
        <v>728</v>
      </c>
      <c r="C6823" t="s">
        <v>17712</v>
      </c>
      <c r="D6823" t="s">
        <v>20</v>
      </c>
      <c r="E6823" t="s">
        <v>11</v>
      </c>
      <c r="F6823">
        <v>10041.900000000001</v>
      </c>
      <c r="G6823">
        <v>18</v>
      </c>
    </row>
    <row r="6824" spans="1:7" x14ac:dyDescent="0.25">
      <c r="A6824" t="s">
        <v>41</v>
      </c>
      <c r="B6824" t="s">
        <v>731</v>
      </c>
      <c r="C6824" t="s">
        <v>17713</v>
      </c>
      <c r="D6824" t="s">
        <v>20</v>
      </c>
      <c r="E6824" t="s">
        <v>11</v>
      </c>
      <c r="F6824">
        <v>990</v>
      </c>
      <c r="G6824">
        <v>18</v>
      </c>
    </row>
    <row r="6825" spans="1:7" x14ac:dyDescent="0.25">
      <c r="A6825" t="s">
        <v>41</v>
      </c>
      <c r="B6825" t="s">
        <v>734</v>
      </c>
      <c r="C6825" t="s">
        <v>17714</v>
      </c>
      <c r="D6825" t="s">
        <v>20</v>
      </c>
      <c r="E6825" t="s">
        <v>11</v>
      </c>
      <c r="F6825">
        <v>1791.8999999999999</v>
      </c>
      <c r="G6825">
        <v>18</v>
      </c>
    </row>
    <row r="6826" spans="1:7" x14ac:dyDescent="0.25">
      <c r="A6826" t="s">
        <v>41</v>
      </c>
      <c r="B6826" t="s">
        <v>737</v>
      </c>
      <c r="C6826" t="s">
        <v>17715</v>
      </c>
      <c r="D6826" t="s">
        <v>20</v>
      </c>
      <c r="E6826" t="s">
        <v>11</v>
      </c>
      <c r="F6826">
        <v>3279.1</v>
      </c>
      <c r="G6826">
        <v>18</v>
      </c>
    </row>
    <row r="6827" spans="1:7" x14ac:dyDescent="0.25">
      <c r="A6827" t="s">
        <v>41</v>
      </c>
      <c r="B6827" t="s">
        <v>740</v>
      </c>
      <c r="C6827" t="s">
        <v>17716</v>
      </c>
      <c r="D6827" t="s">
        <v>20</v>
      </c>
      <c r="E6827" t="s">
        <v>11</v>
      </c>
      <c r="F6827">
        <v>3279.1</v>
      </c>
      <c r="G6827">
        <v>18</v>
      </c>
    </row>
    <row r="6828" spans="1:7" x14ac:dyDescent="0.25">
      <c r="A6828" t="s">
        <v>41</v>
      </c>
      <c r="B6828" t="s">
        <v>743</v>
      </c>
      <c r="C6828" t="s">
        <v>17717</v>
      </c>
      <c r="D6828" t="s">
        <v>20</v>
      </c>
      <c r="E6828" t="s">
        <v>11</v>
      </c>
      <c r="F6828">
        <v>26760.8</v>
      </c>
      <c r="G6828">
        <v>18</v>
      </c>
    </row>
    <row r="6829" spans="1:7" x14ac:dyDescent="0.25">
      <c r="A6829" t="s">
        <v>41</v>
      </c>
      <c r="B6829" t="s">
        <v>746</v>
      </c>
      <c r="C6829" t="s">
        <v>17718</v>
      </c>
      <c r="D6829" t="s">
        <v>20</v>
      </c>
      <c r="E6829" t="s">
        <v>11</v>
      </c>
      <c r="F6829">
        <v>30651.499999999996</v>
      </c>
      <c r="G6829">
        <v>18</v>
      </c>
    </row>
    <row r="6830" spans="1:7" x14ac:dyDescent="0.25">
      <c r="A6830" t="s">
        <v>41</v>
      </c>
      <c r="B6830" t="s">
        <v>749</v>
      </c>
      <c r="C6830" t="s">
        <v>17719</v>
      </c>
      <c r="D6830" t="s">
        <v>20</v>
      </c>
      <c r="E6830" t="s">
        <v>11</v>
      </c>
      <c r="F6830">
        <v>4207.5</v>
      </c>
      <c r="G6830">
        <v>18</v>
      </c>
    </row>
    <row r="6831" spans="1:7" x14ac:dyDescent="0.25">
      <c r="A6831" t="s">
        <v>41</v>
      </c>
      <c r="B6831" t="s">
        <v>752</v>
      </c>
      <c r="C6831" t="s">
        <v>17644</v>
      </c>
      <c r="D6831" t="s">
        <v>20</v>
      </c>
      <c r="E6831" t="s">
        <v>11</v>
      </c>
      <c r="F6831">
        <v>874.5</v>
      </c>
      <c r="G6831">
        <v>18</v>
      </c>
    </row>
    <row r="6832" spans="1:7" x14ac:dyDescent="0.25">
      <c r="A6832" t="s">
        <v>41</v>
      </c>
      <c r="B6832" t="s">
        <v>755</v>
      </c>
      <c r="C6832" t="s">
        <v>17645</v>
      </c>
      <c r="D6832" t="s">
        <v>20</v>
      </c>
      <c r="E6832" t="s">
        <v>11</v>
      </c>
      <c r="F6832">
        <v>167.2</v>
      </c>
      <c r="G6832">
        <v>18</v>
      </c>
    </row>
    <row r="6833" spans="1:7" x14ac:dyDescent="0.25">
      <c r="A6833" t="s">
        <v>41</v>
      </c>
      <c r="B6833" t="s">
        <v>758</v>
      </c>
      <c r="C6833" t="s">
        <v>17720</v>
      </c>
      <c r="D6833" t="s">
        <v>20</v>
      </c>
      <c r="E6833" t="s">
        <v>11</v>
      </c>
      <c r="F6833">
        <v>70.4</v>
      </c>
      <c r="G6833">
        <v>18</v>
      </c>
    </row>
    <row r="6834" spans="1:7" x14ac:dyDescent="0.25">
      <c r="A6834" t="s">
        <v>41</v>
      </c>
      <c r="B6834" t="s">
        <v>761</v>
      </c>
      <c r="C6834" t="s">
        <v>17721</v>
      </c>
      <c r="D6834" t="s">
        <v>20</v>
      </c>
      <c r="E6834" t="s">
        <v>11</v>
      </c>
      <c r="F6834">
        <v>1930.5</v>
      </c>
      <c r="G6834">
        <v>18</v>
      </c>
    </row>
    <row r="6835" spans="1:7" x14ac:dyDescent="0.25">
      <c r="A6835" t="s">
        <v>41</v>
      </c>
      <c r="B6835" t="s">
        <v>764</v>
      </c>
      <c r="C6835" t="s">
        <v>17722</v>
      </c>
      <c r="D6835" t="s">
        <v>20</v>
      </c>
      <c r="E6835" t="s">
        <v>11</v>
      </c>
      <c r="F6835">
        <v>574.1999999999999</v>
      </c>
      <c r="G6835">
        <v>18</v>
      </c>
    </row>
    <row r="6836" spans="1:7" x14ac:dyDescent="0.25">
      <c r="A6836" t="s">
        <v>41</v>
      </c>
      <c r="B6836" t="s">
        <v>767</v>
      </c>
      <c r="C6836" t="s">
        <v>17723</v>
      </c>
      <c r="D6836" t="s">
        <v>20</v>
      </c>
      <c r="E6836" t="s">
        <v>11</v>
      </c>
      <c r="F6836">
        <v>667.7</v>
      </c>
      <c r="G6836">
        <v>18</v>
      </c>
    </row>
    <row r="6837" spans="1:7" x14ac:dyDescent="0.25">
      <c r="A6837" t="s">
        <v>41</v>
      </c>
      <c r="B6837" t="s">
        <v>770</v>
      </c>
      <c r="C6837" t="s">
        <v>17724</v>
      </c>
      <c r="D6837" t="s">
        <v>20</v>
      </c>
      <c r="E6837" t="s">
        <v>11</v>
      </c>
      <c r="F6837">
        <v>287.09999999999997</v>
      </c>
      <c r="G6837">
        <v>18</v>
      </c>
    </row>
    <row r="6838" spans="1:7" x14ac:dyDescent="0.25">
      <c r="A6838" t="s">
        <v>41</v>
      </c>
      <c r="B6838" t="s">
        <v>773</v>
      </c>
      <c r="C6838" t="s">
        <v>17725</v>
      </c>
      <c r="D6838" t="s">
        <v>20</v>
      </c>
      <c r="E6838" t="s">
        <v>11</v>
      </c>
      <c r="F6838">
        <v>4944.5</v>
      </c>
      <c r="G6838">
        <v>18</v>
      </c>
    </row>
    <row r="6839" spans="1:7" x14ac:dyDescent="0.25">
      <c r="A6839" t="s">
        <v>41</v>
      </c>
      <c r="B6839" t="s">
        <v>776</v>
      </c>
      <c r="C6839" t="s">
        <v>17726</v>
      </c>
      <c r="D6839" t="s">
        <v>20</v>
      </c>
      <c r="E6839" t="s">
        <v>11</v>
      </c>
      <c r="F6839">
        <v>466.40000000000003</v>
      </c>
      <c r="G6839">
        <v>18</v>
      </c>
    </row>
    <row r="6840" spans="1:7" x14ac:dyDescent="0.25">
      <c r="A6840" t="s">
        <v>41</v>
      </c>
      <c r="B6840" t="s">
        <v>779</v>
      </c>
      <c r="C6840" t="s">
        <v>17727</v>
      </c>
      <c r="D6840" t="s">
        <v>20</v>
      </c>
      <c r="E6840" t="s">
        <v>11</v>
      </c>
      <c r="F6840">
        <v>217.8</v>
      </c>
      <c r="G6840">
        <v>18</v>
      </c>
    </row>
    <row r="6841" spans="1:7" x14ac:dyDescent="0.25">
      <c r="A6841" t="s">
        <v>41</v>
      </c>
      <c r="B6841" t="s">
        <v>782</v>
      </c>
      <c r="C6841" t="s">
        <v>17728</v>
      </c>
      <c r="D6841" t="s">
        <v>20</v>
      </c>
      <c r="E6841" t="s">
        <v>11</v>
      </c>
      <c r="F6841">
        <v>514.8</v>
      </c>
      <c r="G6841">
        <v>18</v>
      </c>
    </row>
    <row r="6842" spans="1:7" x14ac:dyDescent="0.25">
      <c r="A6842" t="s">
        <v>41</v>
      </c>
      <c r="B6842" t="s">
        <v>785</v>
      </c>
      <c r="C6842" t="s">
        <v>17729</v>
      </c>
      <c r="D6842" t="s">
        <v>20</v>
      </c>
      <c r="E6842" t="s">
        <v>11</v>
      </c>
      <c r="F6842">
        <v>20634.9</v>
      </c>
      <c r="G6842">
        <v>18</v>
      </c>
    </row>
    <row r="6843" spans="1:7" x14ac:dyDescent="0.25">
      <c r="A6843" t="s">
        <v>41</v>
      </c>
      <c r="B6843" t="s">
        <v>788</v>
      </c>
      <c r="C6843" t="s">
        <v>17730</v>
      </c>
      <c r="D6843" t="s">
        <v>20</v>
      </c>
      <c r="E6843" t="s">
        <v>11</v>
      </c>
      <c r="F6843">
        <v>2205.5</v>
      </c>
      <c r="G6843">
        <v>18</v>
      </c>
    </row>
    <row r="6844" spans="1:7" x14ac:dyDescent="0.25">
      <c r="A6844" t="s">
        <v>41</v>
      </c>
      <c r="B6844" t="s">
        <v>791</v>
      </c>
      <c r="C6844" t="s">
        <v>17731</v>
      </c>
      <c r="D6844" t="s">
        <v>20</v>
      </c>
      <c r="E6844" t="s">
        <v>11</v>
      </c>
      <c r="F6844">
        <v>173.8</v>
      </c>
      <c r="G6844">
        <v>18</v>
      </c>
    </row>
    <row r="6845" spans="1:7" x14ac:dyDescent="0.25">
      <c r="A6845" t="s">
        <v>41</v>
      </c>
      <c r="B6845" t="s">
        <v>794</v>
      </c>
      <c r="C6845" t="s">
        <v>17732</v>
      </c>
      <c r="D6845" t="s">
        <v>20</v>
      </c>
      <c r="E6845" t="s">
        <v>11</v>
      </c>
      <c r="F6845">
        <v>2018.5000000000002</v>
      </c>
      <c r="G6845">
        <v>18</v>
      </c>
    </row>
    <row r="6846" spans="1:7" x14ac:dyDescent="0.25">
      <c r="A6846" t="s">
        <v>41</v>
      </c>
      <c r="B6846" t="s">
        <v>797</v>
      </c>
      <c r="C6846" t="s">
        <v>17733</v>
      </c>
      <c r="D6846" t="s">
        <v>20</v>
      </c>
      <c r="E6846" t="s">
        <v>11</v>
      </c>
      <c r="F6846">
        <v>611.5999999999999</v>
      </c>
      <c r="G6846">
        <v>18</v>
      </c>
    </row>
    <row r="6847" spans="1:7" x14ac:dyDescent="0.25">
      <c r="A6847" t="s">
        <v>41</v>
      </c>
      <c r="B6847" t="s">
        <v>800</v>
      </c>
      <c r="C6847" t="s">
        <v>17734</v>
      </c>
      <c r="D6847" t="s">
        <v>20</v>
      </c>
      <c r="E6847" t="s">
        <v>11</v>
      </c>
      <c r="F6847">
        <v>255.2</v>
      </c>
      <c r="G6847">
        <v>18</v>
      </c>
    </row>
    <row r="6848" spans="1:7" x14ac:dyDescent="0.25">
      <c r="A6848" t="s">
        <v>41</v>
      </c>
      <c r="B6848" t="s">
        <v>803</v>
      </c>
      <c r="C6848" t="s">
        <v>17656</v>
      </c>
      <c r="D6848" t="s">
        <v>20</v>
      </c>
      <c r="E6848" t="s">
        <v>11</v>
      </c>
      <c r="F6848">
        <v>58.300000000000004</v>
      </c>
      <c r="G6848">
        <v>18</v>
      </c>
    </row>
    <row r="6849" spans="1:7" x14ac:dyDescent="0.25">
      <c r="A6849" t="s">
        <v>41</v>
      </c>
      <c r="B6849" t="s">
        <v>806</v>
      </c>
      <c r="C6849" t="s">
        <v>17511</v>
      </c>
      <c r="D6849" t="s">
        <v>20</v>
      </c>
      <c r="E6849" t="s">
        <v>11</v>
      </c>
      <c r="F6849">
        <v>201.3</v>
      </c>
      <c r="G6849">
        <v>18</v>
      </c>
    </row>
    <row r="6850" spans="1:7" x14ac:dyDescent="0.25">
      <c r="A6850" t="s">
        <v>41</v>
      </c>
      <c r="B6850" t="s">
        <v>809</v>
      </c>
      <c r="C6850" t="s">
        <v>17735</v>
      </c>
      <c r="D6850" t="s">
        <v>20</v>
      </c>
      <c r="E6850" t="s">
        <v>11</v>
      </c>
      <c r="F6850">
        <v>58.300000000000004</v>
      </c>
      <c r="G6850">
        <v>18</v>
      </c>
    </row>
    <row r="6851" spans="1:7" x14ac:dyDescent="0.25">
      <c r="A6851" t="s">
        <v>41</v>
      </c>
      <c r="B6851" t="s">
        <v>812</v>
      </c>
      <c r="C6851" t="s">
        <v>17736</v>
      </c>
      <c r="D6851" t="s">
        <v>20</v>
      </c>
      <c r="E6851" t="s">
        <v>11</v>
      </c>
      <c r="F6851">
        <v>58.300000000000004</v>
      </c>
      <c r="G6851">
        <v>18</v>
      </c>
    </row>
    <row r="6852" spans="1:7" x14ac:dyDescent="0.25">
      <c r="A6852" t="s">
        <v>41</v>
      </c>
      <c r="B6852" t="s">
        <v>815</v>
      </c>
      <c r="C6852" t="s">
        <v>17649</v>
      </c>
      <c r="D6852" t="s">
        <v>20</v>
      </c>
      <c r="E6852" t="s">
        <v>11</v>
      </c>
      <c r="F6852">
        <v>70.4</v>
      </c>
      <c r="G6852">
        <v>18</v>
      </c>
    </row>
    <row r="6853" spans="1:7" x14ac:dyDescent="0.25">
      <c r="A6853" t="s">
        <v>41</v>
      </c>
      <c r="B6853" t="s">
        <v>818</v>
      </c>
      <c r="C6853" t="s">
        <v>17728</v>
      </c>
      <c r="D6853" t="s">
        <v>20</v>
      </c>
      <c r="E6853" t="s">
        <v>11</v>
      </c>
      <c r="F6853">
        <v>514.8</v>
      </c>
      <c r="G6853">
        <v>18</v>
      </c>
    </row>
    <row r="6854" spans="1:7" x14ac:dyDescent="0.25">
      <c r="A6854" t="s">
        <v>41</v>
      </c>
      <c r="B6854" t="s">
        <v>821</v>
      </c>
      <c r="C6854" t="s">
        <v>17737</v>
      </c>
      <c r="D6854" t="s">
        <v>20</v>
      </c>
      <c r="E6854" t="s">
        <v>11</v>
      </c>
      <c r="F6854">
        <v>57.2</v>
      </c>
      <c r="G6854">
        <v>18</v>
      </c>
    </row>
    <row r="6855" spans="1:7" x14ac:dyDescent="0.25">
      <c r="A6855" t="s">
        <v>41</v>
      </c>
      <c r="B6855" t="s">
        <v>824</v>
      </c>
      <c r="C6855" t="s">
        <v>17643</v>
      </c>
      <c r="D6855" t="s">
        <v>20</v>
      </c>
      <c r="E6855" t="s">
        <v>11</v>
      </c>
      <c r="F6855">
        <v>4207.5</v>
      </c>
      <c r="G6855">
        <v>18</v>
      </c>
    </row>
    <row r="6856" spans="1:7" x14ac:dyDescent="0.25">
      <c r="A6856" t="s">
        <v>41</v>
      </c>
      <c r="B6856" t="s">
        <v>827</v>
      </c>
      <c r="C6856" t="s">
        <v>17660</v>
      </c>
      <c r="D6856" t="s">
        <v>20</v>
      </c>
      <c r="E6856" t="s">
        <v>11</v>
      </c>
      <c r="F6856">
        <v>4935.7</v>
      </c>
      <c r="G6856">
        <v>18</v>
      </c>
    </row>
    <row r="6857" spans="1:7" x14ac:dyDescent="0.25">
      <c r="A6857" t="s">
        <v>41</v>
      </c>
      <c r="B6857" t="s">
        <v>830</v>
      </c>
      <c r="C6857" t="s">
        <v>17738</v>
      </c>
      <c r="D6857" t="s">
        <v>20</v>
      </c>
      <c r="E6857" t="s">
        <v>11</v>
      </c>
      <c r="F6857">
        <v>5525.299999999999</v>
      </c>
      <c r="G6857">
        <v>18</v>
      </c>
    </row>
    <row r="6858" spans="1:7" x14ac:dyDescent="0.25">
      <c r="A6858" t="s">
        <v>41</v>
      </c>
      <c r="B6858" t="s">
        <v>833</v>
      </c>
      <c r="C6858" t="s">
        <v>17739</v>
      </c>
      <c r="D6858" t="s">
        <v>20</v>
      </c>
      <c r="E6858" t="s">
        <v>11</v>
      </c>
      <c r="F6858">
        <v>9749.3</v>
      </c>
      <c r="G6858">
        <v>18</v>
      </c>
    </row>
    <row r="6859" spans="1:7" x14ac:dyDescent="0.25">
      <c r="A6859" t="s">
        <v>41</v>
      </c>
      <c r="B6859" t="s">
        <v>836</v>
      </c>
      <c r="C6859" t="s">
        <v>17740</v>
      </c>
      <c r="D6859" t="s">
        <v>20</v>
      </c>
      <c r="E6859" t="s">
        <v>11</v>
      </c>
      <c r="F6859">
        <v>20634.9</v>
      </c>
      <c r="G6859">
        <v>18</v>
      </c>
    </row>
    <row r="6860" spans="1:7" x14ac:dyDescent="0.25">
      <c r="A6860" t="s">
        <v>41</v>
      </c>
      <c r="B6860" t="s">
        <v>839</v>
      </c>
      <c r="C6860" t="s">
        <v>17741</v>
      </c>
      <c r="D6860" t="s">
        <v>20</v>
      </c>
      <c r="E6860" t="s">
        <v>11</v>
      </c>
      <c r="F6860">
        <v>2205.5</v>
      </c>
      <c r="G6860">
        <v>18</v>
      </c>
    </row>
    <row r="6861" spans="1:7" x14ac:dyDescent="0.25">
      <c r="A6861" t="s">
        <v>41</v>
      </c>
      <c r="B6861" t="s">
        <v>842</v>
      </c>
      <c r="C6861" t="s">
        <v>17742</v>
      </c>
      <c r="D6861" t="s">
        <v>20</v>
      </c>
      <c r="E6861" t="s">
        <v>11</v>
      </c>
      <c r="F6861">
        <v>17289.8</v>
      </c>
      <c r="G6861">
        <v>18</v>
      </c>
    </row>
    <row r="6862" spans="1:7" x14ac:dyDescent="0.25">
      <c r="A6862" t="s">
        <v>41</v>
      </c>
      <c r="B6862" t="s">
        <v>845</v>
      </c>
      <c r="C6862" t="s">
        <v>17743</v>
      </c>
      <c r="D6862" t="s">
        <v>20</v>
      </c>
      <c r="E6862" t="s">
        <v>11</v>
      </c>
      <c r="F6862">
        <v>32221.2</v>
      </c>
      <c r="G6862">
        <v>18</v>
      </c>
    </row>
    <row r="6863" spans="1:7" x14ac:dyDescent="0.25">
      <c r="A6863" t="s">
        <v>41</v>
      </c>
      <c r="B6863" t="s">
        <v>848</v>
      </c>
      <c r="C6863" t="s">
        <v>17744</v>
      </c>
      <c r="D6863" t="s">
        <v>20</v>
      </c>
      <c r="E6863" t="s">
        <v>11</v>
      </c>
      <c r="F6863">
        <v>41453.5</v>
      </c>
      <c r="G6863">
        <v>18</v>
      </c>
    </row>
    <row r="6864" spans="1:7" x14ac:dyDescent="0.25">
      <c r="A6864" t="s">
        <v>41</v>
      </c>
      <c r="B6864" t="s">
        <v>851</v>
      </c>
      <c r="C6864" t="s">
        <v>17745</v>
      </c>
      <c r="D6864" t="s">
        <v>20</v>
      </c>
      <c r="E6864" t="s">
        <v>11</v>
      </c>
      <c r="F6864">
        <v>15818.000000000002</v>
      </c>
      <c r="G6864">
        <v>18</v>
      </c>
    </row>
    <row r="6865" spans="1:7" x14ac:dyDescent="0.25">
      <c r="A6865" t="s">
        <v>41</v>
      </c>
      <c r="B6865" t="s">
        <v>854</v>
      </c>
      <c r="C6865" t="s">
        <v>17673</v>
      </c>
      <c r="D6865" t="s">
        <v>20</v>
      </c>
      <c r="E6865" t="s">
        <v>11</v>
      </c>
      <c r="F6865">
        <v>541.2</v>
      </c>
      <c r="G6865">
        <v>18</v>
      </c>
    </row>
    <row r="6866" spans="1:7" x14ac:dyDescent="0.25">
      <c r="A6866" t="s">
        <v>41</v>
      </c>
      <c r="B6866" t="s">
        <v>857</v>
      </c>
      <c r="C6866" t="s">
        <v>17672</v>
      </c>
      <c r="D6866" t="s">
        <v>20</v>
      </c>
      <c r="E6866" t="s">
        <v>11</v>
      </c>
      <c r="F6866">
        <v>925.1</v>
      </c>
      <c r="G6866">
        <v>18</v>
      </c>
    </row>
    <row r="6867" spans="1:7" x14ac:dyDescent="0.25">
      <c r="A6867" t="s">
        <v>41</v>
      </c>
      <c r="B6867" t="s">
        <v>860</v>
      </c>
      <c r="C6867" t="s">
        <v>17746</v>
      </c>
      <c r="D6867" t="s">
        <v>20</v>
      </c>
      <c r="E6867" t="s">
        <v>11</v>
      </c>
      <c r="F6867">
        <v>645.7</v>
      </c>
      <c r="G6867">
        <v>18</v>
      </c>
    </row>
    <row r="6868" spans="1:7" x14ac:dyDescent="0.25">
      <c r="A6868" t="s">
        <v>41</v>
      </c>
      <c r="B6868" t="s">
        <v>863</v>
      </c>
      <c r="C6868" t="s">
        <v>17674</v>
      </c>
      <c r="D6868" t="s">
        <v>20</v>
      </c>
      <c r="E6868" t="s">
        <v>11</v>
      </c>
      <c r="F6868">
        <v>430.1</v>
      </c>
      <c r="G6868">
        <v>18</v>
      </c>
    </row>
    <row r="6869" spans="1:7" x14ac:dyDescent="0.25">
      <c r="A6869" t="s">
        <v>41</v>
      </c>
      <c r="B6869" t="s">
        <v>866</v>
      </c>
      <c r="C6869" t="s">
        <v>17676</v>
      </c>
      <c r="D6869" t="s">
        <v>20</v>
      </c>
      <c r="E6869" t="s">
        <v>11</v>
      </c>
      <c r="F6869">
        <v>157.29999999999998</v>
      </c>
      <c r="G6869">
        <v>18</v>
      </c>
    </row>
    <row r="6870" spans="1:7" x14ac:dyDescent="0.25">
      <c r="A6870" t="s">
        <v>41</v>
      </c>
      <c r="B6870" t="s">
        <v>869</v>
      </c>
      <c r="C6870" t="s">
        <v>17747</v>
      </c>
      <c r="D6870" t="s">
        <v>20</v>
      </c>
      <c r="E6870" t="s">
        <v>11</v>
      </c>
      <c r="F6870">
        <v>70.4</v>
      </c>
      <c r="G6870">
        <v>18</v>
      </c>
    </row>
    <row r="6871" spans="1:7" x14ac:dyDescent="0.25">
      <c r="A6871" t="s">
        <v>41</v>
      </c>
      <c r="B6871" t="s">
        <v>872</v>
      </c>
      <c r="C6871" t="s">
        <v>17748</v>
      </c>
      <c r="D6871" t="s">
        <v>20</v>
      </c>
      <c r="E6871" t="s">
        <v>11</v>
      </c>
      <c r="F6871">
        <v>30.800000000000004</v>
      </c>
      <c r="G6871">
        <v>18</v>
      </c>
    </row>
    <row r="6872" spans="1:7" x14ac:dyDescent="0.25">
      <c r="A6872" t="s">
        <v>41</v>
      </c>
      <c r="B6872" t="s">
        <v>875</v>
      </c>
      <c r="C6872" t="s">
        <v>17749</v>
      </c>
      <c r="D6872" t="s">
        <v>20</v>
      </c>
      <c r="E6872" t="s">
        <v>11</v>
      </c>
      <c r="F6872">
        <v>58.300000000000004</v>
      </c>
      <c r="G6872">
        <v>18</v>
      </c>
    </row>
    <row r="6873" spans="1:7" x14ac:dyDescent="0.25">
      <c r="A6873" t="s">
        <v>41</v>
      </c>
      <c r="B6873" t="s">
        <v>878</v>
      </c>
      <c r="C6873" t="s">
        <v>17646</v>
      </c>
      <c r="D6873" t="s">
        <v>20</v>
      </c>
      <c r="E6873" t="s">
        <v>11</v>
      </c>
      <c r="F6873">
        <v>70.4</v>
      </c>
      <c r="G6873">
        <v>18</v>
      </c>
    </row>
    <row r="6874" spans="1:7" x14ac:dyDescent="0.25">
      <c r="A6874" t="s">
        <v>41</v>
      </c>
      <c r="B6874" t="s">
        <v>881</v>
      </c>
      <c r="C6874" t="s">
        <v>17750</v>
      </c>
      <c r="D6874" t="s">
        <v>20</v>
      </c>
      <c r="E6874" t="s">
        <v>11</v>
      </c>
      <c r="F6874">
        <v>427.90000000000003</v>
      </c>
      <c r="G6874">
        <v>18</v>
      </c>
    </row>
    <row r="6875" spans="1:7" x14ac:dyDescent="0.25">
      <c r="A6875" t="s">
        <v>41</v>
      </c>
      <c r="B6875" t="s">
        <v>884</v>
      </c>
      <c r="C6875" t="s">
        <v>17658</v>
      </c>
      <c r="D6875" t="s">
        <v>20</v>
      </c>
      <c r="E6875" t="s">
        <v>11</v>
      </c>
      <c r="F6875">
        <v>499.4</v>
      </c>
      <c r="G6875">
        <v>18</v>
      </c>
    </row>
    <row r="6876" spans="1:7" x14ac:dyDescent="0.25">
      <c r="A6876" t="s">
        <v>41</v>
      </c>
      <c r="B6876" t="s">
        <v>887</v>
      </c>
      <c r="C6876" t="s">
        <v>17689</v>
      </c>
      <c r="D6876" t="s">
        <v>20</v>
      </c>
      <c r="E6876" t="s">
        <v>11</v>
      </c>
      <c r="F6876">
        <v>57.2</v>
      </c>
      <c r="G6876">
        <v>18</v>
      </c>
    </row>
    <row r="6877" spans="1:7" x14ac:dyDescent="0.25">
      <c r="A6877" t="s">
        <v>41</v>
      </c>
      <c r="B6877" t="s">
        <v>890</v>
      </c>
      <c r="C6877" t="s">
        <v>17690</v>
      </c>
      <c r="D6877" t="s">
        <v>20</v>
      </c>
      <c r="E6877" t="s">
        <v>11</v>
      </c>
      <c r="F6877">
        <v>57.2</v>
      </c>
      <c r="G6877">
        <v>18</v>
      </c>
    </row>
    <row r="6878" spans="1:7" x14ac:dyDescent="0.25">
      <c r="A6878" t="s">
        <v>41</v>
      </c>
      <c r="B6878" t="s">
        <v>893</v>
      </c>
      <c r="C6878" t="s">
        <v>17680</v>
      </c>
      <c r="D6878" t="s">
        <v>20</v>
      </c>
      <c r="E6878" t="s">
        <v>11</v>
      </c>
      <c r="F6878">
        <v>2599.2999999999997</v>
      </c>
      <c r="G6878">
        <v>18</v>
      </c>
    </row>
    <row r="6879" spans="1:7" x14ac:dyDescent="0.25">
      <c r="A6879" t="s">
        <v>41</v>
      </c>
      <c r="B6879" t="s">
        <v>896</v>
      </c>
      <c r="C6879" t="s">
        <v>17545</v>
      </c>
      <c r="D6879" t="s">
        <v>20</v>
      </c>
      <c r="E6879" t="s">
        <v>11</v>
      </c>
      <c r="F6879">
        <v>2516.7999999999997</v>
      </c>
      <c r="G6879">
        <v>18</v>
      </c>
    </row>
    <row r="6880" spans="1:7" x14ac:dyDescent="0.25">
      <c r="A6880" t="s">
        <v>41</v>
      </c>
      <c r="B6880" t="s">
        <v>899</v>
      </c>
      <c r="C6880" t="s">
        <v>17751</v>
      </c>
      <c r="D6880" t="s">
        <v>20</v>
      </c>
      <c r="E6880" t="s">
        <v>11</v>
      </c>
      <c r="F6880">
        <v>70.4</v>
      </c>
      <c r="G6880">
        <v>18</v>
      </c>
    </row>
    <row r="6881" spans="1:7" x14ac:dyDescent="0.25">
      <c r="A6881" t="s">
        <v>41</v>
      </c>
      <c r="B6881" t="s">
        <v>902</v>
      </c>
      <c r="C6881" t="s">
        <v>17646</v>
      </c>
      <c r="D6881" t="s">
        <v>20</v>
      </c>
      <c r="E6881" t="s">
        <v>11</v>
      </c>
      <c r="F6881">
        <v>70.4</v>
      </c>
      <c r="G6881">
        <v>18</v>
      </c>
    </row>
    <row r="6882" spans="1:7" x14ac:dyDescent="0.25">
      <c r="A6882" t="s">
        <v>41</v>
      </c>
      <c r="B6882" t="s">
        <v>905</v>
      </c>
      <c r="C6882" t="s">
        <v>17737</v>
      </c>
      <c r="D6882" t="s">
        <v>20</v>
      </c>
      <c r="E6882" t="s">
        <v>11</v>
      </c>
      <c r="F6882">
        <v>57.2</v>
      </c>
      <c r="G6882">
        <v>18</v>
      </c>
    </row>
    <row r="6883" spans="1:7" x14ac:dyDescent="0.25">
      <c r="A6883" t="s">
        <v>41</v>
      </c>
      <c r="B6883" t="s">
        <v>908</v>
      </c>
      <c r="C6883" t="s">
        <v>17752</v>
      </c>
      <c r="D6883" t="s">
        <v>20</v>
      </c>
      <c r="E6883" t="s">
        <v>11</v>
      </c>
      <c r="F6883">
        <v>55376.200000000004</v>
      </c>
      <c r="G6883">
        <v>18</v>
      </c>
    </row>
    <row r="6884" spans="1:7" x14ac:dyDescent="0.25">
      <c r="A6884" t="s">
        <v>41</v>
      </c>
      <c r="B6884" t="s">
        <v>911</v>
      </c>
      <c r="C6884" t="s">
        <v>17753</v>
      </c>
      <c r="D6884" t="s">
        <v>20</v>
      </c>
      <c r="E6884" t="s">
        <v>11</v>
      </c>
      <c r="F6884">
        <v>23392.6</v>
      </c>
      <c r="G6884">
        <v>18</v>
      </c>
    </row>
    <row r="6885" spans="1:7" x14ac:dyDescent="0.25">
      <c r="A6885" t="s">
        <v>41</v>
      </c>
      <c r="B6885" t="s">
        <v>914</v>
      </c>
      <c r="C6885" t="s">
        <v>17754</v>
      </c>
      <c r="D6885" t="s">
        <v>20</v>
      </c>
      <c r="E6885" t="s">
        <v>11</v>
      </c>
      <c r="F6885">
        <v>2458.5</v>
      </c>
      <c r="G6885">
        <v>18</v>
      </c>
    </row>
    <row r="6886" spans="1:7" x14ac:dyDescent="0.25">
      <c r="A6886" t="s">
        <v>41</v>
      </c>
      <c r="B6886" t="s">
        <v>917</v>
      </c>
      <c r="C6886" t="s">
        <v>17755</v>
      </c>
      <c r="D6886" t="s">
        <v>20</v>
      </c>
      <c r="E6886" t="s">
        <v>11</v>
      </c>
      <c r="F6886">
        <v>1147.3</v>
      </c>
      <c r="G6886">
        <v>18</v>
      </c>
    </row>
    <row r="6887" spans="1:7" x14ac:dyDescent="0.25">
      <c r="A6887" t="s">
        <v>41</v>
      </c>
      <c r="B6887" t="s">
        <v>920</v>
      </c>
      <c r="C6887" t="s">
        <v>17756</v>
      </c>
      <c r="D6887" t="s">
        <v>20</v>
      </c>
      <c r="E6887" t="s">
        <v>11</v>
      </c>
      <c r="F6887">
        <v>669.9</v>
      </c>
      <c r="G6887">
        <v>18</v>
      </c>
    </row>
    <row r="6888" spans="1:7" x14ac:dyDescent="0.25">
      <c r="A6888" t="s">
        <v>41</v>
      </c>
      <c r="B6888" t="s">
        <v>923</v>
      </c>
      <c r="C6888" t="s">
        <v>17645</v>
      </c>
      <c r="D6888" t="s">
        <v>20</v>
      </c>
      <c r="E6888" t="s">
        <v>11</v>
      </c>
      <c r="F6888">
        <v>207.89999999999998</v>
      </c>
      <c r="G6888">
        <v>18</v>
      </c>
    </row>
    <row r="6889" spans="1:7" x14ac:dyDescent="0.25">
      <c r="A6889" t="s">
        <v>41</v>
      </c>
      <c r="B6889" t="s">
        <v>926</v>
      </c>
      <c r="C6889" t="s">
        <v>17757</v>
      </c>
      <c r="D6889" t="s">
        <v>20</v>
      </c>
      <c r="E6889" t="s">
        <v>11</v>
      </c>
      <c r="F6889">
        <v>1856.8</v>
      </c>
      <c r="G6889">
        <v>18</v>
      </c>
    </row>
    <row r="6890" spans="1:7" x14ac:dyDescent="0.25">
      <c r="A6890" t="s">
        <v>41</v>
      </c>
      <c r="B6890" t="s">
        <v>929</v>
      </c>
      <c r="C6890" t="s">
        <v>17636</v>
      </c>
      <c r="D6890" t="s">
        <v>20</v>
      </c>
      <c r="E6890" t="s">
        <v>11</v>
      </c>
      <c r="F6890">
        <v>183.7</v>
      </c>
      <c r="G6890">
        <v>18</v>
      </c>
    </row>
    <row r="6891" spans="1:7" x14ac:dyDescent="0.25">
      <c r="A6891" t="s">
        <v>41</v>
      </c>
      <c r="B6891" t="s">
        <v>932</v>
      </c>
      <c r="C6891" t="s">
        <v>17758</v>
      </c>
      <c r="D6891" t="s">
        <v>20</v>
      </c>
      <c r="E6891" t="s">
        <v>11</v>
      </c>
      <c r="F6891">
        <v>289.3</v>
      </c>
      <c r="G6891">
        <v>18</v>
      </c>
    </row>
    <row r="6892" spans="1:7" x14ac:dyDescent="0.25">
      <c r="A6892" t="s">
        <v>41</v>
      </c>
      <c r="B6892" t="s">
        <v>935</v>
      </c>
      <c r="C6892" t="s">
        <v>17759</v>
      </c>
      <c r="D6892" t="s">
        <v>20</v>
      </c>
      <c r="E6892" t="s">
        <v>11</v>
      </c>
      <c r="F6892">
        <v>61.60000000000001</v>
      </c>
      <c r="G6892">
        <v>18</v>
      </c>
    </row>
    <row r="6893" spans="1:7" x14ac:dyDescent="0.25">
      <c r="A6893" t="s">
        <v>41</v>
      </c>
      <c r="B6893" t="s">
        <v>938</v>
      </c>
      <c r="C6893" t="s">
        <v>17646</v>
      </c>
      <c r="D6893" t="s">
        <v>20</v>
      </c>
      <c r="E6893" t="s">
        <v>11</v>
      </c>
      <c r="F6893">
        <v>70.4</v>
      </c>
      <c r="G6893">
        <v>18</v>
      </c>
    </row>
    <row r="6894" spans="1:7" x14ac:dyDescent="0.25">
      <c r="A6894" t="s">
        <v>41</v>
      </c>
      <c r="B6894" t="s">
        <v>941</v>
      </c>
      <c r="C6894" t="s">
        <v>17760</v>
      </c>
      <c r="D6894" t="s">
        <v>20</v>
      </c>
      <c r="E6894" t="s">
        <v>11</v>
      </c>
      <c r="F6894">
        <v>28171.000000000004</v>
      </c>
      <c r="G6894">
        <v>18</v>
      </c>
    </row>
    <row r="6895" spans="1:7" x14ac:dyDescent="0.25">
      <c r="A6895" t="s">
        <v>41</v>
      </c>
      <c r="B6895" t="s">
        <v>944</v>
      </c>
      <c r="C6895" t="s">
        <v>17761</v>
      </c>
      <c r="D6895" t="s">
        <v>20</v>
      </c>
      <c r="E6895" t="s">
        <v>11</v>
      </c>
      <c r="F6895">
        <v>13227.5</v>
      </c>
      <c r="G6895">
        <v>18</v>
      </c>
    </row>
    <row r="6896" spans="1:7" x14ac:dyDescent="0.25">
      <c r="A6896" t="s">
        <v>41</v>
      </c>
      <c r="B6896" t="s">
        <v>947</v>
      </c>
      <c r="C6896" t="s">
        <v>17762</v>
      </c>
      <c r="D6896" t="s">
        <v>20</v>
      </c>
      <c r="E6896" t="s">
        <v>11</v>
      </c>
      <c r="F6896">
        <v>13051.5</v>
      </c>
      <c r="G6896">
        <v>18</v>
      </c>
    </row>
    <row r="6897" spans="1:7" x14ac:dyDescent="0.25">
      <c r="A6897" t="s">
        <v>41</v>
      </c>
      <c r="B6897" t="s">
        <v>950</v>
      </c>
      <c r="C6897" t="s">
        <v>17763</v>
      </c>
      <c r="D6897" t="s">
        <v>20</v>
      </c>
      <c r="E6897" t="s">
        <v>11</v>
      </c>
      <c r="F6897">
        <v>192.5</v>
      </c>
      <c r="G6897">
        <v>18</v>
      </c>
    </row>
    <row r="6898" spans="1:7" x14ac:dyDescent="0.25">
      <c r="A6898" t="s">
        <v>41</v>
      </c>
      <c r="B6898" t="s">
        <v>953</v>
      </c>
      <c r="C6898" t="s">
        <v>17764</v>
      </c>
      <c r="D6898" t="s">
        <v>20</v>
      </c>
      <c r="E6898" t="s">
        <v>11</v>
      </c>
      <c r="F6898">
        <v>347.6</v>
      </c>
      <c r="G6898">
        <v>18</v>
      </c>
    </row>
    <row r="6899" spans="1:7" x14ac:dyDescent="0.25">
      <c r="A6899" t="s">
        <v>41</v>
      </c>
      <c r="B6899" t="s">
        <v>956</v>
      </c>
      <c r="C6899" t="s">
        <v>17765</v>
      </c>
      <c r="D6899" t="s">
        <v>20</v>
      </c>
      <c r="E6899" t="s">
        <v>11</v>
      </c>
      <c r="F6899">
        <v>5505.5</v>
      </c>
      <c r="G6899">
        <v>18</v>
      </c>
    </row>
    <row r="6900" spans="1:7" x14ac:dyDescent="0.25">
      <c r="A6900" t="s">
        <v>41</v>
      </c>
      <c r="B6900" t="s">
        <v>959</v>
      </c>
      <c r="C6900" t="s">
        <v>17766</v>
      </c>
      <c r="D6900" t="s">
        <v>20</v>
      </c>
      <c r="E6900" t="s">
        <v>11</v>
      </c>
      <c r="F6900">
        <v>183.7</v>
      </c>
      <c r="G6900">
        <v>18</v>
      </c>
    </row>
    <row r="6901" spans="1:7" x14ac:dyDescent="0.25">
      <c r="A6901" t="s">
        <v>41</v>
      </c>
      <c r="B6901" t="s">
        <v>962</v>
      </c>
      <c r="C6901" t="s">
        <v>17767</v>
      </c>
      <c r="D6901" t="s">
        <v>20</v>
      </c>
      <c r="E6901" t="s">
        <v>11</v>
      </c>
      <c r="F6901">
        <v>61.60000000000001</v>
      </c>
      <c r="G6901">
        <v>18</v>
      </c>
    </row>
    <row r="6902" spans="1:7" x14ac:dyDescent="0.25">
      <c r="A6902" t="s">
        <v>41</v>
      </c>
      <c r="B6902" t="s">
        <v>965</v>
      </c>
      <c r="C6902" t="s">
        <v>17768</v>
      </c>
      <c r="D6902" t="s">
        <v>20</v>
      </c>
      <c r="E6902" t="s">
        <v>11</v>
      </c>
      <c r="F6902">
        <v>2608.1</v>
      </c>
      <c r="G6902">
        <v>18</v>
      </c>
    </row>
    <row r="6903" spans="1:7" x14ac:dyDescent="0.25">
      <c r="A6903" t="s">
        <v>41</v>
      </c>
      <c r="B6903" t="s">
        <v>968</v>
      </c>
      <c r="C6903" t="s">
        <v>17769</v>
      </c>
      <c r="D6903" t="s">
        <v>20</v>
      </c>
      <c r="E6903" t="s">
        <v>11</v>
      </c>
      <c r="F6903">
        <v>4051.2999999999997</v>
      </c>
      <c r="G6903">
        <v>18</v>
      </c>
    </row>
    <row r="6904" spans="1:7" x14ac:dyDescent="0.25">
      <c r="A6904" t="s">
        <v>41</v>
      </c>
      <c r="B6904" t="s">
        <v>971</v>
      </c>
      <c r="C6904" t="s">
        <v>17770</v>
      </c>
      <c r="D6904" t="s">
        <v>20</v>
      </c>
      <c r="E6904" t="s">
        <v>11</v>
      </c>
      <c r="F6904">
        <v>4051.2999999999997</v>
      </c>
      <c r="G6904">
        <v>18</v>
      </c>
    </row>
    <row r="6905" spans="1:7" x14ac:dyDescent="0.25">
      <c r="A6905" t="s">
        <v>41</v>
      </c>
      <c r="B6905" t="s">
        <v>974</v>
      </c>
      <c r="C6905" t="s">
        <v>17771</v>
      </c>
      <c r="D6905" t="s">
        <v>20</v>
      </c>
      <c r="E6905" t="s">
        <v>11</v>
      </c>
      <c r="F6905">
        <v>4051.2999999999997</v>
      </c>
      <c r="G6905">
        <v>18</v>
      </c>
    </row>
    <row r="6906" spans="1:7" x14ac:dyDescent="0.25">
      <c r="A6906" t="s">
        <v>41</v>
      </c>
      <c r="B6906" t="s">
        <v>977</v>
      </c>
      <c r="C6906" t="s">
        <v>17772</v>
      </c>
      <c r="D6906" t="s">
        <v>20</v>
      </c>
      <c r="E6906" t="s">
        <v>11</v>
      </c>
      <c r="F6906">
        <v>4051.2999999999997</v>
      </c>
      <c r="G6906">
        <v>18</v>
      </c>
    </row>
    <row r="6907" spans="1:7" x14ac:dyDescent="0.25">
      <c r="A6907" t="s">
        <v>41</v>
      </c>
      <c r="B6907" t="s">
        <v>980</v>
      </c>
      <c r="C6907" t="s">
        <v>17773</v>
      </c>
      <c r="D6907" t="s">
        <v>20</v>
      </c>
      <c r="E6907" t="s">
        <v>11</v>
      </c>
      <c r="F6907">
        <v>3472.7</v>
      </c>
      <c r="G6907">
        <v>18</v>
      </c>
    </row>
    <row r="6908" spans="1:7" x14ac:dyDescent="0.25">
      <c r="A6908" t="s">
        <v>41</v>
      </c>
      <c r="B6908" t="s">
        <v>983</v>
      </c>
      <c r="C6908" t="s">
        <v>17774</v>
      </c>
      <c r="D6908" t="s">
        <v>20</v>
      </c>
      <c r="E6908" t="s">
        <v>11</v>
      </c>
      <c r="F6908">
        <v>2379.2999999999997</v>
      </c>
      <c r="G6908">
        <v>18</v>
      </c>
    </row>
    <row r="6909" spans="1:7" x14ac:dyDescent="0.25">
      <c r="A6909" t="s">
        <v>41</v>
      </c>
      <c r="B6909" t="s">
        <v>986</v>
      </c>
      <c r="C6909" t="s">
        <v>17775</v>
      </c>
      <c r="D6909" t="s">
        <v>20</v>
      </c>
      <c r="E6909" t="s">
        <v>11</v>
      </c>
      <c r="F6909">
        <v>61.60000000000001</v>
      </c>
      <c r="G6909">
        <v>18</v>
      </c>
    </row>
    <row r="6910" spans="1:7" x14ac:dyDescent="0.25">
      <c r="A6910" t="s">
        <v>41</v>
      </c>
      <c r="B6910" t="s">
        <v>989</v>
      </c>
      <c r="C6910" t="s">
        <v>17776</v>
      </c>
      <c r="D6910" t="s">
        <v>20</v>
      </c>
      <c r="E6910" t="s">
        <v>11</v>
      </c>
      <c r="F6910">
        <v>1512.5</v>
      </c>
      <c r="G6910">
        <v>18</v>
      </c>
    </row>
    <row r="6911" spans="1:7" x14ac:dyDescent="0.25">
      <c r="A6911" t="s">
        <v>41</v>
      </c>
      <c r="B6911" t="s">
        <v>992</v>
      </c>
      <c r="C6911" t="s">
        <v>17777</v>
      </c>
      <c r="D6911" t="s">
        <v>20</v>
      </c>
      <c r="E6911" t="s">
        <v>11</v>
      </c>
      <c r="F6911">
        <v>14781.8</v>
      </c>
      <c r="G6911">
        <v>18</v>
      </c>
    </row>
    <row r="6912" spans="1:7" x14ac:dyDescent="0.25">
      <c r="A6912" t="s">
        <v>41</v>
      </c>
      <c r="B6912" t="s">
        <v>995</v>
      </c>
      <c r="C6912" t="s">
        <v>17656</v>
      </c>
      <c r="D6912" t="s">
        <v>20</v>
      </c>
      <c r="E6912" t="s">
        <v>11</v>
      </c>
      <c r="F6912">
        <v>58.300000000000004</v>
      </c>
      <c r="G6912">
        <v>18</v>
      </c>
    </row>
    <row r="6913" spans="1:7" x14ac:dyDescent="0.25">
      <c r="A6913" t="s">
        <v>41</v>
      </c>
      <c r="B6913" t="s">
        <v>998</v>
      </c>
      <c r="C6913" t="s">
        <v>17778</v>
      </c>
      <c r="D6913" t="s">
        <v>20</v>
      </c>
      <c r="E6913" t="s">
        <v>11</v>
      </c>
      <c r="F6913">
        <v>61.60000000000001</v>
      </c>
      <c r="G6913">
        <v>18</v>
      </c>
    </row>
    <row r="6914" spans="1:7" x14ac:dyDescent="0.25">
      <c r="A6914" t="s">
        <v>41</v>
      </c>
      <c r="B6914" t="s">
        <v>1001</v>
      </c>
      <c r="C6914" t="s">
        <v>17779</v>
      </c>
      <c r="D6914" t="s">
        <v>20</v>
      </c>
      <c r="E6914" t="s">
        <v>11</v>
      </c>
      <c r="F6914">
        <v>58.300000000000004</v>
      </c>
      <c r="G6914">
        <v>18</v>
      </c>
    </row>
    <row r="6915" spans="1:7" x14ac:dyDescent="0.25">
      <c r="A6915" t="s">
        <v>41</v>
      </c>
      <c r="B6915" t="s">
        <v>1004</v>
      </c>
      <c r="C6915" t="s">
        <v>17780</v>
      </c>
      <c r="D6915" t="s">
        <v>20</v>
      </c>
      <c r="E6915" t="s">
        <v>11</v>
      </c>
      <c r="F6915">
        <v>53560.100000000006</v>
      </c>
      <c r="G6915">
        <v>18</v>
      </c>
    </row>
    <row r="6916" spans="1:7" x14ac:dyDescent="0.25">
      <c r="A6916" t="s">
        <v>41</v>
      </c>
      <c r="B6916" t="s">
        <v>1007</v>
      </c>
      <c r="C6916" t="s">
        <v>17781</v>
      </c>
      <c r="D6916" t="s">
        <v>20</v>
      </c>
      <c r="E6916" t="s">
        <v>11</v>
      </c>
      <c r="F6916">
        <v>44468.6</v>
      </c>
      <c r="G6916">
        <v>18</v>
      </c>
    </row>
    <row r="6917" spans="1:7" x14ac:dyDescent="0.25">
      <c r="A6917" t="s">
        <v>41</v>
      </c>
      <c r="B6917" t="s">
        <v>1010</v>
      </c>
      <c r="C6917" t="s">
        <v>17782</v>
      </c>
      <c r="D6917" t="s">
        <v>20</v>
      </c>
      <c r="E6917" t="s">
        <v>11</v>
      </c>
      <c r="F6917">
        <v>11480.7</v>
      </c>
      <c r="G6917">
        <v>18</v>
      </c>
    </row>
    <row r="6918" spans="1:7" x14ac:dyDescent="0.25">
      <c r="A6918" t="s">
        <v>41</v>
      </c>
      <c r="B6918" t="s">
        <v>1013</v>
      </c>
      <c r="C6918" t="s">
        <v>17783</v>
      </c>
      <c r="D6918" t="s">
        <v>20</v>
      </c>
      <c r="E6918" t="s">
        <v>11</v>
      </c>
      <c r="F6918">
        <v>11480.7</v>
      </c>
      <c r="G6918">
        <v>18</v>
      </c>
    </row>
    <row r="6919" spans="1:7" x14ac:dyDescent="0.25">
      <c r="A6919" t="s">
        <v>41</v>
      </c>
      <c r="B6919" t="s">
        <v>1016</v>
      </c>
      <c r="C6919" t="s">
        <v>17784</v>
      </c>
      <c r="D6919" t="s">
        <v>20</v>
      </c>
      <c r="E6919" t="s">
        <v>11</v>
      </c>
      <c r="F6919">
        <v>1025.2</v>
      </c>
      <c r="G6919">
        <v>18</v>
      </c>
    </row>
    <row r="6920" spans="1:7" x14ac:dyDescent="0.25">
      <c r="A6920" t="s">
        <v>41</v>
      </c>
      <c r="B6920" t="s">
        <v>1019</v>
      </c>
      <c r="C6920" t="s">
        <v>17785</v>
      </c>
      <c r="D6920" t="s">
        <v>20</v>
      </c>
      <c r="E6920" t="s">
        <v>11</v>
      </c>
      <c r="F6920">
        <v>482.9</v>
      </c>
      <c r="G6920">
        <v>18</v>
      </c>
    </row>
    <row r="6921" spans="1:7" x14ac:dyDescent="0.25">
      <c r="A6921" t="s">
        <v>41</v>
      </c>
      <c r="B6921" t="s">
        <v>1022</v>
      </c>
      <c r="C6921" t="s">
        <v>17786</v>
      </c>
      <c r="D6921" t="s">
        <v>20</v>
      </c>
      <c r="E6921" t="s">
        <v>11</v>
      </c>
      <c r="F6921">
        <v>29222.600000000002</v>
      </c>
      <c r="G6921">
        <v>18</v>
      </c>
    </row>
    <row r="6922" spans="1:7" x14ac:dyDescent="0.25">
      <c r="A6922" t="s">
        <v>41</v>
      </c>
      <c r="B6922" t="s">
        <v>1025</v>
      </c>
      <c r="C6922" t="s">
        <v>17787</v>
      </c>
      <c r="D6922" t="s">
        <v>20</v>
      </c>
      <c r="E6922" t="s">
        <v>11</v>
      </c>
      <c r="F6922">
        <v>9185</v>
      </c>
      <c r="G6922">
        <v>18</v>
      </c>
    </row>
    <row r="6923" spans="1:7" x14ac:dyDescent="0.25">
      <c r="A6923" t="s">
        <v>41</v>
      </c>
      <c r="B6923" t="s">
        <v>1028</v>
      </c>
      <c r="C6923" t="s">
        <v>17788</v>
      </c>
      <c r="D6923" t="s">
        <v>20</v>
      </c>
      <c r="E6923" t="s">
        <v>11</v>
      </c>
      <c r="F6923">
        <v>378.4</v>
      </c>
      <c r="G6923">
        <v>18</v>
      </c>
    </row>
    <row r="6924" spans="1:7" x14ac:dyDescent="0.25">
      <c r="A6924" t="s">
        <v>41</v>
      </c>
      <c r="B6924" t="s">
        <v>1031</v>
      </c>
      <c r="C6924" t="s">
        <v>17789</v>
      </c>
      <c r="D6924" t="s">
        <v>20</v>
      </c>
      <c r="E6924" t="s">
        <v>11</v>
      </c>
      <c r="F6924">
        <v>4220.7</v>
      </c>
      <c r="G6924">
        <v>18</v>
      </c>
    </row>
    <row r="6925" spans="1:7" x14ac:dyDescent="0.25">
      <c r="A6925" t="s">
        <v>41</v>
      </c>
      <c r="B6925" t="s">
        <v>1034</v>
      </c>
      <c r="C6925" t="s">
        <v>17785</v>
      </c>
      <c r="D6925" t="s">
        <v>20</v>
      </c>
      <c r="E6925" t="s">
        <v>11</v>
      </c>
      <c r="F6925">
        <v>983.4</v>
      </c>
      <c r="G6925">
        <v>18</v>
      </c>
    </row>
    <row r="6926" spans="1:7" x14ac:dyDescent="0.25">
      <c r="A6926" t="s">
        <v>41</v>
      </c>
      <c r="B6926" t="s">
        <v>1037</v>
      </c>
      <c r="C6926" t="s">
        <v>17790</v>
      </c>
      <c r="D6926" t="s">
        <v>20</v>
      </c>
      <c r="E6926" t="s">
        <v>11</v>
      </c>
      <c r="F6926">
        <v>233.20000000000002</v>
      </c>
      <c r="G6926">
        <v>18</v>
      </c>
    </row>
    <row r="6927" spans="1:7" x14ac:dyDescent="0.25">
      <c r="A6927" t="s">
        <v>41</v>
      </c>
      <c r="B6927" t="s">
        <v>1040</v>
      </c>
      <c r="C6927" t="s">
        <v>17757</v>
      </c>
      <c r="D6927" t="s">
        <v>20</v>
      </c>
      <c r="E6927" t="s">
        <v>11</v>
      </c>
      <c r="F6927">
        <v>1856.8</v>
      </c>
      <c r="G6927">
        <v>18</v>
      </c>
    </row>
    <row r="6928" spans="1:7" x14ac:dyDescent="0.25">
      <c r="A6928" t="s">
        <v>41</v>
      </c>
      <c r="B6928" t="s">
        <v>1043</v>
      </c>
      <c r="C6928" t="s">
        <v>17778</v>
      </c>
      <c r="D6928" t="s">
        <v>20</v>
      </c>
      <c r="E6928" t="s">
        <v>11</v>
      </c>
      <c r="F6928">
        <v>61.60000000000001</v>
      </c>
      <c r="G6928">
        <v>18</v>
      </c>
    </row>
    <row r="6929" spans="1:7" x14ac:dyDescent="0.25">
      <c r="A6929" t="s">
        <v>41</v>
      </c>
      <c r="B6929" t="s">
        <v>1046</v>
      </c>
      <c r="C6929" t="s">
        <v>17791</v>
      </c>
      <c r="D6929" t="s">
        <v>20</v>
      </c>
      <c r="E6929" t="s">
        <v>11</v>
      </c>
      <c r="F6929">
        <v>11086.900000000001</v>
      </c>
      <c r="G6929">
        <v>18</v>
      </c>
    </row>
    <row r="6930" spans="1:7" x14ac:dyDescent="0.25">
      <c r="A6930" t="s">
        <v>41</v>
      </c>
      <c r="B6930" t="s">
        <v>1049</v>
      </c>
      <c r="C6930" t="s">
        <v>17792</v>
      </c>
      <c r="D6930" t="s">
        <v>20</v>
      </c>
      <c r="E6930" t="s">
        <v>11</v>
      </c>
      <c r="F6930">
        <v>179.29999999999998</v>
      </c>
      <c r="G6930">
        <v>18</v>
      </c>
    </row>
    <row r="6931" spans="1:7" x14ac:dyDescent="0.25">
      <c r="A6931" t="s">
        <v>41</v>
      </c>
      <c r="B6931" t="s">
        <v>1052</v>
      </c>
      <c r="C6931" t="s">
        <v>17793</v>
      </c>
      <c r="D6931" t="s">
        <v>20</v>
      </c>
      <c r="E6931" t="s">
        <v>11</v>
      </c>
      <c r="F6931">
        <v>70.4</v>
      </c>
      <c r="G6931">
        <v>18</v>
      </c>
    </row>
    <row r="6932" spans="1:7" x14ac:dyDescent="0.25">
      <c r="A6932" t="s">
        <v>41</v>
      </c>
      <c r="B6932" t="s">
        <v>1055</v>
      </c>
      <c r="C6932" t="s">
        <v>17794</v>
      </c>
      <c r="D6932" t="s">
        <v>20</v>
      </c>
      <c r="E6932" t="s">
        <v>11</v>
      </c>
      <c r="F6932">
        <v>9275.199999999999</v>
      </c>
      <c r="G6932">
        <v>18</v>
      </c>
    </row>
    <row r="6933" spans="1:7" x14ac:dyDescent="0.25">
      <c r="A6933" t="s">
        <v>41</v>
      </c>
      <c r="B6933" t="s">
        <v>1058</v>
      </c>
      <c r="C6933" t="s">
        <v>17795</v>
      </c>
      <c r="D6933" t="s">
        <v>20</v>
      </c>
      <c r="E6933" t="s">
        <v>11</v>
      </c>
      <c r="F6933">
        <v>9109.1</v>
      </c>
      <c r="G6933">
        <v>18</v>
      </c>
    </row>
    <row r="6934" spans="1:7" x14ac:dyDescent="0.25">
      <c r="A6934" t="s">
        <v>41</v>
      </c>
      <c r="B6934" t="s">
        <v>1061</v>
      </c>
      <c r="C6934" t="s">
        <v>17796</v>
      </c>
      <c r="D6934" t="s">
        <v>20</v>
      </c>
      <c r="E6934" t="s">
        <v>11</v>
      </c>
      <c r="F6934">
        <v>157.29999999999998</v>
      </c>
      <c r="G6934">
        <v>18</v>
      </c>
    </row>
    <row r="6935" spans="1:7" x14ac:dyDescent="0.25">
      <c r="A6935" t="s">
        <v>41</v>
      </c>
      <c r="B6935" t="s">
        <v>1064</v>
      </c>
      <c r="C6935" t="s">
        <v>17728</v>
      </c>
      <c r="D6935" t="s">
        <v>20</v>
      </c>
      <c r="E6935" t="s">
        <v>11</v>
      </c>
      <c r="F6935">
        <v>212.29999999999998</v>
      </c>
      <c r="G6935">
        <v>18</v>
      </c>
    </row>
    <row r="6936" spans="1:7" x14ac:dyDescent="0.25">
      <c r="A6936" t="s">
        <v>41</v>
      </c>
      <c r="B6936" t="s">
        <v>1067</v>
      </c>
      <c r="C6936" t="s">
        <v>17797</v>
      </c>
      <c r="D6936" t="s">
        <v>20</v>
      </c>
      <c r="E6936" t="s">
        <v>11</v>
      </c>
      <c r="F6936">
        <v>61.60000000000001</v>
      </c>
      <c r="G6936">
        <v>18</v>
      </c>
    </row>
    <row r="6937" spans="1:7" x14ac:dyDescent="0.25">
      <c r="A6937" t="s">
        <v>41</v>
      </c>
      <c r="B6937" t="s">
        <v>1070</v>
      </c>
      <c r="C6937" t="s">
        <v>17798</v>
      </c>
      <c r="D6937" t="s">
        <v>20</v>
      </c>
      <c r="E6937" t="s">
        <v>11</v>
      </c>
      <c r="F6937">
        <v>15818.000000000002</v>
      </c>
      <c r="G6937">
        <v>18</v>
      </c>
    </row>
    <row r="6938" spans="1:7" x14ac:dyDescent="0.25">
      <c r="A6938" t="s">
        <v>41</v>
      </c>
      <c r="B6938" t="s">
        <v>1073</v>
      </c>
      <c r="C6938" t="s">
        <v>17799</v>
      </c>
      <c r="D6938" t="s">
        <v>20</v>
      </c>
      <c r="E6938" t="s">
        <v>11</v>
      </c>
      <c r="F6938">
        <v>10473.099999999999</v>
      </c>
      <c r="G6938">
        <v>18</v>
      </c>
    </row>
    <row r="6939" spans="1:7" x14ac:dyDescent="0.25">
      <c r="A6939" t="s">
        <v>41</v>
      </c>
      <c r="B6939" t="s">
        <v>1076</v>
      </c>
      <c r="C6939" t="s">
        <v>17800</v>
      </c>
      <c r="D6939" t="s">
        <v>20</v>
      </c>
      <c r="E6939" t="s">
        <v>11</v>
      </c>
      <c r="F6939">
        <v>286</v>
      </c>
      <c r="G6939">
        <v>18</v>
      </c>
    </row>
    <row r="6940" spans="1:7" x14ac:dyDescent="0.25">
      <c r="A6940" t="s">
        <v>41</v>
      </c>
      <c r="B6940" t="s">
        <v>1079</v>
      </c>
      <c r="C6940" t="s">
        <v>17801</v>
      </c>
      <c r="D6940" t="s">
        <v>20</v>
      </c>
      <c r="E6940" t="s">
        <v>11</v>
      </c>
      <c r="F6940">
        <v>58.300000000000004</v>
      </c>
      <c r="G6940">
        <v>18</v>
      </c>
    </row>
    <row r="6941" spans="1:7" x14ac:dyDescent="0.25">
      <c r="A6941" t="s">
        <v>41</v>
      </c>
      <c r="B6941" t="s">
        <v>1082</v>
      </c>
      <c r="C6941" t="s">
        <v>17802</v>
      </c>
      <c r="D6941" t="s">
        <v>20</v>
      </c>
      <c r="E6941" t="s">
        <v>11</v>
      </c>
      <c r="F6941">
        <v>70.4</v>
      </c>
      <c r="G6941">
        <v>18</v>
      </c>
    </row>
    <row r="6942" spans="1:7" x14ac:dyDescent="0.25">
      <c r="A6942" t="s">
        <v>41</v>
      </c>
      <c r="B6942" t="s">
        <v>1085</v>
      </c>
      <c r="C6942" t="s">
        <v>17803</v>
      </c>
      <c r="D6942" t="s">
        <v>20</v>
      </c>
      <c r="E6942" t="s">
        <v>11</v>
      </c>
      <c r="F6942">
        <v>80175.7</v>
      </c>
      <c r="G6942">
        <v>18</v>
      </c>
    </row>
    <row r="6943" spans="1:7" x14ac:dyDescent="0.25">
      <c r="A6943" t="s">
        <v>41</v>
      </c>
      <c r="B6943" t="s">
        <v>1088</v>
      </c>
      <c r="C6943" t="s">
        <v>17804</v>
      </c>
      <c r="D6943" t="s">
        <v>20</v>
      </c>
      <c r="E6943" t="s">
        <v>11</v>
      </c>
      <c r="F6943">
        <v>80175.7</v>
      </c>
      <c r="G6943">
        <v>18</v>
      </c>
    </row>
    <row r="6944" spans="1:7" x14ac:dyDescent="0.25">
      <c r="A6944" t="s">
        <v>41</v>
      </c>
      <c r="B6944" t="s">
        <v>1091</v>
      </c>
      <c r="C6944" t="s">
        <v>17805</v>
      </c>
      <c r="D6944" t="s">
        <v>20</v>
      </c>
      <c r="E6944" t="s">
        <v>11</v>
      </c>
      <c r="F6944">
        <v>8336.900000000001</v>
      </c>
      <c r="G6944">
        <v>18</v>
      </c>
    </row>
    <row r="6945" spans="1:7" x14ac:dyDescent="0.25">
      <c r="A6945" t="s">
        <v>41</v>
      </c>
      <c r="B6945" t="s">
        <v>1094</v>
      </c>
      <c r="C6945" t="s">
        <v>17806</v>
      </c>
      <c r="D6945" t="s">
        <v>20</v>
      </c>
      <c r="E6945" t="s">
        <v>11</v>
      </c>
      <c r="F6945">
        <v>4594.700000000001</v>
      </c>
      <c r="G6945">
        <v>18</v>
      </c>
    </row>
    <row r="6946" spans="1:7" x14ac:dyDescent="0.25">
      <c r="A6946" t="s">
        <v>41</v>
      </c>
      <c r="B6946" t="s">
        <v>1097</v>
      </c>
      <c r="C6946" t="s">
        <v>17757</v>
      </c>
      <c r="D6946" t="s">
        <v>20</v>
      </c>
      <c r="E6946" t="s">
        <v>11</v>
      </c>
      <c r="F6946">
        <v>1856.8</v>
      </c>
      <c r="G6946">
        <v>18</v>
      </c>
    </row>
    <row r="6947" spans="1:7" x14ac:dyDescent="0.25">
      <c r="A6947" t="s">
        <v>41</v>
      </c>
      <c r="B6947" t="s">
        <v>1100</v>
      </c>
      <c r="C6947" t="s">
        <v>17645</v>
      </c>
      <c r="D6947" t="s">
        <v>20</v>
      </c>
      <c r="E6947" t="s">
        <v>11</v>
      </c>
      <c r="F6947">
        <v>167.2</v>
      </c>
      <c r="G6947">
        <v>18</v>
      </c>
    </row>
    <row r="6948" spans="1:7" x14ac:dyDescent="0.25">
      <c r="A6948" t="s">
        <v>41</v>
      </c>
      <c r="B6948" t="s">
        <v>1103</v>
      </c>
      <c r="C6948" t="s">
        <v>17807</v>
      </c>
      <c r="D6948" t="s">
        <v>20</v>
      </c>
      <c r="E6948" t="s">
        <v>11</v>
      </c>
      <c r="F6948">
        <v>70.4</v>
      </c>
      <c r="G6948">
        <v>18</v>
      </c>
    </row>
    <row r="6949" spans="1:7" x14ac:dyDescent="0.25">
      <c r="A6949" t="s">
        <v>41</v>
      </c>
      <c r="B6949" t="s">
        <v>1106</v>
      </c>
      <c r="C6949" t="s">
        <v>17808</v>
      </c>
      <c r="D6949" t="s">
        <v>20</v>
      </c>
      <c r="E6949" t="s">
        <v>11</v>
      </c>
      <c r="F6949">
        <v>70.4</v>
      </c>
      <c r="G6949">
        <v>18</v>
      </c>
    </row>
    <row r="6950" spans="1:7" x14ac:dyDescent="0.25">
      <c r="A6950" t="s">
        <v>41</v>
      </c>
      <c r="B6950" t="s">
        <v>1109</v>
      </c>
      <c r="C6950" t="s">
        <v>17809</v>
      </c>
      <c r="D6950" t="s">
        <v>20</v>
      </c>
      <c r="E6950" t="s">
        <v>11</v>
      </c>
      <c r="F6950">
        <v>140.8</v>
      </c>
      <c r="G6950">
        <v>18</v>
      </c>
    </row>
    <row r="6951" spans="1:7" x14ac:dyDescent="0.25">
      <c r="A6951" t="s">
        <v>41</v>
      </c>
      <c r="B6951" t="s">
        <v>1112</v>
      </c>
      <c r="C6951" t="s">
        <v>17810</v>
      </c>
      <c r="D6951" t="s">
        <v>20</v>
      </c>
      <c r="E6951" t="s">
        <v>11</v>
      </c>
      <c r="F6951">
        <v>7504.2</v>
      </c>
      <c r="G6951">
        <v>18</v>
      </c>
    </row>
    <row r="6952" spans="1:7" x14ac:dyDescent="0.25">
      <c r="A6952" t="s">
        <v>41</v>
      </c>
      <c r="B6952" t="s">
        <v>1115</v>
      </c>
      <c r="C6952" t="s">
        <v>17811</v>
      </c>
      <c r="D6952" t="s">
        <v>20</v>
      </c>
      <c r="E6952" t="s">
        <v>11</v>
      </c>
      <c r="F6952">
        <v>4594.700000000001</v>
      </c>
      <c r="G6952">
        <v>18</v>
      </c>
    </row>
    <row r="6953" spans="1:7" x14ac:dyDescent="0.25">
      <c r="A6953" t="s">
        <v>41</v>
      </c>
      <c r="B6953" t="s">
        <v>1118</v>
      </c>
      <c r="C6953" t="s">
        <v>17812</v>
      </c>
      <c r="D6953" t="s">
        <v>20</v>
      </c>
      <c r="E6953" t="s">
        <v>11</v>
      </c>
      <c r="F6953">
        <v>70.4</v>
      </c>
      <c r="G6953">
        <v>18</v>
      </c>
    </row>
    <row r="6954" spans="1:7" x14ac:dyDescent="0.25">
      <c r="A6954" t="s">
        <v>41</v>
      </c>
      <c r="B6954" t="s">
        <v>1121</v>
      </c>
      <c r="C6954" t="s">
        <v>17757</v>
      </c>
      <c r="D6954" t="s">
        <v>20</v>
      </c>
      <c r="E6954" t="s">
        <v>11</v>
      </c>
      <c r="F6954">
        <v>1856.8</v>
      </c>
      <c r="G6954">
        <v>18</v>
      </c>
    </row>
    <row r="6955" spans="1:7" x14ac:dyDescent="0.25">
      <c r="A6955" t="s">
        <v>41</v>
      </c>
      <c r="B6955" t="s">
        <v>1124</v>
      </c>
      <c r="C6955" t="s">
        <v>17663</v>
      </c>
      <c r="D6955" t="s">
        <v>20</v>
      </c>
      <c r="E6955" t="s">
        <v>11</v>
      </c>
      <c r="F6955">
        <v>178.20000000000002</v>
      </c>
      <c r="G6955">
        <v>18</v>
      </c>
    </row>
    <row r="6956" spans="1:7" x14ac:dyDescent="0.25">
      <c r="A6956" t="s">
        <v>41</v>
      </c>
      <c r="B6956" t="s">
        <v>1127</v>
      </c>
      <c r="C6956" t="s">
        <v>17813</v>
      </c>
      <c r="D6956" t="s">
        <v>20</v>
      </c>
      <c r="E6956" t="s">
        <v>11</v>
      </c>
      <c r="F6956">
        <v>58.300000000000004</v>
      </c>
      <c r="G6956">
        <v>18</v>
      </c>
    </row>
    <row r="6957" spans="1:7" x14ac:dyDescent="0.25">
      <c r="A6957" t="s">
        <v>41</v>
      </c>
      <c r="B6957" t="s">
        <v>1130</v>
      </c>
      <c r="C6957" t="s">
        <v>17814</v>
      </c>
      <c r="D6957" t="s">
        <v>20</v>
      </c>
      <c r="E6957" t="s">
        <v>11</v>
      </c>
      <c r="F6957">
        <v>585.2</v>
      </c>
      <c r="G6957">
        <v>18</v>
      </c>
    </row>
    <row r="6958" spans="1:7" x14ac:dyDescent="0.25">
      <c r="A6958" t="s">
        <v>41</v>
      </c>
      <c r="B6958" t="s">
        <v>1133</v>
      </c>
      <c r="C6958" t="s">
        <v>17815</v>
      </c>
      <c r="D6958" t="s">
        <v>20</v>
      </c>
      <c r="E6958" t="s">
        <v>11</v>
      </c>
      <c r="F6958">
        <v>264</v>
      </c>
      <c r="G6958">
        <v>18</v>
      </c>
    </row>
    <row r="6959" spans="1:7" x14ac:dyDescent="0.25">
      <c r="A6959" t="s">
        <v>41</v>
      </c>
      <c r="B6959" t="s">
        <v>1136</v>
      </c>
      <c r="C6959" t="s">
        <v>17816</v>
      </c>
      <c r="D6959" t="s">
        <v>20</v>
      </c>
      <c r="E6959" t="s">
        <v>11</v>
      </c>
      <c r="F6959">
        <v>118.80000000000001</v>
      </c>
      <c r="G6959">
        <v>18</v>
      </c>
    </row>
    <row r="6960" spans="1:7" x14ac:dyDescent="0.25">
      <c r="A6960" t="s">
        <v>41</v>
      </c>
      <c r="B6960" t="s">
        <v>1139</v>
      </c>
      <c r="C6960" t="s">
        <v>17656</v>
      </c>
      <c r="D6960" t="s">
        <v>20</v>
      </c>
      <c r="E6960" t="s">
        <v>11</v>
      </c>
      <c r="F6960">
        <v>58.300000000000004</v>
      </c>
      <c r="G6960">
        <v>18</v>
      </c>
    </row>
    <row r="6961" spans="1:7" x14ac:dyDescent="0.25">
      <c r="A6961" t="s">
        <v>41</v>
      </c>
      <c r="B6961" t="s">
        <v>1142</v>
      </c>
      <c r="C6961" t="s">
        <v>17817</v>
      </c>
      <c r="D6961" t="s">
        <v>20</v>
      </c>
      <c r="E6961" t="s">
        <v>11</v>
      </c>
      <c r="F6961">
        <v>682</v>
      </c>
      <c r="G6961">
        <v>18</v>
      </c>
    </row>
    <row r="6962" spans="1:7" x14ac:dyDescent="0.25">
      <c r="A6962" t="s">
        <v>41</v>
      </c>
      <c r="B6962" t="s">
        <v>1145</v>
      </c>
      <c r="C6962" t="s">
        <v>17646</v>
      </c>
      <c r="D6962" t="s">
        <v>20</v>
      </c>
      <c r="E6962" t="s">
        <v>11</v>
      </c>
      <c r="F6962">
        <v>70.4</v>
      </c>
      <c r="G6962">
        <v>18</v>
      </c>
    </row>
    <row r="6963" spans="1:7" x14ac:dyDescent="0.25">
      <c r="A6963" t="s">
        <v>41</v>
      </c>
      <c r="B6963" t="s">
        <v>1148</v>
      </c>
      <c r="C6963" t="s">
        <v>17818</v>
      </c>
      <c r="D6963" t="s">
        <v>20</v>
      </c>
      <c r="E6963" t="s">
        <v>11</v>
      </c>
      <c r="F6963">
        <v>70.4</v>
      </c>
      <c r="G6963">
        <v>18</v>
      </c>
    </row>
    <row r="6964" spans="1:7" x14ac:dyDescent="0.25">
      <c r="A6964" t="s">
        <v>41</v>
      </c>
      <c r="B6964" t="s">
        <v>1151</v>
      </c>
      <c r="C6964" t="s">
        <v>17736</v>
      </c>
      <c r="D6964" t="s">
        <v>20</v>
      </c>
      <c r="E6964" t="s">
        <v>11</v>
      </c>
      <c r="F6964">
        <v>57.2</v>
      </c>
      <c r="G6964">
        <v>18</v>
      </c>
    </row>
    <row r="6965" spans="1:7" x14ac:dyDescent="0.25">
      <c r="A6965" t="s">
        <v>41</v>
      </c>
      <c r="B6965" t="s">
        <v>1154</v>
      </c>
      <c r="C6965" t="s">
        <v>17819</v>
      </c>
      <c r="D6965" t="s">
        <v>20</v>
      </c>
      <c r="E6965" t="s">
        <v>11</v>
      </c>
      <c r="F6965">
        <v>79.2</v>
      </c>
      <c r="G6965">
        <v>18</v>
      </c>
    </row>
    <row r="6966" spans="1:7" x14ac:dyDescent="0.25">
      <c r="A6966" t="s">
        <v>41</v>
      </c>
      <c r="B6966" t="s">
        <v>1157</v>
      </c>
      <c r="C6966" t="s">
        <v>17820</v>
      </c>
      <c r="D6966" t="s">
        <v>20</v>
      </c>
      <c r="E6966" t="s">
        <v>11</v>
      </c>
      <c r="F6966">
        <v>57.2</v>
      </c>
      <c r="G6966">
        <v>18</v>
      </c>
    </row>
    <row r="6967" spans="1:7" x14ac:dyDescent="0.25">
      <c r="A6967" t="s">
        <v>41</v>
      </c>
      <c r="B6967" t="s">
        <v>1160</v>
      </c>
      <c r="C6967" t="s">
        <v>17821</v>
      </c>
      <c r="D6967" t="s">
        <v>20</v>
      </c>
      <c r="E6967" t="s">
        <v>11</v>
      </c>
      <c r="F6967">
        <v>15818.000000000002</v>
      </c>
      <c r="G6967">
        <v>18</v>
      </c>
    </row>
    <row r="6968" spans="1:7" x14ac:dyDescent="0.25">
      <c r="A6968" t="s">
        <v>41</v>
      </c>
      <c r="B6968" t="s">
        <v>1163</v>
      </c>
      <c r="C6968" t="s">
        <v>17822</v>
      </c>
      <c r="D6968" t="s">
        <v>20</v>
      </c>
      <c r="E6968" t="s">
        <v>11</v>
      </c>
      <c r="F6968">
        <v>1948.1000000000001</v>
      </c>
      <c r="G6968">
        <v>18</v>
      </c>
    </row>
    <row r="6969" spans="1:7" x14ac:dyDescent="0.25">
      <c r="A6969" t="s">
        <v>41</v>
      </c>
      <c r="B6969" t="s">
        <v>1166</v>
      </c>
      <c r="C6969" t="s">
        <v>17823</v>
      </c>
      <c r="D6969" t="s">
        <v>20</v>
      </c>
      <c r="E6969" t="s">
        <v>11</v>
      </c>
      <c r="F6969">
        <v>10267.4</v>
      </c>
      <c r="G6969">
        <v>18</v>
      </c>
    </row>
    <row r="6970" spans="1:7" x14ac:dyDescent="0.25">
      <c r="A6970" t="s">
        <v>41</v>
      </c>
      <c r="B6970" t="s">
        <v>1168</v>
      </c>
      <c r="C6970" t="s">
        <v>17733</v>
      </c>
      <c r="D6970" t="s">
        <v>20</v>
      </c>
      <c r="E6970" t="s">
        <v>11</v>
      </c>
      <c r="F6970">
        <v>585.2</v>
      </c>
      <c r="G6970">
        <v>18</v>
      </c>
    </row>
    <row r="6971" spans="1:7" x14ac:dyDescent="0.25">
      <c r="A6971" t="s">
        <v>41</v>
      </c>
      <c r="B6971" t="s">
        <v>1170</v>
      </c>
      <c r="C6971" t="s">
        <v>17824</v>
      </c>
      <c r="D6971" t="s">
        <v>20</v>
      </c>
      <c r="E6971" t="s">
        <v>11</v>
      </c>
      <c r="F6971">
        <v>45378.299999999996</v>
      </c>
      <c r="G6971">
        <v>18</v>
      </c>
    </row>
    <row r="6972" spans="1:7" x14ac:dyDescent="0.25">
      <c r="A6972" t="s">
        <v>41</v>
      </c>
      <c r="B6972" t="s">
        <v>1173</v>
      </c>
      <c r="C6972" t="s">
        <v>17825</v>
      </c>
      <c r="D6972" t="s">
        <v>20</v>
      </c>
      <c r="E6972" t="s">
        <v>11</v>
      </c>
      <c r="F6972">
        <v>45378.299999999996</v>
      </c>
      <c r="G6972">
        <v>18</v>
      </c>
    </row>
    <row r="6973" spans="1:7" x14ac:dyDescent="0.25">
      <c r="A6973" t="s">
        <v>41</v>
      </c>
      <c r="B6973" t="s">
        <v>1176</v>
      </c>
      <c r="C6973" t="s">
        <v>17660</v>
      </c>
      <c r="D6973" t="s">
        <v>20</v>
      </c>
      <c r="E6973" t="s">
        <v>11</v>
      </c>
      <c r="F6973">
        <v>10868</v>
      </c>
      <c r="G6973">
        <v>18</v>
      </c>
    </row>
    <row r="6974" spans="1:7" x14ac:dyDescent="0.25">
      <c r="A6974" t="s">
        <v>41</v>
      </c>
      <c r="B6974" t="s">
        <v>1179</v>
      </c>
      <c r="C6974" t="s">
        <v>17826</v>
      </c>
      <c r="D6974" t="s">
        <v>20</v>
      </c>
      <c r="E6974" t="s">
        <v>11</v>
      </c>
      <c r="F6974">
        <v>45378.299999999996</v>
      </c>
      <c r="G6974">
        <v>18</v>
      </c>
    </row>
    <row r="6975" spans="1:7" x14ac:dyDescent="0.25">
      <c r="A6975" t="s">
        <v>41</v>
      </c>
      <c r="B6975" t="s">
        <v>1182</v>
      </c>
      <c r="C6975" t="s">
        <v>17827</v>
      </c>
      <c r="D6975" t="s">
        <v>20</v>
      </c>
      <c r="E6975" t="s">
        <v>11</v>
      </c>
      <c r="F6975">
        <v>11190.300000000001</v>
      </c>
      <c r="G6975">
        <v>18</v>
      </c>
    </row>
    <row r="6976" spans="1:7" x14ac:dyDescent="0.25">
      <c r="A6976" t="s">
        <v>41</v>
      </c>
      <c r="B6976" t="s">
        <v>1185</v>
      </c>
      <c r="C6976" t="s">
        <v>17717</v>
      </c>
      <c r="D6976" t="s">
        <v>20</v>
      </c>
      <c r="E6976" t="s">
        <v>11</v>
      </c>
      <c r="F6976">
        <v>80175.7</v>
      </c>
      <c r="G6976">
        <v>18</v>
      </c>
    </row>
    <row r="6977" spans="1:7" x14ac:dyDescent="0.25">
      <c r="A6977" t="s">
        <v>41</v>
      </c>
      <c r="B6977" t="s">
        <v>1188</v>
      </c>
      <c r="C6977" t="s">
        <v>17828</v>
      </c>
      <c r="D6977" t="s">
        <v>20</v>
      </c>
      <c r="E6977" t="s">
        <v>11</v>
      </c>
      <c r="F6977">
        <v>15782.8</v>
      </c>
      <c r="G6977">
        <v>18</v>
      </c>
    </row>
    <row r="6978" spans="1:7" x14ac:dyDescent="0.25">
      <c r="A6978" t="s">
        <v>41</v>
      </c>
      <c r="B6978" t="s">
        <v>1191</v>
      </c>
      <c r="C6978" t="s">
        <v>17829</v>
      </c>
      <c r="D6978" t="s">
        <v>20</v>
      </c>
      <c r="E6978" t="s">
        <v>11</v>
      </c>
      <c r="F6978">
        <v>15486.9</v>
      </c>
      <c r="G6978">
        <v>18</v>
      </c>
    </row>
    <row r="6979" spans="1:7" x14ac:dyDescent="0.25">
      <c r="A6979" t="s">
        <v>41</v>
      </c>
      <c r="B6979" t="s">
        <v>1194</v>
      </c>
      <c r="C6979" t="s">
        <v>17830</v>
      </c>
      <c r="D6979" t="s">
        <v>20</v>
      </c>
      <c r="E6979" t="s">
        <v>11</v>
      </c>
      <c r="F6979">
        <v>16545.1</v>
      </c>
      <c r="G6979">
        <v>18</v>
      </c>
    </row>
    <row r="6980" spans="1:7" x14ac:dyDescent="0.25">
      <c r="A6980" t="s">
        <v>41</v>
      </c>
      <c r="B6980" t="s">
        <v>1197</v>
      </c>
      <c r="C6980" t="s">
        <v>17831</v>
      </c>
      <c r="D6980" t="s">
        <v>20</v>
      </c>
      <c r="E6980" t="s">
        <v>11</v>
      </c>
      <c r="F6980">
        <v>229.89999999999998</v>
      </c>
      <c r="G6980">
        <v>18</v>
      </c>
    </row>
    <row r="6981" spans="1:7" x14ac:dyDescent="0.25">
      <c r="A6981" t="s">
        <v>41</v>
      </c>
      <c r="B6981" t="s">
        <v>1200</v>
      </c>
      <c r="C6981" t="s">
        <v>17832</v>
      </c>
      <c r="D6981" t="s">
        <v>20</v>
      </c>
      <c r="E6981" t="s">
        <v>11</v>
      </c>
      <c r="F6981">
        <v>30.800000000000004</v>
      </c>
      <c r="G6981">
        <v>18</v>
      </c>
    </row>
    <row r="6982" spans="1:7" x14ac:dyDescent="0.25">
      <c r="A6982" t="s">
        <v>41</v>
      </c>
      <c r="B6982" t="s">
        <v>1203</v>
      </c>
      <c r="C6982" t="s">
        <v>17833</v>
      </c>
      <c r="D6982" t="s">
        <v>20</v>
      </c>
      <c r="E6982" t="s">
        <v>11</v>
      </c>
      <c r="F6982">
        <v>4437.400000000001</v>
      </c>
      <c r="G6982">
        <v>18</v>
      </c>
    </row>
    <row r="6983" spans="1:7" x14ac:dyDescent="0.25">
      <c r="A6983" t="s">
        <v>41</v>
      </c>
      <c r="B6983" t="s">
        <v>1206</v>
      </c>
      <c r="C6983" t="s">
        <v>17834</v>
      </c>
      <c r="D6983" t="s">
        <v>20</v>
      </c>
      <c r="E6983" t="s">
        <v>11</v>
      </c>
      <c r="F6983">
        <v>4570.5</v>
      </c>
      <c r="G6983">
        <v>18</v>
      </c>
    </row>
    <row r="6984" spans="1:7" x14ac:dyDescent="0.25">
      <c r="A6984" t="s">
        <v>41</v>
      </c>
      <c r="B6984" t="s">
        <v>1209</v>
      </c>
      <c r="C6984" t="s">
        <v>17835</v>
      </c>
      <c r="D6984" t="s">
        <v>20</v>
      </c>
      <c r="E6984" t="s">
        <v>11</v>
      </c>
      <c r="F6984">
        <v>58.300000000000004</v>
      </c>
      <c r="G6984">
        <v>18</v>
      </c>
    </row>
    <row r="6985" spans="1:7" x14ac:dyDescent="0.25">
      <c r="A6985" t="s">
        <v>41</v>
      </c>
      <c r="B6985" t="s">
        <v>1212</v>
      </c>
      <c r="C6985" t="s">
        <v>17836</v>
      </c>
      <c r="D6985" t="s">
        <v>20</v>
      </c>
      <c r="E6985" t="s">
        <v>11</v>
      </c>
      <c r="F6985">
        <v>2098.7999999999997</v>
      </c>
      <c r="G6985">
        <v>18</v>
      </c>
    </row>
    <row r="6986" spans="1:7" x14ac:dyDescent="0.25">
      <c r="A6986" t="s">
        <v>41</v>
      </c>
      <c r="B6986" t="s">
        <v>1215</v>
      </c>
      <c r="C6986" t="s">
        <v>17544</v>
      </c>
      <c r="D6986" t="s">
        <v>20</v>
      </c>
      <c r="E6986" t="s">
        <v>11</v>
      </c>
      <c r="F6986">
        <v>2098.7999999999997</v>
      </c>
      <c r="G6986">
        <v>18</v>
      </c>
    </row>
    <row r="6987" spans="1:7" x14ac:dyDescent="0.25">
      <c r="A6987" t="s">
        <v>41</v>
      </c>
      <c r="B6987" t="s">
        <v>1218</v>
      </c>
      <c r="C6987" t="s">
        <v>17837</v>
      </c>
      <c r="D6987" t="s">
        <v>20</v>
      </c>
      <c r="E6987" t="s">
        <v>11</v>
      </c>
      <c r="F6987">
        <v>564.3</v>
      </c>
      <c r="G6987">
        <v>18</v>
      </c>
    </row>
    <row r="6988" spans="1:7" x14ac:dyDescent="0.25">
      <c r="A6988" t="s">
        <v>41</v>
      </c>
      <c r="B6988" t="s">
        <v>1221</v>
      </c>
      <c r="C6988" t="s">
        <v>17835</v>
      </c>
      <c r="D6988" t="s">
        <v>20</v>
      </c>
      <c r="E6988" t="s">
        <v>11</v>
      </c>
      <c r="F6988">
        <v>58.300000000000004</v>
      </c>
      <c r="G6988">
        <v>18</v>
      </c>
    </row>
    <row r="6989" spans="1:7" x14ac:dyDescent="0.25">
      <c r="A6989" t="s">
        <v>41</v>
      </c>
      <c r="B6989" t="s">
        <v>1224</v>
      </c>
      <c r="C6989" t="s">
        <v>17838</v>
      </c>
      <c r="D6989" t="s">
        <v>20</v>
      </c>
      <c r="E6989" t="s">
        <v>11</v>
      </c>
      <c r="F6989">
        <v>40.7</v>
      </c>
      <c r="G6989">
        <v>18</v>
      </c>
    </row>
    <row r="6990" spans="1:7" x14ac:dyDescent="0.25">
      <c r="A6990" t="s">
        <v>41</v>
      </c>
      <c r="B6990" t="s">
        <v>1226</v>
      </c>
      <c r="C6990" t="s">
        <v>17839</v>
      </c>
      <c r="D6990" t="s">
        <v>20</v>
      </c>
      <c r="E6990" t="s">
        <v>11</v>
      </c>
      <c r="F6990">
        <v>2631.2000000000003</v>
      </c>
      <c r="G6990">
        <v>18</v>
      </c>
    </row>
    <row r="6991" spans="1:7" x14ac:dyDescent="0.25">
      <c r="A6991" t="s">
        <v>41</v>
      </c>
      <c r="B6991" t="s">
        <v>1229</v>
      </c>
      <c r="C6991" t="s">
        <v>17840</v>
      </c>
      <c r="D6991" t="s">
        <v>20</v>
      </c>
      <c r="E6991" t="s">
        <v>11</v>
      </c>
      <c r="F6991">
        <v>1026.3</v>
      </c>
      <c r="G6991">
        <v>18</v>
      </c>
    </row>
    <row r="6992" spans="1:7" x14ac:dyDescent="0.25">
      <c r="A6992" t="s">
        <v>41</v>
      </c>
      <c r="B6992" t="s">
        <v>1232</v>
      </c>
      <c r="C6992" t="s">
        <v>17841</v>
      </c>
      <c r="D6992" t="s">
        <v>20</v>
      </c>
      <c r="E6992" t="s">
        <v>11</v>
      </c>
      <c r="F6992">
        <v>2054.8</v>
      </c>
      <c r="G6992">
        <v>18</v>
      </c>
    </row>
    <row r="6993" spans="1:7" x14ac:dyDescent="0.25">
      <c r="A6993" t="s">
        <v>41</v>
      </c>
      <c r="B6993" t="s">
        <v>1235</v>
      </c>
      <c r="C6993" t="s">
        <v>17552</v>
      </c>
      <c r="D6993" t="s">
        <v>20</v>
      </c>
      <c r="E6993" t="s">
        <v>11</v>
      </c>
      <c r="F6993">
        <v>2054.8</v>
      </c>
      <c r="G6993">
        <v>18</v>
      </c>
    </row>
    <row r="6994" spans="1:7" x14ac:dyDescent="0.25">
      <c r="A6994" t="s">
        <v>41</v>
      </c>
      <c r="B6994" t="s">
        <v>1238</v>
      </c>
      <c r="C6994" t="s">
        <v>17680</v>
      </c>
      <c r="D6994" t="s">
        <v>20</v>
      </c>
      <c r="E6994" t="s">
        <v>11</v>
      </c>
      <c r="F6994">
        <v>2599.2999999999997</v>
      </c>
      <c r="G6994">
        <v>18</v>
      </c>
    </row>
    <row r="6995" spans="1:7" x14ac:dyDescent="0.25">
      <c r="A6995" t="s">
        <v>41</v>
      </c>
      <c r="B6995" t="s">
        <v>1241</v>
      </c>
      <c r="C6995" t="s">
        <v>17545</v>
      </c>
      <c r="D6995" t="s">
        <v>20</v>
      </c>
      <c r="E6995" t="s">
        <v>11</v>
      </c>
      <c r="F6995">
        <v>2516.7999999999997</v>
      </c>
      <c r="G6995">
        <v>18</v>
      </c>
    </row>
    <row r="6996" spans="1:7" x14ac:dyDescent="0.25">
      <c r="A6996" t="s">
        <v>41</v>
      </c>
      <c r="B6996" t="s">
        <v>1244</v>
      </c>
      <c r="C6996" t="s">
        <v>17841</v>
      </c>
      <c r="D6996" t="s">
        <v>20</v>
      </c>
      <c r="E6996" t="s">
        <v>11</v>
      </c>
      <c r="F6996">
        <v>2054.8</v>
      </c>
      <c r="G6996">
        <v>18</v>
      </c>
    </row>
    <row r="6997" spans="1:7" x14ac:dyDescent="0.25">
      <c r="A6997" t="s">
        <v>41</v>
      </c>
      <c r="B6997" t="s">
        <v>1247</v>
      </c>
      <c r="C6997" t="s">
        <v>17677</v>
      </c>
      <c r="D6997" t="s">
        <v>20</v>
      </c>
      <c r="E6997" t="s">
        <v>11</v>
      </c>
      <c r="F6997">
        <v>67.1</v>
      </c>
      <c r="G6997">
        <v>18</v>
      </c>
    </row>
    <row r="6998" spans="1:7" x14ac:dyDescent="0.25">
      <c r="A6998" t="s">
        <v>41</v>
      </c>
      <c r="B6998" t="s">
        <v>1250</v>
      </c>
      <c r="C6998" t="s">
        <v>17842</v>
      </c>
      <c r="D6998" t="s">
        <v>20</v>
      </c>
      <c r="E6998" t="s">
        <v>11</v>
      </c>
      <c r="F6998">
        <v>958.1000000000001</v>
      </c>
      <c r="G6998">
        <v>18</v>
      </c>
    </row>
    <row r="6999" spans="1:7" x14ac:dyDescent="0.25">
      <c r="A6999" t="s">
        <v>41</v>
      </c>
      <c r="B6999" t="s">
        <v>1253</v>
      </c>
      <c r="C6999" t="s">
        <v>17843</v>
      </c>
      <c r="D6999" t="s">
        <v>20</v>
      </c>
      <c r="E6999" t="s">
        <v>11</v>
      </c>
      <c r="F6999">
        <v>58.300000000000004</v>
      </c>
      <c r="G6999">
        <v>18</v>
      </c>
    </row>
    <row r="7000" spans="1:7" x14ac:dyDescent="0.25">
      <c r="A7000" t="s">
        <v>41</v>
      </c>
      <c r="B7000" t="s">
        <v>1256</v>
      </c>
      <c r="C7000" t="s">
        <v>17844</v>
      </c>
      <c r="D7000" t="s">
        <v>20</v>
      </c>
      <c r="E7000" t="s">
        <v>11</v>
      </c>
      <c r="F7000">
        <v>58.300000000000004</v>
      </c>
      <c r="G7000">
        <v>18</v>
      </c>
    </row>
    <row r="7001" spans="1:7" x14ac:dyDescent="0.25">
      <c r="A7001" t="s">
        <v>41</v>
      </c>
      <c r="B7001" t="s">
        <v>1259</v>
      </c>
      <c r="C7001" t="s">
        <v>17845</v>
      </c>
      <c r="D7001" t="s">
        <v>20</v>
      </c>
      <c r="E7001" t="s">
        <v>11</v>
      </c>
      <c r="F7001">
        <v>58.300000000000004</v>
      </c>
      <c r="G7001">
        <v>18</v>
      </c>
    </row>
    <row r="7002" spans="1:7" x14ac:dyDescent="0.25">
      <c r="A7002" t="s">
        <v>41</v>
      </c>
      <c r="B7002" t="s">
        <v>1262</v>
      </c>
      <c r="C7002" t="s">
        <v>17846</v>
      </c>
      <c r="D7002" t="s">
        <v>20</v>
      </c>
      <c r="E7002" t="s">
        <v>11</v>
      </c>
      <c r="F7002">
        <v>546.6999999999999</v>
      </c>
      <c r="G7002">
        <v>18</v>
      </c>
    </row>
    <row r="7003" spans="1:7" x14ac:dyDescent="0.25">
      <c r="A7003" t="s">
        <v>41</v>
      </c>
      <c r="B7003" t="s">
        <v>1265</v>
      </c>
      <c r="C7003" t="s">
        <v>17847</v>
      </c>
      <c r="D7003" t="s">
        <v>20</v>
      </c>
      <c r="E7003" t="s">
        <v>11</v>
      </c>
      <c r="F7003">
        <v>70.4</v>
      </c>
      <c r="G7003">
        <v>18</v>
      </c>
    </row>
    <row r="7004" spans="1:7" x14ac:dyDescent="0.25">
      <c r="A7004" t="s">
        <v>41</v>
      </c>
      <c r="B7004" t="s">
        <v>1268</v>
      </c>
      <c r="C7004" t="s">
        <v>17848</v>
      </c>
      <c r="D7004" t="s">
        <v>20</v>
      </c>
      <c r="E7004" t="s">
        <v>11</v>
      </c>
      <c r="F7004">
        <v>58.300000000000004</v>
      </c>
      <c r="G7004">
        <v>18</v>
      </c>
    </row>
    <row r="7005" spans="1:7" x14ac:dyDescent="0.25">
      <c r="A7005" t="s">
        <v>41</v>
      </c>
      <c r="B7005" t="s">
        <v>1271</v>
      </c>
      <c r="C7005" t="s">
        <v>17849</v>
      </c>
      <c r="D7005" t="s">
        <v>20</v>
      </c>
      <c r="E7005" t="s">
        <v>11</v>
      </c>
      <c r="F7005">
        <v>1642.3</v>
      </c>
      <c r="G7005">
        <v>18</v>
      </c>
    </row>
    <row r="7006" spans="1:7" x14ac:dyDescent="0.25">
      <c r="A7006" t="s">
        <v>41</v>
      </c>
      <c r="B7006" t="s">
        <v>1274</v>
      </c>
      <c r="C7006" t="s">
        <v>17548</v>
      </c>
      <c r="D7006" t="s">
        <v>20</v>
      </c>
      <c r="E7006" t="s">
        <v>11</v>
      </c>
      <c r="F7006">
        <v>4570.5</v>
      </c>
      <c r="G7006">
        <v>18</v>
      </c>
    </row>
    <row r="7007" spans="1:7" x14ac:dyDescent="0.25">
      <c r="A7007" t="s">
        <v>41</v>
      </c>
      <c r="B7007" t="s">
        <v>1277</v>
      </c>
      <c r="C7007" t="s">
        <v>17850</v>
      </c>
      <c r="D7007" t="s">
        <v>20</v>
      </c>
      <c r="E7007" t="s">
        <v>11</v>
      </c>
      <c r="F7007">
        <v>3526.6000000000004</v>
      </c>
      <c r="G7007">
        <v>18</v>
      </c>
    </row>
    <row r="7008" spans="1:7" x14ac:dyDescent="0.25">
      <c r="A7008" t="s">
        <v>41</v>
      </c>
      <c r="B7008" t="s">
        <v>1280</v>
      </c>
      <c r="C7008" t="s">
        <v>17851</v>
      </c>
      <c r="D7008" t="s">
        <v>20</v>
      </c>
      <c r="E7008" t="s">
        <v>11</v>
      </c>
      <c r="F7008">
        <v>546.6999999999999</v>
      </c>
      <c r="G7008">
        <v>18</v>
      </c>
    </row>
    <row r="7009" spans="1:7" x14ac:dyDescent="0.25">
      <c r="A7009" t="s">
        <v>41</v>
      </c>
      <c r="B7009" t="s">
        <v>1283</v>
      </c>
      <c r="C7009" t="s">
        <v>17852</v>
      </c>
      <c r="D7009" t="s">
        <v>20</v>
      </c>
      <c r="E7009" t="s">
        <v>11</v>
      </c>
      <c r="F7009">
        <v>1642.3</v>
      </c>
      <c r="G7009">
        <v>18</v>
      </c>
    </row>
    <row r="7010" spans="1:7" x14ac:dyDescent="0.25">
      <c r="A7010" t="s">
        <v>41</v>
      </c>
      <c r="B7010" t="s">
        <v>1286</v>
      </c>
      <c r="C7010" t="s">
        <v>17853</v>
      </c>
      <c r="D7010" t="s">
        <v>20</v>
      </c>
      <c r="E7010" t="s">
        <v>11</v>
      </c>
      <c r="F7010">
        <v>15486.9</v>
      </c>
      <c r="G7010">
        <v>18</v>
      </c>
    </row>
    <row r="7011" spans="1:7" x14ac:dyDescent="0.25">
      <c r="A7011" t="s">
        <v>41</v>
      </c>
      <c r="B7011" t="s">
        <v>1289</v>
      </c>
      <c r="C7011" t="s">
        <v>17854</v>
      </c>
      <c r="D7011" t="s">
        <v>20</v>
      </c>
      <c r="E7011" t="s">
        <v>11</v>
      </c>
      <c r="F7011">
        <v>26427.5</v>
      </c>
      <c r="G7011">
        <v>18</v>
      </c>
    </row>
    <row r="7012" spans="1:7" x14ac:dyDescent="0.25">
      <c r="A7012" t="s">
        <v>41</v>
      </c>
      <c r="B7012" t="s">
        <v>1292</v>
      </c>
      <c r="C7012" t="s">
        <v>17855</v>
      </c>
      <c r="D7012" t="s">
        <v>20</v>
      </c>
      <c r="E7012" t="s">
        <v>11</v>
      </c>
      <c r="F7012">
        <v>51541.6</v>
      </c>
      <c r="G7012">
        <v>18</v>
      </c>
    </row>
    <row r="7013" spans="1:7" x14ac:dyDescent="0.25">
      <c r="A7013" t="s">
        <v>41</v>
      </c>
      <c r="B7013" t="s">
        <v>1295</v>
      </c>
      <c r="C7013" t="s">
        <v>17856</v>
      </c>
      <c r="D7013" t="s">
        <v>20</v>
      </c>
      <c r="E7013" t="s">
        <v>11</v>
      </c>
      <c r="F7013">
        <v>51541.6</v>
      </c>
      <c r="G7013">
        <v>18</v>
      </c>
    </row>
    <row r="7014" spans="1:7" x14ac:dyDescent="0.25">
      <c r="A7014" t="s">
        <v>41</v>
      </c>
      <c r="B7014" t="s">
        <v>1298</v>
      </c>
      <c r="C7014" t="s">
        <v>17673</v>
      </c>
      <c r="D7014" t="s">
        <v>20</v>
      </c>
      <c r="E7014" t="s">
        <v>11</v>
      </c>
      <c r="F7014">
        <v>6639.6</v>
      </c>
      <c r="G7014">
        <v>18</v>
      </c>
    </row>
    <row r="7015" spans="1:7" x14ac:dyDescent="0.25">
      <c r="A7015" t="s">
        <v>41</v>
      </c>
      <c r="B7015" t="s">
        <v>1301</v>
      </c>
      <c r="C7015" t="s">
        <v>17857</v>
      </c>
      <c r="D7015" t="s">
        <v>20</v>
      </c>
      <c r="E7015" t="s">
        <v>11</v>
      </c>
      <c r="F7015">
        <v>17025.8</v>
      </c>
      <c r="G7015">
        <v>18</v>
      </c>
    </row>
    <row r="7016" spans="1:7" x14ac:dyDescent="0.25">
      <c r="A7016" t="s">
        <v>41</v>
      </c>
      <c r="B7016" t="s">
        <v>1304</v>
      </c>
      <c r="C7016" t="s">
        <v>17858</v>
      </c>
      <c r="D7016" t="s">
        <v>20</v>
      </c>
      <c r="E7016" t="s">
        <v>11</v>
      </c>
      <c r="F7016">
        <v>17966.300000000003</v>
      </c>
      <c r="G7016">
        <v>18</v>
      </c>
    </row>
    <row r="7017" spans="1:7" x14ac:dyDescent="0.25">
      <c r="A7017" t="s">
        <v>41</v>
      </c>
      <c r="B7017" t="s">
        <v>1307</v>
      </c>
      <c r="C7017" t="s">
        <v>17859</v>
      </c>
      <c r="D7017" t="s">
        <v>20</v>
      </c>
      <c r="E7017" t="s">
        <v>11</v>
      </c>
      <c r="F7017">
        <v>4615.6</v>
      </c>
      <c r="G7017">
        <v>18</v>
      </c>
    </row>
    <row r="7018" spans="1:7" x14ac:dyDescent="0.25">
      <c r="A7018" t="s">
        <v>41</v>
      </c>
      <c r="B7018" t="s">
        <v>1310</v>
      </c>
      <c r="C7018" t="s">
        <v>17860</v>
      </c>
      <c r="D7018" t="s">
        <v>20</v>
      </c>
      <c r="E7018" t="s">
        <v>11</v>
      </c>
      <c r="F7018">
        <v>6472.400000000001</v>
      </c>
      <c r="G7018">
        <v>18</v>
      </c>
    </row>
    <row r="7019" spans="1:7" x14ac:dyDescent="0.25">
      <c r="A7019" t="s">
        <v>41</v>
      </c>
      <c r="B7019" t="s">
        <v>1313</v>
      </c>
      <c r="C7019" t="s">
        <v>17861</v>
      </c>
      <c r="D7019" t="s">
        <v>20</v>
      </c>
      <c r="E7019" t="s">
        <v>11</v>
      </c>
      <c r="F7019">
        <v>1082.4</v>
      </c>
      <c r="G7019">
        <v>18</v>
      </c>
    </row>
    <row r="7020" spans="1:7" x14ac:dyDescent="0.25">
      <c r="A7020" t="s">
        <v>41</v>
      </c>
      <c r="B7020" t="s">
        <v>1316</v>
      </c>
      <c r="C7020" t="s">
        <v>17862</v>
      </c>
      <c r="D7020" t="s">
        <v>20</v>
      </c>
      <c r="E7020" t="s">
        <v>11</v>
      </c>
      <c r="F7020">
        <v>7189.6</v>
      </c>
      <c r="G7020">
        <v>18</v>
      </c>
    </row>
    <row r="7021" spans="1:7" x14ac:dyDescent="0.25">
      <c r="A7021" t="s">
        <v>41</v>
      </c>
      <c r="B7021" t="s">
        <v>1319</v>
      </c>
      <c r="C7021" t="s">
        <v>17863</v>
      </c>
      <c r="D7021" t="s">
        <v>20</v>
      </c>
      <c r="E7021" t="s">
        <v>11</v>
      </c>
      <c r="F7021">
        <v>45.099999999999994</v>
      </c>
      <c r="G7021">
        <v>18</v>
      </c>
    </row>
    <row r="7022" spans="1:7" x14ac:dyDescent="0.25">
      <c r="A7022" t="s">
        <v>41</v>
      </c>
      <c r="B7022" t="s">
        <v>1322</v>
      </c>
      <c r="C7022" t="s">
        <v>17864</v>
      </c>
      <c r="D7022" t="s">
        <v>20</v>
      </c>
      <c r="E7022" t="s">
        <v>11</v>
      </c>
      <c r="F7022">
        <v>1026.3</v>
      </c>
      <c r="G7022">
        <v>18</v>
      </c>
    </row>
    <row r="7023" spans="1:7" x14ac:dyDescent="0.25">
      <c r="A7023" t="s">
        <v>41</v>
      </c>
      <c r="B7023" t="s">
        <v>1325</v>
      </c>
      <c r="C7023" t="s">
        <v>17865</v>
      </c>
      <c r="D7023" t="s">
        <v>20</v>
      </c>
      <c r="E7023" t="s">
        <v>11</v>
      </c>
      <c r="F7023">
        <v>183.7</v>
      </c>
      <c r="G7023">
        <v>18</v>
      </c>
    </row>
    <row r="7024" spans="1:7" x14ac:dyDescent="0.25">
      <c r="A7024" t="s">
        <v>41</v>
      </c>
      <c r="B7024" t="s">
        <v>1328</v>
      </c>
      <c r="C7024" t="s">
        <v>17866</v>
      </c>
      <c r="D7024" t="s">
        <v>20</v>
      </c>
      <c r="E7024" t="s">
        <v>11</v>
      </c>
      <c r="F7024">
        <v>140.8</v>
      </c>
      <c r="G7024">
        <v>18</v>
      </c>
    </row>
    <row r="7025" spans="1:7" x14ac:dyDescent="0.25">
      <c r="A7025" t="s">
        <v>41</v>
      </c>
      <c r="B7025" t="s">
        <v>1331</v>
      </c>
      <c r="C7025" t="s">
        <v>17867</v>
      </c>
      <c r="D7025" t="s">
        <v>20</v>
      </c>
      <c r="E7025" t="s">
        <v>11</v>
      </c>
      <c r="F7025">
        <v>1512.5</v>
      </c>
      <c r="G7025">
        <v>18</v>
      </c>
    </row>
    <row r="7026" spans="1:7" x14ac:dyDescent="0.25">
      <c r="A7026" t="s">
        <v>41</v>
      </c>
      <c r="B7026" t="s">
        <v>1334</v>
      </c>
      <c r="C7026" t="s">
        <v>17645</v>
      </c>
      <c r="D7026" t="s">
        <v>20</v>
      </c>
      <c r="E7026" t="s">
        <v>11</v>
      </c>
      <c r="F7026">
        <v>304.7</v>
      </c>
      <c r="G7026">
        <v>18</v>
      </c>
    </row>
    <row r="7027" spans="1:7" x14ac:dyDescent="0.25">
      <c r="A7027" t="s">
        <v>41</v>
      </c>
      <c r="B7027" t="s">
        <v>1337</v>
      </c>
      <c r="C7027" t="s">
        <v>17868</v>
      </c>
      <c r="D7027" t="s">
        <v>20</v>
      </c>
      <c r="E7027" t="s">
        <v>11</v>
      </c>
      <c r="F7027">
        <v>140.8</v>
      </c>
      <c r="G7027">
        <v>18</v>
      </c>
    </row>
    <row r="7028" spans="1:7" x14ac:dyDescent="0.25">
      <c r="A7028" t="s">
        <v>41</v>
      </c>
      <c r="B7028" t="s">
        <v>1340</v>
      </c>
      <c r="C7028" t="s">
        <v>17869</v>
      </c>
      <c r="D7028" t="s">
        <v>20</v>
      </c>
      <c r="E7028" t="s">
        <v>11</v>
      </c>
      <c r="F7028">
        <v>520.3000000000001</v>
      </c>
      <c r="G7028">
        <v>18</v>
      </c>
    </row>
    <row r="7029" spans="1:7" x14ac:dyDescent="0.25">
      <c r="A7029" t="s">
        <v>41</v>
      </c>
      <c r="B7029" t="s">
        <v>1343</v>
      </c>
      <c r="C7029" t="s">
        <v>17870</v>
      </c>
      <c r="D7029" t="s">
        <v>20</v>
      </c>
      <c r="E7029" t="s">
        <v>11</v>
      </c>
      <c r="F7029">
        <v>588.5</v>
      </c>
      <c r="G7029">
        <v>18</v>
      </c>
    </row>
    <row r="7030" spans="1:7" x14ac:dyDescent="0.25">
      <c r="A7030" t="s">
        <v>41</v>
      </c>
      <c r="B7030" t="s">
        <v>1346</v>
      </c>
      <c r="C7030" t="s">
        <v>17871</v>
      </c>
      <c r="D7030" t="s">
        <v>20</v>
      </c>
      <c r="E7030" t="s">
        <v>11</v>
      </c>
      <c r="F7030">
        <v>5690.299999999999</v>
      </c>
      <c r="G7030">
        <v>18</v>
      </c>
    </row>
    <row r="7031" spans="1:7" x14ac:dyDescent="0.25">
      <c r="A7031" t="s">
        <v>41</v>
      </c>
      <c r="B7031" t="s">
        <v>1349</v>
      </c>
      <c r="C7031" t="s">
        <v>17872</v>
      </c>
      <c r="D7031" t="s">
        <v>20</v>
      </c>
      <c r="E7031" t="s">
        <v>11</v>
      </c>
      <c r="F7031">
        <v>178.20000000000002</v>
      </c>
      <c r="G7031">
        <v>18</v>
      </c>
    </row>
    <row r="7032" spans="1:7" x14ac:dyDescent="0.25">
      <c r="A7032" t="s">
        <v>41</v>
      </c>
      <c r="B7032" t="s">
        <v>1352</v>
      </c>
      <c r="C7032" t="s">
        <v>17873</v>
      </c>
      <c r="D7032" t="s">
        <v>20</v>
      </c>
      <c r="E7032" t="s">
        <v>11</v>
      </c>
      <c r="F7032">
        <v>862.4</v>
      </c>
      <c r="G7032">
        <v>18</v>
      </c>
    </row>
    <row r="7033" spans="1:7" x14ac:dyDescent="0.25">
      <c r="A7033" t="s">
        <v>41</v>
      </c>
      <c r="B7033" t="s">
        <v>1355</v>
      </c>
      <c r="C7033" t="s">
        <v>17874</v>
      </c>
      <c r="D7033" t="s">
        <v>20</v>
      </c>
      <c r="E7033" t="s">
        <v>11</v>
      </c>
      <c r="F7033">
        <v>157.29999999999998</v>
      </c>
      <c r="G7033">
        <v>18</v>
      </c>
    </row>
    <row r="7034" spans="1:7" x14ac:dyDescent="0.25">
      <c r="A7034" t="s">
        <v>41</v>
      </c>
      <c r="B7034" t="s">
        <v>1358</v>
      </c>
      <c r="C7034" t="s">
        <v>17875</v>
      </c>
      <c r="D7034" t="s">
        <v>20</v>
      </c>
      <c r="E7034" t="s">
        <v>11</v>
      </c>
      <c r="F7034">
        <v>14554.1</v>
      </c>
      <c r="G7034">
        <v>18</v>
      </c>
    </row>
    <row r="7035" spans="1:7" x14ac:dyDescent="0.25">
      <c r="A7035" t="s">
        <v>41</v>
      </c>
      <c r="B7035" t="s">
        <v>1361</v>
      </c>
      <c r="C7035" t="s">
        <v>17876</v>
      </c>
      <c r="D7035" t="s">
        <v>20</v>
      </c>
      <c r="E7035" t="s">
        <v>11</v>
      </c>
      <c r="F7035">
        <v>1623.6</v>
      </c>
      <c r="G7035">
        <v>18</v>
      </c>
    </row>
    <row r="7036" spans="1:7" x14ac:dyDescent="0.25">
      <c r="A7036" t="s">
        <v>41</v>
      </c>
      <c r="B7036" t="s">
        <v>1364</v>
      </c>
      <c r="C7036" t="s">
        <v>17877</v>
      </c>
      <c r="D7036" t="s">
        <v>20</v>
      </c>
      <c r="E7036" t="s">
        <v>11</v>
      </c>
      <c r="F7036">
        <v>97.9</v>
      </c>
      <c r="G7036">
        <v>18</v>
      </c>
    </row>
    <row r="7037" spans="1:7" x14ac:dyDescent="0.25">
      <c r="A7037" t="s">
        <v>41</v>
      </c>
      <c r="B7037" t="s">
        <v>1367</v>
      </c>
      <c r="C7037" t="s">
        <v>17878</v>
      </c>
      <c r="D7037" t="s">
        <v>20</v>
      </c>
      <c r="E7037" t="s">
        <v>11</v>
      </c>
      <c r="F7037">
        <v>7975</v>
      </c>
      <c r="G7037">
        <v>18</v>
      </c>
    </row>
    <row r="7038" spans="1:7" x14ac:dyDescent="0.25">
      <c r="A7038" t="s">
        <v>41</v>
      </c>
      <c r="B7038" t="s">
        <v>1370</v>
      </c>
      <c r="C7038" t="s">
        <v>17879</v>
      </c>
      <c r="D7038" t="s">
        <v>20</v>
      </c>
      <c r="E7038" t="s">
        <v>11</v>
      </c>
      <c r="F7038">
        <v>55360.799999999996</v>
      </c>
      <c r="G7038">
        <v>18</v>
      </c>
    </row>
    <row r="7039" spans="1:7" x14ac:dyDescent="0.25">
      <c r="A7039" t="s">
        <v>41</v>
      </c>
      <c r="B7039" t="s">
        <v>1373</v>
      </c>
      <c r="C7039" t="s">
        <v>17880</v>
      </c>
      <c r="D7039" t="s">
        <v>20</v>
      </c>
      <c r="E7039" t="s">
        <v>11</v>
      </c>
      <c r="F7039">
        <v>64167.4</v>
      </c>
      <c r="G7039">
        <v>18</v>
      </c>
    </row>
    <row r="7040" spans="1:7" x14ac:dyDescent="0.25">
      <c r="A7040" t="s">
        <v>41</v>
      </c>
      <c r="B7040" t="s">
        <v>1376</v>
      </c>
      <c r="C7040" t="s">
        <v>17881</v>
      </c>
      <c r="D7040" t="s">
        <v>20</v>
      </c>
      <c r="E7040" t="s">
        <v>11</v>
      </c>
      <c r="F7040">
        <v>39028</v>
      </c>
      <c r="G7040">
        <v>18</v>
      </c>
    </row>
    <row r="7041" spans="1:7" x14ac:dyDescent="0.25">
      <c r="A7041" t="s">
        <v>41</v>
      </c>
      <c r="B7041" t="s">
        <v>1379</v>
      </c>
      <c r="C7041" t="s">
        <v>17764</v>
      </c>
      <c r="D7041" t="s">
        <v>20</v>
      </c>
      <c r="E7041" t="s">
        <v>11</v>
      </c>
      <c r="F7041">
        <v>347.6</v>
      </c>
      <c r="G7041">
        <v>18</v>
      </c>
    </row>
    <row r="7042" spans="1:7" x14ac:dyDescent="0.25">
      <c r="A7042" t="s">
        <v>41</v>
      </c>
      <c r="B7042" t="s">
        <v>1382</v>
      </c>
      <c r="C7042" t="s">
        <v>17882</v>
      </c>
      <c r="D7042" t="s">
        <v>20</v>
      </c>
      <c r="E7042" t="s">
        <v>11</v>
      </c>
      <c r="F7042">
        <v>8116.900000000001</v>
      </c>
      <c r="G7042">
        <v>18</v>
      </c>
    </row>
    <row r="7043" spans="1:7" x14ac:dyDescent="0.25">
      <c r="A7043" t="s">
        <v>41</v>
      </c>
      <c r="B7043" t="s">
        <v>1385</v>
      </c>
      <c r="C7043" t="s">
        <v>17766</v>
      </c>
      <c r="D7043" t="s">
        <v>20</v>
      </c>
      <c r="E7043" t="s">
        <v>11</v>
      </c>
      <c r="F7043">
        <v>183.7</v>
      </c>
      <c r="G7043">
        <v>18</v>
      </c>
    </row>
    <row r="7044" spans="1:7" x14ac:dyDescent="0.25">
      <c r="A7044" t="s">
        <v>41</v>
      </c>
      <c r="B7044" t="s">
        <v>1388</v>
      </c>
      <c r="C7044" t="s">
        <v>17883</v>
      </c>
      <c r="D7044" t="s">
        <v>20</v>
      </c>
      <c r="E7044" t="s">
        <v>11</v>
      </c>
      <c r="F7044">
        <v>2703.7999999999997</v>
      </c>
      <c r="G7044">
        <v>18</v>
      </c>
    </row>
    <row r="7045" spans="1:7" x14ac:dyDescent="0.25">
      <c r="A7045" t="s">
        <v>41</v>
      </c>
      <c r="B7045" t="s">
        <v>1391</v>
      </c>
      <c r="C7045" t="s">
        <v>17884</v>
      </c>
      <c r="D7045" t="s">
        <v>20</v>
      </c>
      <c r="E7045" t="s">
        <v>11</v>
      </c>
      <c r="F7045">
        <v>3917.1</v>
      </c>
      <c r="G7045">
        <v>18</v>
      </c>
    </row>
    <row r="7046" spans="1:7" x14ac:dyDescent="0.25">
      <c r="A7046" t="s">
        <v>41</v>
      </c>
      <c r="B7046" t="s">
        <v>1394</v>
      </c>
      <c r="C7046" t="s">
        <v>17885</v>
      </c>
      <c r="D7046" t="s">
        <v>20</v>
      </c>
      <c r="E7046" t="s">
        <v>11</v>
      </c>
      <c r="F7046">
        <v>3917.1</v>
      </c>
      <c r="G7046">
        <v>18</v>
      </c>
    </row>
    <row r="7047" spans="1:7" x14ac:dyDescent="0.25">
      <c r="A7047" t="s">
        <v>41</v>
      </c>
      <c r="B7047" t="s">
        <v>1397</v>
      </c>
      <c r="C7047" t="s">
        <v>17886</v>
      </c>
      <c r="D7047" t="s">
        <v>20</v>
      </c>
      <c r="E7047" t="s">
        <v>11</v>
      </c>
      <c r="F7047">
        <v>3917.1</v>
      </c>
      <c r="G7047">
        <v>18</v>
      </c>
    </row>
    <row r="7048" spans="1:7" x14ac:dyDescent="0.25">
      <c r="A7048" t="s">
        <v>41</v>
      </c>
      <c r="B7048" t="s">
        <v>1400</v>
      </c>
      <c r="C7048" t="s">
        <v>17887</v>
      </c>
      <c r="D7048" t="s">
        <v>20</v>
      </c>
      <c r="E7048" t="s">
        <v>11</v>
      </c>
      <c r="F7048">
        <v>10503.9</v>
      </c>
      <c r="G7048">
        <v>18</v>
      </c>
    </row>
    <row r="7049" spans="1:7" x14ac:dyDescent="0.25">
      <c r="A7049" t="s">
        <v>41</v>
      </c>
      <c r="B7049" t="s">
        <v>1403</v>
      </c>
      <c r="C7049" t="s">
        <v>17888</v>
      </c>
      <c r="D7049" t="s">
        <v>20</v>
      </c>
      <c r="E7049" t="s">
        <v>11</v>
      </c>
      <c r="F7049">
        <v>3886.2999999999997</v>
      </c>
      <c r="G7049">
        <v>18</v>
      </c>
    </row>
    <row r="7050" spans="1:7" x14ac:dyDescent="0.25">
      <c r="A7050" t="s">
        <v>41</v>
      </c>
      <c r="B7050" t="s">
        <v>1406</v>
      </c>
      <c r="C7050" t="s">
        <v>17889</v>
      </c>
      <c r="D7050" t="s">
        <v>20</v>
      </c>
      <c r="E7050" t="s">
        <v>11</v>
      </c>
      <c r="F7050">
        <v>3917.1</v>
      </c>
      <c r="G7050">
        <v>18</v>
      </c>
    </row>
    <row r="7051" spans="1:7" x14ac:dyDescent="0.25">
      <c r="A7051" t="s">
        <v>41</v>
      </c>
      <c r="B7051" t="s">
        <v>1409</v>
      </c>
      <c r="C7051" t="s">
        <v>17890</v>
      </c>
      <c r="D7051" t="s">
        <v>20</v>
      </c>
      <c r="E7051" t="s">
        <v>11</v>
      </c>
      <c r="F7051">
        <v>3917.1</v>
      </c>
      <c r="G7051">
        <v>18</v>
      </c>
    </row>
    <row r="7052" spans="1:7" x14ac:dyDescent="0.25">
      <c r="A7052" t="s">
        <v>41</v>
      </c>
      <c r="B7052" t="s">
        <v>1412</v>
      </c>
      <c r="C7052" t="s">
        <v>17891</v>
      </c>
      <c r="D7052" t="s">
        <v>20</v>
      </c>
      <c r="E7052" t="s">
        <v>11</v>
      </c>
      <c r="F7052">
        <v>4137.1</v>
      </c>
      <c r="G7052">
        <v>18</v>
      </c>
    </row>
    <row r="7053" spans="1:7" x14ac:dyDescent="0.25">
      <c r="A7053" t="s">
        <v>41</v>
      </c>
      <c r="B7053" t="s">
        <v>1415</v>
      </c>
      <c r="C7053" t="s">
        <v>17892</v>
      </c>
      <c r="D7053" t="s">
        <v>20</v>
      </c>
      <c r="E7053" t="s">
        <v>11</v>
      </c>
      <c r="F7053">
        <v>12009.800000000001</v>
      </c>
      <c r="G7053">
        <v>18</v>
      </c>
    </row>
    <row r="7054" spans="1:7" x14ac:dyDescent="0.25">
      <c r="A7054" t="s">
        <v>41</v>
      </c>
      <c r="B7054" t="s">
        <v>1418</v>
      </c>
      <c r="C7054" t="s">
        <v>17893</v>
      </c>
      <c r="D7054" t="s">
        <v>20</v>
      </c>
      <c r="E7054" t="s">
        <v>11</v>
      </c>
      <c r="F7054">
        <v>80175.7</v>
      </c>
      <c r="G7054">
        <v>18</v>
      </c>
    </row>
    <row r="7055" spans="1:7" x14ac:dyDescent="0.25">
      <c r="A7055" t="s">
        <v>41</v>
      </c>
      <c r="B7055" t="s">
        <v>1421</v>
      </c>
      <c r="C7055" t="s">
        <v>17894</v>
      </c>
      <c r="D7055" t="s">
        <v>20</v>
      </c>
      <c r="E7055" t="s">
        <v>11</v>
      </c>
      <c r="F7055">
        <v>8336.900000000001</v>
      </c>
      <c r="G7055">
        <v>18</v>
      </c>
    </row>
    <row r="7056" spans="1:7" x14ac:dyDescent="0.25">
      <c r="A7056" t="s">
        <v>41</v>
      </c>
      <c r="B7056" t="s">
        <v>1424</v>
      </c>
      <c r="C7056" t="s">
        <v>17895</v>
      </c>
      <c r="D7056" t="s">
        <v>20</v>
      </c>
      <c r="E7056" t="s">
        <v>11</v>
      </c>
      <c r="F7056">
        <v>4594.700000000001</v>
      </c>
      <c r="G7056">
        <v>18</v>
      </c>
    </row>
    <row r="7057" spans="1:7" x14ac:dyDescent="0.25">
      <c r="A7057" t="s">
        <v>41</v>
      </c>
      <c r="B7057" t="s">
        <v>1427</v>
      </c>
      <c r="C7057" t="s">
        <v>17757</v>
      </c>
      <c r="D7057" t="s">
        <v>20</v>
      </c>
      <c r="E7057" t="s">
        <v>11</v>
      </c>
      <c r="F7057">
        <v>1856.8</v>
      </c>
      <c r="G7057">
        <v>18</v>
      </c>
    </row>
    <row r="7058" spans="1:7" x14ac:dyDescent="0.25">
      <c r="A7058" t="s">
        <v>41</v>
      </c>
      <c r="B7058" t="s">
        <v>1430</v>
      </c>
      <c r="C7058" t="s">
        <v>17896</v>
      </c>
      <c r="D7058" t="s">
        <v>20</v>
      </c>
      <c r="E7058" t="s">
        <v>11</v>
      </c>
      <c r="F7058">
        <v>167.2</v>
      </c>
      <c r="G7058">
        <v>18</v>
      </c>
    </row>
    <row r="7059" spans="1:7" x14ac:dyDescent="0.25">
      <c r="A7059" t="s">
        <v>41</v>
      </c>
      <c r="B7059" t="s">
        <v>1433</v>
      </c>
      <c r="C7059" t="s">
        <v>17897</v>
      </c>
      <c r="D7059" t="s">
        <v>20</v>
      </c>
      <c r="E7059" t="s">
        <v>11</v>
      </c>
      <c r="F7059">
        <v>58.300000000000004</v>
      </c>
      <c r="G7059">
        <v>18</v>
      </c>
    </row>
    <row r="7060" spans="1:7" x14ac:dyDescent="0.25">
      <c r="A7060" t="s">
        <v>41</v>
      </c>
      <c r="B7060" t="s">
        <v>1436</v>
      </c>
      <c r="C7060" t="s">
        <v>17808</v>
      </c>
      <c r="D7060" t="s">
        <v>20</v>
      </c>
      <c r="E7060" t="s">
        <v>11</v>
      </c>
      <c r="F7060">
        <v>70.4</v>
      </c>
      <c r="G7060">
        <v>18</v>
      </c>
    </row>
    <row r="7061" spans="1:7" x14ac:dyDescent="0.25">
      <c r="A7061" t="s">
        <v>41</v>
      </c>
      <c r="B7061" t="s">
        <v>1439</v>
      </c>
      <c r="C7061" t="s">
        <v>17898</v>
      </c>
      <c r="D7061" t="s">
        <v>20</v>
      </c>
      <c r="E7061" t="s">
        <v>11</v>
      </c>
      <c r="F7061">
        <v>304.7</v>
      </c>
      <c r="G7061">
        <v>18</v>
      </c>
    </row>
    <row r="7062" spans="1:7" x14ac:dyDescent="0.25">
      <c r="A7062" t="s">
        <v>41</v>
      </c>
      <c r="B7062" t="s">
        <v>1442</v>
      </c>
      <c r="C7062" t="s">
        <v>17810</v>
      </c>
      <c r="D7062" t="s">
        <v>20</v>
      </c>
      <c r="E7062" t="s">
        <v>11</v>
      </c>
      <c r="F7062">
        <v>7504.2</v>
      </c>
      <c r="G7062">
        <v>18</v>
      </c>
    </row>
    <row r="7063" spans="1:7" x14ac:dyDescent="0.25">
      <c r="A7063" t="s">
        <v>41</v>
      </c>
      <c r="B7063" t="s">
        <v>1445</v>
      </c>
      <c r="C7063" t="s">
        <v>17899</v>
      </c>
      <c r="D7063" t="s">
        <v>20</v>
      </c>
      <c r="E7063" t="s">
        <v>11</v>
      </c>
      <c r="F7063">
        <v>4594.700000000001</v>
      </c>
      <c r="G7063">
        <v>18</v>
      </c>
    </row>
    <row r="7064" spans="1:7" x14ac:dyDescent="0.25">
      <c r="A7064" t="s">
        <v>41</v>
      </c>
      <c r="B7064" t="s">
        <v>1448</v>
      </c>
      <c r="C7064" t="s">
        <v>17900</v>
      </c>
      <c r="D7064" t="s">
        <v>20</v>
      </c>
      <c r="E7064" t="s">
        <v>11</v>
      </c>
      <c r="F7064">
        <v>473</v>
      </c>
      <c r="G7064">
        <v>18</v>
      </c>
    </row>
    <row r="7065" spans="1:7" x14ac:dyDescent="0.25">
      <c r="A7065" t="s">
        <v>41</v>
      </c>
      <c r="B7065" t="s">
        <v>1451</v>
      </c>
      <c r="C7065" t="s">
        <v>17901</v>
      </c>
      <c r="D7065" t="s">
        <v>20</v>
      </c>
      <c r="E7065" t="s">
        <v>11</v>
      </c>
      <c r="F7065">
        <v>70.4</v>
      </c>
      <c r="G7065">
        <v>18</v>
      </c>
    </row>
    <row r="7066" spans="1:7" x14ac:dyDescent="0.25">
      <c r="A7066" t="s">
        <v>41</v>
      </c>
      <c r="B7066" t="s">
        <v>1454</v>
      </c>
      <c r="C7066" t="s">
        <v>17757</v>
      </c>
      <c r="D7066" t="s">
        <v>20</v>
      </c>
      <c r="E7066" t="s">
        <v>11</v>
      </c>
      <c r="F7066">
        <v>1856.8</v>
      </c>
      <c r="G7066">
        <v>18</v>
      </c>
    </row>
    <row r="7067" spans="1:7" x14ac:dyDescent="0.25">
      <c r="A7067" t="s">
        <v>41</v>
      </c>
      <c r="B7067" t="s">
        <v>1457</v>
      </c>
      <c r="C7067" t="s">
        <v>17902</v>
      </c>
      <c r="D7067" t="s">
        <v>20</v>
      </c>
      <c r="E7067" t="s">
        <v>11</v>
      </c>
      <c r="F7067">
        <v>114.4</v>
      </c>
      <c r="G7067">
        <v>18</v>
      </c>
    </row>
    <row r="7068" spans="1:7" x14ac:dyDescent="0.25">
      <c r="A7068" t="s">
        <v>41</v>
      </c>
      <c r="B7068" t="s">
        <v>1460</v>
      </c>
      <c r="C7068" t="s">
        <v>17819</v>
      </c>
      <c r="D7068" t="s">
        <v>20</v>
      </c>
      <c r="E7068" t="s">
        <v>11</v>
      </c>
      <c r="F7068">
        <v>79.2</v>
      </c>
      <c r="G7068">
        <v>18</v>
      </c>
    </row>
    <row r="7069" spans="1:7" x14ac:dyDescent="0.25">
      <c r="A7069" t="s">
        <v>41</v>
      </c>
      <c r="B7069" t="s">
        <v>1463</v>
      </c>
      <c r="C7069" t="s">
        <v>17903</v>
      </c>
      <c r="D7069" t="s">
        <v>20</v>
      </c>
      <c r="E7069" t="s">
        <v>11</v>
      </c>
      <c r="F7069">
        <v>58.300000000000004</v>
      </c>
      <c r="G7069">
        <v>18</v>
      </c>
    </row>
    <row r="7070" spans="1:7" x14ac:dyDescent="0.25">
      <c r="A7070" t="s">
        <v>41</v>
      </c>
      <c r="B7070" t="s">
        <v>1466</v>
      </c>
      <c r="C7070" t="s">
        <v>17904</v>
      </c>
      <c r="D7070" t="s">
        <v>20</v>
      </c>
      <c r="E7070" t="s">
        <v>11</v>
      </c>
      <c r="F7070">
        <v>137.5</v>
      </c>
      <c r="G7070">
        <v>18</v>
      </c>
    </row>
    <row r="7071" spans="1:7" x14ac:dyDescent="0.25">
      <c r="A7071" t="s">
        <v>41</v>
      </c>
      <c r="B7071" t="s">
        <v>1469</v>
      </c>
      <c r="C7071" t="s">
        <v>17905</v>
      </c>
      <c r="D7071" t="s">
        <v>20</v>
      </c>
      <c r="E7071" t="s">
        <v>11</v>
      </c>
      <c r="F7071">
        <v>214.5</v>
      </c>
      <c r="G7071">
        <v>18</v>
      </c>
    </row>
    <row r="7072" spans="1:7" x14ac:dyDescent="0.25">
      <c r="A7072" t="s">
        <v>41</v>
      </c>
      <c r="B7072" t="s">
        <v>1472</v>
      </c>
      <c r="C7072" t="s">
        <v>17816</v>
      </c>
      <c r="D7072" t="s">
        <v>20</v>
      </c>
      <c r="E7072" t="s">
        <v>11</v>
      </c>
      <c r="F7072">
        <v>94.6</v>
      </c>
      <c r="G7072">
        <v>18</v>
      </c>
    </row>
    <row r="7073" spans="1:7" x14ac:dyDescent="0.25">
      <c r="A7073" t="s">
        <v>41</v>
      </c>
      <c r="B7073" t="s">
        <v>1475</v>
      </c>
      <c r="C7073" t="s">
        <v>17906</v>
      </c>
      <c r="D7073" t="s">
        <v>20</v>
      </c>
      <c r="E7073" t="s">
        <v>11</v>
      </c>
      <c r="F7073">
        <v>730.4</v>
      </c>
      <c r="G7073">
        <v>18</v>
      </c>
    </row>
    <row r="7074" spans="1:7" x14ac:dyDescent="0.25">
      <c r="A7074" t="s">
        <v>41</v>
      </c>
      <c r="B7074" t="s">
        <v>1478</v>
      </c>
      <c r="C7074" t="s">
        <v>17907</v>
      </c>
      <c r="D7074" t="s">
        <v>20</v>
      </c>
      <c r="E7074" t="s">
        <v>11</v>
      </c>
      <c r="F7074">
        <v>302.5</v>
      </c>
      <c r="G7074">
        <v>18</v>
      </c>
    </row>
    <row r="7075" spans="1:7" x14ac:dyDescent="0.25">
      <c r="A7075" t="s">
        <v>41</v>
      </c>
      <c r="B7075" t="s">
        <v>1481</v>
      </c>
      <c r="C7075" t="s">
        <v>17872</v>
      </c>
      <c r="D7075" t="s">
        <v>20</v>
      </c>
      <c r="E7075" t="s">
        <v>11</v>
      </c>
      <c r="F7075">
        <v>178.20000000000002</v>
      </c>
      <c r="G7075">
        <v>18</v>
      </c>
    </row>
    <row r="7076" spans="1:7" x14ac:dyDescent="0.25">
      <c r="A7076" t="s">
        <v>41</v>
      </c>
      <c r="B7076" t="s">
        <v>1484</v>
      </c>
      <c r="C7076" t="s">
        <v>17908</v>
      </c>
      <c r="D7076" t="s">
        <v>20</v>
      </c>
      <c r="E7076" t="s">
        <v>11</v>
      </c>
      <c r="F7076">
        <v>1812.8</v>
      </c>
      <c r="G7076">
        <v>18</v>
      </c>
    </row>
    <row r="7077" spans="1:7" x14ac:dyDescent="0.25">
      <c r="A7077" t="s">
        <v>41</v>
      </c>
      <c r="B7077" t="s">
        <v>1486</v>
      </c>
      <c r="C7077" t="s">
        <v>17909</v>
      </c>
      <c r="D7077" t="s">
        <v>20</v>
      </c>
      <c r="E7077" t="s">
        <v>11</v>
      </c>
      <c r="F7077">
        <v>58.300000000000004</v>
      </c>
      <c r="G7077">
        <v>18</v>
      </c>
    </row>
    <row r="7078" spans="1:7" x14ac:dyDescent="0.25">
      <c r="A7078" t="s">
        <v>41</v>
      </c>
      <c r="B7078" t="s">
        <v>1488</v>
      </c>
      <c r="C7078" t="s">
        <v>17910</v>
      </c>
      <c r="D7078" t="s">
        <v>20</v>
      </c>
      <c r="E7078" t="s">
        <v>11</v>
      </c>
      <c r="F7078">
        <v>57.2</v>
      </c>
      <c r="G7078">
        <v>18</v>
      </c>
    </row>
    <row r="7079" spans="1:7" x14ac:dyDescent="0.25">
      <c r="A7079" t="s">
        <v>41</v>
      </c>
      <c r="B7079" t="s">
        <v>1490</v>
      </c>
      <c r="C7079" t="s">
        <v>17911</v>
      </c>
      <c r="D7079" t="s">
        <v>20</v>
      </c>
      <c r="E7079" t="s">
        <v>11</v>
      </c>
      <c r="F7079">
        <v>10506.1</v>
      </c>
      <c r="G7079">
        <v>18</v>
      </c>
    </row>
    <row r="7080" spans="1:7" x14ac:dyDescent="0.25">
      <c r="A7080" t="s">
        <v>41</v>
      </c>
      <c r="B7080" t="s">
        <v>1492</v>
      </c>
      <c r="C7080" t="s">
        <v>17912</v>
      </c>
      <c r="D7080" t="s">
        <v>20</v>
      </c>
      <c r="E7080" t="s">
        <v>11</v>
      </c>
      <c r="F7080">
        <v>46333.1</v>
      </c>
      <c r="G7080">
        <v>18</v>
      </c>
    </row>
    <row r="7081" spans="1:7" x14ac:dyDescent="0.25">
      <c r="A7081" t="s">
        <v>41</v>
      </c>
      <c r="B7081" t="s">
        <v>1494</v>
      </c>
      <c r="C7081" t="s">
        <v>17913</v>
      </c>
      <c r="D7081" t="s">
        <v>20</v>
      </c>
      <c r="E7081" t="s">
        <v>11</v>
      </c>
      <c r="F7081">
        <v>45378.299999999996</v>
      </c>
      <c r="G7081">
        <v>18</v>
      </c>
    </row>
    <row r="7082" spans="1:7" x14ac:dyDescent="0.25">
      <c r="A7082" t="s">
        <v>41</v>
      </c>
      <c r="B7082" t="s">
        <v>1496</v>
      </c>
      <c r="C7082" t="s">
        <v>17914</v>
      </c>
      <c r="D7082" t="s">
        <v>20</v>
      </c>
      <c r="E7082" t="s">
        <v>11</v>
      </c>
      <c r="F7082">
        <v>10868</v>
      </c>
      <c r="G7082">
        <v>18</v>
      </c>
    </row>
    <row r="7083" spans="1:7" x14ac:dyDescent="0.25">
      <c r="A7083" t="s">
        <v>41</v>
      </c>
      <c r="B7083" t="s">
        <v>1499</v>
      </c>
      <c r="C7083" t="s">
        <v>17915</v>
      </c>
      <c r="D7083" t="s">
        <v>20</v>
      </c>
      <c r="E7083" t="s">
        <v>11</v>
      </c>
      <c r="F7083">
        <v>46333.1</v>
      </c>
      <c r="G7083">
        <v>18</v>
      </c>
    </row>
    <row r="7084" spans="1:7" x14ac:dyDescent="0.25">
      <c r="A7084" t="s">
        <v>41</v>
      </c>
      <c r="B7084" t="s">
        <v>1502</v>
      </c>
      <c r="C7084" t="s">
        <v>17916</v>
      </c>
      <c r="D7084" t="s">
        <v>20</v>
      </c>
      <c r="E7084" t="s">
        <v>11</v>
      </c>
      <c r="F7084">
        <v>45378.299999999996</v>
      </c>
      <c r="G7084">
        <v>18</v>
      </c>
    </row>
    <row r="7085" spans="1:7" x14ac:dyDescent="0.25">
      <c r="A7085" t="s">
        <v>41</v>
      </c>
      <c r="B7085" t="s">
        <v>1505</v>
      </c>
      <c r="C7085" t="s">
        <v>17917</v>
      </c>
      <c r="D7085" t="s">
        <v>20</v>
      </c>
      <c r="E7085" t="s">
        <v>11</v>
      </c>
      <c r="F7085">
        <v>80175.7</v>
      </c>
      <c r="G7085">
        <v>18</v>
      </c>
    </row>
    <row r="7086" spans="1:7" x14ac:dyDescent="0.25">
      <c r="A7086" t="s">
        <v>41</v>
      </c>
      <c r="B7086" t="s">
        <v>1508</v>
      </c>
      <c r="C7086" t="s">
        <v>17918</v>
      </c>
      <c r="D7086" t="s">
        <v>20</v>
      </c>
      <c r="E7086" t="s">
        <v>11</v>
      </c>
      <c r="F7086">
        <v>7108.200000000001</v>
      </c>
      <c r="G7086">
        <v>18</v>
      </c>
    </row>
    <row r="7087" spans="1:7" x14ac:dyDescent="0.25">
      <c r="A7087" t="s">
        <v>41</v>
      </c>
      <c r="B7087" t="s">
        <v>1511</v>
      </c>
      <c r="C7087" t="s">
        <v>17919</v>
      </c>
      <c r="D7087" t="s">
        <v>20</v>
      </c>
      <c r="E7087" t="s">
        <v>11</v>
      </c>
      <c r="F7087">
        <v>1075.8</v>
      </c>
      <c r="G7087">
        <v>18</v>
      </c>
    </row>
    <row r="7088" spans="1:7" x14ac:dyDescent="0.25">
      <c r="A7088" t="s">
        <v>41</v>
      </c>
      <c r="B7088" t="s">
        <v>1514</v>
      </c>
      <c r="C7088" t="s">
        <v>17910</v>
      </c>
      <c r="D7088" t="s">
        <v>20</v>
      </c>
      <c r="E7088" t="s">
        <v>11</v>
      </c>
      <c r="F7088">
        <v>57.2</v>
      </c>
      <c r="G7088">
        <v>18</v>
      </c>
    </row>
    <row r="7089" spans="1:7" x14ac:dyDescent="0.25">
      <c r="A7089" t="s">
        <v>41</v>
      </c>
      <c r="B7089" t="s">
        <v>1517</v>
      </c>
      <c r="C7089" t="s">
        <v>17920</v>
      </c>
      <c r="D7089" t="s">
        <v>20</v>
      </c>
      <c r="E7089" t="s">
        <v>11</v>
      </c>
      <c r="F7089">
        <v>229.89999999999998</v>
      </c>
      <c r="G7089">
        <v>18</v>
      </c>
    </row>
    <row r="7090" spans="1:7" x14ac:dyDescent="0.25">
      <c r="A7090" t="s">
        <v>41</v>
      </c>
      <c r="B7090" t="s">
        <v>1520</v>
      </c>
      <c r="C7090" t="s">
        <v>17832</v>
      </c>
      <c r="D7090" t="s">
        <v>20</v>
      </c>
      <c r="E7090" t="s">
        <v>11</v>
      </c>
      <c r="F7090">
        <v>30.800000000000004</v>
      </c>
      <c r="G7090">
        <v>18</v>
      </c>
    </row>
    <row r="7091" spans="1:7" x14ac:dyDescent="0.25">
      <c r="A7091" t="s">
        <v>41</v>
      </c>
      <c r="B7091" t="s">
        <v>1523</v>
      </c>
      <c r="C7091" t="s">
        <v>17921</v>
      </c>
      <c r="D7091" t="s">
        <v>20</v>
      </c>
      <c r="E7091" t="s">
        <v>11</v>
      </c>
      <c r="F7091">
        <v>70.4</v>
      </c>
      <c r="G7091">
        <v>18</v>
      </c>
    </row>
    <row r="7092" spans="1:7" x14ac:dyDescent="0.25">
      <c r="A7092" t="s">
        <v>41</v>
      </c>
      <c r="B7092" t="s">
        <v>1526</v>
      </c>
      <c r="C7092" t="s">
        <v>17922</v>
      </c>
      <c r="D7092" t="s">
        <v>20</v>
      </c>
      <c r="E7092" t="s">
        <v>11</v>
      </c>
      <c r="F7092">
        <v>4437.400000000001</v>
      </c>
      <c r="G7092">
        <v>18</v>
      </c>
    </row>
    <row r="7093" spans="1:7" x14ac:dyDescent="0.25">
      <c r="A7093" t="s">
        <v>41</v>
      </c>
      <c r="B7093" t="s">
        <v>1529</v>
      </c>
      <c r="C7093" t="s">
        <v>17686</v>
      </c>
      <c r="D7093" t="s">
        <v>20</v>
      </c>
      <c r="E7093" t="s">
        <v>11</v>
      </c>
      <c r="F7093">
        <v>58.300000000000004</v>
      </c>
      <c r="G7093">
        <v>18</v>
      </c>
    </row>
    <row r="7094" spans="1:7" x14ac:dyDescent="0.25">
      <c r="A7094" t="s">
        <v>41</v>
      </c>
      <c r="B7094" t="s">
        <v>1532</v>
      </c>
      <c r="C7094" t="s">
        <v>17923</v>
      </c>
      <c r="D7094" t="s">
        <v>20</v>
      </c>
      <c r="E7094" t="s">
        <v>11</v>
      </c>
      <c r="F7094">
        <v>2098.7999999999997</v>
      </c>
      <c r="G7094">
        <v>18</v>
      </c>
    </row>
    <row r="7095" spans="1:7" x14ac:dyDescent="0.25">
      <c r="A7095" t="s">
        <v>41</v>
      </c>
      <c r="B7095" t="s">
        <v>1535</v>
      </c>
      <c r="C7095" t="s">
        <v>17924</v>
      </c>
      <c r="D7095" t="s">
        <v>20</v>
      </c>
      <c r="E7095" t="s">
        <v>11</v>
      </c>
      <c r="F7095">
        <v>564.3</v>
      </c>
      <c r="G7095">
        <v>18</v>
      </c>
    </row>
    <row r="7096" spans="1:7" x14ac:dyDescent="0.25">
      <c r="A7096" t="s">
        <v>41</v>
      </c>
      <c r="B7096" t="s">
        <v>1538</v>
      </c>
      <c r="C7096" t="s">
        <v>17925</v>
      </c>
      <c r="D7096" t="s">
        <v>20</v>
      </c>
      <c r="E7096" t="s">
        <v>11</v>
      </c>
      <c r="F7096">
        <v>58.300000000000004</v>
      </c>
      <c r="G7096">
        <v>18</v>
      </c>
    </row>
    <row r="7097" spans="1:7" x14ac:dyDescent="0.25">
      <c r="A7097" t="s">
        <v>41</v>
      </c>
      <c r="B7097" t="s">
        <v>1541</v>
      </c>
      <c r="C7097" t="s">
        <v>17838</v>
      </c>
      <c r="D7097" t="s">
        <v>20</v>
      </c>
      <c r="E7097" t="s">
        <v>11</v>
      </c>
      <c r="F7097">
        <v>40.7</v>
      </c>
      <c r="G7097">
        <v>18</v>
      </c>
    </row>
    <row r="7098" spans="1:7" x14ac:dyDescent="0.25">
      <c r="A7098" t="s">
        <v>41</v>
      </c>
      <c r="B7098" t="s">
        <v>1544</v>
      </c>
      <c r="C7098" t="s">
        <v>17926</v>
      </c>
      <c r="D7098" t="s">
        <v>20</v>
      </c>
      <c r="E7098" t="s">
        <v>11</v>
      </c>
      <c r="F7098">
        <v>645.7</v>
      </c>
      <c r="G7098">
        <v>18</v>
      </c>
    </row>
    <row r="7099" spans="1:7" x14ac:dyDescent="0.25">
      <c r="A7099" t="s">
        <v>41</v>
      </c>
      <c r="B7099" t="s">
        <v>1547</v>
      </c>
      <c r="C7099" t="s">
        <v>17927</v>
      </c>
      <c r="D7099" t="s">
        <v>20</v>
      </c>
      <c r="E7099" t="s">
        <v>11</v>
      </c>
      <c r="F7099">
        <v>430.1</v>
      </c>
      <c r="G7099">
        <v>18</v>
      </c>
    </row>
    <row r="7100" spans="1:7" x14ac:dyDescent="0.25">
      <c r="A7100" t="s">
        <v>41</v>
      </c>
      <c r="B7100" t="s">
        <v>1550</v>
      </c>
      <c r="C7100" t="s">
        <v>17680</v>
      </c>
      <c r="D7100" t="s">
        <v>20</v>
      </c>
      <c r="E7100" t="s">
        <v>11</v>
      </c>
      <c r="F7100">
        <v>2599.2999999999997</v>
      </c>
      <c r="G7100">
        <v>18</v>
      </c>
    </row>
    <row r="7101" spans="1:7" x14ac:dyDescent="0.25">
      <c r="A7101" t="s">
        <v>41</v>
      </c>
      <c r="B7101" t="s">
        <v>1553</v>
      </c>
      <c r="C7101" t="s">
        <v>17928</v>
      </c>
      <c r="D7101" t="s">
        <v>20</v>
      </c>
      <c r="E7101" t="s">
        <v>11</v>
      </c>
      <c r="F7101">
        <v>58.300000000000004</v>
      </c>
      <c r="G7101">
        <v>18</v>
      </c>
    </row>
    <row r="7102" spans="1:7" x14ac:dyDescent="0.25">
      <c r="A7102" t="s">
        <v>41</v>
      </c>
      <c r="B7102" t="s">
        <v>1556</v>
      </c>
      <c r="C7102" t="s">
        <v>17929</v>
      </c>
      <c r="D7102" t="s">
        <v>20</v>
      </c>
      <c r="E7102" t="s">
        <v>11</v>
      </c>
      <c r="F7102">
        <v>9508.4</v>
      </c>
      <c r="G7102">
        <v>18</v>
      </c>
    </row>
    <row r="7103" spans="1:7" x14ac:dyDescent="0.25">
      <c r="A7103" t="s">
        <v>41</v>
      </c>
      <c r="B7103" t="s">
        <v>1559</v>
      </c>
      <c r="C7103" t="s">
        <v>17930</v>
      </c>
      <c r="D7103" t="s">
        <v>20</v>
      </c>
      <c r="E7103" t="s">
        <v>11</v>
      </c>
      <c r="F7103">
        <v>61.60000000000001</v>
      </c>
      <c r="G7103">
        <v>18</v>
      </c>
    </row>
    <row r="7104" spans="1:7" x14ac:dyDescent="0.25">
      <c r="A7104" t="s">
        <v>41</v>
      </c>
      <c r="B7104" t="s">
        <v>1562</v>
      </c>
      <c r="C7104" t="s">
        <v>17931</v>
      </c>
      <c r="D7104" t="s">
        <v>20</v>
      </c>
      <c r="E7104" t="s">
        <v>11</v>
      </c>
      <c r="F7104">
        <v>430.1</v>
      </c>
      <c r="G7104">
        <v>18</v>
      </c>
    </row>
    <row r="7105" spans="1:7" x14ac:dyDescent="0.25">
      <c r="A7105" t="s">
        <v>41</v>
      </c>
      <c r="B7105" t="s">
        <v>1565</v>
      </c>
      <c r="C7105" t="s">
        <v>17846</v>
      </c>
      <c r="D7105" t="s">
        <v>20</v>
      </c>
      <c r="E7105" t="s">
        <v>11</v>
      </c>
      <c r="F7105">
        <v>546.6999999999999</v>
      </c>
      <c r="G7105">
        <v>18</v>
      </c>
    </row>
    <row r="7106" spans="1:7" x14ac:dyDescent="0.25">
      <c r="A7106" t="s">
        <v>41</v>
      </c>
      <c r="B7106" t="s">
        <v>1568</v>
      </c>
      <c r="C7106" t="s">
        <v>17849</v>
      </c>
      <c r="D7106" t="s">
        <v>20</v>
      </c>
      <c r="E7106" t="s">
        <v>11</v>
      </c>
      <c r="F7106">
        <v>1642.3</v>
      </c>
      <c r="G7106">
        <v>18</v>
      </c>
    </row>
    <row r="7107" spans="1:7" x14ac:dyDescent="0.25">
      <c r="A7107" t="s">
        <v>41</v>
      </c>
      <c r="B7107" t="s">
        <v>1571</v>
      </c>
      <c r="C7107" t="s">
        <v>17932</v>
      </c>
      <c r="D7107" t="s">
        <v>20</v>
      </c>
      <c r="E7107" t="s">
        <v>11</v>
      </c>
      <c r="F7107">
        <v>40.7</v>
      </c>
      <c r="G7107">
        <v>18</v>
      </c>
    </row>
    <row r="7108" spans="1:7" x14ac:dyDescent="0.25">
      <c r="A7108" t="s">
        <v>41</v>
      </c>
      <c r="B7108" t="s">
        <v>1574</v>
      </c>
      <c r="C7108" t="s">
        <v>17933</v>
      </c>
      <c r="D7108" t="s">
        <v>20</v>
      </c>
      <c r="E7108" t="s">
        <v>11</v>
      </c>
      <c r="F7108">
        <v>57.2</v>
      </c>
      <c r="G7108">
        <v>18</v>
      </c>
    </row>
    <row r="7109" spans="1:7" x14ac:dyDescent="0.25">
      <c r="A7109" t="s">
        <v>41</v>
      </c>
      <c r="B7109" t="s">
        <v>1577</v>
      </c>
      <c r="C7109" t="s">
        <v>17934</v>
      </c>
      <c r="D7109" t="s">
        <v>20</v>
      </c>
      <c r="E7109" t="s">
        <v>11</v>
      </c>
      <c r="F7109">
        <v>58.300000000000004</v>
      </c>
      <c r="G7109">
        <v>18</v>
      </c>
    </row>
    <row r="7110" spans="1:7" x14ac:dyDescent="0.25">
      <c r="A7110" t="s">
        <v>41</v>
      </c>
      <c r="B7110" t="s">
        <v>1580</v>
      </c>
      <c r="C7110" t="s">
        <v>17778</v>
      </c>
      <c r="D7110" t="s">
        <v>20</v>
      </c>
      <c r="E7110" t="s">
        <v>11</v>
      </c>
      <c r="F7110">
        <v>61.60000000000001</v>
      </c>
      <c r="G7110">
        <v>18</v>
      </c>
    </row>
    <row r="7111" spans="1:7" x14ac:dyDescent="0.25">
      <c r="A7111" t="s">
        <v>41</v>
      </c>
      <c r="B7111" t="s">
        <v>1583</v>
      </c>
      <c r="C7111" t="s">
        <v>17935</v>
      </c>
      <c r="D7111" t="s">
        <v>20</v>
      </c>
      <c r="E7111" t="s">
        <v>11</v>
      </c>
      <c r="F7111">
        <v>61.60000000000001</v>
      </c>
      <c r="G7111">
        <v>18</v>
      </c>
    </row>
    <row r="7112" spans="1:7" x14ac:dyDescent="0.25">
      <c r="A7112" t="s">
        <v>41</v>
      </c>
      <c r="B7112" t="s">
        <v>1586</v>
      </c>
      <c r="C7112" t="s">
        <v>17850</v>
      </c>
      <c r="D7112" t="s">
        <v>20</v>
      </c>
      <c r="E7112" t="s">
        <v>11</v>
      </c>
      <c r="F7112">
        <v>3526.6000000000004</v>
      </c>
      <c r="G7112">
        <v>18</v>
      </c>
    </row>
    <row r="7113" spans="1:7" x14ac:dyDescent="0.25">
      <c r="A7113" t="s">
        <v>41</v>
      </c>
      <c r="B7113" t="s">
        <v>1589</v>
      </c>
      <c r="C7113" t="s">
        <v>17936</v>
      </c>
      <c r="D7113" t="s">
        <v>20</v>
      </c>
      <c r="E7113" t="s">
        <v>11</v>
      </c>
      <c r="F7113">
        <v>546.6999999999999</v>
      </c>
      <c r="G7113">
        <v>18</v>
      </c>
    </row>
    <row r="7114" spans="1:7" x14ac:dyDescent="0.25">
      <c r="A7114" t="s">
        <v>41</v>
      </c>
      <c r="B7114" t="s">
        <v>1592</v>
      </c>
      <c r="C7114" t="s">
        <v>17852</v>
      </c>
      <c r="D7114" t="s">
        <v>20</v>
      </c>
      <c r="E7114" t="s">
        <v>11</v>
      </c>
      <c r="F7114">
        <v>1642.3</v>
      </c>
      <c r="G7114">
        <v>18</v>
      </c>
    </row>
    <row r="7115" spans="1:7" x14ac:dyDescent="0.25">
      <c r="A7115" t="s">
        <v>41</v>
      </c>
      <c r="B7115" t="s">
        <v>1595</v>
      </c>
      <c r="C7115" t="s">
        <v>17937</v>
      </c>
      <c r="D7115" t="s">
        <v>20</v>
      </c>
      <c r="E7115" t="s">
        <v>11</v>
      </c>
      <c r="F7115">
        <v>12735.8</v>
      </c>
      <c r="G7115">
        <v>18</v>
      </c>
    </row>
    <row r="7116" spans="1:7" x14ac:dyDescent="0.25">
      <c r="A7116" t="s">
        <v>41</v>
      </c>
      <c r="B7116" t="s">
        <v>1598</v>
      </c>
      <c r="C7116" t="s">
        <v>17938</v>
      </c>
      <c r="D7116" t="s">
        <v>20</v>
      </c>
      <c r="E7116" t="s">
        <v>11</v>
      </c>
      <c r="F7116">
        <v>7234.7</v>
      </c>
      <c r="G7116">
        <v>18</v>
      </c>
    </row>
    <row r="7117" spans="1:7" x14ac:dyDescent="0.25">
      <c r="A7117" t="s">
        <v>41</v>
      </c>
      <c r="B7117" t="s">
        <v>1601</v>
      </c>
      <c r="C7117" t="s">
        <v>17673</v>
      </c>
      <c r="D7117" t="s">
        <v>20</v>
      </c>
      <c r="E7117" t="s">
        <v>11</v>
      </c>
      <c r="F7117">
        <v>733.7</v>
      </c>
      <c r="G7117">
        <v>18</v>
      </c>
    </row>
    <row r="7118" spans="1:7" x14ac:dyDescent="0.25">
      <c r="A7118" t="s">
        <v>41</v>
      </c>
      <c r="B7118" t="s">
        <v>1604</v>
      </c>
      <c r="C7118" t="s">
        <v>17939</v>
      </c>
      <c r="D7118" t="s">
        <v>20</v>
      </c>
      <c r="E7118" t="s">
        <v>11</v>
      </c>
      <c r="F7118">
        <v>2631.2000000000003</v>
      </c>
      <c r="G7118">
        <v>18</v>
      </c>
    </row>
    <row r="7119" spans="1:7" x14ac:dyDescent="0.25">
      <c r="A7119" t="s">
        <v>41</v>
      </c>
      <c r="B7119" t="s">
        <v>1607</v>
      </c>
      <c r="C7119" t="s">
        <v>17940</v>
      </c>
      <c r="D7119" t="s">
        <v>20</v>
      </c>
      <c r="E7119" t="s">
        <v>11</v>
      </c>
      <c r="F7119">
        <v>58.300000000000004</v>
      </c>
      <c r="G7119">
        <v>18</v>
      </c>
    </row>
    <row r="7120" spans="1:7" x14ac:dyDescent="0.25">
      <c r="A7120" t="s">
        <v>41</v>
      </c>
      <c r="B7120" t="s">
        <v>1610</v>
      </c>
      <c r="C7120" t="s">
        <v>17941</v>
      </c>
      <c r="D7120" t="s">
        <v>20</v>
      </c>
      <c r="E7120" t="s">
        <v>11</v>
      </c>
      <c r="F7120">
        <v>2834.7</v>
      </c>
      <c r="G7120">
        <v>18</v>
      </c>
    </row>
    <row r="7121" spans="1:7" x14ac:dyDescent="0.25">
      <c r="A7121" t="s">
        <v>41</v>
      </c>
      <c r="B7121" t="s">
        <v>1613</v>
      </c>
      <c r="C7121" t="s">
        <v>17942</v>
      </c>
      <c r="D7121" t="s">
        <v>20</v>
      </c>
      <c r="E7121" t="s">
        <v>11</v>
      </c>
      <c r="F7121">
        <v>69.3</v>
      </c>
      <c r="G7121">
        <v>18</v>
      </c>
    </row>
    <row r="7122" spans="1:7" x14ac:dyDescent="0.25">
      <c r="A7122" t="s">
        <v>41</v>
      </c>
      <c r="B7122" t="s">
        <v>1616</v>
      </c>
      <c r="C7122" t="s">
        <v>17639</v>
      </c>
      <c r="D7122" t="s">
        <v>20</v>
      </c>
      <c r="E7122" t="s">
        <v>11</v>
      </c>
      <c r="F7122">
        <v>140.8</v>
      </c>
      <c r="G7122">
        <v>18</v>
      </c>
    </row>
    <row r="7123" spans="1:7" x14ac:dyDescent="0.25">
      <c r="A7123" t="s">
        <v>41</v>
      </c>
      <c r="B7123" t="s">
        <v>1619</v>
      </c>
      <c r="C7123" t="s">
        <v>17943</v>
      </c>
      <c r="D7123" t="s">
        <v>20</v>
      </c>
      <c r="E7123" t="s">
        <v>11</v>
      </c>
      <c r="F7123">
        <v>6662.7</v>
      </c>
      <c r="G7123">
        <v>18</v>
      </c>
    </row>
    <row r="7124" spans="1:7" x14ac:dyDescent="0.25">
      <c r="A7124" t="s">
        <v>41</v>
      </c>
      <c r="B7124" t="s">
        <v>1622</v>
      </c>
      <c r="C7124" t="s">
        <v>17944</v>
      </c>
      <c r="D7124" t="s">
        <v>20</v>
      </c>
      <c r="E7124" t="s">
        <v>11</v>
      </c>
      <c r="F7124">
        <v>135.3</v>
      </c>
      <c r="G7124">
        <v>18</v>
      </c>
    </row>
    <row r="7125" spans="1:7" x14ac:dyDescent="0.25">
      <c r="A7125" t="s">
        <v>41</v>
      </c>
      <c r="B7125" t="s">
        <v>1625</v>
      </c>
      <c r="C7125" t="s">
        <v>17945</v>
      </c>
      <c r="D7125" t="s">
        <v>20</v>
      </c>
      <c r="E7125" t="s">
        <v>11</v>
      </c>
      <c r="F7125">
        <v>12735.8</v>
      </c>
      <c r="G7125">
        <v>18</v>
      </c>
    </row>
    <row r="7126" spans="1:7" x14ac:dyDescent="0.25">
      <c r="A7126" t="s">
        <v>41</v>
      </c>
      <c r="B7126" t="s">
        <v>1628</v>
      </c>
      <c r="C7126" t="s">
        <v>17946</v>
      </c>
      <c r="D7126" t="s">
        <v>20</v>
      </c>
      <c r="E7126" t="s">
        <v>11</v>
      </c>
      <c r="F7126">
        <v>8520.599999999999</v>
      </c>
      <c r="G7126">
        <v>18</v>
      </c>
    </row>
    <row r="7127" spans="1:7" x14ac:dyDescent="0.25">
      <c r="A7127" t="s">
        <v>41</v>
      </c>
      <c r="B7127" t="s">
        <v>1631</v>
      </c>
      <c r="C7127" t="s">
        <v>17841</v>
      </c>
      <c r="D7127" t="s">
        <v>20</v>
      </c>
      <c r="E7127" t="s">
        <v>11</v>
      </c>
      <c r="F7127">
        <v>2054.8</v>
      </c>
      <c r="G7127">
        <v>18</v>
      </c>
    </row>
    <row r="7128" spans="1:7" x14ac:dyDescent="0.25">
      <c r="A7128" t="s">
        <v>41</v>
      </c>
      <c r="B7128" t="s">
        <v>1634</v>
      </c>
      <c r="C7128" t="s">
        <v>17947</v>
      </c>
      <c r="D7128" t="s">
        <v>20</v>
      </c>
      <c r="E7128" t="s">
        <v>11</v>
      </c>
      <c r="F7128">
        <v>7234.7</v>
      </c>
      <c r="G7128">
        <v>18</v>
      </c>
    </row>
    <row r="7129" spans="1:7" x14ac:dyDescent="0.25">
      <c r="A7129" t="s">
        <v>41</v>
      </c>
      <c r="B7129" t="s">
        <v>1637</v>
      </c>
      <c r="C7129" t="s">
        <v>17948</v>
      </c>
      <c r="D7129" t="s">
        <v>20</v>
      </c>
      <c r="E7129" t="s">
        <v>11</v>
      </c>
      <c r="F7129">
        <v>8520.599999999999</v>
      </c>
      <c r="G7129">
        <v>18</v>
      </c>
    </row>
    <row r="7130" spans="1:7" x14ac:dyDescent="0.25">
      <c r="A7130" t="s">
        <v>41</v>
      </c>
      <c r="B7130" t="s">
        <v>1640</v>
      </c>
      <c r="C7130" t="s">
        <v>17949</v>
      </c>
      <c r="D7130" t="s">
        <v>20</v>
      </c>
      <c r="E7130" t="s">
        <v>11</v>
      </c>
      <c r="F7130">
        <v>8819.800000000001</v>
      </c>
      <c r="G7130">
        <v>18</v>
      </c>
    </row>
    <row r="7131" spans="1:7" x14ac:dyDescent="0.25">
      <c r="A7131" t="s">
        <v>41</v>
      </c>
      <c r="B7131" t="s">
        <v>1643</v>
      </c>
      <c r="C7131" t="s">
        <v>17950</v>
      </c>
      <c r="D7131" t="s">
        <v>20</v>
      </c>
      <c r="E7131" t="s">
        <v>11</v>
      </c>
      <c r="F7131">
        <v>3502.4</v>
      </c>
      <c r="G7131">
        <v>18</v>
      </c>
    </row>
    <row r="7132" spans="1:7" x14ac:dyDescent="0.25">
      <c r="A7132" t="s">
        <v>41</v>
      </c>
      <c r="B7132" t="s">
        <v>1646</v>
      </c>
      <c r="C7132" t="s">
        <v>17951</v>
      </c>
      <c r="D7132" t="s">
        <v>20</v>
      </c>
      <c r="E7132" t="s">
        <v>11</v>
      </c>
      <c r="F7132">
        <v>2656.5</v>
      </c>
      <c r="G7132">
        <v>18</v>
      </c>
    </row>
    <row r="7133" spans="1:7" x14ac:dyDescent="0.25">
      <c r="A7133" t="s">
        <v>41</v>
      </c>
      <c r="B7133" t="s">
        <v>1649</v>
      </c>
      <c r="C7133" t="s">
        <v>17952</v>
      </c>
      <c r="D7133" t="s">
        <v>20</v>
      </c>
      <c r="E7133" t="s">
        <v>11</v>
      </c>
      <c r="F7133">
        <v>70.4</v>
      </c>
      <c r="G7133">
        <v>18</v>
      </c>
    </row>
    <row r="7134" spans="1:7" x14ac:dyDescent="0.25">
      <c r="A7134" t="s">
        <v>41</v>
      </c>
      <c r="B7134" t="s">
        <v>1652</v>
      </c>
      <c r="C7134" t="s">
        <v>17953</v>
      </c>
      <c r="D7134" t="s">
        <v>20</v>
      </c>
      <c r="E7134" t="s">
        <v>11</v>
      </c>
      <c r="F7134">
        <v>9686.6</v>
      </c>
      <c r="G7134">
        <v>18</v>
      </c>
    </row>
    <row r="7135" spans="1:7" x14ac:dyDescent="0.25">
      <c r="A7135" t="s">
        <v>41</v>
      </c>
      <c r="B7135" t="s">
        <v>1655</v>
      </c>
      <c r="C7135" t="s">
        <v>17954</v>
      </c>
      <c r="D7135" t="s">
        <v>20</v>
      </c>
      <c r="E7135" t="s">
        <v>11</v>
      </c>
      <c r="F7135">
        <v>3461.7</v>
      </c>
      <c r="G7135">
        <v>18</v>
      </c>
    </row>
    <row r="7136" spans="1:7" x14ac:dyDescent="0.25">
      <c r="A7136" t="s">
        <v>41</v>
      </c>
      <c r="B7136" t="s">
        <v>1658</v>
      </c>
      <c r="C7136" t="s">
        <v>17955</v>
      </c>
      <c r="D7136" t="s">
        <v>20</v>
      </c>
      <c r="E7136" t="s">
        <v>11</v>
      </c>
      <c r="F7136">
        <v>418</v>
      </c>
      <c r="G7136">
        <v>18</v>
      </c>
    </row>
    <row r="7137" spans="1:7" x14ac:dyDescent="0.25">
      <c r="A7137" t="s">
        <v>41</v>
      </c>
      <c r="B7137" t="s">
        <v>1661</v>
      </c>
      <c r="C7137" t="s">
        <v>17956</v>
      </c>
      <c r="D7137" t="s">
        <v>20</v>
      </c>
      <c r="E7137" t="s">
        <v>11</v>
      </c>
      <c r="F7137">
        <v>299.20000000000005</v>
      </c>
      <c r="G7137">
        <v>18</v>
      </c>
    </row>
    <row r="7138" spans="1:7" x14ac:dyDescent="0.25">
      <c r="A7138" t="s">
        <v>41</v>
      </c>
      <c r="B7138" t="s">
        <v>1664</v>
      </c>
      <c r="C7138" t="s">
        <v>17957</v>
      </c>
      <c r="D7138" t="s">
        <v>20</v>
      </c>
      <c r="E7138" t="s">
        <v>11</v>
      </c>
      <c r="F7138">
        <v>2340.8</v>
      </c>
      <c r="G7138">
        <v>18</v>
      </c>
    </row>
    <row r="7139" spans="1:7" x14ac:dyDescent="0.25">
      <c r="A7139" t="s">
        <v>41</v>
      </c>
      <c r="B7139" t="s">
        <v>1667</v>
      </c>
      <c r="C7139" t="s">
        <v>17958</v>
      </c>
      <c r="D7139" t="s">
        <v>20</v>
      </c>
      <c r="E7139" t="s">
        <v>11</v>
      </c>
      <c r="F7139">
        <v>183.7</v>
      </c>
      <c r="G7139">
        <v>18</v>
      </c>
    </row>
    <row r="7140" spans="1:7" x14ac:dyDescent="0.25">
      <c r="A7140" t="s">
        <v>41</v>
      </c>
      <c r="B7140" t="s">
        <v>1670</v>
      </c>
      <c r="C7140" t="s">
        <v>17959</v>
      </c>
      <c r="D7140" t="s">
        <v>20</v>
      </c>
      <c r="E7140" t="s">
        <v>11</v>
      </c>
      <c r="F7140">
        <v>1637.9</v>
      </c>
      <c r="G7140">
        <v>18</v>
      </c>
    </row>
    <row r="7141" spans="1:7" x14ac:dyDescent="0.25">
      <c r="A7141" t="s">
        <v>41</v>
      </c>
      <c r="B7141" t="s">
        <v>1673</v>
      </c>
      <c r="C7141" t="s">
        <v>17960</v>
      </c>
      <c r="D7141" t="s">
        <v>20</v>
      </c>
      <c r="E7141" t="s">
        <v>11</v>
      </c>
      <c r="F7141">
        <v>71.5</v>
      </c>
      <c r="G7141">
        <v>18</v>
      </c>
    </row>
    <row r="7142" spans="1:7" x14ac:dyDescent="0.25">
      <c r="A7142" t="s">
        <v>41</v>
      </c>
      <c r="B7142" t="s">
        <v>1676</v>
      </c>
      <c r="C7142" t="s">
        <v>17961</v>
      </c>
      <c r="D7142" t="s">
        <v>20</v>
      </c>
      <c r="E7142" t="s">
        <v>11</v>
      </c>
      <c r="F7142">
        <v>12294.699999999999</v>
      </c>
      <c r="G7142">
        <v>18</v>
      </c>
    </row>
    <row r="7143" spans="1:7" x14ac:dyDescent="0.25">
      <c r="A7143" t="s">
        <v>41</v>
      </c>
      <c r="B7143" t="s">
        <v>1679</v>
      </c>
      <c r="C7143" t="s">
        <v>17962</v>
      </c>
      <c r="D7143" t="s">
        <v>20</v>
      </c>
      <c r="E7143" t="s">
        <v>11</v>
      </c>
      <c r="F7143">
        <v>3461.7</v>
      </c>
      <c r="G7143">
        <v>18</v>
      </c>
    </row>
    <row r="7144" spans="1:7" x14ac:dyDescent="0.25">
      <c r="A7144" t="s">
        <v>41</v>
      </c>
      <c r="B7144" t="s">
        <v>1682</v>
      </c>
      <c r="C7144" t="s">
        <v>17963</v>
      </c>
      <c r="D7144" t="s">
        <v>20</v>
      </c>
      <c r="E7144" t="s">
        <v>11</v>
      </c>
      <c r="F7144">
        <v>1512.5</v>
      </c>
      <c r="G7144">
        <v>18</v>
      </c>
    </row>
    <row r="7145" spans="1:7" x14ac:dyDescent="0.25">
      <c r="A7145" t="s">
        <v>41</v>
      </c>
      <c r="B7145" t="s">
        <v>1685</v>
      </c>
      <c r="C7145" t="s">
        <v>17964</v>
      </c>
      <c r="D7145" t="s">
        <v>20</v>
      </c>
      <c r="E7145" t="s">
        <v>11</v>
      </c>
      <c r="F7145">
        <v>1004.3000000000001</v>
      </c>
      <c r="G7145">
        <v>18</v>
      </c>
    </row>
    <row r="7146" spans="1:7" x14ac:dyDescent="0.25">
      <c r="A7146" t="s">
        <v>41</v>
      </c>
      <c r="B7146" t="s">
        <v>1688</v>
      </c>
      <c r="C7146" t="s">
        <v>17965</v>
      </c>
      <c r="D7146" t="s">
        <v>20</v>
      </c>
      <c r="E7146" t="s">
        <v>11</v>
      </c>
      <c r="F7146">
        <v>2105.4</v>
      </c>
      <c r="G7146">
        <v>18</v>
      </c>
    </row>
    <row r="7147" spans="1:7" x14ac:dyDescent="0.25">
      <c r="A7147" t="s">
        <v>41</v>
      </c>
      <c r="B7147" t="s">
        <v>1691</v>
      </c>
      <c r="C7147" t="s">
        <v>17656</v>
      </c>
      <c r="D7147" t="s">
        <v>20</v>
      </c>
      <c r="E7147" t="s">
        <v>11</v>
      </c>
      <c r="F7147">
        <v>58.300000000000004</v>
      </c>
      <c r="G7147">
        <v>18</v>
      </c>
    </row>
    <row r="7148" spans="1:7" x14ac:dyDescent="0.25">
      <c r="A7148" t="s">
        <v>41</v>
      </c>
      <c r="B7148" t="s">
        <v>1694</v>
      </c>
      <c r="C7148" t="s">
        <v>17966</v>
      </c>
      <c r="D7148" t="s">
        <v>20</v>
      </c>
      <c r="E7148" t="s">
        <v>11</v>
      </c>
      <c r="F7148">
        <v>457.6</v>
      </c>
      <c r="G7148">
        <v>18</v>
      </c>
    </row>
    <row r="7149" spans="1:7" x14ac:dyDescent="0.25">
      <c r="A7149" t="s">
        <v>41</v>
      </c>
      <c r="B7149" t="s">
        <v>1697</v>
      </c>
      <c r="C7149" t="s">
        <v>17967</v>
      </c>
      <c r="D7149" t="s">
        <v>20</v>
      </c>
      <c r="E7149" t="s">
        <v>11</v>
      </c>
      <c r="F7149">
        <v>1372.8</v>
      </c>
      <c r="G7149">
        <v>18</v>
      </c>
    </row>
    <row r="7150" spans="1:7" x14ac:dyDescent="0.25">
      <c r="A7150" t="s">
        <v>41</v>
      </c>
      <c r="B7150" t="s">
        <v>1700</v>
      </c>
      <c r="C7150" t="s">
        <v>17959</v>
      </c>
      <c r="D7150" t="s">
        <v>20</v>
      </c>
      <c r="E7150" t="s">
        <v>11</v>
      </c>
      <c r="F7150">
        <v>2376</v>
      </c>
      <c r="G7150">
        <v>18</v>
      </c>
    </row>
    <row r="7151" spans="1:7" x14ac:dyDescent="0.25">
      <c r="A7151" t="s">
        <v>41</v>
      </c>
      <c r="B7151" t="s">
        <v>1703</v>
      </c>
      <c r="C7151" t="s">
        <v>17968</v>
      </c>
      <c r="D7151" t="s">
        <v>20</v>
      </c>
      <c r="E7151" t="s">
        <v>11</v>
      </c>
      <c r="F7151">
        <v>1623.6</v>
      </c>
      <c r="G7151">
        <v>18</v>
      </c>
    </row>
    <row r="7152" spans="1:7" x14ac:dyDescent="0.25">
      <c r="A7152" t="s">
        <v>41</v>
      </c>
      <c r="B7152" t="s">
        <v>1706</v>
      </c>
      <c r="C7152" t="s">
        <v>17969</v>
      </c>
      <c r="D7152" t="s">
        <v>20</v>
      </c>
      <c r="E7152" t="s">
        <v>11</v>
      </c>
      <c r="F7152">
        <v>2026.2000000000003</v>
      </c>
      <c r="G7152">
        <v>18</v>
      </c>
    </row>
    <row r="7153" spans="1:7" x14ac:dyDescent="0.25">
      <c r="A7153" t="s">
        <v>41</v>
      </c>
      <c r="B7153" t="s">
        <v>1709</v>
      </c>
      <c r="C7153" t="s">
        <v>17970</v>
      </c>
      <c r="D7153" t="s">
        <v>20</v>
      </c>
      <c r="E7153" t="s">
        <v>11</v>
      </c>
      <c r="F7153">
        <v>58.300000000000004</v>
      </c>
      <c r="G7153">
        <v>18</v>
      </c>
    </row>
    <row r="7154" spans="1:7" x14ac:dyDescent="0.25">
      <c r="A7154" t="s">
        <v>41</v>
      </c>
      <c r="B7154" t="s">
        <v>1712</v>
      </c>
      <c r="C7154" t="s">
        <v>17971</v>
      </c>
      <c r="D7154" t="s">
        <v>20</v>
      </c>
      <c r="E7154" t="s">
        <v>11</v>
      </c>
      <c r="F7154">
        <v>12941.5</v>
      </c>
      <c r="G7154">
        <v>18</v>
      </c>
    </row>
    <row r="7155" spans="1:7" x14ac:dyDescent="0.25">
      <c r="A7155" t="s">
        <v>41</v>
      </c>
      <c r="B7155" t="s">
        <v>1715</v>
      </c>
      <c r="C7155" t="s">
        <v>17972</v>
      </c>
      <c r="D7155" t="s">
        <v>20</v>
      </c>
      <c r="E7155" t="s">
        <v>11</v>
      </c>
      <c r="F7155">
        <v>157.29999999999998</v>
      </c>
      <c r="G7155">
        <v>18</v>
      </c>
    </row>
    <row r="7156" spans="1:7" x14ac:dyDescent="0.25">
      <c r="A7156" t="s">
        <v>41</v>
      </c>
      <c r="B7156" t="s">
        <v>1718</v>
      </c>
      <c r="C7156" t="s">
        <v>17973</v>
      </c>
      <c r="D7156" t="s">
        <v>20</v>
      </c>
      <c r="E7156" t="s">
        <v>11</v>
      </c>
      <c r="F7156">
        <v>4265.8</v>
      </c>
      <c r="G7156">
        <v>18</v>
      </c>
    </row>
    <row r="7157" spans="1:7" x14ac:dyDescent="0.25">
      <c r="A7157" t="s">
        <v>41</v>
      </c>
      <c r="B7157" t="s">
        <v>1720</v>
      </c>
      <c r="C7157" t="s">
        <v>17974</v>
      </c>
      <c r="D7157" t="s">
        <v>20</v>
      </c>
      <c r="E7157" t="s">
        <v>11</v>
      </c>
      <c r="F7157">
        <v>347.6</v>
      </c>
      <c r="G7157">
        <v>18</v>
      </c>
    </row>
    <row r="7158" spans="1:7" x14ac:dyDescent="0.25">
      <c r="A7158" t="s">
        <v>41</v>
      </c>
      <c r="B7158" t="s">
        <v>1723</v>
      </c>
      <c r="C7158" t="s">
        <v>17975</v>
      </c>
      <c r="D7158" t="s">
        <v>20</v>
      </c>
      <c r="E7158" t="s">
        <v>11</v>
      </c>
      <c r="F7158">
        <v>1441</v>
      </c>
      <c r="G7158">
        <v>18</v>
      </c>
    </row>
    <row r="7159" spans="1:7" x14ac:dyDescent="0.25">
      <c r="A7159" t="s">
        <v>41</v>
      </c>
      <c r="B7159" t="s">
        <v>1726</v>
      </c>
      <c r="C7159" t="s">
        <v>17976</v>
      </c>
      <c r="D7159" t="s">
        <v>20</v>
      </c>
      <c r="E7159" t="s">
        <v>11</v>
      </c>
      <c r="F7159">
        <v>294.8</v>
      </c>
      <c r="G7159">
        <v>18</v>
      </c>
    </row>
    <row r="7160" spans="1:7" x14ac:dyDescent="0.25">
      <c r="A7160" t="s">
        <v>41</v>
      </c>
      <c r="B7160" t="s">
        <v>1729</v>
      </c>
      <c r="C7160" t="s">
        <v>17977</v>
      </c>
      <c r="D7160" t="s">
        <v>20</v>
      </c>
      <c r="E7160" t="s">
        <v>11</v>
      </c>
      <c r="F7160">
        <v>475.20000000000005</v>
      </c>
      <c r="G7160">
        <v>18</v>
      </c>
    </row>
    <row r="7161" spans="1:7" x14ac:dyDescent="0.25">
      <c r="A7161" t="s">
        <v>41</v>
      </c>
      <c r="B7161" t="s">
        <v>1732</v>
      </c>
      <c r="C7161" t="s">
        <v>17978</v>
      </c>
      <c r="D7161" t="s">
        <v>20</v>
      </c>
      <c r="E7161" t="s">
        <v>11</v>
      </c>
      <c r="F7161">
        <v>94.6</v>
      </c>
      <c r="G7161">
        <v>18</v>
      </c>
    </row>
    <row r="7162" spans="1:7" x14ac:dyDescent="0.25">
      <c r="A7162" t="s">
        <v>41</v>
      </c>
      <c r="B7162" t="s">
        <v>1735</v>
      </c>
      <c r="C7162" t="s">
        <v>17979</v>
      </c>
      <c r="D7162" t="s">
        <v>20</v>
      </c>
      <c r="E7162" t="s">
        <v>11</v>
      </c>
      <c r="F7162">
        <v>8358.9</v>
      </c>
      <c r="G7162">
        <v>18</v>
      </c>
    </row>
    <row r="7163" spans="1:7" x14ac:dyDescent="0.25">
      <c r="A7163" t="s">
        <v>41</v>
      </c>
      <c r="B7163" t="s">
        <v>1738</v>
      </c>
      <c r="C7163" t="s">
        <v>17780</v>
      </c>
      <c r="D7163" t="s">
        <v>20</v>
      </c>
      <c r="E7163" t="s">
        <v>11</v>
      </c>
      <c r="F7163">
        <v>60206.3</v>
      </c>
      <c r="G7163">
        <v>18</v>
      </c>
    </row>
    <row r="7164" spans="1:7" x14ac:dyDescent="0.25">
      <c r="A7164" t="s">
        <v>41</v>
      </c>
      <c r="B7164" t="s">
        <v>1741</v>
      </c>
      <c r="C7164" t="s">
        <v>17980</v>
      </c>
      <c r="D7164" t="s">
        <v>20</v>
      </c>
      <c r="E7164" t="s">
        <v>11</v>
      </c>
      <c r="F7164">
        <v>50938.799999999996</v>
      </c>
      <c r="G7164">
        <v>18</v>
      </c>
    </row>
    <row r="7165" spans="1:7" x14ac:dyDescent="0.25">
      <c r="A7165" t="s">
        <v>41</v>
      </c>
      <c r="B7165" t="s">
        <v>1744</v>
      </c>
      <c r="C7165" t="s">
        <v>17783</v>
      </c>
      <c r="D7165" t="s">
        <v>20</v>
      </c>
      <c r="E7165" t="s">
        <v>11</v>
      </c>
      <c r="F7165">
        <v>11480.7</v>
      </c>
      <c r="G7165">
        <v>18</v>
      </c>
    </row>
    <row r="7166" spans="1:7" x14ac:dyDescent="0.25">
      <c r="A7166" t="s">
        <v>41</v>
      </c>
      <c r="B7166" t="s">
        <v>1747</v>
      </c>
      <c r="C7166" t="s">
        <v>17784</v>
      </c>
      <c r="D7166" t="s">
        <v>20</v>
      </c>
      <c r="E7166" t="s">
        <v>11</v>
      </c>
      <c r="F7166">
        <v>1025.2</v>
      </c>
      <c r="G7166">
        <v>18</v>
      </c>
    </row>
    <row r="7167" spans="1:7" x14ac:dyDescent="0.25">
      <c r="A7167" t="s">
        <v>41</v>
      </c>
      <c r="B7167" t="s">
        <v>1750</v>
      </c>
      <c r="C7167" t="s">
        <v>17981</v>
      </c>
      <c r="D7167" t="s">
        <v>20</v>
      </c>
      <c r="E7167" t="s">
        <v>11</v>
      </c>
      <c r="F7167">
        <v>482.9</v>
      </c>
      <c r="G7167">
        <v>18</v>
      </c>
    </row>
    <row r="7168" spans="1:7" x14ac:dyDescent="0.25">
      <c r="A7168" t="s">
        <v>41</v>
      </c>
      <c r="B7168" t="s">
        <v>1753</v>
      </c>
      <c r="C7168" t="s">
        <v>17982</v>
      </c>
      <c r="D7168" t="s">
        <v>20</v>
      </c>
      <c r="E7168" t="s">
        <v>11</v>
      </c>
      <c r="F7168">
        <v>29222.600000000002</v>
      </c>
      <c r="G7168">
        <v>18</v>
      </c>
    </row>
    <row r="7169" spans="1:7" x14ac:dyDescent="0.25">
      <c r="A7169" t="s">
        <v>41</v>
      </c>
      <c r="B7169" t="s">
        <v>1756</v>
      </c>
      <c r="C7169" t="s">
        <v>17983</v>
      </c>
      <c r="D7169" t="s">
        <v>20</v>
      </c>
      <c r="E7169" t="s">
        <v>11</v>
      </c>
      <c r="F7169">
        <v>9185</v>
      </c>
      <c r="G7169">
        <v>18</v>
      </c>
    </row>
    <row r="7170" spans="1:7" x14ac:dyDescent="0.25">
      <c r="A7170" t="s">
        <v>41</v>
      </c>
      <c r="B7170" t="s">
        <v>1759</v>
      </c>
      <c r="C7170" t="s">
        <v>17984</v>
      </c>
      <c r="D7170" t="s">
        <v>20</v>
      </c>
      <c r="E7170" t="s">
        <v>11</v>
      </c>
      <c r="F7170">
        <v>378.4</v>
      </c>
      <c r="G7170">
        <v>18</v>
      </c>
    </row>
    <row r="7171" spans="1:7" x14ac:dyDescent="0.25">
      <c r="A7171" t="s">
        <v>41</v>
      </c>
      <c r="B7171" t="s">
        <v>1762</v>
      </c>
      <c r="C7171" t="s">
        <v>17985</v>
      </c>
      <c r="D7171" t="s">
        <v>20</v>
      </c>
      <c r="E7171" t="s">
        <v>11</v>
      </c>
      <c r="F7171">
        <v>4220.7</v>
      </c>
      <c r="G7171">
        <v>18</v>
      </c>
    </row>
    <row r="7172" spans="1:7" x14ac:dyDescent="0.25">
      <c r="A7172" t="s">
        <v>41</v>
      </c>
      <c r="B7172" t="s">
        <v>1765</v>
      </c>
      <c r="C7172" t="s">
        <v>17986</v>
      </c>
      <c r="D7172" t="s">
        <v>20</v>
      </c>
      <c r="E7172" t="s">
        <v>11</v>
      </c>
      <c r="F7172">
        <v>983.4</v>
      </c>
      <c r="G7172">
        <v>18</v>
      </c>
    </row>
    <row r="7173" spans="1:7" x14ac:dyDescent="0.25">
      <c r="A7173" t="s">
        <v>41</v>
      </c>
      <c r="B7173" t="s">
        <v>1768</v>
      </c>
      <c r="C7173" t="s">
        <v>17987</v>
      </c>
      <c r="D7173" t="s">
        <v>20</v>
      </c>
      <c r="E7173" t="s">
        <v>11</v>
      </c>
      <c r="F7173">
        <v>233.20000000000002</v>
      </c>
      <c r="G7173">
        <v>18</v>
      </c>
    </row>
    <row r="7174" spans="1:7" x14ac:dyDescent="0.25">
      <c r="A7174" t="s">
        <v>41</v>
      </c>
      <c r="B7174" t="s">
        <v>1771</v>
      </c>
      <c r="C7174" t="s">
        <v>17988</v>
      </c>
      <c r="D7174" t="s">
        <v>20</v>
      </c>
      <c r="E7174" t="s">
        <v>11</v>
      </c>
      <c r="F7174">
        <v>1856.8</v>
      </c>
      <c r="G7174">
        <v>18</v>
      </c>
    </row>
    <row r="7175" spans="1:7" x14ac:dyDescent="0.25">
      <c r="A7175" t="s">
        <v>41</v>
      </c>
      <c r="B7175" t="s">
        <v>1774</v>
      </c>
      <c r="C7175" t="s">
        <v>17989</v>
      </c>
      <c r="D7175" t="s">
        <v>20</v>
      </c>
      <c r="E7175" t="s">
        <v>11</v>
      </c>
      <c r="F7175">
        <v>304.7</v>
      </c>
      <c r="G7175">
        <v>18</v>
      </c>
    </row>
    <row r="7176" spans="1:7" x14ac:dyDescent="0.25">
      <c r="A7176" t="s">
        <v>41</v>
      </c>
      <c r="B7176" t="s">
        <v>1777</v>
      </c>
      <c r="C7176" t="s">
        <v>17990</v>
      </c>
      <c r="D7176" t="s">
        <v>20</v>
      </c>
      <c r="E7176" t="s">
        <v>11</v>
      </c>
      <c r="F7176">
        <v>61.60000000000001</v>
      </c>
      <c r="G7176">
        <v>18</v>
      </c>
    </row>
    <row r="7177" spans="1:7" x14ac:dyDescent="0.25">
      <c r="A7177" t="s">
        <v>41</v>
      </c>
      <c r="B7177" t="s">
        <v>1780</v>
      </c>
      <c r="C7177" t="s">
        <v>17991</v>
      </c>
      <c r="D7177" t="s">
        <v>20</v>
      </c>
      <c r="E7177" t="s">
        <v>11</v>
      </c>
      <c r="F7177">
        <v>11086.900000000001</v>
      </c>
      <c r="G7177">
        <v>18</v>
      </c>
    </row>
    <row r="7178" spans="1:7" x14ac:dyDescent="0.25">
      <c r="A7178" t="s">
        <v>41</v>
      </c>
      <c r="B7178" t="s">
        <v>1783</v>
      </c>
      <c r="C7178" t="s">
        <v>17992</v>
      </c>
      <c r="D7178" t="s">
        <v>20</v>
      </c>
      <c r="E7178" t="s">
        <v>11</v>
      </c>
      <c r="F7178">
        <v>179.29999999999998</v>
      </c>
      <c r="G7178">
        <v>18</v>
      </c>
    </row>
    <row r="7179" spans="1:7" x14ac:dyDescent="0.25">
      <c r="A7179" t="s">
        <v>41</v>
      </c>
      <c r="B7179" t="s">
        <v>1786</v>
      </c>
      <c r="C7179" t="s">
        <v>17993</v>
      </c>
      <c r="D7179" t="s">
        <v>20</v>
      </c>
      <c r="E7179" t="s">
        <v>11</v>
      </c>
      <c r="F7179">
        <v>70.4</v>
      </c>
      <c r="G7179">
        <v>18</v>
      </c>
    </row>
    <row r="7180" spans="1:7" x14ac:dyDescent="0.25">
      <c r="A7180" t="s">
        <v>41</v>
      </c>
      <c r="B7180" t="s">
        <v>1789</v>
      </c>
      <c r="C7180" t="s">
        <v>17994</v>
      </c>
      <c r="D7180" t="s">
        <v>20</v>
      </c>
      <c r="E7180" t="s">
        <v>11</v>
      </c>
      <c r="F7180">
        <v>9275.199999999999</v>
      </c>
      <c r="G7180">
        <v>18</v>
      </c>
    </row>
    <row r="7181" spans="1:7" x14ac:dyDescent="0.25">
      <c r="A7181" t="s">
        <v>41</v>
      </c>
      <c r="B7181" t="s">
        <v>1792</v>
      </c>
      <c r="C7181" t="s">
        <v>17995</v>
      </c>
      <c r="D7181" t="s">
        <v>20</v>
      </c>
      <c r="E7181" t="s">
        <v>11</v>
      </c>
      <c r="F7181">
        <v>9109.1</v>
      </c>
      <c r="G7181">
        <v>18</v>
      </c>
    </row>
    <row r="7182" spans="1:7" x14ac:dyDescent="0.25">
      <c r="A7182" t="s">
        <v>41</v>
      </c>
      <c r="B7182" t="s">
        <v>1795</v>
      </c>
      <c r="C7182" t="s">
        <v>17796</v>
      </c>
      <c r="D7182" t="s">
        <v>20</v>
      </c>
      <c r="E7182" t="s">
        <v>11</v>
      </c>
      <c r="F7182">
        <v>157.29999999999998</v>
      </c>
      <c r="G7182">
        <v>18</v>
      </c>
    </row>
    <row r="7183" spans="1:7" x14ac:dyDescent="0.25">
      <c r="A7183" t="s">
        <v>41</v>
      </c>
      <c r="B7183" t="s">
        <v>1798</v>
      </c>
      <c r="C7183" t="s">
        <v>17996</v>
      </c>
      <c r="D7183" t="s">
        <v>20</v>
      </c>
      <c r="E7183" t="s">
        <v>11</v>
      </c>
      <c r="F7183">
        <v>212.29999999999998</v>
      </c>
      <c r="G7183">
        <v>18</v>
      </c>
    </row>
    <row r="7184" spans="1:7" x14ac:dyDescent="0.25">
      <c r="A7184" t="s">
        <v>41</v>
      </c>
      <c r="B7184" t="s">
        <v>1800</v>
      </c>
      <c r="C7184" t="s">
        <v>17997</v>
      </c>
      <c r="D7184" t="s">
        <v>20</v>
      </c>
      <c r="E7184" t="s">
        <v>11</v>
      </c>
      <c r="F7184">
        <v>2295.7000000000003</v>
      </c>
      <c r="G7184">
        <v>18</v>
      </c>
    </row>
    <row r="7185" spans="1:7" x14ac:dyDescent="0.25">
      <c r="A7185" t="s">
        <v>41</v>
      </c>
      <c r="B7185" t="s">
        <v>1803</v>
      </c>
      <c r="C7185" t="s">
        <v>17998</v>
      </c>
      <c r="D7185" t="s">
        <v>20</v>
      </c>
      <c r="E7185" t="s">
        <v>11</v>
      </c>
      <c r="F7185">
        <v>1206.7</v>
      </c>
      <c r="G7185">
        <v>18</v>
      </c>
    </row>
    <row r="7186" spans="1:7" x14ac:dyDescent="0.25">
      <c r="A7186" t="s">
        <v>41</v>
      </c>
      <c r="B7186" t="s">
        <v>1806</v>
      </c>
      <c r="C7186" t="s">
        <v>17999</v>
      </c>
      <c r="D7186" t="s">
        <v>20</v>
      </c>
      <c r="E7186" t="s">
        <v>11</v>
      </c>
      <c r="F7186">
        <v>418</v>
      </c>
      <c r="G7186">
        <v>18</v>
      </c>
    </row>
    <row r="7187" spans="1:7" x14ac:dyDescent="0.25">
      <c r="A7187" t="s">
        <v>41</v>
      </c>
      <c r="B7187" t="s">
        <v>1809</v>
      </c>
      <c r="C7187" t="s">
        <v>18000</v>
      </c>
      <c r="D7187" t="s">
        <v>20</v>
      </c>
      <c r="E7187" t="s">
        <v>11</v>
      </c>
      <c r="F7187">
        <v>185.9</v>
      </c>
      <c r="G7187">
        <v>18</v>
      </c>
    </row>
    <row r="7188" spans="1:7" x14ac:dyDescent="0.25">
      <c r="A7188" t="s">
        <v>41</v>
      </c>
      <c r="B7188" t="s">
        <v>1812</v>
      </c>
      <c r="C7188" t="s">
        <v>18001</v>
      </c>
      <c r="D7188" t="s">
        <v>20</v>
      </c>
      <c r="E7188" t="s">
        <v>11</v>
      </c>
      <c r="F7188">
        <v>401.5</v>
      </c>
      <c r="G7188">
        <v>18</v>
      </c>
    </row>
    <row r="7189" spans="1:7" x14ac:dyDescent="0.25">
      <c r="A7189" t="s">
        <v>41</v>
      </c>
      <c r="B7189" t="s">
        <v>1815</v>
      </c>
      <c r="C7189" t="s">
        <v>18002</v>
      </c>
      <c r="D7189" t="s">
        <v>20</v>
      </c>
      <c r="E7189" t="s">
        <v>11</v>
      </c>
      <c r="F7189">
        <v>5155.7</v>
      </c>
      <c r="G7189">
        <v>18</v>
      </c>
    </row>
    <row r="7190" spans="1:7" x14ac:dyDescent="0.25">
      <c r="A7190" t="s">
        <v>41</v>
      </c>
      <c r="B7190" t="s">
        <v>1818</v>
      </c>
      <c r="C7190" t="s">
        <v>18003</v>
      </c>
      <c r="D7190" t="s">
        <v>20</v>
      </c>
      <c r="E7190" t="s">
        <v>11</v>
      </c>
      <c r="F7190">
        <v>375.1</v>
      </c>
      <c r="G7190">
        <v>18</v>
      </c>
    </row>
    <row r="7191" spans="1:7" x14ac:dyDescent="0.25">
      <c r="A7191" t="s">
        <v>41</v>
      </c>
      <c r="B7191" t="s">
        <v>1821</v>
      </c>
      <c r="C7191" t="s">
        <v>18004</v>
      </c>
      <c r="D7191" t="s">
        <v>20</v>
      </c>
      <c r="E7191" t="s">
        <v>11</v>
      </c>
      <c r="F7191">
        <v>1372.8</v>
      </c>
      <c r="G7191">
        <v>18</v>
      </c>
    </row>
    <row r="7192" spans="1:7" x14ac:dyDescent="0.25">
      <c r="A7192" t="s">
        <v>41</v>
      </c>
      <c r="B7192" t="s">
        <v>1824</v>
      </c>
      <c r="C7192" t="s">
        <v>18005</v>
      </c>
      <c r="D7192" t="s">
        <v>20</v>
      </c>
      <c r="E7192" t="s">
        <v>11</v>
      </c>
      <c r="F7192">
        <v>140.8</v>
      </c>
      <c r="G7192">
        <v>18</v>
      </c>
    </row>
    <row r="7193" spans="1:7" x14ac:dyDescent="0.25">
      <c r="A7193" t="s">
        <v>41</v>
      </c>
      <c r="B7193" t="s">
        <v>1827</v>
      </c>
      <c r="C7193" t="s">
        <v>18006</v>
      </c>
      <c r="D7193" t="s">
        <v>20</v>
      </c>
      <c r="E7193" t="s">
        <v>11</v>
      </c>
      <c r="F7193">
        <v>1274.9</v>
      </c>
      <c r="G7193">
        <v>18</v>
      </c>
    </row>
    <row r="7194" spans="1:7" x14ac:dyDescent="0.25">
      <c r="A7194" t="s">
        <v>41</v>
      </c>
      <c r="B7194" t="s">
        <v>1830</v>
      </c>
      <c r="C7194" t="s">
        <v>18007</v>
      </c>
      <c r="D7194" t="s">
        <v>20</v>
      </c>
      <c r="E7194" t="s">
        <v>11</v>
      </c>
      <c r="F7194">
        <v>2643.3</v>
      </c>
      <c r="G7194">
        <v>18</v>
      </c>
    </row>
    <row r="7195" spans="1:7" x14ac:dyDescent="0.25">
      <c r="A7195" t="s">
        <v>41</v>
      </c>
      <c r="B7195" t="s">
        <v>1833</v>
      </c>
      <c r="C7195" t="s">
        <v>18008</v>
      </c>
      <c r="D7195" t="s">
        <v>20</v>
      </c>
      <c r="E7195" t="s">
        <v>11</v>
      </c>
      <c r="F7195">
        <v>22942.7</v>
      </c>
      <c r="G7195">
        <v>18</v>
      </c>
    </row>
    <row r="7196" spans="1:7" x14ac:dyDescent="0.25">
      <c r="A7196" t="s">
        <v>41</v>
      </c>
      <c r="B7196" t="s">
        <v>1836</v>
      </c>
      <c r="C7196" t="s">
        <v>18009</v>
      </c>
      <c r="D7196" t="s">
        <v>20</v>
      </c>
      <c r="E7196" t="s">
        <v>11</v>
      </c>
      <c r="F7196">
        <v>326.70000000000005</v>
      </c>
      <c r="G7196">
        <v>18</v>
      </c>
    </row>
    <row r="7197" spans="1:7" x14ac:dyDescent="0.25">
      <c r="A7197" t="s">
        <v>41</v>
      </c>
      <c r="B7197" t="s">
        <v>1839</v>
      </c>
      <c r="C7197" t="s">
        <v>18010</v>
      </c>
      <c r="D7197" t="s">
        <v>20</v>
      </c>
      <c r="E7197" t="s">
        <v>11</v>
      </c>
      <c r="F7197">
        <v>355.3</v>
      </c>
      <c r="G7197">
        <v>18</v>
      </c>
    </row>
    <row r="7198" spans="1:7" x14ac:dyDescent="0.25">
      <c r="A7198" t="s">
        <v>41</v>
      </c>
      <c r="B7198" t="s">
        <v>1842</v>
      </c>
      <c r="C7198" t="s">
        <v>18011</v>
      </c>
      <c r="D7198" t="s">
        <v>20</v>
      </c>
      <c r="E7198" t="s">
        <v>11</v>
      </c>
      <c r="F7198">
        <v>444.4</v>
      </c>
      <c r="G7198">
        <v>18</v>
      </c>
    </row>
    <row r="7199" spans="1:7" x14ac:dyDescent="0.25">
      <c r="A7199" t="s">
        <v>41</v>
      </c>
      <c r="B7199" t="s">
        <v>1845</v>
      </c>
      <c r="C7199" t="s">
        <v>18012</v>
      </c>
      <c r="D7199" t="s">
        <v>20</v>
      </c>
      <c r="E7199" t="s">
        <v>11</v>
      </c>
      <c r="F7199">
        <v>5130.4</v>
      </c>
      <c r="G7199">
        <v>18</v>
      </c>
    </row>
    <row r="7200" spans="1:7" x14ac:dyDescent="0.25">
      <c r="A7200" t="s">
        <v>41</v>
      </c>
      <c r="B7200" t="s">
        <v>1848</v>
      </c>
      <c r="C7200" t="s">
        <v>18013</v>
      </c>
      <c r="D7200" t="s">
        <v>20</v>
      </c>
      <c r="E7200" t="s">
        <v>11</v>
      </c>
      <c r="F7200">
        <v>5110.6</v>
      </c>
      <c r="G7200">
        <v>18</v>
      </c>
    </row>
    <row r="7201" spans="1:7" x14ac:dyDescent="0.25">
      <c r="A7201" t="s">
        <v>41</v>
      </c>
      <c r="B7201" t="s">
        <v>1851</v>
      </c>
      <c r="C7201" t="s">
        <v>18014</v>
      </c>
      <c r="D7201" t="s">
        <v>20</v>
      </c>
      <c r="E7201" t="s">
        <v>11</v>
      </c>
      <c r="F7201">
        <v>5393.3</v>
      </c>
      <c r="G7201">
        <v>18</v>
      </c>
    </row>
    <row r="7202" spans="1:7" x14ac:dyDescent="0.25">
      <c r="A7202" t="s">
        <v>41</v>
      </c>
      <c r="B7202" t="s">
        <v>1854</v>
      </c>
      <c r="C7202" t="s">
        <v>18015</v>
      </c>
      <c r="D7202" t="s">
        <v>20</v>
      </c>
      <c r="E7202" t="s">
        <v>11</v>
      </c>
      <c r="F7202">
        <v>1856.8</v>
      </c>
      <c r="G7202">
        <v>18</v>
      </c>
    </row>
    <row r="7203" spans="1:7" x14ac:dyDescent="0.25">
      <c r="A7203" t="s">
        <v>41</v>
      </c>
      <c r="B7203" t="s">
        <v>1857</v>
      </c>
      <c r="C7203" t="s">
        <v>18016</v>
      </c>
      <c r="D7203" t="s">
        <v>20</v>
      </c>
      <c r="E7203" t="s">
        <v>11</v>
      </c>
      <c r="F7203">
        <v>938.3</v>
      </c>
      <c r="G7203">
        <v>18</v>
      </c>
    </row>
    <row r="7204" spans="1:7" x14ac:dyDescent="0.25">
      <c r="A7204" t="s">
        <v>41</v>
      </c>
      <c r="B7204" t="s">
        <v>1860</v>
      </c>
      <c r="C7204" t="s">
        <v>18017</v>
      </c>
      <c r="D7204" t="s">
        <v>20</v>
      </c>
      <c r="E7204" t="s">
        <v>11</v>
      </c>
      <c r="F7204">
        <v>70.4</v>
      </c>
      <c r="G7204">
        <v>18</v>
      </c>
    </row>
    <row r="7205" spans="1:7" x14ac:dyDescent="0.25">
      <c r="A7205" t="s">
        <v>41</v>
      </c>
      <c r="B7205" t="s">
        <v>1863</v>
      </c>
      <c r="C7205" t="s">
        <v>18018</v>
      </c>
      <c r="D7205" t="s">
        <v>20</v>
      </c>
      <c r="E7205" t="s">
        <v>11</v>
      </c>
      <c r="F7205">
        <v>83.6</v>
      </c>
      <c r="G7205">
        <v>18</v>
      </c>
    </row>
    <row r="7206" spans="1:7" x14ac:dyDescent="0.25">
      <c r="A7206" t="s">
        <v>41</v>
      </c>
      <c r="B7206" t="s">
        <v>1866</v>
      </c>
      <c r="C7206" t="s">
        <v>18019</v>
      </c>
      <c r="D7206" t="s">
        <v>20</v>
      </c>
      <c r="E7206" t="s">
        <v>11</v>
      </c>
      <c r="F7206">
        <v>80175.7</v>
      </c>
      <c r="G7206">
        <v>18</v>
      </c>
    </row>
    <row r="7207" spans="1:7" x14ac:dyDescent="0.25">
      <c r="A7207" t="s">
        <v>41</v>
      </c>
      <c r="B7207" t="s">
        <v>1869</v>
      </c>
      <c r="C7207" t="s">
        <v>18020</v>
      </c>
      <c r="D7207" t="s">
        <v>20</v>
      </c>
      <c r="E7207" t="s">
        <v>11</v>
      </c>
      <c r="F7207">
        <v>80175.7</v>
      </c>
      <c r="G7207">
        <v>18</v>
      </c>
    </row>
    <row r="7208" spans="1:7" x14ac:dyDescent="0.25">
      <c r="A7208" t="s">
        <v>41</v>
      </c>
      <c r="B7208" t="s">
        <v>1872</v>
      </c>
      <c r="C7208" t="s">
        <v>17805</v>
      </c>
      <c r="D7208" t="s">
        <v>20</v>
      </c>
      <c r="E7208" t="s">
        <v>11</v>
      </c>
      <c r="F7208">
        <v>8336.900000000001</v>
      </c>
      <c r="G7208">
        <v>18</v>
      </c>
    </row>
    <row r="7209" spans="1:7" x14ac:dyDescent="0.25">
      <c r="A7209" t="s">
        <v>41</v>
      </c>
      <c r="B7209" t="s">
        <v>1875</v>
      </c>
      <c r="C7209" t="s">
        <v>18021</v>
      </c>
      <c r="D7209" t="s">
        <v>20</v>
      </c>
      <c r="E7209" t="s">
        <v>11</v>
      </c>
      <c r="F7209">
        <v>4594.700000000001</v>
      </c>
      <c r="G7209">
        <v>18</v>
      </c>
    </row>
    <row r="7210" spans="1:7" x14ac:dyDescent="0.25">
      <c r="A7210" t="s">
        <v>41</v>
      </c>
      <c r="B7210" t="s">
        <v>1878</v>
      </c>
      <c r="C7210" t="s">
        <v>17757</v>
      </c>
      <c r="D7210" t="s">
        <v>20</v>
      </c>
      <c r="E7210" t="s">
        <v>11</v>
      </c>
      <c r="F7210">
        <v>1856.8</v>
      </c>
      <c r="G7210">
        <v>18</v>
      </c>
    </row>
    <row r="7211" spans="1:7" x14ac:dyDescent="0.25">
      <c r="A7211" t="s">
        <v>41</v>
      </c>
      <c r="B7211" t="s">
        <v>1881</v>
      </c>
      <c r="C7211" t="s">
        <v>17645</v>
      </c>
      <c r="D7211" t="s">
        <v>20</v>
      </c>
      <c r="E7211" t="s">
        <v>11</v>
      </c>
      <c r="F7211">
        <v>167.2</v>
      </c>
      <c r="G7211">
        <v>18</v>
      </c>
    </row>
    <row r="7212" spans="1:7" x14ac:dyDescent="0.25">
      <c r="A7212" t="s">
        <v>41</v>
      </c>
      <c r="B7212" t="s">
        <v>1884</v>
      </c>
      <c r="C7212" t="s">
        <v>18022</v>
      </c>
      <c r="D7212" t="s">
        <v>20</v>
      </c>
      <c r="E7212" t="s">
        <v>11</v>
      </c>
      <c r="F7212">
        <v>70.4</v>
      </c>
      <c r="G7212">
        <v>18</v>
      </c>
    </row>
    <row r="7213" spans="1:7" x14ac:dyDescent="0.25">
      <c r="A7213" t="s">
        <v>41</v>
      </c>
      <c r="B7213" t="s">
        <v>1887</v>
      </c>
      <c r="C7213" t="s">
        <v>18023</v>
      </c>
      <c r="D7213" t="s">
        <v>20</v>
      </c>
      <c r="E7213" t="s">
        <v>11</v>
      </c>
      <c r="F7213">
        <v>727.1</v>
      </c>
      <c r="G7213">
        <v>18</v>
      </c>
    </row>
    <row r="7214" spans="1:7" x14ac:dyDescent="0.25">
      <c r="A7214" t="s">
        <v>41</v>
      </c>
      <c r="B7214" t="s">
        <v>1890</v>
      </c>
      <c r="C7214" t="s">
        <v>17810</v>
      </c>
      <c r="D7214" t="s">
        <v>20</v>
      </c>
      <c r="E7214" t="s">
        <v>11</v>
      </c>
      <c r="F7214">
        <v>7504.2</v>
      </c>
      <c r="G7214">
        <v>18</v>
      </c>
    </row>
    <row r="7215" spans="1:7" x14ac:dyDescent="0.25">
      <c r="A7215" t="s">
        <v>41</v>
      </c>
      <c r="B7215" t="s">
        <v>1893</v>
      </c>
      <c r="C7215" t="s">
        <v>17811</v>
      </c>
      <c r="D7215" t="s">
        <v>20</v>
      </c>
      <c r="E7215" t="s">
        <v>11</v>
      </c>
      <c r="F7215">
        <v>4594.700000000001</v>
      </c>
      <c r="G7215">
        <v>18</v>
      </c>
    </row>
    <row r="7216" spans="1:7" x14ac:dyDescent="0.25">
      <c r="A7216" t="s">
        <v>41</v>
      </c>
      <c r="B7216" t="s">
        <v>1896</v>
      </c>
      <c r="C7216" t="s">
        <v>17900</v>
      </c>
      <c r="D7216" t="s">
        <v>20</v>
      </c>
      <c r="E7216" t="s">
        <v>11</v>
      </c>
      <c r="F7216">
        <v>473</v>
      </c>
      <c r="G7216">
        <v>18</v>
      </c>
    </row>
    <row r="7217" spans="1:7" x14ac:dyDescent="0.25">
      <c r="A7217" t="s">
        <v>41</v>
      </c>
      <c r="B7217" t="s">
        <v>1899</v>
      </c>
      <c r="C7217" t="s">
        <v>18024</v>
      </c>
      <c r="D7217" t="s">
        <v>20</v>
      </c>
      <c r="E7217" t="s">
        <v>11</v>
      </c>
      <c r="F7217">
        <v>70.4</v>
      </c>
      <c r="G7217">
        <v>18</v>
      </c>
    </row>
    <row r="7218" spans="1:7" x14ac:dyDescent="0.25">
      <c r="A7218" t="s">
        <v>41</v>
      </c>
      <c r="B7218" t="s">
        <v>1902</v>
      </c>
      <c r="C7218" t="s">
        <v>17757</v>
      </c>
      <c r="D7218" t="s">
        <v>20</v>
      </c>
      <c r="E7218" t="s">
        <v>11</v>
      </c>
      <c r="F7218">
        <v>1856.8</v>
      </c>
      <c r="G7218">
        <v>18</v>
      </c>
    </row>
    <row r="7219" spans="1:7" x14ac:dyDescent="0.25">
      <c r="A7219" t="s">
        <v>41</v>
      </c>
      <c r="B7219" t="s">
        <v>1905</v>
      </c>
      <c r="C7219" t="s">
        <v>17663</v>
      </c>
      <c r="D7219" t="s">
        <v>20</v>
      </c>
      <c r="E7219" t="s">
        <v>11</v>
      </c>
      <c r="F7219">
        <v>178.20000000000002</v>
      </c>
      <c r="G7219">
        <v>18</v>
      </c>
    </row>
    <row r="7220" spans="1:7" x14ac:dyDescent="0.25">
      <c r="A7220" t="s">
        <v>41</v>
      </c>
      <c r="B7220" t="s">
        <v>1908</v>
      </c>
      <c r="C7220" t="s">
        <v>18025</v>
      </c>
      <c r="D7220" t="s">
        <v>20</v>
      </c>
      <c r="E7220" t="s">
        <v>11</v>
      </c>
      <c r="F7220">
        <v>264</v>
      </c>
      <c r="G7220">
        <v>18</v>
      </c>
    </row>
    <row r="7221" spans="1:7" x14ac:dyDescent="0.25">
      <c r="A7221" t="s">
        <v>41</v>
      </c>
      <c r="B7221" t="s">
        <v>1911</v>
      </c>
      <c r="C7221" t="s">
        <v>17819</v>
      </c>
      <c r="D7221" t="s">
        <v>20</v>
      </c>
      <c r="E7221" t="s">
        <v>11</v>
      </c>
      <c r="F7221">
        <v>79.2</v>
      </c>
      <c r="G7221">
        <v>18</v>
      </c>
    </row>
    <row r="7222" spans="1:7" x14ac:dyDescent="0.25">
      <c r="A7222" t="s">
        <v>41</v>
      </c>
      <c r="B7222" t="s">
        <v>1914</v>
      </c>
      <c r="C7222" t="s">
        <v>18026</v>
      </c>
      <c r="D7222" t="s">
        <v>20</v>
      </c>
      <c r="E7222" t="s">
        <v>11</v>
      </c>
      <c r="F7222">
        <v>58.300000000000004</v>
      </c>
      <c r="G7222">
        <v>18</v>
      </c>
    </row>
    <row r="7223" spans="1:7" x14ac:dyDescent="0.25">
      <c r="A7223" t="s">
        <v>41</v>
      </c>
      <c r="B7223" t="s">
        <v>1917</v>
      </c>
      <c r="C7223" t="s">
        <v>18027</v>
      </c>
      <c r="D7223" t="s">
        <v>20</v>
      </c>
      <c r="E7223" t="s">
        <v>11</v>
      </c>
      <c r="F7223">
        <v>696.3</v>
      </c>
      <c r="G7223">
        <v>18</v>
      </c>
    </row>
    <row r="7224" spans="1:7" x14ac:dyDescent="0.25">
      <c r="A7224" t="s">
        <v>41</v>
      </c>
      <c r="B7224" t="s">
        <v>1920</v>
      </c>
      <c r="C7224" t="s">
        <v>17814</v>
      </c>
      <c r="D7224" t="s">
        <v>20</v>
      </c>
      <c r="E7224" t="s">
        <v>11</v>
      </c>
      <c r="F7224">
        <v>585.2</v>
      </c>
      <c r="G7224">
        <v>18</v>
      </c>
    </row>
    <row r="7225" spans="1:7" x14ac:dyDescent="0.25">
      <c r="A7225" t="s">
        <v>41</v>
      </c>
      <c r="B7225" t="s">
        <v>1923</v>
      </c>
      <c r="C7225" t="s">
        <v>17815</v>
      </c>
      <c r="D7225" t="s">
        <v>20</v>
      </c>
      <c r="E7225" t="s">
        <v>11</v>
      </c>
      <c r="F7225">
        <v>214.5</v>
      </c>
      <c r="G7225">
        <v>18</v>
      </c>
    </row>
    <row r="7226" spans="1:7" x14ac:dyDescent="0.25">
      <c r="A7226" t="s">
        <v>41</v>
      </c>
      <c r="B7226" t="s">
        <v>1926</v>
      </c>
      <c r="C7226" t="s">
        <v>18028</v>
      </c>
      <c r="D7226" t="s">
        <v>20</v>
      </c>
      <c r="E7226" t="s">
        <v>11</v>
      </c>
      <c r="F7226">
        <v>94.6</v>
      </c>
      <c r="G7226">
        <v>18</v>
      </c>
    </row>
    <row r="7227" spans="1:7" x14ac:dyDescent="0.25">
      <c r="A7227" t="s">
        <v>41</v>
      </c>
      <c r="B7227" t="s">
        <v>1929</v>
      </c>
      <c r="C7227" t="s">
        <v>17906</v>
      </c>
      <c r="D7227" t="s">
        <v>20</v>
      </c>
      <c r="E7227" t="s">
        <v>11</v>
      </c>
      <c r="F7227">
        <v>730.4</v>
      </c>
      <c r="G7227">
        <v>18</v>
      </c>
    </row>
    <row r="7228" spans="1:7" x14ac:dyDescent="0.25">
      <c r="A7228" t="s">
        <v>41</v>
      </c>
      <c r="B7228" t="s">
        <v>1932</v>
      </c>
      <c r="C7228" t="s">
        <v>17907</v>
      </c>
      <c r="D7228" t="s">
        <v>20</v>
      </c>
      <c r="E7228" t="s">
        <v>11</v>
      </c>
      <c r="F7228">
        <v>302.5</v>
      </c>
      <c r="G7228">
        <v>18</v>
      </c>
    </row>
    <row r="7229" spans="1:7" x14ac:dyDescent="0.25">
      <c r="A7229" t="s">
        <v>41</v>
      </c>
      <c r="B7229" t="s">
        <v>1935</v>
      </c>
      <c r="C7229" t="s">
        <v>18029</v>
      </c>
      <c r="D7229" t="s">
        <v>20</v>
      </c>
      <c r="E7229" t="s">
        <v>11</v>
      </c>
      <c r="F7229">
        <v>1274.9</v>
      </c>
      <c r="G7229">
        <v>18</v>
      </c>
    </row>
    <row r="7230" spans="1:7" x14ac:dyDescent="0.25">
      <c r="A7230" t="s">
        <v>41</v>
      </c>
      <c r="B7230" t="s">
        <v>1938</v>
      </c>
      <c r="C7230" t="s">
        <v>18030</v>
      </c>
      <c r="D7230" t="s">
        <v>20</v>
      </c>
      <c r="E7230" t="s">
        <v>11</v>
      </c>
      <c r="F7230">
        <v>57.2</v>
      </c>
      <c r="G7230">
        <v>18</v>
      </c>
    </row>
    <row r="7231" spans="1:7" x14ac:dyDescent="0.25">
      <c r="A7231" t="s">
        <v>41</v>
      </c>
      <c r="B7231" t="s">
        <v>1941</v>
      </c>
      <c r="C7231" t="s">
        <v>18031</v>
      </c>
      <c r="D7231" t="s">
        <v>20</v>
      </c>
      <c r="E7231" t="s">
        <v>11</v>
      </c>
      <c r="F7231">
        <v>1566.4</v>
      </c>
      <c r="G7231">
        <v>18</v>
      </c>
    </row>
    <row r="7232" spans="1:7" x14ac:dyDescent="0.25">
      <c r="A7232" t="s">
        <v>41</v>
      </c>
      <c r="B7232" t="s">
        <v>1944</v>
      </c>
      <c r="C7232" t="s">
        <v>18032</v>
      </c>
      <c r="D7232" t="s">
        <v>20</v>
      </c>
      <c r="E7232" t="s">
        <v>11</v>
      </c>
      <c r="F7232">
        <v>10267.4</v>
      </c>
      <c r="G7232">
        <v>18</v>
      </c>
    </row>
    <row r="7233" spans="1:7" x14ac:dyDescent="0.25">
      <c r="A7233" t="s">
        <v>41</v>
      </c>
      <c r="B7233" t="s">
        <v>1947</v>
      </c>
      <c r="C7233" t="s">
        <v>17733</v>
      </c>
      <c r="D7233" t="s">
        <v>20</v>
      </c>
      <c r="E7233" t="s">
        <v>11</v>
      </c>
      <c r="F7233">
        <v>585.2</v>
      </c>
      <c r="G7233">
        <v>18</v>
      </c>
    </row>
    <row r="7234" spans="1:7" x14ac:dyDescent="0.25">
      <c r="A7234" t="s">
        <v>41</v>
      </c>
      <c r="B7234" t="s">
        <v>1950</v>
      </c>
      <c r="C7234" t="s">
        <v>18033</v>
      </c>
      <c r="D7234" t="s">
        <v>20</v>
      </c>
      <c r="E7234" t="s">
        <v>11</v>
      </c>
      <c r="F7234">
        <v>46333.1</v>
      </c>
      <c r="G7234">
        <v>18</v>
      </c>
    </row>
    <row r="7235" spans="1:7" x14ac:dyDescent="0.25">
      <c r="A7235" t="s">
        <v>41</v>
      </c>
      <c r="B7235" t="s">
        <v>1953</v>
      </c>
      <c r="C7235" t="s">
        <v>18034</v>
      </c>
      <c r="D7235" t="s">
        <v>20</v>
      </c>
      <c r="E7235" t="s">
        <v>11</v>
      </c>
      <c r="F7235">
        <v>46333.1</v>
      </c>
      <c r="G7235">
        <v>18</v>
      </c>
    </row>
    <row r="7236" spans="1:7" x14ac:dyDescent="0.25">
      <c r="A7236" t="s">
        <v>41</v>
      </c>
      <c r="B7236" t="s">
        <v>1956</v>
      </c>
      <c r="C7236" t="s">
        <v>18035</v>
      </c>
      <c r="D7236" t="s">
        <v>20</v>
      </c>
      <c r="E7236" t="s">
        <v>11</v>
      </c>
      <c r="F7236">
        <v>45378.299999999996</v>
      </c>
      <c r="G7236">
        <v>18</v>
      </c>
    </row>
    <row r="7237" spans="1:7" x14ac:dyDescent="0.25">
      <c r="A7237" t="s">
        <v>41</v>
      </c>
      <c r="B7237" t="s">
        <v>1959</v>
      </c>
      <c r="C7237" t="s">
        <v>18036</v>
      </c>
      <c r="D7237" t="s">
        <v>20</v>
      </c>
      <c r="E7237" t="s">
        <v>11</v>
      </c>
      <c r="F7237">
        <v>45378.299999999996</v>
      </c>
      <c r="G7237">
        <v>18</v>
      </c>
    </row>
    <row r="7238" spans="1:7" x14ac:dyDescent="0.25">
      <c r="A7238" t="s">
        <v>41</v>
      </c>
      <c r="B7238" t="s">
        <v>1962</v>
      </c>
      <c r="C7238" t="s">
        <v>17660</v>
      </c>
      <c r="D7238" t="s">
        <v>20</v>
      </c>
      <c r="E7238" t="s">
        <v>11</v>
      </c>
      <c r="F7238">
        <v>10868</v>
      </c>
      <c r="G7238">
        <v>18</v>
      </c>
    </row>
    <row r="7239" spans="1:7" x14ac:dyDescent="0.25">
      <c r="A7239" t="s">
        <v>41</v>
      </c>
      <c r="B7239" t="s">
        <v>1965</v>
      </c>
      <c r="C7239" t="s">
        <v>18037</v>
      </c>
      <c r="D7239" t="s">
        <v>20</v>
      </c>
      <c r="E7239" t="s">
        <v>11</v>
      </c>
      <c r="F7239">
        <v>46333.1</v>
      </c>
      <c r="G7239">
        <v>18</v>
      </c>
    </row>
    <row r="7240" spans="1:7" x14ac:dyDescent="0.25">
      <c r="A7240" t="s">
        <v>41</v>
      </c>
      <c r="B7240" t="s">
        <v>1968</v>
      </c>
      <c r="C7240" t="s">
        <v>18038</v>
      </c>
      <c r="D7240" t="s">
        <v>20</v>
      </c>
      <c r="E7240" t="s">
        <v>11</v>
      </c>
      <c r="F7240">
        <v>45378.299999999996</v>
      </c>
      <c r="G7240">
        <v>18</v>
      </c>
    </row>
    <row r="7241" spans="1:7" x14ac:dyDescent="0.25">
      <c r="A7241" t="s">
        <v>41</v>
      </c>
      <c r="B7241" t="s">
        <v>1971</v>
      </c>
      <c r="C7241" t="s">
        <v>18039</v>
      </c>
      <c r="D7241" t="s">
        <v>20</v>
      </c>
      <c r="E7241" t="s">
        <v>11</v>
      </c>
      <c r="F7241">
        <v>80175.7</v>
      </c>
      <c r="G7241">
        <v>18</v>
      </c>
    </row>
    <row r="7242" spans="1:7" x14ac:dyDescent="0.25">
      <c r="A7242" t="s">
        <v>41</v>
      </c>
      <c r="B7242" t="s">
        <v>1974</v>
      </c>
      <c r="C7242" t="s">
        <v>17831</v>
      </c>
      <c r="D7242" t="s">
        <v>20</v>
      </c>
      <c r="E7242" t="s">
        <v>11</v>
      </c>
      <c r="F7242">
        <v>229.89999999999998</v>
      </c>
      <c r="G7242">
        <v>18</v>
      </c>
    </row>
    <row r="7243" spans="1:7" x14ac:dyDescent="0.25">
      <c r="A7243" t="s">
        <v>41</v>
      </c>
      <c r="B7243" t="s">
        <v>1977</v>
      </c>
      <c r="C7243" t="s">
        <v>18040</v>
      </c>
      <c r="D7243" t="s">
        <v>20</v>
      </c>
      <c r="E7243" t="s">
        <v>11</v>
      </c>
      <c r="F7243">
        <v>30.800000000000004</v>
      </c>
      <c r="G7243">
        <v>18</v>
      </c>
    </row>
    <row r="7244" spans="1:7" x14ac:dyDescent="0.25">
      <c r="A7244" t="s">
        <v>41</v>
      </c>
      <c r="B7244" t="s">
        <v>1980</v>
      </c>
      <c r="C7244" t="s">
        <v>18041</v>
      </c>
      <c r="D7244" t="s">
        <v>20</v>
      </c>
      <c r="E7244" t="s">
        <v>11</v>
      </c>
      <c r="F7244">
        <v>70.4</v>
      </c>
      <c r="G7244">
        <v>18</v>
      </c>
    </row>
    <row r="7245" spans="1:7" x14ac:dyDescent="0.25">
      <c r="A7245" t="s">
        <v>41</v>
      </c>
      <c r="B7245" t="s">
        <v>1983</v>
      </c>
      <c r="C7245" t="s">
        <v>18042</v>
      </c>
      <c r="D7245" t="s">
        <v>20</v>
      </c>
      <c r="E7245" t="s">
        <v>11</v>
      </c>
      <c r="F7245">
        <v>4437.400000000001</v>
      </c>
      <c r="G7245">
        <v>18</v>
      </c>
    </row>
    <row r="7246" spans="1:7" x14ac:dyDescent="0.25">
      <c r="A7246" t="s">
        <v>41</v>
      </c>
      <c r="B7246" t="s">
        <v>1986</v>
      </c>
      <c r="C7246" t="s">
        <v>18043</v>
      </c>
      <c r="D7246" t="s">
        <v>20</v>
      </c>
      <c r="E7246" t="s">
        <v>11</v>
      </c>
      <c r="F7246">
        <v>4570.5</v>
      </c>
      <c r="G7246">
        <v>18</v>
      </c>
    </row>
    <row r="7247" spans="1:7" x14ac:dyDescent="0.25">
      <c r="A7247" t="s">
        <v>41</v>
      </c>
      <c r="B7247" t="s">
        <v>1989</v>
      </c>
      <c r="C7247" t="s">
        <v>18044</v>
      </c>
      <c r="D7247" t="s">
        <v>20</v>
      </c>
      <c r="E7247" t="s">
        <v>11</v>
      </c>
      <c r="F7247">
        <v>61.60000000000001</v>
      </c>
      <c r="G7247">
        <v>18</v>
      </c>
    </row>
    <row r="7248" spans="1:7" x14ac:dyDescent="0.25">
      <c r="A7248" t="s">
        <v>41</v>
      </c>
      <c r="B7248" t="s">
        <v>1992</v>
      </c>
      <c r="C7248" t="s">
        <v>18045</v>
      </c>
      <c r="D7248" t="s">
        <v>20</v>
      </c>
      <c r="E7248" t="s">
        <v>11</v>
      </c>
      <c r="F7248">
        <v>2098.7999999999997</v>
      </c>
      <c r="G7248">
        <v>18</v>
      </c>
    </row>
    <row r="7249" spans="1:7" x14ac:dyDescent="0.25">
      <c r="A7249" t="s">
        <v>41</v>
      </c>
      <c r="B7249" t="s">
        <v>1995</v>
      </c>
      <c r="C7249" t="s">
        <v>17544</v>
      </c>
      <c r="D7249" t="s">
        <v>20</v>
      </c>
      <c r="E7249" t="s">
        <v>11</v>
      </c>
      <c r="F7249">
        <v>2098.7999999999997</v>
      </c>
      <c r="G7249">
        <v>18</v>
      </c>
    </row>
    <row r="7250" spans="1:7" x14ac:dyDescent="0.25">
      <c r="A7250" t="s">
        <v>41</v>
      </c>
      <c r="B7250" t="s">
        <v>1998</v>
      </c>
      <c r="C7250" t="s">
        <v>17837</v>
      </c>
      <c r="D7250" t="s">
        <v>20</v>
      </c>
      <c r="E7250" t="s">
        <v>11</v>
      </c>
      <c r="F7250">
        <v>564.3</v>
      </c>
      <c r="G7250">
        <v>18</v>
      </c>
    </row>
    <row r="7251" spans="1:7" x14ac:dyDescent="0.25">
      <c r="A7251" t="s">
        <v>41</v>
      </c>
      <c r="B7251" t="s">
        <v>2001</v>
      </c>
      <c r="C7251" t="s">
        <v>17835</v>
      </c>
      <c r="D7251" t="s">
        <v>20</v>
      </c>
      <c r="E7251" t="s">
        <v>11</v>
      </c>
      <c r="F7251">
        <v>58.300000000000004</v>
      </c>
      <c r="G7251">
        <v>18</v>
      </c>
    </row>
    <row r="7252" spans="1:7" x14ac:dyDescent="0.25">
      <c r="A7252" t="s">
        <v>41</v>
      </c>
      <c r="B7252" t="s">
        <v>2004</v>
      </c>
      <c r="C7252" t="s">
        <v>17838</v>
      </c>
      <c r="D7252" t="s">
        <v>20</v>
      </c>
      <c r="E7252" t="s">
        <v>11</v>
      </c>
      <c r="F7252">
        <v>40.7</v>
      </c>
      <c r="G7252">
        <v>18</v>
      </c>
    </row>
    <row r="7253" spans="1:7" x14ac:dyDescent="0.25">
      <c r="A7253" t="s">
        <v>41</v>
      </c>
      <c r="B7253" t="s">
        <v>2007</v>
      </c>
      <c r="C7253" t="s">
        <v>18046</v>
      </c>
      <c r="D7253" t="s">
        <v>20</v>
      </c>
      <c r="E7253" t="s">
        <v>11</v>
      </c>
      <c r="F7253">
        <v>2054.8</v>
      </c>
      <c r="G7253">
        <v>18</v>
      </c>
    </row>
    <row r="7254" spans="1:7" x14ac:dyDescent="0.25">
      <c r="A7254" t="s">
        <v>41</v>
      </c>
      <c r="B7254" t="s">
        <v>2010</v>
      </c>
      <c r="C7254" t="s">
        <v>17680</v>
      </c>
      <c r="D7254" t="s">
        <v>20</v>
      </c>
      <c r="E7254" t="s">
        <v>11</v>
      </c>
      <c r="F7254">
        <v>2599.2999999999997</v>
      </c>
      <c r="G7254">
        <v>18</v>
      </c>
    </row>
    <row r="7255" spans="1:7" x14ac:dyDescent="0.25">
      <c r="A7255" t="s">
        <v>41</v>
      </c>
      <c r="B7255" t="s">
        <v>2013</v>
      </c>
      <c r="C7255" t="s">
        <v>17545</v>
      </c>
      <c r="D7255" t="s">
        <v>20</v>
      </c>
      <c r="E7255" t="s">
        <v>11</v>
      </c>
      <c r="F7255">
        <v>2516.7999999999997</v>
      </c>
      <c r="G7255">
        <v>18</v>
      </c>
    </row>
    <row r="7256" spans="1:7" x14ac:dyDescent="0.25">
      <c r="A7256" t="s">
        <v>41</v>
      </c>
      <c r="B7256" t="s">
        <v>2016</v>
      </c>
      <c r="C7256" t="s">
        <v>18047</v>
      </c>
      <c r="D7256" t="s">
        <v>20</v>
      </c>
      <c r="E7256" t="s">
        <v>11</v>
      </c>
      <c r="F7256">
        <v>58.300000000000004</v>
      </c>
      <c r="G7256">
        <v>18</v>
      </c>
    </row>
    <row r="7257" spans="1:7" x14ac:dyDescent="0.25">
      <c r="A7257" t="s">
        <v>41</v>
      </c>
      <c r="B7257" t="s">
        <v>2019</v>
      </c>
      <c r="C7257" t="s">
        <v>17910</v>
      </c>
      <c r="D7257" t="s">
        <v>20</v>
      </c>
      <c r="E7257" t="s">
        <v>11</v>
      </c>
      <c r="F7257">
        <v>57.2</v>
      </c>
      <c r="G7257">
        <v>18</v>
      </c>
    </row>
    <row r="7258" spans="1:7" x14ac:dyDescent="0.25">
      <c r="A7258" t="s">
        <v>41</v>
      </c>
      <c r="B7258" t="s">
        <v>2022</v>
      </c>
      <c r="C7258" t="s">
        <v>18048</v>
      </c>
      <c r="D7258" t="s">
        <v>20</v>
      </c>
      <c r="E7258" t="s">
        <v>11</v>
      </c>
      <c r="F7258">
        <v>58.300000000000004</v>
      </c>
      <c r="G7258">
        <v>18</v>
      </c>
    </row>
    <row r="7259" spans="1:7" x14ac:dyDescent="0.25">
      <c r="A7259" t="s">
        <v>41</v>
      </c>
      <c r="B7259" t="s">
        <v>2025</v>
      </c>
      <c r="C7259" t="s">
        <v>18049</v>
      </c>
      <c r="D7259" t="s">
        <v>20</v>
      </c>
      <c r="E7259" t="s">
        <v>11</v>
      </c>
      <c r="F7259">
        <v>9508.4</v>
      </c>
      <c r="G7259">
        <v>18</v>
      </c>
    </row>
    <row r="7260" spans="1:7" x14ac:dyDescent="0.25">
      <c r="A7260" t="s">
        <v>41</v>
      </c>
      <c r="B7260" t="s">
        <v>2028</v>
      </c>
      <c r="C7260" t="s">
        <v>18050</v>
      </c>
      <c r="D7260" t="s">
        <v>20</v>
      </c>
      <c r="E7260" t="s">
        <v>11</v>
      </c>
      <c r="F7260">
        <v>9508.4</v>
      </c>
      <c r="G7260">
        <v>18</v>
      </c>
    </row>
    <row r="7261" spans="1:7" x14ac:dyDescent="0.25">
      <c r="A7261" t="s">
        <v>41</v>
      </c>
      <c r="B7261" t="s">
        <v>2031</v>
      </c>
      <c r="C7261" t="s">
        <v>17931</v>
      </c>
      <c r="D7261" t="s">
        <v>20</v>
      </c>
      <c r="E7261" t="s">
        <v>11</v>
      </c>
      <c r="F7261">
        <v>430.1</v>
      </c>
      <c r="G7261">
        <v>18</v>
      </c>
    </row>
    <row r="7262" spans="1:7" x14ac:dyDescent="0.25">
      <c r="A7262" t="s">
        <v>41</v>
      </c>
      <c r="B7262" t="s">
        <v>2034</v>
      </c>
      <c r="C7262" t="s">
        <v>17846</v>
      </c>
      <c r="D7262" t="s">
        <v>20</v>
      </c>
      <c r="E7262" t="s">
        <v>11</v>
      </c>
      <c r="F7262">
        <v>546.6999999999999</v>
      </c>
      <c r="G7262">
        <v>18</v>
      </c>
    </row>
    <row r="7263" spans="1:7" x14ac:dyDescent="0.25">
      <c r="A7263" t="s">
        <v>41</v>
      </c>
      <c r="B7263" t="s">
        <v>2037</v>
      </c>
      <c r="C7263" t="s">
        <v>18051</v>
      </c>
      <c r="D7263" t="s">
        <v>20</v>
      </c>
      <c r="E7263" t="s">
        <v>11</v>
      </c>
      <c r="F7263">
        <v>1642.3</v>
      </c>
      <c r="G7263">
        <v>18</v>
      </c>
    </row>
    <row r="7264" spans="1:7" x14ac:dyDescent="0.25">
      <c r="A7264" t="s">
        <v>41</v>
      </c>
      <c r="B7264" t="s">
        <v>2040</v>
      </c>
      <c r="C7264" t="s">
        <v>18052</v>
      </c>
      <c r="D7264" t="s">
        <v>20</v>
      </c>
      <c r="E7264" t="s">
        <v>11</v>
      </c>
      <c r="F7264">
        <v>1025.2</v>
      </c>
      <c r="G7264">
        <v>18</v>
      </c>
    </row>
    <row r="7265" spans="1:7" x14ac:dyDescent="0.25">
      <c r="A7265" t="s">
        <v>41</v>
      </c>
      <c r="B7265" t="s">
        <v>2043</v>
      </c>
      <c r="C7265" t="s">
        <v>18053</v>
      </c>
      <c r="D7265" t="s">
        <v>20</v>
      </c>
      <c r="E7265" t="s">
        <v>11</v>
      </c>
      <c r="F7265">
        <v>70.4</v>
      </c>
      <c r="G7265">
        <v>18</v>
      </c>
    </row>
    <row r="7266" spans="1:7" x14ac:dyDescent="0.25">
      <c r="A7266" t="s">
        <v>41</v>
      </c>
      <c r="B7266" t="s">
        <v>2046</v>
      </c>
      <c r="C7266" t="s">
        <v>17548</v>
      </c>
      <c r="D7266" t="s">
        <v>20</v>
      </c>
      <c r="E7266" t="s">
        <v>11</v>
      </c>
      <c r="F7266">
        <v>4570.5</v>
      </c>
      <c r="G7266">
        <v>18</v>
      </c>
    </row>
    <row r="7267" spans="1:7" x14ac:dyDescent="0.25">
      <c r="A7267" t="s">
        <v>41</v>
      </c>
      <c r="B7267" t="s">
        <v>2049</v>
      </c>
      <c r="C7267" t="s">
        <v>17850</v>
      </c>
      <c r="D7267" t="s">
        <v>20</v>
      </c>
      <c r="E7267" t="s">
        <v>11</v>
      </c>
      <c r="F7267">
        <v>3526.6000000000004</v>
      </c>
      <c r="G7267">
        <v>18</v>
      </c>
    </row>
    <row r="7268" spans="1:7" x14ac:dyDescent="0.25">
      <c r="A7268" t="s">
        <v>41</v>
      </c>
      <c r="B7268" t="s">
        <v>2052</v>
      </c>
      <c r="C7268" t="s">
        <v>17851</v>
      </c>
      <c r="D7268" t="s">
        <v>20</v>
      </c>
      <c r="E7268" t="s">
        <v>11</v>
      </c>
      <c r="F7268">
        <v>546.6999999999999</v>
      </c>
      <c r="G7268">
        <v>18</v>
      </c>
    </row>
    <row r="7269" spans="1:7" x14ac:dyDescent="0.25">
      <c r="A7269" t="s">
        <v>41</v>
      </c>
      <c r="B7269" t="s">
        <v>2055</v>
      </c>
      <c r="C7269" t="s">
        <v>17852</v>
      </c>
      <c r="D7269" t="s">
        <v>20</v>
      </c>
      <c r="E7269" t="s">
        <v>11</v>
      </c>
      <c r="F7269">
        <v>1642.3</v>
      </c>
      <c r="G7269">
        <v>18</v>
      </c>
    </row>
    <row r="7270" spans="1:7" x14ac:dyDescent="0.25">
      <c r="A7270" t="s">
        <v>41</v>
      </c>
      <c r="B7270" t="s">
        <v>2058</v>
      </c>
      <c r="C7270" t="s">
        <v>18054</v>
      </c>
      <c r="D7270" t="s">
        <v>20</v>
      </c>
      <c r="E7270" t="s">
        <v>11</v>
      </c>
      <c r="F7270">
        <v>25100.9</v>
      </c>
      <c r="G7270">
        <v>18</v>
      </c>
    </row>
    <row r="7271" spans="1:7" x14ac:dyDescent="0.25">
      <c r="A7271" t="s">
        <v>41</v>
      </c>
      <c r="B7271" t="s">
        <v>2061</v>
      </c>
      <c r="C7271" t="s">
        <v>18055</v>
      </c>
      <c r="D7271" t="s">
        <v>20</v>
      </c>
      <c r="E7271" t="s">
        <v>11</v>
      </c>
      <c r="F7271">
        <v>6806.8</v>
      </c>
      <c r="G7271">
        <v>18</v>
      </c>
    </row>
    <row r="7272" spans="1:7" x14ac:dyDescent="0.25">
      <c r="A7272" t="s">
        <v>41</v>
      </c>
      <c r="B7272" t="s">
        <v>2064</v>
      </c>
      <c r="C7272" t="s">
        <v>17570</v>
      </c>
      <c r="D7272" t="s">
        <v>20</v>
      </c>
      <c r="E7272" t="s">
        <v>11</v>
      </c>
      <c r="F7272">
        <v>8466.7</v>
      </c>
      <c r="G7272">
        <v>18</v>
      </c>
    </row>
    <row r="7273" spans="1:7" x14ac:dyDescent="0.25">
      <c r="A7273" t="s">
        <v>41</v>
      </c>
      <c r="B7273" t="s">
        <v>2067</v>
      </c>
      <c r="C7273" t="s">
        <v>18056</v>
      </c>
      <c r="D7273" t="s">
        <v>20</v>
      </c>
      <c r="E7273" t="s">
        <v>11</v>
      </c>
      <c r="F7273">
        <v>6806.8</v>
      </c>
      <c r="G7273">
        <v>18</v>
      </c>
    </row>
    <row r="7274" spans="1:7" x14ac:dyDescent="0.25">
      <c r="A7274" t="s">
        <v>41</v>
      </c>
      <c r="B7274" t="s">
        <v>2070</v>
      </c>
      <c r="C7274" t="s">
        <v>18057</v>
      </c>
      <c r="D7274" t="s">
        <v>20</v>
      </c>
      <c r="E7274" t="s">
        <v>11</v>
      </c>
      <c r="F7274">
        <v>42769.1</v>
      </c>
      <c r="G7274">
        <v>18</v>
      </c>
    </row>
    <row r="7275" spans="1:7" x14ac:dyDescent="0.25">
      <c r="A7275" t="s">
        <v>41</v>
      </c>
      <c r="B7275" t="s">
        <v>2073</v>
      </c>
      <c r="C7275" t="s">
        <v>17616</v>
      </c>
      <c r="D7275" t="s">
        <v>20</v>
      </c>
      <c r="E7275" t="s">
        <v>11</v>
      </c>
      <c r="F7275">
        <v>22059.399999999998</v>
      </c>
      <c r="G7275">
        <v>18</v>
      </c>
    </row>
    <row r="7276" spans="1:7" x14ac:dyDescent="0.25">
      <c r="A7276" t="s">
        <v>41</v>
      </c>
      <c r="B7276" t="s">
        <v>2076</v>
      </c>
      <c r="C7276" t="s">
        <v>18058</v>
      </c>
      <c r="D7276" t="s">
        <v>20</v>
      </c>
      <c r="E7276" t="s">
        <v>11</v>
      </c>
      <c r="F7276">
        <v>2200</v>
      </c>
      <c r="G7276">
        <v>18</v>
      </c>
    </row>
    <row r="7277" spans="1:7" x14ac:dyDescent="0.25">
      <c r="A7277" t="s">
        <v>41</v>
      </c>
      <c r="B7277" t="s">
        <v>2079</v>
      </c>
      <c r="C7277" t="s">
        <v>18059</v>
      </c>
      <c r="D7277" t="s">
        <v>20</v>
      </c>
      <c r="E7277" t="s">
        <v>11</v>
      </c>
      <c r="F7277">
        <v>4288.900000000001</v>
      </c>
      <c r="G7277">
        <v>18</v>
      </c>
    </row>
    <row r="7278" spans="1:7" x14ac:dyDescent="0.25">
      <c r="A7278" t="s">
        <v>41</v>
      </c>
      <c r="B7278" t="s">
        <v>2082</v>
      </c>
      <c r="C7278" t="s">
        <v>18060</v>
      </c>
      <c r="D7278" t="s">
        <v>20</v>
      </c>
      <c r="E7278" t="s">
        <v>11</v>
      </c>
      <c r="F7278">
        <v>534.6</v>
      </c>
      <c r="G7278">
        <v>18</v>
      </c>
    </row>
    <row r="7279" spans="1:7" x14ac:dyDescent="0.25">
      <c r="A7279" t="s">
        <v>41</v>
      </c>
      <c r="B7279" t="s">
        <v>2085</v>
      </c>
      <c r="C7279" t="s">
        <v>18061</v>
      </c>
      <c r="D7279" t="s">
        <v>20</v>
      </c>
      <c r="E7279" t="s">
        <v>11</v>
      </c>
      <c r="F7279">
        <v>287.09999999999997</v>
      </c>
      <c r="G7279">
        <v>18</v>
      </c>
    </row>
    <row r="7280" spans="1:7" x14ac:dyDescent="0.25">
      <c r="A7280" t="s">
        <v>41</v>
      </c>
      <c r="B7280" t="s">
        <v>2088</v>
      </c>
      <c r="C7280" t="s">
        <v>18062</v>
      </c>
      <c r="D7280" t="s">
        <v>20</v>
      </c>
      <c r="E7280" t="s">
        <v>11</v>
      </c>
      <c r="F7280">
        <v>3102</v>
      </c>
      <c r="G7280">
        <v>18</v>
      </c>
    </row>
    <row r="7281" spans="1:7" x14ac:dyDescent="0.25">
      <c r="A7281" t="s">
        <v>41</v>
      </c>
      <c r="B7281" t="s">
        <v>2091</v>
      </c>
      <c r="C7281" t="s">
        <v>18063</v>
      </c>
      <c r="D7281" t="s">
        <v>20</v>
      </c>
      <c r="E7281" t="s">
        <v>11</v>
      </c>
      <c r="F7281">
        <v>129.79999999999998</v>
      </c>
      <c r="G7281">
        <v>18</v>
      </c>
    </row>
    <row r="7282" spans="1:7" x14ac:dyDescent="0.25">
      <c r="A7282" t="s">
        <v>41</v>
      </c>
      <c r="B7282" t="s">
        <v>2094</v>
      </c>
      <c r="C7282" t="s">
        <v>18064</v>
      </c>
      <c r="D7282" t="s">
        <v>20</v>
      </c>
      <c r="E7282" t="s">
        <v>11</v>
      </c>
      <c r="F7282">
        <v>354.20000000000005</v>
      </c>
      <c r="G7282">
        <v>18</v>
      </c>
    </row>
    <row r="7283" spans="1:7" x14ac:dyDescent="0.25">
      <c r="A7283" t="s">
        <v>41</v>
      </c>
      <c r="B7283" t="s">
        <v>2097</v>
      </c>
      <c r="C7283" t="s">
        <v>18065</v>
      </c>
      <c r="D7283" t="s">
        <v>20</v>
      </c>
      <c r="E7283" t="s">
        <v>11</v>
      </c>
      <c r="F7283">
        <v>347.6</v>
      </c>
      <c r="G7283">
        <v>18</v>
      </c>
    </row>
    <row r="7284" spans="1:7" x14ac:dyDescent="0.25">
      <c r="A7284" t="s">
        <v>41</v>
      </c>
      <c r="B7284" t="s">
        <v>2100</v>
      </c>
      <c r="C7284" t="s">
        <v>18066</v>
      </c>
      <c r="D7284" t="s">
        <v>20</v>
      </c>
      <c r="E7284" t="s">
        <v>11</v>
      </c>
      <c r="F7284">
        <v>783.2</v>
      </c>
      <c r="G7284">
        <v>18</v>
      </c>
    </row>
    <row r="7285" spans="1:7" x14ac:dyDescent="0.25">
      <c r="A7285" t="s">
        <v>41</v>
      </c>
      <c r="B7285" t="s">
        <v>2103</v>
      </c>
      <c r="C7285" t="s">
        <v>18067</v>
      </c>
      <c r="D7285" t="s">
        <v>20</v>
      </c>
      <c r="E7285" t="s">
        <v>11</v>
      </c>
      <c r="F7285">
        <v>427.90000000000003</v>
      </c>
      <c r="G7285">
        <v>18</v>
      </c>
    </row>
    <row r="7286" spans="1:7" x14ac:dyDescent="0.25">
      <c r="A7286" t="s">
        <v>41</v>
      </c>
      <c r="B7286" t="s">
        <v>2106</v>
      </c>
      <c r="C7286" t="s">
        <v>18068</v>
      </c>
      <c r="D7286" t="s">
        <v>20</v>
      </c>
      <c r="E7286" t="s">
        <v>11</v>
      </c>
      <c r="F7286">
        <v>783.2</v>
      </c>
      <c r="G7286">
        <v>18</v>
      </c>
    </row>
    <row r="7287" spans="1:7" x14ac:dyDescent="0.25">
      <c r="A7287" t="s">
        <v>41</v>
      </c>
      <c r="B7287" t="s">
        <v>2109</v>
      </c>
      <c r="C7287" t="s">
        <v>18069</v>
      </c>
      <c r="D7287" t="s">
        <v>20</v>
      </c>
      <c r="E7287" t="s">
        <v>11</v>
      </c>
      <c r="F7287">
        <v>140.8</v>
      </c>
      <c r="G7287">
        <v>18</v>
      </c>
    </row>
    <row r="7288" spans="1:7" x14ac:dyDescent="0.25">
      <c r="A7288" t="s">
        <v>41</v>
      </c>
      <c r="B7288" t="s">
        <v>2112</v>
      </c>
      <c r="C7288" t="s">
        <v>17832</v>
      </c>
      <c r="D7288" t="s">
        <v>20</v>
      </c>
      <c r="E7288" t="s">
        <v>11</v>
      </c>
      <c r="F7288">
        <v>30.800000000000004</v>
      </c>
      <c r="G7288">
        <v>18</v>
      </c>
    </row>
    <row r="7289" spans="1:7" x14ac:dyDescent="0.25">
      <c r="A7289" t="s">
        <v>41</v>
      </c>
      <c r="B7289" t="s">
        <v>2115</v>
      </c>
      <c r="C7289" t="s">
        <v>18028</v>
      </c>
      <c r="D7289" t="s">
        <v>20</v>
      </c>
      <c r="E7289" t="s">
        <v>11</v>
      </c>
      <c r="F7289">
        <v>94.6</v>
      </c>
      <c r="G7289">
        <v>18</v>
      </c>
    </row>
    <row r="7290" spans="1:7" x14ac:dyDescent="0.25">
      <c r="A7290" t="s">
        <v>41</v>
      </c>
      <c r="B7290" t="s">
        <v>2118</v>
      </c>
      <c r="C7290" t="s">
        <v>18070</v>
      </c>
      <c r="D7290" t="s">
        <v>20</v>
      </c>
      <c r="E7290" t="s">
        <v>11</v>
      </c>
      <c r="F7290">
        <v>6743</v>
      </c>
      <c r="G7290">
        <v>18</v>
      </c>
    </row>
    <row r="7291" spans="1:7" x14ac:dyDescent="0.25">
      <c r="A7291" t="s">
        <v>41</v>
      </c>
      <c r="B7291" t="s">
        <v>2121</v>
      </c>
      <c r="C7291" t="s">
        <v>18071</v>
      </c>
      <c r="D7291" t="s">
        <v>20</v>
      </c>
      <c r="E7291" t="s">
        <v>11</v>
      </c>
      <c r="F7291">
        <v>264</v>
      </c>
      <c r="G7291">
        <v>18</v>
      </c>
    </row>
    <row r="7292" spans="1:7" x14ac:dyDescent="0.25">
      <c r="A7292" t="s">
        <v>41</v>
      </c>
      <c r="B7292" t="s">
        <v>2124</v>
      </c>
      <c r="C7292" t="s">
        <v>18031</v>
      </c>
      <c r="D7292" t="s">
        <v>20</v>
      </c>
      <c r="E7292" t="s">
        <v>11</v>
      </c>
      <c r="F7292">
        <v>1566.4</v>
      </c>
      <c r="G7292">
        <v>18</v>
      </c>
    </row>
    <row r="7293" spans="1:7" x14ac:dyDescent="0.25">
      <c r="A7293" t="s">
        <v>41</v>
      </c>
      <c r="B7293" t="s">
        <v>2127</v>
      </c>
      <c r="C7293" t="s">
        <v>18072</v>
      </c>
      <c r="D7293" t="s">
        <v>20</v>
      </c>
      <c r="E7293" t="s">
        <v>11</v>
      </c>
      <c r="F7293">
        <v>117.7</v>
      </c>
      <c r="G7293">
        <v>18</v>
      </c>
    </row>
    <row r="7294" spans="1:7" x14ac:dyDescent="0.25">
      <c r="A7294" t="s">
        <v>41</v>
      </c>
      <c r="B7294" t="s">
        <v>2130</v>
      </c>
      <c r="C7294" t="s">
        <v>18073</v>
      </c>
      <c r="D7294" t="s">
        <v>20</v>
      </c>
      <c r="E7294" t="s">
        <v>11</v>
      </c>
      <c r="F7294">
        <v>61.60000000000001</v>
      </c>
      <c r="G7294">
        <v>18</v>
      </c>
    </row>
    <row r="7295" spans="1:7" x14ac:dyDescent="0.25">
      <c r="A7295" t="s">
        <v>41</v>
      </c>
      <c r="B7295" t="s">
        <v>2133</v>
      </c>
      <c r="C7295" t="s">
        <v>18074</v>
      </c>
      <c r="D7295" t="s">
        <v>20</v>
      </c>
      <c r="E7295" t="s">
        <v>11</v>
      </c>
      <c r="F7295">
        <v>70.4</v>
      </c>
      <c r="G7295">
        <v>18</v>
      </c>
    </row>
    <row r="7296" spans="1:7" x14ac:dyDescent="0.25">
      <c r="A7296" t="s">
        <v>41</v>
      </c>
      <c r="B7296" t="s">
        <v>2136</v>
      </c>
      <c r="C7296" t="s">
        <v>18075</v>
      </c>
      <c r="D7296" t="s">
        <v>20</v>
      </c>
      <c r="E7296" t="s">
        <v>11</v>
      </c>
      <c r="F7296">
        <v>71.5</v>
      </c>
      <c r="G7296">
        <v>18</v>
      </c>
    </row>
    <row r="7297" spans="1:7" x14ac:dyDescent="0.25">
      <c r="A7297" t="s">
        <v>41</v>
      </c>
      <c r="B7297" t="s">
        <v>2139</v>
      </c>
      <c r="C7297" t="s">
        <v>18076</v>
      </c>
      <c r="D7297" t="s">
        <v>20</v>
      </c>
      <c r="E7297" t="s">
        <v>11</v>
      </c>
      <c r="F7297">
        <v>78.1</v>
      </c>
      <c r="G7297">
        <v>18</v>
      </c>
    </row>
    <row r="7298" spans="1:7" x14ac:dyDescent="0.25">
      <c r="A7298" t="s">
        <v>41</v>
      </c>
      <c r="B7298" t="s">
        <v>2142</v>
      </c>
      <c r="C7298" t="s">
        <v>18077</v>
      </c>
      <c r="D7298" t="s">
        <v>20</v>
      </c>
      <c r="E7298" t="s">
        <v>11</v>
      </c>
      <c r="F7298">
        <v>70.4</v>
      </c>
      <c r="G7298">
        <v>18</v>
      </c>
    </row>
    <row r="7299" spans="1:7" x14ac:dyDescent="0.25">
      <c r="A7299" t="s">
        <v>41</v>
      </c>
      <c r="B7299" t="s">
        <v>2145</v>
      </c>
      <c r="C7299" t="s">
        <v>18078</v>
      </c>
      <c r="D7299" t="s">
        <v>20</v>
      </c>
      <c r="E7299" t="s">
        <v>11</v>
      </c>
      <c r="F7299">
        <v>71.5</v>
      </c>
      <c r="G7299">
        <v>18</v>
      </c>
    </row>
    <row r="7300" spans="1:7" x14ac:dyDescent="0.25">
      <c r="A7300" t="s">
        <v>41</v>
      </c>
      <c r="B7300" t="s">
        <v>2148</v>
      </c>
      <c r="C7300" t="s">
        <v>17838</v>
      </c>
      <c r="D7300" t="s">
        <v>20</v>
      </c>
      <c r="E7300" t="s">
        <v>11</v>
      </c>
      <c r="F7300">
        <v>70.4</v>
      </c>
      <c r="G7300">
        <v>18</v>
      </c>
    </row>
    <row r="7301" spans="1:7" x14ac:dyDescent="0.25">
      <c r="A7301" t="s">
        <v>41</v>
      </c>
      <c r="B7301" t="s">
        <v>2151</v>
      </c>
      <c r="C7301" t="s">
        <v>18079</v>
      </c>
      <c r="D7301" t="s">
        <v>20</v>
      </c>
      <c r="E7301" t="s">
        <v>11</v>
      </c>
      <c r="F7301">
        <v>3652.0000000000005</v>
      </c>
      <c r="G7301">
        <v>18</v>
      </c>
    </row>
    <row r="7302" spans="1:7" x14ac:dyDescent="0.25">
      <c r="A7302" t="s">
        <v>41</v>
      </c>
      <c r="B7302" t="s">
        <v>2154</v>
      </c>
      <c r="C7302" t="s">
        <v>18080</v>
      </c>
      <c r="D7302" t="s">
        <v>20</v>
      </c>
      <c r="E7302" t="s">
        <v>11</v>
      </c>
      <c r="F7302">
        <v>3652.0000000000005</v>
      </c>
      <c r="G7302">
        <v>18</v>
      </c>
    </row>
    <row r="7303" spans="1:7" x14ac:dyDescent="0.25">
      <c r="A7303" t="s">
        <v>41</v>
      </c>
      <c r="B7303" t="s">
        <v>2157</v>
      </c>
      <c r="C7303" t="s">
        <v>18081</v>
      </c>
      <c r="D7303" t="s">
        <v>20</v>
      </c>
      <c r="E7303" t="s">
        <v>11</v>
      </c>
      <c r="F7303">
        <v>11968</v>
      </c>
      <c r="G7303">
        <v>18</v>
      </c>
    </row>
    <row r="7304" spans="1:7" x14ac:dyDescent="0.25">
      <c r="A7304" t="s">
        <v>41</v>
      </c>
      <c r="B7304" t="s">
        <v>2160</v>
      </c>
      <c r="C7304" t="s">
        <v>18082</v>
      </c>
      <c r="D7304" t="s">
        <v>20</v>
      </c>
      <c r="E7304" t="s">
        <v>11</v>
      </c>
      <c r="F7304">
        <v>1485</v>
      </c>
      <c r="G7304">
        <v>18</v>
      </c>
    </row>
    <row r="7305" spans="1:7" x14ac:dyDescent="0.25">
      <c r="A7305" t="s">
        <v>41</v>
      </c>
      <c r="B7305" t="s">
        <v>2163</v>
      </c>
      <c r="C7305" t="s">
        <v>17736</v>
      </c>
      <c r="D7305" t="s">
        <v>20</v>
      </c>
      <c r="E7305" t="s">
        <v>11</v>
      </c>
      <c r="F7305">
        <v>57.2</v>
      </c>
      <c r="G7305">
        <v>18</v>
      </c>
    </row>
    <row r="7306" spans="1:7" x14ac:dyDescent="0.25">
      <c r="A7306" t="s">
        <v>41</v>
      </c>
      <c r="B7306" t="s">
        <v>2166</v>
      </c>
      <c r="C7306" t="s">
        <v>17838</v>
      </c>
      <c r="D7306" t="s">
        <v>20</v>
      </c>
      <c r="E7306" t="s">
        <v>11</v>
      </c>
      <c r="F7306">
        <v>40.7</v>
      </c>
      <c r="G7306">
        <v>18</v>
      </c>
    </row>
    <row r="7307" spans="1:7" x14ac:dyDescent="0.25">
      <c r="A7307" t="s">
        <v>41</v>
      </c>
      <c r="B7307" t="s">
        <v>2169</v>
      </c>
      <c r="C7307" t="s">
        <v>18083</v>
      </c>
      <c r="D7307" t="s">
        <v>20</v>
      </c>
      <c r="E7307" t="s">
        <v>11</v>
      </c>
      <c r="F7307">
        <v>58.300000000000004</v>
      </c>
      <c r="G7307">
        <v>18</v>
      </c>
    </row>
    <row r="7308" spans="1:7" x14ac:dyDescent="0.25">
      <c r="A7308" t="s">
        <v>41</v>
      </c>
      <c r="B7308" t="s">
        <v>2172</v>
      </c>
      <c r="C7308" t="s">
        <v>17736</v>
      </c>
      <c r="D7308" t="s">
        <v>20</v>
      </c>
      <c r="E7308" t="s">
        <v>11</v>
      </c>
      <c r="F7308">
        <v>57.2</v>
      </c>
      <c r="G7308">
        <v>18</v>
      </c>
    </row>
    <row r="7309" spans="1:7" x14ac:dyDescent="0.25">
      <c r="A7309" t="s">
        <v>41</v>
      </c>
      <c r="B7309" t="s">
        <v>2175</v>
      </c>
      <c r="C7309" t="s">
        <v>17838</v>
      </c>
      <c r="D7309" t="s">
        <v>20</v>
      </c>
      <c r="E7309" t="s">
        <v>11</v>
      </c>
      <c r="F7309">
        <v>40.7</v>
      </c>
      <c r="G7309">
        <v>18</v>
      </c>
    </row>
    <row r="7310" spans="1:7" x14ac:dyDescent="0.25">
      <c r="A7310" t="s">
        <v>41</v>
      </c>
      <c r="B7310" t="s">
        <v>2178</v>
      </c>
      <c r="C7310" t="s">
        <v>18084</v>
      </c>
      <c r="D7310" t="s">
        <v>20</v>
      </c>
      <c r="E7310" t="s">
        <v>11</v>
      </c>
      <c r="F7310">
        <v>619.3</v>
      </c>
      <c r="G7310">
        <v>18</v>
      </c>
    </row>
    <row r="7311" spans="1:7" x14ac:dyDescent="0.25">
      <c r="A7311" t="s">
        <v>41</v>
      </c>
      <c r="B7311" t="s">
        <v>2181</v>
      </c>
      <c r="C7311" t="s">
        <v>18085</v>
      </c>
      <c r="D7311" t="s">
        <v>20</v>
      </c>
      <c r="E7311" t="s">
        <v>11</v>
      </c>
      <c r="F7311">
        <v>58.300000000000004</v>
      </c>
      <c r="G7311">
        <v>18</v>
      </c>
    </row>
    <row r="7312" spans="1:7" x14ac:dyDescent="0.25">
      <c r="A7312" t="s">
        <v>41</v>
      </c>
      <c r="B7312" t="s">
        <v>2184</v>
      </c>
      <c r="C7312" t="s">
        <v>18086</v>
      </c>
      <c r="D7312" t="s">
        <v>20</v>
      </c>
      <c r="E7312" t="s">
        <v>11</v>
      </c>
      <c r="F7312">
        <v>57.2</v>
      </c>
      <c r="G7312">
        <v>18</v>
      </c>
    </row>
    <row r="7313" spans="1:7" x14ac:dyDescent="0.25">
      <c r="A7313" t="s">
        <v>41</v>
      </c>
      <c r="B7313" t="s">
        <v>2187</v>
      </c>
      <c r="C7313" t="s">
        <v>17838</v>
      </c>
      <c r="D7313" t="s">
        <v>20</v>
      </c>
      <c r="E7313" t="s">
        <v>11</v>
      </c>
      <c r="F7313">
        <v>56.1</v>
      </c>
      <c r="G7313">
        <v>18</v>
      </c>
    </row>
    <row r="7314" spans="1:7" x14ac:dyDescent="0.25">
      <c r="A7314" t="s">
        <v>41</v>
      </c>
      <c r="B7314" t="s">
        <v>2190</v>
      </c>
      <c r="C7314" t="s">
        <v>18087</v>
      </c>
      <c r="D7314" t="s">
        <v>20</v>
      </c>
      <c r="E7314" t="s">
        <v>11</v>
      </c>
      <c r="F7314">
        <v>1142.9</v>
      </c>
      <c r="G7314">
        <v>18</v>
      </c>
    </row>
    <row r="7315" spans="1:7" x14ac:dyDescent="0.25">
      <c r="A7315" t="s">
        <v>41</v>
      </c>
      <c r="B7315" t="s">
        <v>2193</v>
      </c>
      <c r="C7315" t="s">
        <v>18088</v>
      </c>
      <c r="D7315" t="s">
        <v>20</v>
      </c>
      <c r="E7315" t="s">
        <v>11</v>
      </c>
      <c r="F7315">
        <v>1766.6</v>
      </c>
      <c r="G7315">
        <v>18</v>
      </c>
    </row>
    <row r="7316" spans="1:7" x14ac:dyDescent="0.25">
      <c r="A7316" t="s">
        <v>41</v>
      </c>
      <c r="B7316" t="s">
        <v>2196</v>
      </c>
      <c r="C7316" t="s">
        <v>18089</v>
      </c>
      <c r="D7316" t="s">
        <v>20</v>
      </c>
      <c r="E7316" t="s">
        <v>11</v>
      </c>
      <c r="F7316">
        <v>71.5</v>
      </c>
      <c r="G7316">
        <v>18</v>
      </c>
    </row>
    <row r="7317" spans="1:7" x14ac:dyDescent="0.25">
      <c r="A7317" t="s">
        <v>41</v>
      </c>
      <c r="B7317" t="s">
        <v>2199</v>
      </c>
      <c r="C7317" t="s">
        <v>18090</v>
      </c>
      <c r="D7317" t="s">
        <v>20</v>
      </c>
      <c r="E7317" t="s">
        <v>11</v>
      </c>
      <c r="F7317">
        <v>3778.5</v>
      </c>
      <c r="G7317">
        <v>18</v>
      </c>
    </row>
    <row r="7318" spans="1:7" x14ac:dyDescent="0.25">
      <c r="A7318" t="s">
        <v>41</v>
      </c>
      <c r="B7318" t="s">
        <v>2202</v>
      </c>
      <c r="C7318" t="s">
        <v>18091</v>
      </c>
      <c r="D7318" t="s">
        <v>20</v>
      </c>
      <c r="E7318" t="s">
        <v>11</v>
      </c>
      <c r="F7318">
        <v>1372.8</v>
      </c>
      <c r="G7318">
        <v>18</v>
      </c>
    </row>
    <row r="7319" spans="1:7" x14ac:dyDescent="0.25">
      <c r="A7319" t="s">
        <v>41</v>
      </c>
      <c r="B7319" t="s">
        <v>2205</v>
      </c>
      <c r="C7319" t="s">
        <v>18092</v>
      </c>
      <c r="D7319" t="s">
        <v>20</v>
      </c>
      <c r="E7319" t="s">
        <v>11</v>
      </c>
      <c r="F7319">
        <v>63.8</v>
      </c>
      <c r="G7319">
        <v>18</v>
      </c>
    </row>
    <row r="7320" spans="1:7" x14ac:dyDescent="0.25">
      <c r="A7320" t="s">
        <v>41</v>
      </c>
      <c r="B7320" t="s">
        <v>2208</v>
      </c>
      <c r="C7320" t="s">
        <v>18093</v>
      </c>
      <c r="D7320" t="s">
        <v>20</v>
      </c>
      <c r="E7320" t="s">
        <v>11</v>
      </c>
      <c r="F7320">
        <v>418</v>
      </c>
      <c r="G7320">
        <v>18</v>
      </c>
    </row>
    <row r="7321" spans="1:7" x14ac:dyDescent="0.25">
      <c r="A7321" t="s">
        <v>41</v>
      </c>
      <c r="B7321" t="s">
        <v>2211</v>
      </c>
      <c r="C7321" t="s">
        <v>18094</v>
      </c>
      <c r="D7321" t="s">
        <v>20</v>
      </c>
      <c r="E7321" t="s">
        <v>11</v>
      </c>
      <c r="F7321">
        <v>1380.5</v>
      </c>
      <c r="G7321">
        <v>18</v>
      </c>
    </row>
    <row r="7322" spans="1:7" x14ac:dyDescent="0.25">
      <c r="A7322" t="s">
        <v>41</v>
      </c>
      <c r="B7322" t="s">
        <v>2214</v>
      </c>
      <c r="C7322" t="s">
        <v>18095</v>
      </c>
      <c r="D7322" t="s">
        <v>20</v>
      </c>
      <c r="E7322" t="s">
        <v>11</v>
      </c>
      <c r="F7322">
        <v>7442.599999999999</v>
      </c>
      <c r="G7322">
        <v>18</v>
      </c>
    </row>
    <row r="7323" spans="1:7" x14ac:dyDescent="0.25">
      <c r="A7323" t="s">
        <v>41</v>
      </c>
      <c r="B7323" t="s">
        <v>2217</v>
      </c>
      <c r="C7323" t="s">
        <v>18096</v>
      </c>
      <c r="D7323" t="s">
        <v>20</v>
      </c>
      <c r="E7323" t="s">
        <v>11</v>
      </c>
      <c r="F7323">
        <v>200.20000000000002</v>
      </c>
      <c r="G7323">
        <v>18</v>
      </c>
    </row>
    <row r="7324" spans="1:7" x14ac:dyDescent="0.25">
      <c r="A7324" t="s">
        <v>41</v>
      </c>
      <c r="B7324" t="s">
        <v>2220</v>
      </c>
      <c r="C7324" t="s">
        <v>18097</v>
      </c>
      <c r="D7324" t="s">
        <v>20</v>
      </c>
      <c r="E7324" t="s">
        <v>11</v>
      </c>
      <c r="F7324">
        <v>931.7</v>
      </c>
      <c r="G7324">
        <v>18</v>
      </c>
    </row>
    <row r="7325" spans="1:7" x14ac:dyDescent="0.25">
      <c r="A7325" t="s">
        <v>41</v>
      </c>
      <c r="B7325" t="s">
        <v>2222</v>
      </c>
      <c r="C7325" t="s">
        <v>18098</v>
      </c>
      <c r="D7325" t="s">
        <v>20</v>
      </c>
      <c r="E7325" t="s">
        <v>11</v>
      </c>
      <c r="F7325">
        <v>2997.5</v>
      </c>
      <c r="G7325">
        <v>18</v>
      </c>
    </row>
    <row r="7326" spans="1:7" x14ac:dyDescent="0.25">
      <c r="A7326" t="s">
        <v>41</v>
      </c>
      <c r="B7326" t="s">
        <v>2225</v>
      </c>
      <c r="C7326" t="s">
        <v>18099</v>
      </c>
      <c r="D7326" t="s">
        <v>20</v>
      </c>
      <c r="E7326" t="s">
        <v>11</v>
      </c>
      <c r="F7326">
        <v>6098.4</v>
      </c>
      <c r="G7326">
        <v>18</v>
      </c>
    </row>
    <row r="7327" spans="1:7" x14ac:dyDescent="0.25">
      <c r="A7327" t="s">
        <v>41</v>
      </c>
      <c r="B7327" t="s">
        <v>2228</v>
      </c>
      <c r="C7327" t="s">
        <v>18100</v>
      </c>
      <c r="D7327" t="s">
        <v>20</v>
      </c>
      <c r="E7327" t="s">
        <v>11</v>
      </c>
      <c r="F7327">
        <v>202.4</v>
      </c>
      <c r="G7327">
        <v>18</v>
      </c>
    </row>
    <row r="7328" spans="1:7" x14ac:dyDescent="0.25">
      <c r="A7328" t="s">
        <v>41</v>
      </c>
      <c r="B7328" t="s">
        <v>2231</v>
      </c>
      <c r="C7328" t="s">
        <v>18101</v>
      </c>
      <c r="D7328" t="s">
        <v>20</v>
      </c>
      <c r="E7328" t="s">
        <v>11</v>
      </c>
      <c r="F7328">
        <v>200.20000000000002</v>
      </c>
      <c r="G7328">
        <v>18</v>
      </c>
    </row>
    <row r="7329" spans="1:7" x14ac:dyDescent="0.25">
      <c r="A7329" t="s">
        <v>41</v>
      </c>
      <c r="B7329" t="s">
        <v>2234</v>
      </c>
      <c r="C7329" t="s">
        <v>18102</v>
      </c>
      <c r="D7329" t="s">
        <v>20</v>
      </c>
      <c r="E7329" t="s">
        <v>11</v>
      </c>
      <c r="F7329">
        <v>15418.699999999999</v>
      </c>
      <c r="G7329">
        <v>18</v>
      </c>
    </row>
    <row r="7330" spans="1:7" x14ac:dyDescent="0.25">
      <c r="A7330" t="s">
        <v>41</v>
      </c>
      <c r="B7330" t="s">
        <v>2237</v>
      </c>
      <c r="C7330" t="s">
        <v>18103</v>
      </c>
      <c r="D7330" t="s">
        <v>20</v>
      </c>
      <c r="E7330" t="s">
        <v>11</v>
      </c>
      <c r="F7330">
        <v>2299</v>
      </c>
      <c r="G7330">
        <v>18</v>
      </c>
    </row>
    <row r="7331" spans="1:7" x14ac:dyDescent="0.25">
      <c r="A7331" t="s">
        <v>41</v>
      </c>
      <c r="B7331" t="s">
        <v>2240</v>
      </c>
      <c r="C7331" t="s">
        <v>18104</v>
      </c>
      <c r="D7331" t="s">
        <v>20</v>
      </c>
      <c r="E7331" t="s">
        <v>11</v>
      </c>
      <c r="F7331">
        <v>783.2</v>
      </c>
      <c r="G7331">
        <v>18</v>
      </c>
    </row>
    <row r="7332" spans="1:7" x14ac:dyDescent="0.25">
      <c r="A7332" t="s">
        <v>41</v>
      </c>
      <c r="B7332" t="s">
        <v>2243</v>
      </c>
      <c r="C7332" t="s">
        <v>18105</v>
      </c>
      <c r="D7332" t="s">
        <v>20</v>
      </c>
      <c r="E7332" t="s">
        <v>11</v>
      </c>
      <c r="F7332">
        <v>573.1</v>
      </c>
      <c r="G7332">
        <v>18</v>
      </c>
    </row>
    <row r="7333" spans="1:7" x14ac:dyDescent="0.25">
      <c r="A7333" t="s">
        <v>41</v>
      </c>
      <c r="B7333" t="s">
        <v>2246</v>
      </c>
      <c r="C7333" t="s">
        <v>17845</v>
      </c>
      <c r="D7333" t="s">
        <v>20</v>
      </c>
      <c r="E7333" t="s">
        <v>11</v>
      </c>
      <c r="F7333">
        <v>61.60000000000001</v>
      </c>
      <c r="G7333">
        <v>18</v>
      </c>
    </row>
    <row r="7334" spans="1:7" x14ac:dyDescent="0.25">
      <c r="A7334" t="s">
        <v>41</v>
      </c>
      <c r="B7334" t="s">
        <v>2249</v>
      </c>
      <c r="C7334" t="s">
        <v>18106</v>
      </c>
      <c r="D7334" t="s">
        <v>20</v>
      </c>
      <c r="E7334" t="s">
        <v>11</v>
      </c>
      <c r="F7334">
        <v>58.300000000000004</v>
      </c>
      <c r="G7334">
        <v>18</v>
      </c>
    </row>
    <row r="7335" spans="1:7" x14ac:dyDescent="0.25">
      <c r="A7335" t="s">
        <v>41</v>
      </c>
      <c r="B7335" t="s">
        <v>2252</v>
      </c>
      <c r="C7335" t="s">
        <v>17838</v>
      </c>
      <c r="D7335" t="s">
        <v>20</v>
      </c>
      <c r="E7335" t="s">
        <v>11</v>
      </c>
      <c r="F7335">
        <v>40.7</v>
      </c>
      <c r="G7335">
        <v>18</v>
      </c>
    </row>
    <row r="7336" spans="1:7" x14ac:dyDescent="0.25">
      <c r="A7336" t="s">
        <v>41</v>
      </c>
      <c r="B7336" t="s">
        <v>2255</v>
      </c>
      <c r="C7336" t="s">
        <v>17736</v>
      </c>
      <c r="D7336" t="s">
        <v>20</v>
      </c>
      <c r="E7336" t="s">
        <v>11</v>
      </c>
      <c r="F7336">
        <v>57.2</v>
      </c>
      <c r="G7336">
        <v>18</v>
      </c>
    </row>
    <row r="7337" spans="1:7" x14ac:dyDescent="0.25">
      <c r="A7337" t="s">
        <v>41</v>
      </c>
      <c r="B7337" t="s">
        <v>2258</v>
      </c>
      <c r="C7337" t="s">
        <v>18107</v>
      </c>
      <c r="D7337" t="s">
        <v>20</v>
      </c>
      <c r="E7337" t="s">
        <v>11</v>
      </c>
      <c r="F7337">
        <v>886.6</v>
      </c>
      <c r="G7337">
        <v>18</v>
      </c>
    </row>
    <row r="7338" spans="1:7" x14ac:dyDescent="0.25">
      <c r="A7338" t="s">
        <v>41</v>
      </c>
      <c r="B7338" t="s">
        <v>2261</v>
      </c>
      <c r="C7338" t="s">
        <v>18108</v>
      </c>
      <c r="D7338" t="s">
        <v>20</v>
      </c>
      <c r="E7338" t="s">
        <v>11</v>
      </c>
      <c r="F7338">
        <v>57.2</v>
      </c>
      <c r="G7338">
        <v>18</v>
      </c>
    </row>
    <row r="7339" spans="1:7" x14ac:dyDescent="0.25">
      <c r="A7339" t="s">
        <v>41</v>
      </c>
      <c r="B7339" t="s">
        <v>2264</v>
      </c>
      <c r="C7339" t="s">
        <v>18084</v>
      </c>
      <c r="D7339" t="s">
        <v>20</v>
      </c>
      <c r="E7339" t="s">
        <v>11</v>
      </c>
      <c r="F7339">
        <v>613.8</v>
      </c>
      <c r="G7339">
        <v>18</v>
      </c>
    </row>
    <row r="7340" spans="1:7" x14ac:dyDescent="0.25">
      <c r="A7340" t="s">
        <v>41</v>
      </c>
      <c r="B7340" t="s">
        <v>2267</v>
      </c>
      <c r="C7340" t="s">
        <v>18107</v>
      </c>
      <c r="D7340" t="s">
        <v>20</v>
      </c>
      <c r="E7340" t="s">
        <v>11</v>
      </c>
      <c r="F7340">
        <v>535.7</v>
      </c>
      <c r="G7340">
        <v>18</v>
      </c>
    </row>
    <row r="7341" spans="1:7" x14ac:dyDescent="0.25">
      <c r="A7341" t="s">
        <v>41</v>
      </c>
      <c r="B7341" t="s">
        <v>2270</v>
      </c>
      <c r="C7341" t="s">
        <v>17677</v>
      </c>
      <c r="D7341" t="s">
        <v>20</v>
      </c>
      <c r="E7341" t="s">
        <v>11</v>
      </c>
      <c r="F7341">
        <v>57.2</v>
      </c>
      <c r="G7341">
        <v>18</v>
      </c>
    </row>
    <row r="7342" spans="1:7" x14ac:dyDescent="0.25">
      <c r="A7342" t="s">
        <v>41</v>
      </c>
      <c r="B7342" t="s">
        <v>2273</v>
      </c>
      <c r="C7342" t="s">
        <v>18109</v>
      </c>
      <c r="D7342" t="s">
        <v>20</v>
      </c>
      <c r="E7342" t="s">
        <v>11</v>
      </c>
      <c r="F7342">
        <v>70.4</v>
      </c>
      <c r="G7342">
        <v>18</v>
      </c>
    </row>
    <row r="7343" spans="1:7" x14ac:dyDescent="0.25">
      <c r="A7343" t="s">
        <v>41</v>
      </c>
      <c r="B7343" t="s">
        <v>2276</v>
      </c>
      <c r="C7343" t="s">
        <v>18110</v>
      </c>
      <c r="D7343" t="s">
        <v>20</v>
      </c>
      <c r="E7343" t="s">
        <v>11</v>
      </c>
      <c r="F7343">
        <v>2113.1</v>
      </c>
      <c r="G7343">
        <v>18</v>
      </c>
    </row>
    <row r="7344" spans="1:7" x14ac:dyDescent="0.25">
      <c r="A7344" t="s">
        <v>41</v>
      </c>
      <c r="B7344" t="s">
        <v>2279</v>
      </c>
      <c r="C7344" t="s">
        <v>18111</v>
      </c>
      <c r="D7344" t="s">
        <v>20</v>
      </c>
      <c r="E7344" t="s">
        <v>11</v>
      </c>
      <c r="F7344">
        <v>749.0999999999999</v>
      </c>
      <c r="G7344">
        <v>18</v>
      </c>
    </row>
    <row r="7345" spans="1:7" x14ac:dyDescent="0.25">
      <c r="A7345" t="s">
        <v>41</v>
      </c>
      <c r="B7345" t="s">
        <v>2282</v>
      </c>
      <c r="C7345" t="s">
        <v>18105</v>
      </c>
      <c r="D7345" t="s">
        <v>20</v>
      </c>
      <c r="E7345" t="s">
        <v>11</v>
      </c>
      <c r="F7345">
        <v>573.1</v>
      </c>
      <c r="G7345">
        <v>18</v>
      </c>
    </row>
    <row r="7346" spans="1:7" x14ac:dyDescent="0.25">
      <c r="A7346" t="s">
        <v>41</v>
      </c>
      <c r="B7346" t="s">
        <v>2285</v>
      </c>
      <c r="C7346" t="s">
        <v>17845</v>
      </c>
      <c r="D7346" t="s">
        <v>20</v>
      </c>
      <c r="E7346" t="s">
        <v>11</v>
      </c>
      <c r="F7346">
        <v>61.60000000000001</v>
      </c>
      <c r="G7346">
        <v>18</v>
      </c>
    </row>
    <row r="7347" spans="1:7" x14ac:dyDescent="0.25">
      <c r="A7347" t="s">
        <v>41</v>
      </c>
      <c r="B7347" t="s">
        <v>2288</v>
      </c>
      <c r="C7347" t="s">
        <v>17677</v>
      </c>
      <c r="D7347" t="s">
        <v>20</v>
      </c>
      <c r="E7347" t="s">
        <v>11</v>
      </c>
      <c r="F7347">
        <v>57.2</v>
      </c>
      <c r="G7347">
        <v>18</v>
      </c>
    </row>
    <row r="7348" spans="1:7" x14ac:dyDescent="0.25">
      <c r="A7348" t="s">
        <v>41</v>
      </c>
      <c r="B7348" t="s">
        <v>2291</v>
      </c>
      <c r="C7348" t="s">
        <v>18112</v>
      </c>
      <c r="D7348" t="s">
        <v>20</v>
      </c>
      <c r="E7348" t="s">
        <v>11</v>
      </c>
      <c r="F7348">
        <v>710.6</v>
      </c>
      <c r="G7348">
        <v>18</v>
      </c>
    </row>
    <row r="7349" spans="1:7" x14ac:dyDescent="0.25">
      <c r="A7349" t="s">
        <v>41</v>
      </c>
      <c r="B7349" t="s">
        <v>2294</v>
      </c>
      <c r="C7349" t="s">
        <v>18113</v>
      </c>
      <c r="D7349" t="s">
        <v>20</v>
      </c>
      <c r="E7349" t="s">
        <v>11</v>
      </c>
      <c r="F7349">
        <v>183.7</v>
      </c>
      <c r="G7349">
        <v>18</v>
      </c>
    </row>
    <row r="7350" spans="1:7" x14ac:dyDescent="0.25">
      <c r="A7350" t="s">
        <v>41</v>
      </c>
      <c r="B7350" t="s">
        <v>2297</v>
      </c>
      <c r="C7350" t="s">
        <v>18114</v>
      </c>
      <c r="D7350" t="s">
        <v>20</v>
      </c>
      <c r="E7350" t="s">
        <v>11</v>
      </c>
      <c r="F7350">
        <v>1595</v>
      </c>
      <c r="G7350">
        <v>18</v>
      </c>
    </row>
    <row r="7351" spans="1:7" x14ac:dyDescent="0.25">
      <c r="A7351" t="s">
        <v>41</v>
      </c>
      <c r="B7351" t="s">
        <v>2300</v>
      </c>
      <c r="C7351" t="s">
        <v>18115</v>
      </c>
      <c r="D7351" t="s">
        <v>20</v>
      </c>
      <c r="E7351" t="s">
        <v>11</v>
      </c>
      <c r="F7351">
        <v>717.1999999999999</v>
      </c>
      <c r="G7351">
        <v>18</v>
      </c>
    </row>
    <row r="7352" spans="1:7" x14ac:dyDescent="0.25">
      <c r="A7352" t="s">
        <v>41</v>
      </c>
      <c r="B7352" t="s">
        <v>2303</v>
      </c>
      <c r="C7352" t="s">
        <v>17677</v>
      </c>
      <c r="D7352" t="s">
        <v>20</v>
      </c>
      <c r="E7352" t="s">
        <v>11</v>
      </c>
      <c r="F7352">
        <v>157.29999999999998</v>
      </c>
      <c r="G7352">
        <v>18</v>
      </c>
    </row>
    <row r="7353" spans="1:7" x14ac:dyDescent="0.25">
      <c r="A7353" t="s">
        <v>41</v>
      </c>
      <c r="B7353" t="s">
        <v>2306</v>
      </c>
      <c r="C7353" t="s">
        <v>18116</v>
      </c>
      <c r="D7353" t="s">
        <v>20</v>
      </c>
      <c r="E7353" t="s">
        <v>11</v>
      </c>
      <c r="F7353">
        <v>70.4</v>
      </c>
      <c r="G7353">
        <v>18</v>
      </c>
    </row>
    <row r="7354" spans="1:7" x14ac:dyDescent="0.25">
      <c r="A7354" t="s">
        <v>41</v>
      </c>
      <c r="B7354" t="s">
        <v>2309</v>
      </c>
      <c r="C7354" t="s">
        <v>18102</v>
      </c>
      <c r="D7354" t="s">
        <v>20</v>
      </c>
      <c r="E7354" t="s">
        <v>11</v>
      </c>
      <c r="F7354">
        <v>25388</v>
      </c>
      <c r="G7354">
        <v>18</v>
      </c>
    </row>
    <row r="7355" spans="1:7" x14ac:dyDescent="0.25">
      <c r="A7355" t="s">
        <v>41</v>
      </c>
      <c r="B7355" t="s">
        <v>2312</v>
      </c>
      <c r="C7355" t="s">
        <v>18117</v>
      </c>
      <c r="D7355" t="s">
        <v>20</v>
      </c>
      <c r="E7355" t="s">
        <v>11</v>
      </c>
      <c r="F7355">
        <v>8115.8</v>
      </c>
      <c r="G7355">
        <v>18</v>
      </c>
    </row>
    <row r="7356" spans="1:7" x14ac:dyDescent="0.25">
      <c r="A7356" t="s">
        <v>41</v>
      </c>
      <c r="B7356" t="s">
        <v>2315</v>
      </c>
      <c r="C7356" t="s">
        <v>18118</v>
      </c>
      <c r="D7356" t="s">
        <v>20</v>
      </c>
      <c r="E7356" t="s">
        <v>11</v>
      </c>
      <c r="F7356">
        <v>3300</v>
      </c>
      <c r="G7356">
        <v>18</v>
      </c>
    </row>
    <row r="7357" spans="1:7" x14ac:dyDescent="0.25">
      <c r="A7357" t="s">
        <v>41</v>
      </c>
      <c r="B7357" t="s">
        <v>2318</v>
      </c>
      <c r="C7357" t="s">
        <v>18119</v>
      </c>
      <c r="D7357" t="s">
        <v>20</v>
      </c>
      <c r="E7357" t="s">
        <v>11</v>
      </c>
      <c r="F7357">
        <v>535.7</v>
      </c>
      <c r="G7357">
        <v>18</v>
      </c>
    </row>
    <row r="7358" spans="1:7" x14ac:dyDescent="0.25">
      <c r="A7358" t="s">
        <v>41</v>
      </c>
      <c r="B7358" t="s">
        <v>2321</v>
      </c>
      <c r="C7358" t="s">
        <v>17757</v>
      </c>
      <c r="D7358" t="s">
        <v>20</v>
      </c>
      <c r="E7358" t="s">
        <v>11</v>
      </c>
      <c r="F7358">
        <v>1856.8</v>
      </c>
      <c r="G7358">
        <v>18</v>
      </c>
    </row>
    <row r="7359" spans="1:7" x14ac:dyDescent="0.25">
      <c r="A7359" t="s">
        <v>41</v>
      </c>
      <c r="B7359" t="s">
        <v>2324</v>
      </c>
      <c r="C7359" t="s">
        <v>17645</v>
      </c>
      <c r="D7359" t="s">
        <v>20</v>
      </c>
      <c r="E7359" t="s">
        <v>11</v>
      </c>
      <c r="F7359">
        <v>167.2</v>
      </c>
      <c r="G7359">
        <v>18</v>
      </c>
    </row>
    <row r="7360" spans="1:7" x14ac:dyDescent="0.25">
      <c r="A7360" t="s">
        <v>41</v>
      </c>
      <c r="B7360" t="s">
        <v>2327</v>
      </c>
      <c r="C7360" t="s">
        <v>17900</v>
      </c>
      <c r="D7360" t="s">
        <v>20</v>
      </c>
      <c r="E7360" t="s">
        <v>11</v>
      </c>
      <c r="F7360">
        <v>473</v>
      </c>
      <c r="G7360">
        <v>18</v>
      </c>
    </row>
    <row r="7361" spans="1:7" x14ac:dyDescent="0.25">
      <c r="A7361" t="s">
        <v>41</v>
      </c>
      <c r="B7361" t="s">
        <v>2330</v>
      </c>
      <c r="C7361" t="s">
        <v>17901</v>
      </c>
      <c r="D7361" t="s">
        <v>20</v>
      </c>
      <c r="E7361" t="s">
        <v>11</v>
      </c>
      <c r="F7361">
        <v>70.4</v>
      </c>
      <c r="G7361">
        <v>18</v>
      </c>
    </row>
    <row r="7362" spans="1:7" x14ac:dyDescent="0.25">
      <c r="A7362" t="s">
        <v>41</v>
      </c>
      <c r="B7362" t="s">
        <v>2333</v>
      </c>
      <c r="C7362" t="s">
        <v>17757</v>
      </c>
      <c r="D7362" t="s">
        <v>20</v>
      </c>
      <c r="E7362" t="s">
        <v>11</v>
      </c>
      <c r="F7362">
        <v>1856.8</v>
      </c>
      <c r="G7362">
        <v>18</v>
      </c>
    </row>
    <row r="7363" spans="1:7" x14ac:dyDescent="0.25">
      <c r="A7363" t="s">
        <v>41</v>
      </c>
      <c r="B7363" t="s">
        <v>2336</v>
      </c>
      <c r="C7363" t="s">
        <v>18120</v>
      </c>
      <c r="D7363" t="s">
        <v>20</v>
      </c>
      <c r="E7363" t="s">
        <v>11</v>
      </c>
      <c r="F7363">
        <v>114.4</v>
      </c>
      <c r="G7363">
        <v>18</v>
      </c>
    </row>
    <row r="7364" spans="1:7" x14ac:dyDescent="0.25">
      <c r="A7364" t="s">
        <v>41</v>
      </c>
      <c r="B7364" t="s">
        <v>2339</v>
      </c>
      <c r="C7364" t="s">
        <v>17819</v>
      </c>
      <c r="D7364" t="s">
        <v>20</v>
      </c>
      <c r="E7364" t="s">
        <v>11</v>
      </c>
      <c r="F7364">
        <v>79.2</v>
      </c>
      <c r="G7364">
        <v>18</v>
      </c>
    </row>
    <row r="7365" spans="1:7" x14ac:dyDescent="0.25">
      <c r="A7365" t="s">
        <v>41</v>
      </c>
      <c r="B7365" t="s">
        <v>2342</v>
      </c>
      <c r="C7365" t="s">
        <v>17657</v>
      </c>
      <c r="D7365" t="s">
        <v>20</v>
      </c>
      <c r="E7365" t="s">
        <v>11</v>
      </c>
      <c r="F7365">
        <v>58.300000000000004</v>
      </c>
      <c r="G7365">
        <v>18</v>
      </c>
    </row>
    <row r="7366" spans="1:7" x14ac:dyDescent="0.25">
      <c r="A7366" t="s">
        <v>41</v>
      </c>
      <c r="B7366" t="s">
        <v>2345</v>
      </c>
      <c r="C7366" t="s">
        <v>17904</v>
      </c>
      <c r="D7366" t="s">
        <v>20</v>
      </c>
      <c r="E7366" t="s">
        <v>11</v>
      </c>
      <c r="F7366">
        <v>341</v>
      </c>
      <c r="G7366">
        <v>18</v>
      </c>
    </row>
    <row r="7367" spans="1:7" x14ac:dyDescent="0.25">
      <c r="A7367" t="s">
        <v>41</v>
      </c>
      <c r="B7367" t="s">
        <v>2348</v>
      </c>
      <c r="C7367" t="s">
        <v>18121</v>
      </c>
      <c r="D7367" t="s">
        <v>20</v>
      </c>
      <c r="E7367" t="s">
        <v>11</v>
      </c>
      <c r="F7367">
        <v>7504.2</v>
      </c>
      <c r="G7367">
        <v>18</v>
      </c>
    </row>
    <row r="7368" spans="1:7" x14ac:dyDescent="0.25">
      <c r="A7368" t="s">
        <v>41</v>
      </c>
      <c r="B7368" t="s">
        <v>2351</v>
      </c>
      <c r="C7368" t="s">
        <v>18122</v>
      </c>
      <c r="D7368" t="s">
        <v>20</v>
      </c>
      <c r="E7368" t="s">
        <v>11</v>
      </c>
      <c r="F7368">
        <v>7310.599999999999</v>
      </c>
      <c r="G7368">
        <v>18</v>
      </c>
    </row>
    <row r="7369" spans="1:7" x14ac:dyDescent="0.25">
      <c r="A7369" t="s">
        <v>41</v>
      </c>
      <c r="B7369" t="s">
        <v>2354</v>
      </c>
      <c r="C7369" t="s">
        <v>18123</v>
      </c>
      <c r="D7369" t="s">
        <v>20</v>
      </c>
      <c r="E7369" t="s">
        <v>11</v>
      </c>
      <c r="F7369">
        <v>114.4</v>
      </c>
      <c r="G7369">
        <v>18</v>
      </c>
    </row>
    <row r="7370" spans="1:7" x14ac:dyDescent="0.25">
      <c r="A7370" t="s">
        <v>41</v>
      </c>
      <c r="B7370" t="s">
        <v>2357</v>
      </c>
      <c r="C7370" t="s">
        <v>17814</v>
      </c>
      <c r="D7370" t="s">
        <v>20</v>
      </c>
      <c r="E7370" t="s">
        <v>11</v>
      </c>
      <c r="F7370">
        <v>1027.4</v>
      </c>
      <c r="G7370">
        <v>18</v>
      </c>
    </row>
    <row r="7371" spans="1:7" x14ac:dyDescent="0.25">
      <c r="A7371" t="s">
        <v>41</v>
      </c>
      <c r="B7371" t="s">
        <v>2360</v>
      </c>
      <c r="C7371" t="s">
        <v>18124</v>
      </c>
      <c r="D7371" t="s">
        <v>20</v>
      </c>
      <c r="E7371" t="s">
        <v>11</v>
      </c>
      <c r="F7371">
        <v>58.300000000000004</v>
      </c>
      <c r="G7371">
        <v>18</v>
      </c>
    </row>
    <row r="7372" spans="1:7" x14ac:dyDescent="0.25">
      <c r="A7372" t="s">
        <v>41</v>
      </c>
      <c r="B7372" t="s">
        <v>2363</v>
      </c>
      <c r="C7372" t="s">
        <v>18125</v>
      </c>
      <c r="D7372" t="s">
        <v>20</v>
      </c>
      <c r="E7372" t="s">
        <v>11</v>
      </c>
      <c r="F7372">
        <v>473</v>
      </c>
      <c r="G7372">
        <v>18</v>
      </c>
    </row>
    <row r="7373" spans="1:7" x14ac:dyDescent="0.25">
      <c r="A7373" t="s">
        <v>41</v>
      </c>
      <c r="B7373" t="s">
        <v>2366</v>
      </c>
      <c r="C7373" t="s">
        <v>17653</v>
      </c>
      <c r="D7373" t="s">
        <v>20</v>
      </c>
      <c r="E7373" t="s">
        <v>11</v>
      </c>
      <c r="F7373">
        <v>214.5</v>
      </c>
      <c r="G7373">
        <v>18</v>
      </c>
    </row>
    <row r="7374" spans="1:7" x14ac:dyDescent="0.25">
      <c r="A7374" t="s">
        <v>41</v>
      </c>
      <c r="B7374" t="s">
        <v>2369</v>
      </c>
      <c r="C7374" t="s">
        <v>18028</v>
      </c>
      <c r="D7374" t="s">
        <v>20</v>
      </c>
      <c r="E7374" t="s">
        <v>11</v>
      </c>
      <c r="F7374">
        <v>94.6</v>
      </c>
      <c r="G7374">
        <v>18</v>
      </c>
    </row>
    <row r="7375" spans="1:7" x14ac:dyDescent="0.25">
      <c r="A7375" t="s">
        <v>41</v>
      </c>
      <c r="B7375" t="s">
        <v>2372</v>
      </c>
      <c r="C7375" t="s">
        <v>17906</v>
      </c>
      <c r="D7375" t="s">
        <v>20</v>
      </c>
      <c r="E7375" t="s">
        <v>11</v>
      </c>
      <c r="F7375">
        <v>730.4</v>
      </c>
      <c r="G7375">
        <v>18</v>
      </c>
    </row>
    <row r="7376" spans="1:7" x14ac:dyDescent="0.25">
      <c r="A7376" t="s">
        <v>41</v>
      </c>
      <c r="B7376" t="s">
        <v>2375</v>
      </c>
      <c r="C7376" t="s">
        <v>17907</v>
      </c>
      <c r="D7376" t="s">
        <v>20</v>
      </c>
      <c r="E7376" t="s">
        <v>11</v>
      </c>
      <c r="F7376">
        <v>302.5</v>
      </c>
      <c r="G7376">
        <v>18</v>
      </c>
    </row>
    <row r="7377" spans="1:7" x14ac:dyDescent="0.25">
      <c r="A7377" t="s">
        <v>41</v>
      </c>
      <c r="B7377" t="s">
        <v>2378</v>
      </c>
      <c r="C7377" t="s">
        <v>17872</v>
      </c>
      <c r="D7377" t="s">
        <v>20</v>
      </c>
      <c r="E7377" t="s">
        <v>11</v>
      </c>
      <c r="F7377">
        <v>178.20000000000002</v>
      </c>
      <c r="G7377">
        <v>18</v>
      </c>
    </row>
    <row r="7378" spans="1:7" x14ac:dyDescent="0.25">
      <c r="A7378" t="s">
        <v>41</v>
      </c>
      <c r="B7378" t="s">
        <v>2381</v>
      </c>
      <c r="C7378" t="s">
        <v>18126</v>
      </c>
      <c r="D7378" t="s">
        <v>20</v>
      </c>
      <c r="E7378" t="s">
        <v>11</v>
      </c>
      <c r="F7378">
        <v>2371.6</v>
      </c>
      <c r="G7378">
        <v>18</v>
      </c>
    </row>
    <row r="7379" spans="1:7" x14ac:dyDescent="0.25">
      <c r="A7379" t="s">
        <v>41</v>
      </c>
      <c r="B7379" t="s">
        <v>2384</v>
      </c>
      <c r="C7379" t="s">
        <v>18127</v>
      </c>
      <c r="D7379" t="s">
        <v>20</v>
      </c>
      <c r="E7379" t="s">
        <v>11</v>
      </c>
      <c r="F7379">
        <v>61.60000000000001</v>
      </c>
      <c r="G7379">
        <v>18</v>
      </c>
    </row>
    <row r="7380" spans="1:7" x14ac:dyDescent="0.25">
      <c r="A7380" t="s">
        <v>41</v>
      </c>
      <c r="B7380" t="s">
        <v>2387</v>
      </c>
      <c r="C7380" t="s">
        <v>18128</v>
      </c>
      <c r="D7380" t="s">
        <v>20</v>
      </c>
      <c r="E7380" t="s">
        <v>11</v>
      </c>
      <c r="F7380">
        <v>183.7</v>
      </c>
      <c r="G7380">
        <v>18</v>
      </c>
    </row>
    <row r="7381" spans="1:7" x14ac:dyDescent="0.25">
      <c r="A7381" t="s">
        <v>41</v>
      </c>
      <c r="B7381" t="s">
        <v>2390</v>
      </c>
      <c r="C7381" t="s">
        <v>18129</v>
      </c>
      <c r="D7381" t="s">
        <v>20</v>
      </c>
      <c r="E7381" t="s">
        <v>11</v>
      </c>
      <c r="F7381">
        <v>129.79999999999998</v>
      </c>
      <c r="G7381">
        <v>18</v>
      </c>
    </row>
    <row r="7382" spans="1:7" x14ac:dyDescent="0.25">
      <c r="A7382" t="s">
        <v>41</v>
      </c>
      <c r="B7382" t="s">
        <v>2393</v>
      </c>
      <c r="C7382" t="s">
        <v>18130</v>
      </c>
      <c r="D7382" t="s">
        <v>20</v>
      </c>
      <c r="E7382" t="s">
        <v>11</v>
      </c>
      <c r="F7382">
        <v>80175.7</v>
      </c>
      <c r="G7382">
        <v>18</v>
      </c>
    </row>
    <row r="7383" spans="1:7" x14ac:dyDescent="0.25">
      <c r="A7383" t="s">
        <v>41</v>
      </c>
      <c r="B7383" t="s">
        <v>2396</v>
      </c>
      <c r="C7383" t="s">
        <v>18131</v>
      </c>
      <c r="D7383" t="s">
        <v>20</v>
      </c>
      <c r="E7383" t="s">
        <v>11</v>
      </c>
      <c r="F7383">
        <v>8336.900000000001</v>
      </c>
      <c r="G7383">
        <v>18</v>
      </c>
    </row>
    <row r="7384" spans="1:7" x14ac:dyDescent="0.25">
      <c r="A7384" t="s">
        <v>41</v>
      </c>
      <c r="B7384" t="s">
        <v>2399</v>
      </c>
      <c r="C7384" t="s">
        <v>18132</v>
      </c>
      <c r="D7384" t="s">
        <v>20</v>
      </c>
      <c r="E7384" t="s">
        <v>11</v>
      </c>
      <c r="F7384">
        <v>12255.1</v>
      </c>
      <c r="G7384">
        <v>18</v>
      </c>
    </row>
    <row r="7385" spans="1:7" x14ac:dyDescent="0.25">
      <c r="A7385" t="s">
        <v>41</v>
      </c>
      <c r="B7385" t="s">
        <v>2402</v>
      </c>
      <c r="C7385" t="s">
        <v>17733</v>
      </c>
      <c r="D7385" t="s">
        <v>20</v>
      </c>
      <c r="E7385" t="s">
        <v>11</v>
      </c>
      <c r="F7385">
        <v>1027.4</v>
      </c>
      <c r="G7385">
        <v>18</v>
      </c>
    </row>
    <row r="7386" spans="1:7" x14ac:dyDescent="0.25">
      <c r="A7386" t="s">
        <v>41</v>
      </c>
      <c r="B7386" t="s">
        <v>2405</v>
      </c>
      <c r="C7386" t="s">
        <v>18133</v>
      </c>
      <c r="D7386" t="s">
        <v>20</v>
      </c>
      <c r="E7386" t="s">
        <v>11</v>
      </c>
      <c r="F7386">
        <v>46333.1</v>
      </c>
      <c r="G7386">
        <v>18</v>
      </c>
    </row>
    <row r="7387" spans="1:7" x14ac:dyDescent="0.25">
      <c r="A7387" t="s">
        <v>41</v>
      </c>
      <c r="B7387" t="s">
        <v>2408</v>
      </c>
      <c r="C7387" t="s">
        <v>18134</v>
      </c>
      <c r="D7387" t="s">
        <v>20</v>
      </c>
      <c r="E7387" t="s">
        <v>11</v>
      </c>
      <c r="F7387">
        <v>45378.299999999996</v>
      </c>
      <c r="G7387">
        <v>18</v>
      </c>
    </row>
    <row r="7388" spans="1:7" x14ac:dyDescent="0.25">
      <c r="A7388" t="s">
        <v>41</v>
      </c>
      <c r="B7388" t="s">
        <v>2411</v>
      </c>
      <c r="C7388" t="s">
        <v>18135</v>
      </c>
      <c r="D7388" t="s">
        <v>20</v>
      </c>
      <c r="E7388" t="s">
        <v>11</v>
      </c>
      <c r="F7388">
        <v>12255.1</v>
      </c>
      <c r="G7388">
        <v>18</v>
      </c>
    </row>
    <row r="7389" spans="1:7" x14ac:dyDescent="0.25">
      <c r="A7389" t="s">
        <v>41</v>
      </c>
      <c r="B7389" t="s">
        <v>2414</v>
      </c>
      <c r="C7389" t="s">
        <v>18136</v>
      </c>
      <c r="D7389" t="s">
        <v>20</v>
      </c>
      <c r="E7389" t="s">
        <v>11</v>
      </c>
      <c r="F7389">
        <v>46333.1</v>
      </c>
      <c r="G7389">
        <v>18</v>
      </c>
    </row>
    <row r="7390" spans="1:7" x14ac:dyDescent="0.25">
      <c r="A7390" t="s">
        <v>41</v>
      </c>
      <c r="B7390" t="s">
        <v>2417</v>
      </c>
      <c r="C7390" t="s">
        <v>18137</v>
      </c>
      <c r="D7390" t="s">
        <v>20</v>
      </c>
      <c r="E7390" t="s">
        <v>11</v>
      </c>
      <c r="F7390">
        <v>45378.299999999996</v>
      </c>
      <c r="G7390">
        <v>18</v>
      </c>
    </row>
    <row r="7391" spans="1:7" x14ac:dyDescent="0.25">
      <c r="A7391" t="s">
        <v>41</v>
      </c>
      <c r="B7391" t="s">
        <v>2420</v>
      </c>
      <c r="C7391" t="s">
        <v>18138</v>
      </c>
      <c r="D7391" t="s">
        <v>20</v>
      </c>
      <c r="E7391" t="s">
        <v>11</v>
      </c>
      <c r="F7391">
        <v>80175.7</v>
      </c>
      <c r="G7391">
        <v>18</v>
      </c>
    </row>
    <row r="7392" spans="1:7" x14ac:dyDescent="0.25">
      <c r="A7392" t="s">
        <v>41</v>
      </c>
      <c r="B7392" t="s">
        <v>2423</v>
      </c>
      <c r="C7392" t="s">
        <v>18139</v>
      </c>
      <c r="D7392" t="s">
        <v>20</v>
      </c>
      <c r="E7392" t="s">
        <v>11</v>
      </c>
      <c r="F7392">
        <v>6905.8</v>
      </c>
      <c r="G7392">
        <v>18</v>
      </c>
    </row>
    <row r="7393" spans="1:7" x14ac:dyDescent="0.25">
      <c r="A7393" t="s">
        <v>41</v>
      </c>
      <c r="B7393" t="s">
        <v>2426</v>
      </c>
      <c r="C7393" t="s">
        <v>18140</v>
      </c>
      <c r="D7393" t="s">
        <v>20</v>
      </c>
      <c r="E7393" t="s">
        <v>11</v>
      </c>
      <c r="F7393">
        <v>1075.8</v>
      </c>
      <c r="G7393">
        <v>18</v>
      </c>
    </row>
    <row r="7394" spans="1:7" x14ac:dyDescent="0.25">
      <c r="A7394" t="s">
        <v>41</v>
      </c>
      <c r="B7394" t="s">
        <v>2429</v>
      </c>
      <c r="C7394" t="s">
        <v>18141</v>
      </c>
      <c r="D7394" t="s">
        <v>20</v>
      </c>
      <c r="E7394" t="s">
        <v>11</v>
      </c>
      <c r="F7394">
        <v>157.29999999999998</v>
      </c>
      <c r="G7394">
        <v>18</v>
      </c>
    </row>
    <row r="7395" spans="1:7" x14ac:dyDescent="0.25">
      <c r="A7395" t="s">
        <v>41</v>
      </c>
      <c r="B7395" t="s">
        <v>2432</v>
      </c>
      <c r="C7395" t="s">
        <v>18040</v>
      </c>
      <c r="D7395" t="s">
        <v>20</v>
      </c>
      <c r="E7395" t="s">
        <v>11</v>
      </c>
      <c r="F7395">
        <v>30.800000000000004</v>
      </c>
      <c r="G7395">
        <v>18</v>
      </c>
    </row>
    <row r="7396" spans="1:7" x14ac:dyDescent="0.25">
      <c r="A7396" t="s">
        <v>41</v>
      </c>
      <c r="B7396" t="s">
        <v>2435</v>
      </c>
      <c r="C7396" t="s">
        <v>18142</v>
      </c>
      <c r="D7396" t="s">
        <v>20</v>
      </c>
      <c r="E7396" t="s">
        <v>11</v>
      </c>
      <c r="F7396">
        <v>4437.400000000001</v>
      </c>
      <c r="G7396">
        <v>18</v>
      </c>
    </row>
    <row r="7397" spans="1:7" x14ac:dyDescent="0.25">
      <c r="A7397" t="s">
        <v>41</v>
      </c>
      <c r="B7397" t="s">
        <v>2438</v>
      </c>
      <c r="C7397" t="s">
        <v>17934</v>
      </c>
      <c r="D7397" t="s">
        <v>20</v>
      </c>
      <c r="E7397" t="s">
        <v>11</v>
      </c>
      <c r="F7397">
        <v>58.300000000000004</v>
      </c>
      <c r="G7397">
        <v>18</v>
      </c>
    </row>
    <row r="7398" spans="1:7" x14ac:dyDescent="0.25">
      <c r="A7398" t="s">
        <v>41</v>
      </c>
      <c r="B7398" t="s">
        <v>2441</v>
      </c>
      <c r="C7398" t="s">
        <v>17838</v>
      </c>
      <c r="D7398" t="s">
        <v>20</v>
      </c>
      <c r="E7398" t="s">
        <v>11</v>
      </c>
      <c r="F7398">
        <v>40.7</v>
      </c>
      <c r="G7398">
        <v>18</v>
      </c>
    </row>
    <row r="7399" spans="1:7" x14ac:dyDescent="0.25">
      <c r="A7399" t="s">
        <v>41</v>
      </c>
      <c r="B7399" t="s">
        <v>2444</v>
      </c>
      <c r="C7399" t="s">
        <v>18045</v>
      </c>
      <c r="D7399" t="s">
        <v>20</v>
      </c>
      <c r="E7399" t="s">
        <v>11</v>
      </c>
      <c r="F7399">
        <v>2098.7999999999997</v>
      </c>
      <c r="G7399">
        <v>18</v>
      </c>
    </row>
    <row r="7400" spans="1:7" x14ac:dyDescent="0.25">
      <c r="A7400" t="s">
        <v>41</v>
      </c>
      <c r="B7400" t="s">
        <v>2447</v>
      </c>
      <c r="C7400" t="s">
        <v>18143</v>
      </c>
      <c r="D7400" t="s">
        <v>20</v>
      </c>
      <c r="E7400" t="s">
        <v>11</v>
      </c>
      <c r="F7400">
        <v>564.3</v>
      </c>
      <c r="G7400">
        <v>18</v>
      </c>
    </row>
    <row r="7401" spans="1:7" x14ac:dyDescent="0.25">
      <c r="A7401" t="s">
        <v>41</v>
      </c>
      <c r="B7401" t="s">
        <v>2450</v>
      </c>
      <c r="C7401" t="s">
        <v>18144</v>
      </c>
      <c r="D7401" t="s">
        <v>20</v>
      </c>
      <c r="E7401" t="s">
        <v>11</v>
      </c>
      <c r="F7401">
        <v>58.300000000000004</v>
      </c>
      <c r="G7401">
        <v>18</v>
      </c>
    </row>
    <row r="7402" spans="1:7" x14ac:dyDescent="0.25">
      <c r="A7402" t="s">
        <v>41</v>
      </c>
      <c r="B7402" t="s">
        <v>2453</v>
      </c>
      <c r="C7402" t="s">
        <v>17680</v>
      </c>
      <c r="D7402" t="s">
        <v>20</v>
      </c>
      <c r="E7402" t="s">
        <v>11</v>
      </c>
      <c r="F7402">
        <v>2599.2999999999997</v>
      </c>
      <c r="G7402">
        <v>18</v>
      </c>
    </row>
    <row r="7403" spans="1:7" x14ac:dyDescent="0.25">
      <c r="A7403" t="s">
        <v>41</v>
      </c>
      <c r="B7403" t="s">
        <v>2456</v>
      </c>
      <c r="C7403" t="s">
        <v>18048</v>
      </c>
      <c r="D7403" t="s">
        <v>20</v>
      </c>
      <c r="E7403" t="s">
        <v>11</v>
      </c>
      <c r="F7403">
        <v>58.300000000000004</v>
      </c>
      <c r="G7403">
        <v>18</v>
      </c>
    </row>
    <row r="7404" spans="1:7" x14ac:dyDescent="0.25">
      <c r="A7404" t="s">
        <v>41</v>
      </c>
      <c r="B7404" t="s">
        <v>2459</v>
      </c>
      <c r="C7404" t="s">
        <v>18145</v>
      </c>
      <c r="D7404" t="s">
        <v>20</v>
      </c>
      <c r="E7404" t="s">
        <v>11</v>
      </c>
      <c r="F7404">
        <v>229.89999999999998</v>
      </c>
      <c r="G7404">
        <v>18</v>
      </c>
    </row>
    <row r="7405" spans="1:7" x14ac:dyDescent="0.25">
      <c r="A7405" t="s">
        <v>41</v>
      </c>
      <c r="B7405" t="s">
        <v>2462</v>
      </c>
      <c r="C7405" t="s">
        <v>18146</v>
      </c>
      <c r="D7405" t="s">
        <v>20</v>
      </c>
      <c r="E7405" t="s">
        <v>11</v>
      </c>
      <c r="F7405">
        <v>8492</v>
      </c>
      <c r="G7405">
        <v>18</v>
      </c>
    </row>
    <row r="7406" spans="1:7" x14ac:dyDescent="0.25">
      <c r="A7406" t="s">
        <v>41</v>
      </c>
      <c r="B7406" t="s">
        <v>2465</v>
      </c>
      <c r="C7406" t="s">
        <v>17673</v>
      </c>
      <c r="D7406" t="s">
        <v>20</v>
      </c>
      <c r="E7406" t="s">
        <v>11</v>
      </c>
      <c r="F7406">
        <v>733.7</v>
      </c>
      <c r="G7406">
        <v>18</v>
      </c>
    </row>
    <row r="7407" spans="1:7" x14ac:dyDescent="0.25">
      <c r="A7407" t="s">
        <v>41</v>
      </c>
      <c r="B7407" t="s">
        <v>2468</v>
      </c>
      <c r="C7407" t="s">
        <v>18053</v>
      </c>
      <c r="D7407" t="s">
        <v>20</v>
      </c>
      <c r="E7407" t="s">
        <v>11</v>
      </c>
      <c r="F7407">
        <v>70.4</v>
      </c>
      <c r="G7407">
        <v>18</v>
      </c>
    </row>
    <row r="7408" spans="1:7" x14ac:dyDescent="0.25">
      <c r="A7408" t="s">
        <v>41</v>
      </c>
      <c r="B7408" t="s">
        <v>2471</v>
      </c>
      <c r="C7408" t="s">
        <v>17935</v>
      </c>
      <c r="D7408" t="s">
        <v>20</v>
      </c>
      <c r="E7408" t="s">
        <v>11</v>
      </c>
      <c r="F7408">
        <v>61.60000000000001</v>
      </c>
      <c r="G7408">
        <v>18</v>
      </c>
    </row>
    <row r="7409" spans="1:7" x14ac:dyDescent="0.25">
      <c r="A7409" t="s">
        <v>41</v>
      </c>
      <c r="B7409" t="s">
        <v>2474</v>
      </c>
      <c r="C7409" t="s">
        <v>18147</v>
      </c>
      <c r="D7409" t="s">
        <v>20</v>
      </c>
      <c r="E7409" t="s">
        <v>11</v>
      </c>
      <c r="F7409">
        <v>9508.4</v>
      </c>
      <c r="G7409">
        <v>18</v>
      </c>
    </row>
    <row r="7410" spans="1:7" x14ac:dyDescent="0.25">
      <c r="A7410" t="s">
        <v>41</v>
      </c>
      <c r="B7410" t="s">
        <v>2477</v>
      </c>
      <c r="C7410" t="s">
        <v>17930</v>
      </c>
      <c r="D7410" t="s">
        <v>20</v>
      </c>
      <c r="E7410" t="s">
        <v>11</v>
      </c>
      <c r="F7410">
        <v>61.60000000000001</v>
      </c>
      <c r="G7410">
        <v>18</v>
      </c>
    </row>
    <row r="7411" spans="1:7" x14ac:dyDescent="0.25">
      <c r="A7411" t="s">
        <v>41</v>
      </c>
      <c r="B7411" t="s">
        <v>2480</v>
      </c>
      <c r="C7411" t="s">
        <v>17931</v>
      </c>
      <c r="D7411" t="s">
        <v>20</v>
      </c>
      <c r="E7411" t="s">
        <v>11</v>
      </c>
      <c r="F7411">
        <v>430.1</v>
      </c>
      <c r="G7411">
        <v>18</v>
      </c>
    </row>
    <row r="7412" spans="1:7" x14ac:dyDescent="0.25">
      <c r="A7412" t="s">
        <v>41</v>
      </c>
      <c r="B7412" t="s">
        <v>2483</v>
      </c>
      <c r="C7412" t="s">
        <v>17846</v>
      </c>
      <c r="D7412" t="s">
        <v>20</v>
      </c>
      <c r="E7412" t="s">
        <v>11</v>
      </c>
      <c r="F7412">
        <v>546.6999999999999</v>
      </c>
      <c r="G7412">
        <v>18</v>
      </c>
    </row>
    <row r="7413" spans="1:7" x14ac:dyDescent="0.25">
      <c r="A7413" t="s">
        <v>41</v>
      </c>
      <c r="B7413" t="s">
        <v>2486</v>
      </c>
      <c r="C7413" t="s">
        <v>17849</v>
      </c>
      <c r="D7413" t="s">
        <v>20</v>
      </c>
      <c r="E7413" t="s">
        <v>11</v>
      </c>
      <c r="F7413">
        <v>1642.3</v>
      </c>
      <c r="G7413">
        <v>18</v>
      </c>
    </row>
    <row r="7414" spans="1:7" x14ac:dyDescent="0.25">
      <c r="A7414" t="s">
        <v>41</v>
      </c>
      <c r="B7414" t="s">
        <v>2489</v>
      </c>
      <c r="C7414" t="s">
        <v>18148</v>
      </c>
      <c r="D7414" t="s">
        <v>20</v>
      </c>
      <c r="E7414" t="s">
        <v>11</v>
      </c>
      <c r="F7414">
        <v>7764.900000000001</v>
      </c>
      <c r="G7414">
        <v>18</v>
      </c>
    </row>
    <row r="7415" spans="1:7" x14ac:dyDescent="0.25">
      <c r="A7415" t="s">
        <v>41</v>
      </c>
      <c r="B7415" t="s">
        <v>2492</v>
      </c>
      <c r="C7415" t="s">
        <v>17737</v>
      </c>
      <c r="D7415" t="s">
        <v>20</v>
      </c>
      <c r="E7415" t="s">
        <v>11</v>
      </c>
      <c r="F7415">
        <v>57.2</v>
      </c>
      <c r="G7415">
        <v>18</v>
      </c>
    </row>
    <row r="7416" spans="1:7" x14ac:dyDescent="0.25">
      <c r="A7416" t="s">
        <v>41</v>
      </c>
      <c r="B7416" t="s">
        <v>2495</v>
      </c>
      <c r="C7416" t="s">
        <v>17778</v>
      </c>
      <c r="D7416" t="s">
        <v>20</v>
      </c>
      <c r="E7416" t="s">
        <v>11</v>
      </c>
      <c r="F7416">
        <v>61.60000000000001</v>
      </c>
      <c r="G7416">
        <v>18</v>
      </c>
    </row>
    <row r="7417" spans="1:7" x14ac:dyDescent="0.25">
      <c r="A7417" t="s">
        <v>41</v>
      </c>
      <c r="B7417" t="s">
        <v>2498</v>
      </c>
      <c r="C7417" t="s">
        <v>17850</v>
      </c>
      <c r="D7417" t="s">
        <v>20</v>
      </c>
      <c r="E7417" t="s">
        <v>11</v>
      </c>
      <c r="F7417">
        <v>3526.6000000000004</v>
      </c>
      <c r="G7417">
        <v>18</v>
      </c>
    </row>
    <row r="7418" spans="1:7" x14ac:dyDescent="0.25">
      <c r="A7418" t="s">
        <v>41</v>
      </c>
      <c r="B7418" t="s">
        <v>2501</v>
      </c>
      <c r="C7418" t="s">
        <v>17851</v>
      </c>
      <c r="D7418" t="s">
        <v>20</v>
      </c>
      <c r="E7418" t="s">
        <v>11</v>
      </c>
      <c r="F7418">
        <v>546.6999999999999</v>
      </c>
      <c r="G7418">
        <v>18</v>
      </c>
    </row>
    <row r="7419" spans="1:7" x14ac:dyDescent="0.25">
      <c r="A7419" t="s">
        <v>41</v>
      </c>
      <c r="B7419" t="s">
        <v>2504</v>
      </c>
      <c r="C7419" t="s">
        <v>17852</v>
      </c>
      <c r="D7419" t="s">
        <v>20</v>
      </c>
      <c r="E7419" t="s">
        <v>11</v>
      </c>
      <c r="F7419">
        <v>1642.3</v>
      </c>
      <c r="G7419">
        <v>18</v>
      </c>
    </row>
    <row r="7420" spans="1:7" x14ac:dyDescent="0.25">
      <c r="A7420" t="s">
        <v>41</v>
      </c>
      <c r="B7420" t="s">
        <v>2507</v>
      </c>
      <c r="C7420" t="s">
        <v>18149</v>
      </c>
      <c r="D7420" t="s">
        <v>20</v>
      </c>
      <c r="E7420" t="s">
        <v>11</v>
      </c>
      <c r="F7420">
        <v>7764.900000000001</v>
      </c>
      <c r="G7420">
        <v>18</v>
      </c>
    </row>
    <row r="7421" spans="1:7" x14ac:dyDescent="0.25">
      <c r="A7421" t="s">
        <v>41</v>
      </c>
      <c r="B7421" t="s">
        <v>2510</v>
      </c>
      <c r="C7421" t="s">
        <v>18150</v>
      </c>
      <c r="D7421" t="s">
        <v>20</v>
      </c>
      <c r="E7421" t="s">
        <v>11</v>
      </c>
      <c r="F7421">
        <v>2656.5</v>
      </c>
      <c r="G7421">
        <v>18</v>
      </c>
    </row>
    <row r="7422" spans="1:7" x14ac:dyDescent="0.25">
      <c r="A7422" t="s">
        <v>41</v>
      </c>
      <c r="B7422" t="s">
        <v>2513</v>
      </c>
      <c r="C7422" t="s">
        <v>17952</v>
      </c>
      <c r="D7422" t="s">
        <v>20</v>
      </c>
      <c r="E7422" t="s">
        <v>11</v>
      </c>
      <c r="F7422">
        <v>70.4</v>
      </c>
      <c r="G7422">
        <v>18</v>
      </c>
    </row>
    <row r="7423" spans="1:7" x14ac:dyDescent="0.25">
      <c r="A7423" t="s">
        <v>41</v>
      </c>
      <c r="B7423" t="s">
        <v>2516</v>
      </c>
      <c r="C7423" t="s">
        <v>17937</v>
      </c>
      <c r="D7423" t="s">
        <v>20</v>
      </c>
      <c r="E7423" t="s">
        <v>11</v>
      </c>
      <c r="F7423">
        <v>14913.800000000001</v>
      </c>
      <c r="G7423">
        <v>18</v>
      </c>
    </row>
    <row r="7424" spans="1:7" x14ac:dyDescent="0.25">
      <c r="A7424" t="s">
        <v>41</v>
      </c>
      <c r="B7424" t="s">
        <v>2519</v>
      </c>
      <c r="C7424" t="s">
        <v>18151</v>
      </c>
      <c r="D7424" t="s">
        <v>20</v>
      </c>
      <c r="E7424" t="s">
        <v>11</v>
      </c>
      <c r="F7424">
        <v>1559.8</v>
      </c>
      <c r="G7424">
        <v>18</v>
      </c>
    </row>
    <row r="7425" spans="1:7" x14ac:dyDescent="0.25">
      <c r="A7425" t="s">
        <v>41</v>
      </c>
      <c r="B7425" t="s">
        <v>2522</v>
      </c>
      <c r="C7425" t="s">
        <v>17819</v>
      </c>
      <c r="D7425" t="s">
        <v>20</v>
      </c>
      <c r="E7425" t="s">
        <v>11</v>
      </c>
      <c r="F7425">
        <v>79.2</v>
      </c>
      <c r="G7425">
        <v>18</v>
      </c>
    </row>
    <row r="7426" spans="1:7" x14ac:dyDescent="0.25">
      <c r="A7426" t="s">
        <v>41</v>
      </c>
      <c r="B7426" t="s">
        <v>2525</v>
      </c>
      <c r="C7426" t="s">
        <v>17848</v>
      </c>
      <c r="D7426" t="s">
        <v>20</v>
      </c>
      <c r="E7426" t="s">
        <v>11</v>
      </c>
      <c r="F7426">
        <v>58.300000000000004</v>
      </c>
      <c r="G7426">
        <v>18</v>
      </c>
    </row>
    <row r="7427" spans="1:7" x14ac:dyDescent="0.25">
      <c r="A7427" t="s">
        <v>41</v>
      </c>
      <c r="B7427" t="s">
        <v>2528</v>
      </c>
      <c r="C7427" t="s">
        <v>18152</v>
      </c>
      <c r="D7427" t="s">
        <v>20</v>
      </c>
      <c r="E7427" t="s">
        <v>11</v>
      </c>
      <c r="F7427">
        <v>1623.6</v>
      </c>
      <c r="G7427">
        <v>18</v>
      </c>
    </row>
    <row r="7428" spans="1:7" x14ac:dyDescent="0.25">
      <c r="A7428" t="s">
        <v>41</v>
      </c>
      <c r="B7428" t="s">
        <v>2531</v>
      </c>
      <c r="C7428" t="s">
        <v>17657</v>
      </c>
      <c r="D7428" t="s">
        <v>20</v>
      </c>
      <c r="E7428" t="s">
        <v>11</v>
      </c>
      <c r="F7428">
        <v>58.300000000000004</v>
      </c>
      <c r="G7428">
        <v>18</v>
      </c>
    </row>
    <row r="7429" spans="1:7" x14ac:dyDescent="0.25">
      <c r="A7429" t="s">
        <v>41</v>
      </c>
      <c r="B7429" t="s">
        <v>2534</v>
      </c>
      <c r="C7429" t="s">
        <v>18153</v>
      </c>
      <c r="D7429" t="s">
        <v>20</v>
      </c>
      <c r="E7429" t="s">
        <v>11</v>
      </c>
      <c r="F7429">
        <v>2651</v>
      </c>
      <c r="G7429">
        <v>18</v>
      </c>
    </row>
    <row r="7430" spans="1:7" x14ac:dyDescent="0.25">
      <c r="A7430" t="s">
        <v>41</v>
      </c>
      <c r="B7430" t="s">
        <v>2537</v>
      </c>
      <c r="C7430" t="s">
        <v>18154</v>
      </c>
      <c r="D7430" t="s">
        <v>20</v>
      </c>
      <c r="E7430" t="s">
        <v>11</v>
      </c>
      <c r="F7430">
        <v>58.300000000000004</v>
      </c>
      <c r="G7430">
        <v>18</v>
      </c>
    </row>
    <row r="7431" spans="1:7" x14ac:dyDescent="0.25">
      <c r="A7431" t="s">
        <v>41</v>
      </c>
      <c r="B7431" t="s">
        <v>2540</v>
      </c>
      <c r="C7431" t="s">
        <v>17778</v>
      </c>
      <c r="D7431" t="s">
        <v>20</v>
      </c>
      <c r="E7431" t="s">
        <v>11</v>
      </c>
      <c r="F7431">
        <v>61.60000000000001</v>
      </c>
      <c r="G7431">
        <v>18</v>
      </c>
    </row>
    <row r="7432" spans="1:7" x14ac:dyDescent="0.25">
      <c r="A7432" t="s">
        <v>41</v>
      </c>
      <c r="B7432" t="s">
        <v>2543</v>
      </c>
      <c r="C7432" t="s">
        <v>17676</v>
      </c>
      <c r="D7432" t="s">
        <v>20</v>
      </c>
      <c r="E7432" t="s">
        <v>11</v>
      </c>
      <c r="F7432">
        <v>157.29999999999998</v>
      </c>
      <c r="G7432">
        <v>18</v>
      </c>
    </row>
    <row r="7433" spans="1:7" x14ac:dyDescent="0.25">
      <c r="A7433" t="s">
        <v>41</v>
      </c>
      <c r="B7433" t="s">
        <v>2546</v>
      </c>
      <c r="C7433" t="s">
        <v>18155</v>
      </c>
      <c r="D7433" t="s">
        <v>20</v>
      </c>
      <c r="E7433" t="s">
        <v>11</v>
      </c>
      <c r="F7433">
        <v>70.4</v>
      </c>
      <c r="G7433">
        <v>18</v>
      </c>
    </row>
    <row r="7434" spans="1:7" x14ac:dyDescent="0.25">
      <c r="A7434" t="s">
        <v>41</v>
      </c>
      <c r="B7434" t="s">
        <v>2549</v>
      </c>
      <c r="C7434" t="s">
        <v>17778</v>
      </c>
      <c r="D7434" t="s">
        <v>20</v>
      </c>
      <c r="E7434" t="s">
        <v>11</v>
      </c>
      <c r="F7434">
        <v>61.60000000000001</v>
      </c>
      <c r="G7434">
        <v>18</v>
      </c>
    </row>
    <row r="7435" spans="1:7" x14ac:dyDescent="0.25">
      <c r="A7435" t="s">
        <v>41</v>
      </c>
      <c r="B7435" t="s">
        <v>2552</v>
      </c>
      <c r="C7435" t="s">
        <v>18156</v>
      </c>
      <c r="D7435" t="s">
        <v>20</v>
      </c>
      <c r="E7435" t="s">
        <v>11</v>
      </c>
      <c r="F7435">
        <v>118.80000000000001</v>
      </c>
      <c r="G7435">
        <v>18</v>
      </c>
    </row>
    <row r="7436" spans="1:7" x14ac:dyDescent="0.25">
      <c r="A7436" t="s">
        <v>41</v>
      </c>
      <c r="B7436" t="s">
        <v>2555</v>
      </c>
      <c r="C7436" t="s">
        <v>17656</v>
      </c>
      <c r="D7436" t="s">
        <v>20</v>
      </c>
      <c r="E7436" t="s">
        <v>11</v>
      </c>
      <c r="F7436">
        <v>58.300000000000004</v>
      </c>
      <c r="G7436">
        <v>18</v>
      </c>
    </row>
    <row r="7437" spans="1:7" x14ac:dyDescent="0.25">
      <c r="A7437" t="s">
        <v>41</v>
      </c>
      <c r="B7437" t="s">
        <v>2558</v>
      </c>
      <c r="C7437" t="s">
        <v>17654</v>
      </c>
      <c r="D7437" t="s">
        <v>20</v>
      </c>
      <c r="E7437" t="s">
        <v>11</v>
      </c>
      <c r="F7437">
        <v>57.2</v>
      </c>
      <c r="G7437">
        <v>18</v>
      </c>
    </row>
    <row r="7438" spans="1:7" x14ac:dyDescent="0.25">
      <c r="A7438" t="s">
        <v>41</v>
      </c>
      <c r="B7438" t="s">
        <v>2561</v>
      </c>
      <c r="C7438" t="s">
        <v>18154</v>
      </c>
      <c r="D7438" t="s">
        <v>20</v>
      </c>
      <c r="E7438" t="s">
        <v>11</v>
      </c>
      <c r="F7438">
        <v>58.300000000000004</v>
      </c>
      <c r="G7438">
        <v>18</v>
      </c>
    </row>
    <row r="7439" spans="1:7" x14ac:dyDescent="0.25">
      <c r="A7439" t="s">
        <v>41</v>
      </c>
      <c r="B7439" t="s">
        <v>2564</v>
      </c>
      <c r="C7439" t="s">
        <v>18157</v>
      </c>
      <c r="D7439" t="s">
        <v>20</v>
      </c>
      <c r="E7439" t="s">
        <v>11</v>
      </c>
      <c r="F7439">
        <v>3520</v>
      </c>
      <c r="G7439">
        <v>18</v>
      </c>
    </row>
    <row r="7440" spans="1:7" x14ac:dyDescent="0.25">
      <c r="A7440" t="s">
        <v>41</v>
      </c>
      <c r="B7440" t="s">
        <v>2567</v>
      </c>
      <c r="C7440" t="s">
        <v>18158</v>
      </c>
      <c r="D7440" t="s">
        <v>20</v>
      </c>
      <c r="E7440" t="s">
        <v>11</v>
      </c>
      <c r="F7440">
        <v>1761.1000000000001</v>
      </c>
      <c r="G7440">
        <v>18</v>
      </c>
    </row>
    <row r="7441" spans="1:7" x14ac:dyDescent="0.25">
      <c r="A7441" t="s">
        <v>41</v>
      </c>
      <c r="B7441" t="s">
        <v>2570</v>
      </c>
      <c r="C7441" t="s">
        <v>18159</v>
      </c>
      <c r="D7441" t="s">
        <v>20</v>
      </c>
      <c r="E7441" t="s">
        <v>11</v>
      </c>
      <c r="F7441">
        <v>660</v>
      </c>
      <c r="G7441">
        <v>18</v>
      </c>
    </row>
    <row r="7442" spans="1:7" x14ac:dyDescent="0.25">
      <c r="A7442" t="s">
        <v>41</v>
      </c>
      <c r="B7442" t="s">
        <v>2573</v>
      </c>
      <c r="C7442" t="s">
        <v>18160</v>
      </c>
      <c r="D7442" t="s">
        <v>20</v>
      </c>
      <c r="E7442" t="s">
        <v>11</v>
      </c>
      <c r="F7442">
        <v>4690.4</v>
      </c>
      <c r="G7442">
        <v>18</v>
      </c>
    </row>
    <row r="7443" spans="1:7" x14ac:dyDescent="0.25">
      <c r="A7443" t="s">
        <v>41</v>
      </c>
      <c r="B7443" t="s">
        <v>2576</v>
      </c>
      <c r="C7443" t="s">
        <v>18161</v>
      </c>
      <c r="D7443" t="s">
        <v>20</v>
      </c>
      <c r="E7443" t="s">
        <v>11</v>
      </c>
      <c r="F7443">
        <v>4118.4</v>
      </c>
      <c r="G7443">
        <v>18</v>
      </c>
    </row>
    <row r="7444" spans="1:7" x14ac:dyDescent="0.25">
      <c r="A7444" t="s">
        <v>41</v>
      </c>
      <c r="B7444" t="s">
        <v>2579</v>
      </c>
      <c r="C7444" t="s">
        <v>18162</v>
      </c>
      <c r="D7444" t="s">
        <v>20</v>
      </c>
      <c r="E7444" t="s">
        <v>11</v>
      </c>
      <c r="F7444">
        <v>4118.4</v>
      </c>
      <c r="G7444">
        <v>18</v>
      </c>
    </row>
    <row r="7445" spans="1:7" x14ac:dyDescent="0.25">
      <c r="A7445" t="s">
        <v>41</v>
      </c>
      <c r="B7445" t="s">
        <v>2582</v>
      </c>
      <c r="C7445" t="s">
        <v>18163</v>
      </c>
      <c r="D7445" t="s">
        <v>20</v>
      </c>
      <c r="E7445" t="s">
        <v>11</v>
      </c>
      <c r="F7445">
        <v>4118.4</v>
      </c>
      <c r="G7445">
        <v>18</v>
      </c>
    </row>
    <row r="7446" spans="1:7" x14ac:dyDescent="0.25">
      <c r="A7446" t="s">
        <v>41</v>
      </c>
      <c r="B7446" t="s">
        <v>2585</v>
      </c>
      <c r="C7446" t="s">
        <v>18164</v>
      </c>
      <c r="D7446" t="s">
        <v>20</v>
      </c>
      <c r="E7446" t="s">
        <v>11</v>
      </c>
      <c r="F7446">
        <v>2703.7999999999997</v>
      </c>
      <c r="G7446">
        <v>18</v>
      </c>
    </row>
    <row r="7447" spans="1:7" x14ac:dyDescent="0.25">
      <c r="A7447" t="s">
        <v>41</v>
      </c>
      <c r="B7447" t="s">
        <v>2588</v>
      </c>
      <c r="C7447" t="s">
        <v>18165</v>
      </c>
      <c r="D7447" t="s">
        <v>20</v>
      </c>
      <c r="E7447" t="s">
        <v>11</v>
      </c>
      <c r="F7447">
        <v>958.1000000000001</v>
      </c>
      <c r="G7447">
        <v>18</v>
      </c>
    </row>
    <row r="7448" spans="1:7" x14ac:dyDescent="0.25">
      <c r="A7448" t="s">
        <v>41</v>
      </c>
      <c r="B7448" t="s">
        <v>2590</v>
      </c>
      <c r="C7448" t="s">
        <v>18166</v>
      </c>
      <c r="D7448" t="s">
        <v>20</v>
      </c>
      <c r="E7448" t="s">
        <v>11</v>
      </c>
      <c r="F7448">
        <v>958.1000000000001</v>
      </c>
      <c r="G7448">
        <v>18</v>
      </c>
    </row>
    <row r="7449" spans="1:7" x14ac:dyDescent="0.25">
      <c r="A7449" t="s">
        <v>41</v>
      </c>
      <c r="B7449" t="s">
        <v>2593</v>
      </c>
      <c r="C7449" t="s">
        <v>18167</v>
      </c>
      <c r="D7449" t="s">
        <v>20</v>
      </c>
      <c r="E7449" t="s">
        <v>11</v>
      </c>
      <c r="F7449">
        <v>958.1000000000001</v>
      </c>
      <c r="G7449">
        <v>18</v>
      </c>
    </row>
    <row r="7450" spans="1:7" x14ac:dyDescent="0.25">
      <c r="A7450" t="s">
        <v>41</v>
      </c>
      <c r="B7450" t="s">
        <v>2595</v>
      </c>
      <c r="C7450" t="s">
        <v>18168</v>
      </c>
      <c r="D7450" t="s">
        <v>20</v>
      </c>
      <c r="E7450" t="s">
        <v>11</v>
      </c>
      <c r="F7450">
        <v>152.89999999999998</v>
      </c>
      <c r="G7450">
        <v>18</v>
      </c>
    </row>
    <row r="7451" spans="1:7" x14ac:dyDescent="0.25">
      <c r="A7451" t="s">
        <v>41</v>
      </c>
      <c r="B7451" t="s">
        <v>2598</v>
      </c>
      <c r="C7451" t="s">
        <v>18169</v>
      </c>
      <c r="D7451" t="s">
        <v>20</v>
      </c>
      <c r="E7451" t="s">
        <v>11</v>
      </c>
      <c r="F7451">
        <v>10056.2</v>
      </c>
      <c r="G7451">
        <v>18</v>
      </c>
    </row>
    <row r="7452" spans="1:7" x14ac:dyDescent="0.25">
      <c r="A7452" t="s">
        <v>41</v>
      </c>
      <c r="B7452" t="s">
        <v>2601</v>
      </c>
      <c r="C7452" t="s">
        <v>18170</v>
      </c>
      <c r="D7452" t="s">
        <v>20</v>
      </c>
      <c r="E7452" t="s">
        <v>11</v>
      </c>
      <c r="F7452">
        <v>94.6</v>
      </c>
      <c r="G7452">
        <v>18</v>
      </c>
    </row>
    <row r="7453" spans="1:7" x14ac:dyDescent="0.25">
      <c r="A7453" t="s">
        <v>41</v>
      </c>
      <c r="B7453" t="s">
        <v>2604</v>
      </c>
      <c r="C7453" t="s">
        <v>18171</v>
      </c>
      <c r="D7453" t="s">
        <v>20</v>
      </c>
      <c r="E7453" t="s">
        <v>11</v>
      </c>
      <c r="F7453">
        <v>899.8</v>
      </c>
      <c r="G7453">
        <v>18</v>
      </c>
    </row>
    <row r="7454" spans="1:7" x14ac:dyDescent="0.25">
      <c r="A7454" t="s">
        <v>41</v>
      </c>
      <c r="B7454" t="s">
        <v>2607</v>
      </c>
      <c r="C7454" t="s">
        <v>18172</v>
      </c>
      <c r="D7454" t="s">
        <v>20</v>
      </c>
      <c r="E7454" t="s">
        <v>11</v>
      </c>
      <c r="F7454">
        <v>628.1</v>
      </c>
      <c r="G7454">
        <v>18</v>
      </c>
    </row>
    <row r="7455" spans="1:7" x14ac:dyDescent="0.25">
      <c r="A7455" t="s">
        <v>41</v>
      </c>
      <c r="B7455" t="s">
        <v>2610</v>
      </c>
      <c r="C7455" t="s">
        <v>18173</v>
      </c>
      <c r="D7455" t="s">
        <v>20</v>
      </c>
      <c r="E7455" t="s">
        <v>11</v>
      </c>
      <c r="F7455">
        <v>628.1</v>
      </c>
      <c r="G7455">
        <v>18</v>
      </c>
    </row>
    <row r="7456" spans="1:7" x14ac:dyDescent="0.25">
      <c r="A7456" t="s">
        <v>41</v>
      </c>
      <c r="B7456" t="s">
        <v>2613</v>
      </c>
      <c r="C7456" t="s">
        <v>18174</v>
      </c>
      <c r="D7456" t="s">
        <v>20</v>
      </c>
      <c r="E7456" t="s">
        <v>11</v>
      </c>
      <c r="F7456">
        <v>2568.5</v>
      </c>
      <c r="G7456">
        <v>18</v>
      </c>
    </row>
    <row r="7457" spans="1:7" x14ac:dyDescent="0.25">
      <c r="A7457" t="s">
        <v>41</v>
      </c>
      <c r="B7457" t="s">
        <v>2616</v>
      </c>
      <c r="C7457" t="s">
        <v>18175</v>
      </c>
      <c r="D7457" t="s">
        <v>20</v>
      </c>
      <c r="E7457" t="s">
        <v>11</v>
      </c>
      <c r="F7457">
        <v>2098.7999999999997</v>
      </c>
      <c r="G7457">
        <v>18</v>
      </c>
    </row>
    <row r="7458" spans="1:7" x14ac:dyDescent="0.25">
      <c r="A7458" t="s">
        <v>41</v>
      </c>
      <c r="B7458" t="s">
        <v>2619</v>
      </c>
      <c r="C7458" t="s">
        <v>18176</v>
      </c>
      <c r="D7458" t="s">
        <v>20</v>
      </c>
      <c r="E7458" t="s">
        <v>11</v>
      </c>
      <c r="F7458">
        <v>1338.7</v>
      </c>
      <c r="G7458">
        <v>18</v>
      </c>
    </row>
    <row r="7459" spans="1:7" x14ac:dyDescent="0.25">
      <c r="A7459" t="s">
        <v>41</v>
      </c>
      <c r="B7459" t="s">
        <v>2622</v>
      </c>
      <c r="C7459" t="s">
        <v>18177</v>
      </c>
      <c r="D7459" t="s">
        <v>20</v>
      </c>
      <c r="E7459" t="s">
        <v>11</v>
      </c>
      <c r="F7459">
        <v>1760</v>
      </c>
      <c r="G7459">
        <v>18</v>
      </c>
    </row>
    <row r="7460" spans="1:7" x14ac:dyDescent="0.25">
      <c r="A7460" t="s">
        <v>41</v>
      </c>
      <c r="B7460" t="s">
        <v>2625</v>
      </c>
      <c r="C7460" t="s">
        <v>18178</v>
      </c>
      <c r="D7460" t="s">
        <v>20</v>
      </c>
      <c r="E7460" t="s">
        <v>11</v>
      </c>
      <c r="F7460">
        <v>405.9</v>
      </c>
      <c r="G7460">
        <v>18</v>
      </c>
    </row>
    <row r="7461" spans="1:7" x14ac:dyDescent="0.25">
      <c r="A7461" t="s">
        <v>41</v>
      </c>
      <c r="B7461" t="s">
        <v>2628</v>
      </c>
      <c r="C7461" t="s">
        <v>18179</v>
      </c>
      <c r="D7461" t="s">
        <v>20</v>
      </c>
      <c r="E7461" t="s">
        <v>11</v>
      </c>
      <c r="F7461">
        <v>63.8</v>
      </c>
      <c r="G7461">
        <v>18</v>
      </c>
    </row>
    <row r="7462" spans="1:7" x14ac:dyDescent="0.25">
      <c r="A7462" t="s">
        <v>41</v>
      </c>
      <c r="B7462" t="s">
        <v>2631</v>
      </c>
      <c r="C7462" t="s">
        <v>18180</v>
      </c>
      <c r="D7462" t="s">
        <v>20</v>
      </c>
      <c r="E7462" t="s">
        <v>11</v>
      </c>
      <c r="F7462">
        <v>2148.3</v>
      </c>
      <c r="G7462">
        <v>18</v>
      </c>
    </row>
    <row r="7463" spans="1:7" x14ac:dyDescent="0.25">
      <c r="A7463" t="s">
        <v>41</v>
      </c>
      <c r="B7463" t="s">
        <v>2634</v>
      </c>
      <c r="C7463" t="s">
        <v>18181</v>
      </c>
      <c r="D7463" t="s">
        <v>20</v>
      </c>
      <c r="E7463" t="s">
        <v>11</v>
      </c>
      <c r="F7463">
        <v>756.8</v>
      </c>
      <c r="G7463">
        <v>18</v>
      </c>
    </row>
    <row r="7464" spans="1:7" x14ac:dyDescent="0.25">
      <c r="A7464" t="s">
        <v>41</v>
      </c>
      <c r="B7464" t="s">
        <v>2637</v>
      </c>
      <c r="C7464" t="s">
        <v>18182</v>
      </c>
      <c r="D7464" t="s">
        <v>20</v>
      </c>
      <c r="E7464" t="s">
        <v>11</v>
      </c>
      <c r="F7464">
        <v>836</v>
      </c>
      <c r="G7464">
        <v>18</v>
      </c>
    </row>
    <row r="7465" spans="1:7" x14ac:dyDescent="0.25">
      <c r="A7465" t="s">
        <v>41</v>
      </c>
      <c r="B7465" t="s">
        <v>2640</v>
      </c>
      <c r="C7465" t="s">
        <v>17865</v>
      </c>
      <c r="D7465" t="s">
        <v>20</v>
      </c>
      <c r="E7465" t="s">
        <v>11</v>
      </c>
      <c r="F7465">
        <v>183.7</v>
      </c>
      <c r="G7465">
        <v>18</v>
      </c>
    </row>
    <row r="7466" spans="1:7" x14ac:dyDescent="0.25">
      <c r="A7466" t="s">
        <v>41</v>
      </c>
      <c r="B7466" t="s">
        <v>2643</v>
      </c>
      <c r="C7466" t="s">
        <v>18183</v>
      </c>
      <c r="D7466" t="s">
        <v>20</v>
      </c>
      <c r="E7466" t="s">
        <v>11</v>
      </c>
      <c r="F7466">
        <v>183.7</v>
      </c>
      <c r="G7466">
        <v>18</v>
      </c>
    </row>
    <row r="7467" spans="1:7" x14ac:dyDescent="0.25">
      <c r="A7467" t="s">
        <v>41</v>
      </c>
      <c r="B7467" t="s">
        <v>2646</v>
      </c>
      <c r="C7467" t="s">
        <v>18184</v>
      </c>
      <c r="D7467" t="s">
        <v>20</v>
      </c>
      <c r="E7467" t="s">
        <v>11</v>
      </c>
      <c r="F7467">
        <v>2241.7999999999997</v>
      </c>
      <c r="G7467">
        <v>18</v>
      </c>
    </row>
    <row r="7468" spans="1:7" x14ac:dyDescent="0.25">
      <c r="A7468" t="s">
        <v>41</v>
      </c>
      <c r="B7468" t="s">
        <v>2649</v>
      </c>
      <c r="C7468" t="s">
        <v>18185</v>
      </c>
      <c r="D7468" t="s">
        <v>20</v>
      </c>
      <c r="E7468" t="s">
        <v>11</v>
      </c>
      <c r="F7468">
        <v>2505.8</v>
      </c>
      <c r="G7468">
        <v>18</v>
      </c>
    </row>
    <row r="7469" spans="1:7" x14ac:dyDescent="0.25">
      <c r="A7469" t="s">
        <v>41</v>
      </c>
      <c r="B7469" t="s">
        <v>2652</v>
      </c>
      <c r="C7469" t="s">
        <v>18186</v>
      </c>
      <c r="D7469" t="s">
        <v>20</v>
      </c>
      <c r="E7469" t="s">
        <v>11</v>
      </c>
      <c r="F7469">
        <v>628.1</v>
      </c>
      <c r="G7469">
        <v>18</v>
      </c>
    </row>
    <row r="7470" spans="1:7" x14ac:dyDescent="0.25">
      <c r="A7470" t="s">
        <v>41</v>
      </c>
      <c r="B7470" t="s">
        <v>2655</v>
      </c>
      <c r="C7470" t="s">
        <v>18187</v>
      </c>
      <c r="D7470" t="s">
        <v>20</v>
      </c>
      <c r="E7470" t="s">
        <v>11</v>
      </c>
      <c r="F7470">
        <v>345.40000000000003</v>
      </c>
      <c r="G7470">
        <v>18</v>
      </c>
    </row>
    <row r="7471" spans="1:7" x14ac:dyDescent="0.25">
      <c r="A7471" t="s">
        <v>41</v>
      </c>
      <c r="B7471" t="s">
        <v>2658</v>
      </c>
      <c r="C7471" t="s">
        <v>18188</v>
      </c>
      <c r="D7471" t="s">
        <v>20</v>
      </c>
      <c r="E7471" t="s">
        <v>11</v>
      </c>
      <c r="F7471">
        <v>63.8</v>
      </c>
      <c r="G7471">
        <v>18</v>
      </c>
    </row>
    <row r="7472" spans="1:7" x14ac:dyDescent="0.25">
      <c r="A7472" t="s">
        <v>41</v>
      </c>
      <c r="B7472" t="s">
        <v>2661</v>
      </c>
      <c r="C7472" t="s">
        <v>18189</v>
      </c>
      <c r="D7472" t="s">
        <v>20</v>
      </c>
      <c r="E7472" t="s">
        <v>11</v>
      </c>
      <c r="F7472">
        <v>1501.5</v>
      </c>
      <c r="G7472">
        <v>18</v>
      </c>
    </row>
    <row r="7473" spans="1:7" x14ac:dyDescent="0.25">
      <c r="A7473" t="s">
        <v>41</v>
      </c>
      <c r="B7473" t="s">
        <v>2664</v>
      </c>
      <c r="C7473" t="s">
        <v>18190</v>
      </c>
      <c r="D7473" t="s">
        <v>20</v>
      </c>
      <c r="E7473" t="s">
        <v>11</v>
      </c>
      <c r="F7473">
        <v>61.60000000000001</v>
      </c>
      <c r="G7473">
        <v>18</v>
      </c>
    </row>
    <row r="7474" spans="1:7" x14ac:dyDescent="0.25">
      <c r="A7474" t="s">
        <v>41</v>
      </c>
      <c r="B7474" t="s">
        <v>2667</v>
      </c>
      <c r="C7474" t="s">
        <v>17819</v>
      </c>
      <c r="D7474" t="s">
        <v>20</v>
      </c>
      <c r="E7474" t="s">
        <v>11</v>
      </c>
      <c r="F7474">
        <v>79.2</v>
      </c>
      <c r="G7474">
        <v>18</v>
      </c>
    </row>
    <row r="7475" spans="1:7" x14ac:dyDescent="0.25">
      <c r="A7475" t="s">
        <v>41</v>
      </c>
      <c r="B7475" t="s">
        <v>2670</v>
      </c>
      <c r="C7475" t="s">
        <v>18191</v>
      </c>
      <c r="D7475" t="s">
        <v>20</v>
      </c>
      <c r="E7475" t="s">
        <v>11</v>
      </c>
      <c r="F7475">
        <v>79.2</v>
      </c>
      <c r="G7475">
        <v>18</v>
      </c>
    </row>
    <row r="7476" spans="1:7" x14ac:dyDescent="0.25">
      <c r="A7476" t="s">
        <v>41</v>
      </c>
      <c r="B7476" t="s">
        <v>2673</v>
      </c>
      <c r="C7476" t="s">
        <v>18192</v>
      </c>
      <c r="D7476" t="s">
        <v>20</v>
      </c>
      <c r="E7476" t="s">
        <v>11</v>
      </c>
      <c r="F7476">
        <v>1788.6000000000001</v>
      </c>
      <c r="G7476">
        <v>18</v>
      </c>
    </row>
    <row r="7477" spans="1:7" x14ac:dyDescent="0.25">
      <c r="A7477" t="s">
        <v>41</v>
      </c>
      <c r="B7477" t="s">
        <v>2676</v>
      </c>
      <c r="C7477" t="s">
        <v>18193</v>
      </c>
      <c r="D7477" t="s">
        <v>20</v>
      </c>
      <c r="E7477" t="s">
        <v>11</v>
      </c>
      <c r="F7477">
        <v>645.7</v>
      </c>
      <c r="G7477">
        <v>18</v>
      </c>
    </row>
    <row r="7478" spans="1:7" x14ac:dyDescent="0.25">
      <c r="A7478" t="s">
        <v>41</v>
      </c>
      <c r="B7478" t="s">
        <v>2679</v>
      </c>
      <c r="C7478" t="s">
        <v>18194</v>
      </c>
      <c r="D7478" t="s">
        <v>20</v>
      </c>
      <c r="E7478" t="s">
        <v>11</v>
      </c>
      <c r="F7478">
        <v>1788.6000000000001</v>
      </c>
      <c r="G7478">
        <v>18</v>
      </c>
    </row>
    <row r="7479" spans="1:7" x14ac:dyDescent="0.25">
      <c r="A7479" t="s">
        <v>41</v>
      </c>
      <c r="B7479" t="s">
        <v>2682</v>
      </c>
      <c r="C7479" t="s">
        <v>18195</v>
      </c>
      <c r="D7479" t="s">
        <v>20</v>
      </c>
      <c r="E7479" t="s">
        <v>11</v>
      </c>
      <c r="F7479">
        <v>1788.6000000000001</v>
      </c>
      <c r="G7479">
        <v>18</v>
      </c>
    </row>
    <row r="7480" spans="1:7" x14ac:dyDescent="0.25">
      <c r="A7480" t="s">
        <v>41</v>
      </c>
      <c r="B7480" t="s">
        <v>2685</v>
      </c>
      <c r="C7480" t="s">
        <v>18196</v>
      </c>
      <c r="D7480" t="s">
        <v>20</v>
      </c>
      <c r="E7480" t="s">
        <v>11</v>
      </c>
      <c r="F7480">
        <v>1408</v>
      </c>
      <c r="G7480">
        <v>18</v>
      </c>
    </row>
    <row r="7481" spans="1:7" x14ac:dyDescent="0.25">
      <c r="A7481" t="s">
        <v>41</v>
      </c>
      <c r="B7481" t="s">
        <v>2688</v>
      </c>
      <c r="C7481" t="s">
        <v>18197</v>
      </c>
      <c r="D7481" t="s">
        <v>20</v>
      </c>
      <c r="E7481" t="s">
        <v>11</v>
      </c>
      <c r="F7481">
        <v>240.9</v>
      </c>
      <c r="G7481">
        <v>18</v>
      </c>
    </row>
    <row r="7482" spans="1:7" x14ac:dyDescent="0.25">
      <c r="A7482" t="s">
        <v>41</v>
      </c>
      <c r="B7482" t="s">
        <v>2691</v>
      </c>
      <c r="C7482" t="s">
        <v>17731</v>
      </c>
      <c r="D7482" t="s">
        <v>20</v>
      </c>
      <c r="E7482" t="s">
        <v>11</v>
      </c>
      <c r="F7482">
        <v>194.7</v>
      </c>
      <c r="G7482">
        <v>18</v>
      </c>
    </row>
    <row r="7483" spans="1:7" x14ac:dyDescent="0.25">
      <c r="A7483" t="s">
        <v>41</v>
      </c>
      <c r="B7483" t="s">
        <v>2694</v>
      </c>
      <c r="C7483" t="s">
        <v>18198</v>
      </c>
      <c r="D7483" t="s">
        <v>20</v>
      </c>
      <c r="E7483" t="s">
        <v>11</v>
      </c>
      <c r="F7483">
        <v>25797.2</v>
      </c>
      <c r="G7483">
        <v>18</v>
      </c>
    </row>
    <row r="7484" spans="1:7" x14ac:dyDescent="0.25">
      <c r="A7484" t="s">
        <v>41</v>
      </c>
      <c r="B7484" t="s">
        <v>2697</v>
      </c>
      <c r="C7484" t="s">
        <v>18199</v>
      </c>
      <c r="D7484" t="s">
        <v>20</v>
      </c>
      <c r="E7484" t="s">
        <v>11</v>
      </c>
      <c r="F7484">
        <v>39443.799999999996</v>
      </c>
      <c r="G7484">
        <v>18</v>
      </c>
    </row>
    <row r="7485" spans="1:7" x14ac:dyDescent="0.25">
      <c r="A7485" t="s">
        <v>41</v>
      </c>
      <c r="B7485" t="s">
        <v>2699</v>
      </c>
      <c r="C7485" t="s">
        <v>18200</v>
      </c>
      <c r="D7485" t="s">
        <v>20</v>
      </c>
      <c r="E7485" t="s">
        <v>11</v>
      </c>
      <c r="F7485">
        <v>36648.700000000004</v>
      </c>
      <c r="G7485">
        <v>18</v>
      </c>
    </row>
    <row r="7486" spans="1:7" x14ac:dyDescent="0.25">
      <c r="A7486" t="s">
        <v>41</v>
      </c>
      <c r="B7486" t="s">
        <v>2702</v>
      </c>
      <c r="C7486" t="s">
        <v>18201</v>
      </c>
      <c r="D7486" t="s">
        <v>20</v>
      </c>
      <c r="E7486" t="s">
        <v>11</v>
      </c>
      <c r="F7486">
        <v>6309.6</v>
      </c>
      <c r="G7486">
        <v>18</v>
      </c>
    </row>
    <row r="7487" spans="1:7" x14ac:dyDescent="0.25">
      <c r="A7487" t="s">
        <v>41</v>
      </c>
      <c r="B7487" t="s">
        <v>2705</v>
      </c>
      <c r="C7487" t="s">
        <v>18202</v>
      </c>
      <c r="D7487" t="s">
        <v>20</v>
      </c>
      <c r="E7487" t="s">
        <v>11</v>
      </c>
      <c r="F7487">
        <v>11557.699999999999</v>
      </c>
      <c r="G7487">
        <v>18</v>
      </c>
    </row>
    <row r="7488" spans="1:7" x14ac:dyDescent="0.25">
      <c r="A7488" t="s">
        <v>41</v>
      </c>
      <c r="B7488" t="s">
        <v>2708</v>
      </c>
      <c r="C7488" t="s">
        <v>18203</v>
      </c>
      <c r="D7488" t="s">
        <v>20</v>
      </c>
      <c r="E7488" t="s">
        <v>11</v>
      </c>
      <c r="F7488">
        <v>13248.4</v>
      </c>
      <c r="G7488">
        <v>18</v>
      </c>
    </row>
    <row r="7489" spans="1:7" x14ac:dyDescent="0.25">
      <c r="A7489" t="s">
        <v>41</v>
      </c>
      <c r="B7489" t="s">
        <v>2710</v>
      </c>
      <c r="C7489" t="s">
        <v>18204</v>
      </c>
      <c r="D7489" t="s">
        <v>20</v>
      </c>
      <c r="E7489" t="s">
        <v>11</v>
      </c>
      <c r="F7489">
        <v>16835.5</v>
      </c>
      <c r="G7489">
        <v>18</v>
      </c>
    </row>
    <row r="7490" spans="1:7" x14ac:dyDescent="0.25">
      <c r="A7490" t="s">
        <v>41</v>
      </c>
      <c r="B7490" t="s">
        <v>2713</v>
      </c>
      <c r="C7490" t="s">
        <v>18205</v>
      </c>
      <c r="D7490" t="s">
        <v>20</v>
      </c>
      <c r="E7490" t="s">
        <v>11</v>
      </c>
      <c r="F7490">
        <v>1053.8</v>
      </c>
      <c r="G7490">
        <v>18</v>
      </c>
    </row>
    <row r="7491" spans="1:7" x14ac:dyDescent="0.25">
      <c r="A7491" t="s">
        <v>41</v>
      </c>
      <c r="B7491" t="s">
        <v>2716</v>
      </c>
      <c r="C7491" t="s">
        <v>18206</v>
      </c>
      <c r="D7491" t="s">
        <v>20</v>
      </c>
      <c r="E7491" t="s">
        <v>11</v>
      </c>
      <c r="F7491">
        <v>476.3</v>
      </c>
      <c r="G7491">
        <v>18</v>
      </c>
    </row>
    <row r="7492" spans="1:7" x14ac:dyDescent="0.25">
      <c r="A7492" t="s">
        <v>41</v>
      </c>
      <c r="B7492" t="s">
        <v>2719</v>
      </c>
      <c r="C7492" t="s">
        <v>18207</v>
      </c>
      <c r="D7492" t="s">
        <v>20</v>
      </c>
      <c r="E7492" t="s">
        <v>11</v>
      </c>
      <c r="F7492">
        <v>1716</v>
      </c>
      <c r="G7492">
        <v>18</v>
      </c>
    </row>
    <row r="7493" spans="1:7" x14ac:dyDescent="0.25">
      <c r="A7493" t="s">
        <v>41</v>
      </c>
      <c r="B7493" t="s">
        <v>2722</v>
      </c>
      <c r="C7493" t="s">
        <v>18124</v>
      </c>
      <c r="D7493" t="s">
        <v>20</v>
      </c>
      <c r="E7493" t="s">
        <v>11</v>
      </c>
      <c r="F7493">
        <v>58.300000000000004</v>
      </c>
      <c r="G7493">
        <v>18</v>
      </c>
    </row>
    <row r="7494" spans="1:7" x14ac:dyDescent="0.25">
      <c r="A7494" t="s">
        <v>41</v>
      </c>
      <c r="B7494" t="s">
        <v>2725</v>
      </c>
      <c r="C7494" t="s">
        <v>18208</v>
      </c>
      <c r="D7494" t="s">
        <v>20</v>
      </c>
      <c r="E7494" t="s">
        <v>11</v>
      </c>
      <c r="F7494">
        <v>25.3</v>
      </c>
      <c r="G7494">
        <v>18</v>
      </c>
    </row>
    <row r="7495" spans="1:7" x14ac:dyDescent="0.25">
      <c r="A7495" t="s">
        <v>41</v>
      </c>
      <c r="B7495" t="s">
        <v>2728</v>
      </c>
      <c r="C7495" t="s">
        <v>18209</v>
      </c>
      <c r="D7495" t="s">
        <v>20</v>
      </c>
      <c r="E7495" t="s">
        <v>11</v>
      </c>
      <c r="F7495">
        <v>40.7</v>
      </c>
      <c r="G7495">
        <v>18</v>
      </c>
    </row>
    <row r="7496" spans="1:7" x14ac:dyDescent="0.25">
      <c r="A7496" t="s">
        <v>41</v>
      </c>
      <c r="B7496" t="s">
        <v>2731</v>
      </c>
      <c r="C7496" t="s">
        <v>18210</v>
      </c>
      <c r="D7496" t="s">
        <v>20</v>
      </c>
      <c r="E7496" t="s">
        <v>11</v>
      </c>
      <c r="F7496">
        <v>1427.8</v>
      </c>
      <c r="G7496">
        <v>18</v>
      </c>
    </row>
    <row r="7497" spans="1:7" x14ac:dyDescent="0.25">
      <c r="A7497" t="s">
        <v>41</v>
      </c>
      <c r="B7497" t="s">
        <v>2734</v>
      </c>
      <c r="C7497" t="s">
        <v>18211</v>
      </c>
      <c r="D7497" t="s">
        <v>20</v>
      </c>
      <c r="E7497" t="s">
        <v>11</v>
      </c>
      <c r="F7497">
        <v>107.8</v>
      </c>
      <c r="G7497">
        <v>18</v>
      </c>
    </row>
    <row r="7498" spans="1:7" x14ac:dyDescent="0.25">
      <c r="A7498" t="s">
        <v>41</v>
      </c>
      <c r="B7498" t="s">
        <v>2737</v>
      </c>
      <c r="C7498" t="s">
        <v>18212</v>
      </c>
      <c r="D7498" t="s">
        <v>20</v>
      </c>
      <c r="E7498" t="s">
        <v>11</v>
      </c>
      <c r="F7498">
        <v>5662.799999999999</v>
      </c>
      <c r="G7498">
        <v>18</v>
      </c>
    </row>
    <row r="7499" spans="1:7" x14ac:dyDescent="0.25">
      <c r="A7499" t="s">
        <v>41</v>
      </c>
      <c r="B7499" t="s">
        <v>2740</v>
      </c>
      <c r="C7499" t="s">
        <v>18213</v>
      </c>
      <c r="D7499" t="s">
        <v>20</v>
      </c>
      <c r="E7499" t="s">
        <v>11</v>
      </c>
      <c r="F7499">
        <v>347.6</v>
      </c>
      <c r="G7499">
        <v>18</v>
      </c>
    </row>
    <row r="7500" spans="1:7" x14ac:dyDescent="0.25">
      <c r="A7500" t="s">
        <v>41</v>
      </c>
      <c r="B7500" t="s">
        <v>2743</v>
      </c>
      <c r="C7500" t="s">
        <v>18214</v>
      </c>
      <c r="D7500" t="s">
        <v>20</v>
      </c>
      <c r="E7500" t="s">
        <v>11</v>
      </c>
      <c r="F7500">
        <v>5310.8</v>
      </c>
      <c r="G7500">
        <v>18</v>
      </c>
    </row>
    <row r="7501" spans="1:7" x14ac:dyDescent="0.25">
      <c r="A7501" t="s">
        <v>41</v>
      </c>
      <c r="B7501" t="s">
        <v>2746</v>
      </c>
      <c r="C7501" t="s">
        <v>18215</v>
      </c>
      <c r="D7501" t="s">
        <v>20</v>
      </c>
      <c r="E7501" t="s">
        <v>11</v>
      </c>
      <c r="F7501">
        <v>3887.4000000000005</v>
      </c>
      <c r="G7501">
        <v>18</v>
      </c>
    </row>
    <row r="7502" spans="1:7" x14ac:dyDescent="0.25">
      <c r="A7502" t="s">
        <v>41</v>
      </c>
      <c r="B7502" t="s">
        <v>2749</v>
      </c>
      <c r="C7502" t="s">
        <v>18216</v>
      </c>
      <c r="D7502" t="s">
        <v>20</v>
      </c>
      <c r="E7502" t="s">
        <v>11</v>
      </c>
      <c r="F7502">
        <v>58.300000000000004</v>
      </c>
      <c r="G7502">
        <v>18</v>
      </c>
    </row>
    <row r="7503" spans="1:7" x14ac:dyDescent="0.25">
      <c r="A7503" t="s">
        <v>41</v>
      </c>
      <c r="B7503" t="s">
        <v>2752</v>
      </c>
      <c r="C7503" t="s">
        <v>18217</v>
      </c>
      <c r="D7503" t="s">
        <v>20</v>
      </c>
      <c r="E7503" t="s">
        <v>11</v>
      </c>
      <c r="F7503">
        <v>58.300000000000004</v>
      </c>
      <c r="G7503">
        <v>18</v>
      </c>
    </row>
    <row r="7504" spans="1:7" x14ac:dyDescent="0.25">
      <c r="A7504" t="s">
        <v>41</v>
      </c>
      <c r="B7504" t="s">
        <v>2755</v>
      </c>
      <c r="C7504" t="s">
        <v>18218</v>
      </c>
      <c r="D7504" t="s">
        <v>20</v>
      </c>
      <c r="E7504" t="s">
        <v>11</v>
      </c>
      <c r="F7504">
        <v>58.300000000000004</v>
      </c>
      <c r="G7504">
        <v>18</v>
      </c>
    </row>
    <row r="7505" spans="1:7" x14ac:dyDescent="0.25">
      <c r="A7505" t="s">
        <v>41</v>
      </c>
      <c r="B7505" t="s">
        <v>2758</v>
      </c>
      <c r="C7505" t="s">
        <v>18219</v>
      </c>
      <c r="D7505" t="s">
        <v>20</v>
      </c>
      <c r="E7505" t="s">
        <v>11</v>
      </c>
      <c r="F7505">
        <v>1716</v>
      </c>
      <c r="G7505">
        <v>18</v>
      </c>
    </row>
    <row r="7506" spans="1:7" x14ac:dyDescent="0.25">
      <c r="A7506" t="s">
        <v>41</v>
      </c>
      <c r="B7506" t="s">
        <v>2761</v>
      </c>
      <c r="C7506" t="s">
        <v>18220</v>
      </c>
      <c r="D7506" t="s">
        <v>20</v>
      </c>
      <c r="E7506" t="s">
        <v>11</v>
      </c>
      <c r="F7506">
        <v>1401.4</v>
      </c>
      <c r="G7506">
        <v>18</v>
      </c>
    </row>
    <row r="7507" spans="1:7" x14ac:dyDescent="0.25">
      <c r="A7507" t="s">
        <v>41</v>
      </c>
      <c r="B7507" t="s">
        <v>2764</v>
      </c>
      <c r="C7507" t="s">
        <v>18221</v>
      </c>
      <c r="D7507" t="s">
        <v>20</v>
      </c>
      <c r="E7507" t="s">
        <v>11</v>
      </c>
      <c r="F7507">
        <v>16401</v>
      </c>
      <c r="G7507">
        <v>18</v>
      </c>
    </row>
    <row r="7508" spans="1:7" x14ac:dyDescent="0.25">
      <c r="A7508" t="s">
        <v>41</v>
      </c>
      <c r="B7508" t="s">
        <v>2767</v>
      </c>
      <c r="C7508" t="s">
        <v>18222</v>
      </c>
      <c r="D7508" t="s">
        <v>20</v>
      </c>
      <c r="E7508" t="s">
        <v>11</v>
      </c>
      <c r="F7508">
        <v>14098.699999999999</v>
      </c>
      <c r="G7508">
        <v>18</v>
      </c>
    </row>
    <row r="7509" spans="1:7" x14ac:dyDescent="0.25">
      <c r="A7509" t="s">
        <v>41</v>
      </c>
      <c r="B7509" t="s">
        <v>2770</v>
      </c>
      <c r="C7509" t="s">
        <v>18223</v>
      </c>
      <c r="D7509" t="s">
        <v>20</v>
      </c>
      <c r="E7509" t="s">
        <v>11</v>
      </c>
      <c r="F7509">
        <v>13226.4</v>
      </c>
      <c r="G7509">
        <v>18</v>
      </c>
    </row>
    <row r="7510" spans="1:7" x14ac:dyDescent="0.25">
      <c r="A7510" t="s">
        <v>41</v>
      </c>
      <c r="B7510" t="s">
        <v>2773</v>
      </c>
      <c r="C7510" t="s">
        <v>18224</v>
      </c>
      <c r="D7510" t="s">
        <v>20</v>
      </c>
      <c r="E7510" t="s">
        <v>11</v>
      </c>
      <c r="F7510">
        <v>3592.5999999999995</v>
      </c>
      <c r="G7510">
        <v>18</v>
      </c>
    </row>
    <row r="7511" spans="1:7" x14ac:dyDescent="0.25">
      <c r="A7511" t="s">
        <v>41</v>
      </c>
      <c r="B7511" t="s">
        <v>2776</v>
      </c>
      <c r="C7511" t="s">
        <v>18225</v>
      </c>
      <c r="D7511" t="s">
        <v>20</v>
      </c>
      <c r="E7511" t="s">
        <v>11</v>
      </c>
      <c r="F7511">
        <v>256.3</v>
      </c>
      <c r="G7511">
        <v>18</v>
      </c>
    </row>
    <row r="7512" spans="1:7" x14ac:dyDescent="0.25">
      <c r="A7512" t="s">
        <v>41</v>
      </c>
      <c r="B7512" t="s">
        <v>2779</v>
      </c>
      <c r="C7512" t="s">
        <v>18226</v>
      </c>
      <c r="D7512" t="s">
        <v>20</v>
      </c>
      <c r="E7512" t="s">
        <v>11</v>
      </c>
      <c r="F7512">
        <v>2366.1000000000004</v>
      </c>
      <c r="G7512">
        <v>18</v>
      </c>
    </row>
    <row r="7513" spans="1:7" x14ac:dyDescent="0.25">
      <c r="A7513" t="s">
        <v>41</v>
      </c>
      <c r="B7513" t="s">
        <v>2782</v>
      </c>
      <c r="C7513" t="s">
        <v>18227</v>
      </c>
      <c r="D7513" t="s">
        <v>20</v>
      </c>
      <c r="E7513" t="s">
        <v>11</v>
      </c>
      <c r="F7513">
        <v>1720.4</v>
      </c>
      <c r="G7513">
        <v>18</v>
      </c>
    </row>
    <row r="7514" spans="1:7" x14ac:dyDescent="0.25">
      <c r="A7514" t="s">
        <v>41</v>
      </c>
      <c r="B7514" t="s">
        <v>2785</v>
      </c>
      <c r="C7514" t="s">
        <v>18228</v>
      </c>
      <c r="D7514" t="s">
        <v>20</v>
      </c>
      <c r="E7514" t="s">
        <v>11</v>
      </c>
      <c r="F7514">
        <v>804.0999999999999</v>
      </c>
      <c r="G7514">
        <v>18</v>
      </c>
    </row>
    <row r="7515" spans="1:7" x14ac:dyDescent="0.25">
      <c r="A7515" t="s">
        <v>41</v>
      </c>
      <c r="B7515" t="s">
        <v>2788</v>
      </c>
      <c r="C7515" t="s">
        <v>18229</v>
      </c>
      <c r="D7515" t="s">
        <v>20</v>
      </c>
      <c r="E7515" t="s">
        <v>11</v>
      </c>
      <c r="F7515">
        <v>522.5</v>
      </c>
      <c r="G7515">
        <v>18</v>
      </c>
    </row>
    <row r="7516" spans="1:7" x14ac:dyDescent="0.25">
      <c r="A7516" t="s">
        <v>41</v>
      </c>
      <c r="B7516" t="s">
        <v>2791</v>
      </c>
      <c r="C7516" t="s">
        <v>17616</v>
      </c>
      <c r="D7516" t="s">
        <v>20</v>
      </c>
      <c r="E7516" t="s">
        <v>11</v>
      </c>
      <c r="F7516">
        <v>34609.3</v>
      </c>
      <c r="G7516">
        <v>18</v>
      </c>
    </row>
    <row r="7517" spans="1:7" x14ac:dyDescent="0.25">
      <c r="A7517" t="s">
        <v>41</v>
      </c>
      <c r="B7517" t="s">
        <v>2794</v>
      </c>
      <c r="C7517" t="s">
        <v>18230</v>
      </c>
      <c r="D7517" t="s">
        <v>20</v>
      </c>
      <c r="E7517" t="s">
        <v>11</v>
      </c>
      <c r="F7517">
        <v>3372.6</v>
      </c>
      <c r="G7517">
        <v>18</v>
      </c>
    </row>
    <row r="7518" spans="1:7" x14ac:dyDescent="0.25">
      <c r="A7518" t="s">
        <v>41</v>
      </c>
      <c r="B7518" t="s">
        <v>2797</v>
      </c>
      <c r="C7518" t="s">
        <v>18231</v>
      </c>
      <c r="D7518" t="s">
        <v>20</v>
      </c>
      <c r="E7518" t="s">
        <v>11</v>
      </c>
      <c r="F7518">
        <v>58.300000000000004</v>
      </c>
      <c r="G7518">
        <v>18</v>
      </c>
    </row>
    <row r="7519" spans="1:7" x14ac:dyDescent="0.25">
      <c r="A7519" t="s">
        <v>41</v>
      </c>
      <c r="B7519" t="s">
        <v>2800</v>
      </c>
      <c r="C7519" t="s">
        <v>18232</v>
      </c>
      <c r="D7519" t="s">
        <v>20</v>
      </c>
      <c r="E7519" t="s">
        <v>11</v>
      </c>
      <c r="F7519">
        <v>70.4</v>
      </c>
      <c r="G7519">
        <v>18</v>
      </c>
    </row>
    <row r="7520" spans="1:7" x14ac:dyDescent="0.25">
      <c r="A7520" t="s">
        <v>41</v>
      </c>
      <c r="B7520" t="s">
        <v>2803</v>
      </c>
      <c r="C7520" t="s">
        <v>18233</v>
      </c>
      <c r="D7520" t="s">
        <v>20</v>
      </c>
      <c r="E7520" t="s">
        <v>11</v>
      </c>
      <c r="F7520">
        <v>70.4</v>
      </c>
      <c r="G7520">
        <v>18</v>
      </c>
    </row>
    <row r="7521" spans="1:7" x14ac:dyDescent="0.25">
      <c r="A7521" t="s">
        <v>41</v>
      </c>
      <c r="B7521" t="s">
        <v>2806</v>
      </c>
      <c r="C7521" t="s">
        <v>18234</v>
      </c>
      <c r="D7521" t="s">
        <v>20</v>
      </c>
      <c r="E7521" t="s">
        <v>11</v>
      </c>
      <c r="F7521">
        <v>2227.5</v>
      </c>
      <c r="G7521">
        <v>18</v>
      </c>
    </row>
    <row r="7522" spans="1:7" x14ac:dyDescent="0.25">
      <c r="A7522" t="s">
        <v>41</v>
      </c>
      <c r="B7522" t="s">
        <v>2809</v>
      </c>
      <c r="C7522" t="s">
        <v>18235</v>
      </c>
      <c r="D7522" t="s">
        <v>20</v>
      </c>
      <c r="E7522" t="s">
        <v>11</v>
      </c>
      <c r="F7522">
        <v>67.1</v>
      </c>
      <c r="G7522">
        <v>18</v>
      </c>
    </row>
    <row r="7523" spans="1:7" x14ac:dyDescent="0.25">
      <c r="A7523" t="s">
        <v>41</v>
      </c>
      <c r="B7523" t="s">
        <v>2812</v>
      </c>
      <c r="C7523" t="s">
        <v>18236</v>
      </c>
      <c r="D7523" t="s">
        <v>20</v>
      </c>
      <c r="E7523" t="s">
        <v>11</v>
      </c>
      <c r="F7523">
        <v>70.4</v>
      </c>
      <c r="G7523">
        <v>18</v>
      </c>
    </row>
    <row r="7524" spans="1:7" x14ac:dyDescent="0.25">
      <c r="A7524" t="s">
        <v>41</v>
      </c>
      <c r="B7524" t="s">
        <v>2815</v>
      </c>
      <c r="C7524" t="s">
        <v>18237</v>
      </c>
      <c r="D7524" t="s">
        <v>20</v>
      </c>
      <c r="E7524" t="s">
        <v>11</v>
      </c>
      <c r="F7524">
        <v>140.8</v>
      </c>
      <c r="G7524">
        <v>18</v>
      </c>
    </row>
    <row r="7525" spans="1:7" x14ac:dyDescent="0.25">
      <c r="A7525" t="s">
        <v>41</v>
      </c>
      <c r="B7525" t="s">
        <v>2818</v>
      </c>
      <c r="C7525" t="s">
        <v>18238</v>
      </c>
      <c r="D7525" t="s">
        <v>20</v>
      </c>
      <c r="E7525" t="s">
        <v>11</v>
      </c>
      <c r="F7525">
        <v>1658.8</v>
      </c>
      <c r="G7525">
        <v>18</v>
      </c>
    </row>
    <row r="7526" spans="1:7" x14ac:dyDescent="0.25">
      <c r="A7526" t="s">
        <v>41</v>
      </c>
      <c r="B7526" t="s">
        <v>2821</v>
      </c>
      <c r="C7526" t="s">
        <v>18239</v>
      </c>
      <c r="D7526" t="s">
        <v>20</v>
      </c>
      <c r="E7526" t="s">
        <v>11</v>
      </c>
      <c r="F7526">
        <v>1912.9</v>
      </c>
      <c r="G7526">
        <v>18</v>
      </c>
    </row>
    <row r="7527" spans="1:7" x14ac:dyDescent="0.25">
      <c r="A7527" t="s">
        <v>41</v>
      </c>
      <c r="B7527" t="s">
        <v>2824</v>
      </c>
      <c r="C7527" t="s">
        <v>18240</v>
      </c>
      <c r="D7527" t="s">
        <v>20</v>
      </c>
      <c r="E7527" t="s">
        <v>11</v>
      </c>
      <c r="F7527">
        <v>70.4</v>
      </c>
      <c r="G7527">
        <v>18</v>
      </c>
    </row>
    <row r="7528" spans="1:7" x14ac:dyDescent="0.25">
      <c r="A7528" t="s">
        <v>41</v>
      </c>
      <c r="B7528" t="s">
        <v>2827</v>
      </c>
      <c r="C7528" t="s">
        <v>17656</v>
      </c>
      <c r="D7528" t="s">
        <v>20</v>
      </c>
      <c r="E7528" t="s">
        <v>11</v>
      </c>
      <c r="F7528">
        <v>58.300000000000004</v>
      </c>
      <c r="G7528">
        <v>18</v>
      </c>
    </row>
    <row r="7529" spans="1:7" x14ac:dyDescent="0.25">
      <c r="A7529" t="s">
        <v>41</v>
      </c>
      <c r="B7529" t="s">
        <v>2830</v>
      </c>
      <c r="C7529" t="s">
        <v>17654</v>
      </c>
      <c r="D7529" t="s">
        <v>20</v>
      </c>
      <c r="E7529" t="s">
        <v>11</v>
      </c>
      <c r="F7529">
        <v>57.2</v>
      </c>
      <c r="G7529">
        <v>18</v>
      </c>
    </row>
    <row r="7530" spans="1:7" x14ac:dyDescent="0.25">
      <c r="A7530" t="s">
        <v>41</v>
      </c>
      <c r="B7530" t="s">
        <v>2833</v>
      </c>
      <c r="C7530" t="s">
        <v>18241</v>
      </c>
      <c r="D7530" t="s">
        <v>20</v>
      </c>
      <c r="E7530" t="s">
        <v>11</v>
      </c>
      <c r="F7530">
        <v>852.5</v>
      </c>
      <c r="G7530">
        <v>18</v>
      </c>
    </row>
    <row r="7531" spans="1:7" x14ac:dyDescent="0.25">
      <c r="A7531" t="s">
        <v>41</v>
      </c>
      <c r="B7531" t="s">
        <v>2836</v>
      </c>
      <c r="C7531" t="s">
        <v>18242</v>
      </c>
      <c r="D7531" t="s">
        <v>20</v>
      </c>
      <c r="E7531" t="s">
        <v>11</v>
      </c>
      <c r="F7531">
        <v>1613.7</v>
      </c>
      <c r="G7531">
        <v>18</v>
      </c>
    </row>
    <row r="7532" spans="1:7" x14ac:dyDescent="0.25">
      <c r="A7532" t="s">
        <v>41</v>
      </c>
      <c r="B7532" t="s">
        <v>2839</v>
      </c>
      <c r="C7532" t="s">
        <v>18243</v>
      </c>
      <c r="D7532" t="s">
        <v>20</v>
      </c>
      <c r="E7532" t="s">
        <v>11</v>
      </c>
      <c r="F7532">
        <v>798.6</v>
      </c>
      <c r="G7532">
        <v>18</v>
      </c>
    </row>
    <row r="7533" spans="1:7" x14ac:dyDescent="0.25">
      <c r="A7533" t="s">
        <v>41</v>
      </c>
      <c r="B7533" t="s">
        <v>2842</v>
      </c>
      <c r="C7533" t="s">
        <v>18244</v>
      </c>
      <c r="D7533" t="s">
        <v>20</v>
      </c>
      <c r="E7533" t="s">
        <v>11</v>
      </c>
      <c r="F7533">
        <v>58.300000000000004</v>
      </c>
      <c r="G7533">
        <v>18</v>
      </c>
    </row>
    <row r="7534" spans="1:7" x14ac:dyDescent="0.25">
      <c r="A7534" t="s">
        <v>41</v>
      </c>
      <c r="B7534" t="s">
        <v>2845</v>
      </c>
      <c r="C7534" t="s">
        <v>17736</v>
      </c>
      <c r="D7534" t="s">
        <v>20</v>
      </c>
      <c r="E7534" t="s">
        <v>11</v>
      </c>
      <c r="F7534">
        <v>57.2</v>
      </c>
      <c r="G7534">
        <v>18</v>
      </c>
    </row>
    <row r="7535" spans="1:7" x14ac:dyDescent="0.25">
      <c r="A7535" t="s">
        <v>41</v>
      </c>
      <c r="B7535" t="s">
        <v>2848</v>
      </c>
      <c r="C7535" t="s">
        <v>17838</v>
      </c>
      <c r="D7535" t="s">
        <v>20</v>
      </c>
      <c r="E7535" t="s">
        <v>11</v>
      </c>
      <c r="F7535">
        <v>40.7</v>
      </c>
      <c r="G7535">
        <v>18</v>
      </c>
    </row>
    <row r="7536" spans="1:7" x14ac:dyDescent="0.25">
      <c r="A7536" t="s">
        <v>41</v>
      </c>
      <c r="B7536" t="s">
        <v>2851</v>
      </c>
      <c r="C7536" t="s">
        <v>18245</v>
      </c>
      <c r="D7536" t="s">
        <v>20</v>
      </c>
      <c r="E7536" t="s">
        <v>11</v>
      </c>
      <c r="F7536">
        <v>114184.4</v>
      </c>
      <c r="G7536">
        <v>18</v>
      </c>
    </row>
    <row r="7537" spans="1:7" x14ac:dyDescent="0.25">
      <c r="A7537" t="s">
        <v>41</v>
      </c>
      <c r="B7537" t="s">
        <v>2854</v>
      </c>
      <c r="C7537" t="s">
        <v>18246</v>
      </c>
      <c r="D7537" t="s">
        <v>20</v>
      </c>
      <c r="E7537" t="s">
        <v>11</v>
      </c>
      <c r="F7537">
        <v>31594.200000000004</v>
      </c>
      <c r="G7537">
        <v>18</v>
      </c>
    </row>
    <row r="7538" spans="1:7" x14ac:dyDescent="0.25">
      <c r="A7538" t="s">
        <v>41</v>
      </c>
      <c r="B7538" t="s">
        <v>2857</v>
      </c>
      <c r="C7538" t="s">
        <v>18247</v>
      </c>
      <c r="D7538" t="s">
        <v>20</v>
      </c>
      <c r="E7538" t="s">
        <v>11</v>
      </c>
      <c r="F7538">
        <v>80.3</v>
      </c>
      <c r="G7538">
        <v>18</v>
      </c>
    </row>
    <row r="7539" spans="1:7" x14ac:dyDescent="0.25">
      <c r="A7539" t="s">
        <v>41</v>
      </c>
      <c r="B7539" t="s">
        <v>2860</v>
      </c>
      <c r="C7539" t="s">
        <v>18248</v>
      </c>
      <c r="D7539" t="s">
        <v>20</v>
      </c>
      <c r="E7539" t="s">
        <v>11</v>
      </c>
      <c r="F7539">
        <v>404.8</v>
      </c>
      <c r="G7539">
        <v>18</v>
      </c>
    </row>
    <row r="7540" spans="1:7" x14ac:dyDescent="0.25">
      <c r="A7540" t="s">
        <v>41</v>
      </c>
      <c r="B7540" t="s">
        <v>2863</v>
      </c>
      <c r="C7540" t="s">
        <v>18249</v>
      </c>
      <c r="D7540" t="s">
        <v>20</v>
      </c>
      <c r="E7540" t="s">
        <v>11</v>
      </c>
      <c r="F7540">
        <v>5834.4</v>
      </c>
      <c r="G7540">
        <v>18</v>
      </c>
    </row>
    <row r="7541" spans="1:7" x14ac:dyDescent="0.25">
      <c r="A7541" t="s">
        <v>41</v>
      </c>
      <c r="B7541" t="s">
        <v>2866</v>
      </c>
      <c r="C7541" t="s">
        <v>17904</v>
      </c>
      <c r="D7541" t="s">
        <v>20</v>
      </c>
      <c r="E7541" t="s">
        <v>11</v>
      </c>
      <c r="F7541">
        <v>137.5</v>
      </c>
      <c r="G7541">
        <v>18</v>
      </c>
    </row>
    <row r="7542" spans="1:7" x14ac:dyDescent="0.25">
      <c r="A7542" t="s">
        <v>41</v>
      </c>
      <c r="B7542" t="s">
        <v>2869</v>
      </c>
      <c r="C7542" t="s">
        <v>18012</v>
      </c>
      <c r="D7542" t="s">
        <v>20</v>
      </c>
      <c r="E7542" t="s">
        <v>11</v>
      </c>
      <c r="F7542">
        <v>3509</v>
      </c>
      <c r="G7542">
        <v>18</v>
      </c>
    </row>
    <row r="7543" spans="1:7" x14ac:dyDescent="0.25">
      <c r="A7543" t="s">
        <v>41</v>
      </c>
      <c r="B7543" t="s">
        <v>2872</v>
      </c>
      <c r="C7543" t="s">
        <v>18013</v>
      </c>
      <c r="D7543" t="s">
        <v>20</v>
      </c>
      <c r="E7543" t="s">
        <v>11</v>
      </c>
      <c r="F7543">
        <v>3961.1</v>
      </c>
      <c r="G7543">
        <v>18</v>
      </c>
    </row>
    <row r="7544" spans="1:7" x14ac:dyDescent="0.25">
      <c r="A7544" t="s">
        <v>41</v>
      </c>
      <c r="B7544" t="s">
        <v>2875</v>
      </c>
      <c r="C7544" t="s">
        <v>18250</v>
      </c>
      <c r="D7544" t="s">
        <v>20</v>
      </c>
      <c r="E7544" t="s">
        <v>11</v>
      </c>
      <c r="F7544">
        <v>444.4</v>
      </c>
      <c r="G7544">
        <v>18</v>
      </c>
    </row>
    <row r="7545" spans="1:7" x14ac:dyDescent="0.25">
      <c r="A7545" t="s">
        <v>41</v>
      </c>
      <c r="B7545" t="s">
        <v>2878</v>
      </c>
      <c r="C7545" t="s">
        <v>18251</v>
      </c>
      <c r="D7545" t="s">
        <v>20</v>
      </c>
      <c r="E7545" t="s">
        <v>11</v>
      </c>
      <c r="F7545">
        <v>574.1999999999999</v>
      </c>
      <c r="G7545">
        <v>18</v>
      </c>
    </row>
    <row r="7546" spans="1:7" x14ac:dyDescent="0.25">
      <c r="A7546" t="s">
        <v>41</v>
      </c>
      <c r="B7546" t="s">
        <v>2881</v>
      </c>
      <c r="C7546" t="s">
        <v>17784</v>
      </c>
      <c r="D7546" t="s">
        <v>20</v>
      </c>
      <c r="E7546" t="s">
        <v>11</v>
      </c>
      <c r="F7546">
        <v>1025.2</v>
      </c>
      <c r="G7546">
        <v>18</v>
      </c>
    </row>
    <row r="7547" spans="1:7" x14ac:dyDescent="0.25">
      <c r="A7547" t="s">
        <v>41</v>
      </c>
      <c r="B7547" t="s">
        <v>2884</v>
      </c>
      <c r="C7547" t="s">
        <v>18252</v>
      </c>
      <c r="D7547" t="s">
        <v>20</v>
      </c>
      <c r="E7547" t="s">
        <v>11</v>
      </c>
      <c r="F7547">
        <v>797.5</v>
      </c>
      <c r="G7547">
        <v>18</v>
      </c>
    </row>
    <row r="7548" spans="1:7" x14ac:dyDescent="0.25">
      <c r="A7548" t="s">
        <v>41</v>
      </c>
      <c r="B7548" t="s">
        <v>2887</v>
      </c>
      <c r="C7548" t="s">
        <v>18253</v>
      </c>
      <c r="D7548" t="s">
        <v>20</v>
      </c>
      <c r="E7548" t="s">
        <v>11</v>
      </c>
      <c r="F7548">
        <v>1372.8</v>
      </c>
      <c r="G7548">
        <v>18</v>
      </c>
    </row>
    <row r="7549" spans="1:7" x14ac:dyDescent="0.25">
      <c r="A7549" t="s">
        <v>41</v>
      </c>
      <c r="B7549" t="s">
        <v>2890</v>
      </c>
      <c r="C7549" t="s">
        <v>18254</v>
      </c>
      <c r="D7549" t="s">
        <v>20</v>
      </c>
      <c r="E7549" t="s">
        <v>11</v>
      </c>
      <c r="F7549">
        <v>137.5</v>
      </c>
      <c r="G7549">
        <v>18</v>
      </c>
    </row>
    <row r="7550" spans="1:7" x14ac:dyDescent="0.25">
      <c r="A7550" t="s">
        <v>41</v>
      </c>
      <c r="B7550" t="s">
        <v>2893</v>
      </c>
      <c r="C7550" t="s">
        <v>18255</v>
      </c>
      <c r="D7550" t="s">
        <v>20</v>
      </c>
      <c r="E7550" t="s">
        <v>11</v>
      </c>
      <c r="F7550">
        <v>7527.300000000001</v>
      </c>
      <c r="G7550">
        <v>18</v>
      </c>
    </row>
    <row r="7551" spans="1:7" x14ac:dyDescent="0.25">
      <c r="A7551" t="s">
        <v>41</v>
      </c>
      <c r="B7551" t="s">
        <v>2896</v>
      </c>
      <c r="C7551" t="s">
        <v>18256</v>
      </c>
      <c r="D7551" t="s">
        <v>20</v>
      </c>
      <c r="E7551" t="s">
        <v>11</v>
      </c>
      <c r="F7551">
        <v>48682.7</v>
      </c>
      <c r="G7551">
        <v>18</v>
      </c>
    </row>
    <row r="7552" spans="1:7" x14ac:dyDescent="0.25">
      <c r="A7552" t="s">
        <v>41</v>
      </c>
      <c r="B7552" t="s">
        <v>2899</v>
      </c>
      <c r="C7552" t="s">
        <v>17784</v>
      </c>
      <c r="D7552" t="s">
        <v>20</v>
      </c>
      <c r="E7552" t="s">
        <v>11</v>
      </c>
      <c r="F7552">
        <v>1025.2</v>
      </c>
      <c r="G7552">
        <v>18</v>
      </c>
    </row>
    <row r="7553" spans="1:7" x14ac:dyDescent="0.25">
      <c r="A7553" t="s">
        <v>41</v>
      </c>
      <c r="B7553" t="s">
        <v>2902</v>
      </c>
      <c r="C7553" t="s">
        <v>18257</v>
      </c>
      <c r="D7553" t="s">
        <v>20</v>
      </c>
      <c r="E7553" t="s">
        <v>11</v>
      </c>
      <c r="F7553">
        <v>11086.900000000001</v>
      </c>
      <c r="G7553">
        <v>18</v>
      </c>
    </row>
    <row r="7554" spans="1:7" x14ac:dyDescent="0.25">
      <c r="A7554" t="s">
        <v>41</v>
      </c>
      <c r="B7554" t="s">
        <v>2905</v>
      </c>
      <c r="C7554" t="s">
        <v>17992</v>
      </c>
      <c r="D7554" t="s">
        <v>20</v>
      </c>
      <c r="E7554" t="s">
        <v>11</v>
      </c>
      <c r="F7554">
        <v>179.29999999999998</v>
      </c>
      <c r="G7554">
        <v>18</v>
      </c>
    </row>
    <row r="7555" spans="1:7" x14ac:dyDescent="0.25">
      <c r="A7555" t="s">
        <v>41</v>
      </c>
      <c r="B7555" t="s">
        <v>2908</v>
      </c>
      <c r="C7555" t="s">
        <v>17789</v>
      </c>
      <c r="D7555" t="s">
        <v>20</v>
      </c>
      <c r="E7555" t="s">
        <v>11</v>
      </c>
      <c r="F7555">
        <v>6063.2</v>
      </c>
      <c r="G7555">
        <v>18</v>
      </c>
    </row>
    <row r="7556" spans="1:7" x14ac:dyDescent="0.25">
      <c r="A7556" t="s">
        <v>41</v>
      </c>
      <c r="B7556" t="s">
        <v>2911</v>
      </c>
      <c r="C7556" t="s">
        <v>18258</v>
      </c>
      <c r="D7556" t="s">
        <v>20</v>
      </c>
      <c r="E7556" t="s">
        <v>11</v>
      </c>
      <c r="F7556">
        <v>103.39999999999999</v>
      </c>
      <c r="G7556">
        <v>18</v>
      </c>
    </row>
    <row r="7557" spans="1:7" x14ac:dyDescent="0.25">
      <c r="A7557" t="s">
        <v>41</v>
      </c>
      <c r="B7557" t="s">
        <v>2914</v>
      </c>
      <c r="C7557" t="s">
        <v>18259</v>
      </c>
      <c r="D7557" t="s">
        <v>20</v>
      </c>
      <c r="E7557" t="s">
        <v>11</v>
      </c>
      <c r="F7557">
        <v>448.8</v>
      </c>
      <c r="G7557">
        <v>18</v>
      </c>
    </row>
    <row r="7558" spans="1:7" x14ac:dyDescent="0.25">
      <c r="A7558" t="s">
        <v>41</v>
      </c>
      <c r="B7558" t="s">
        <v>2917</v>
      </c>
      <c r="C7558" t="s">
        <v>18179</v>
      </c>
      <c r="D7558" t="s">
        <v>20</v>
      </c>
      <c r="E7558" t="s">
        <v>11</v>
      </c>
      <c r="F7558">
        <v>63.8</v>
      </c>
      <c r="G7558">
        <v>18</v>
      </c>
    </row>
    <row r="7559" spans="1:7" x14ac:dyDescent="0.25">
      <c r="A7559" t="s">
        <v>41</v>
      </c>
      <c r="B7559" t="s">
        <v>2920</v>
      </c>
      <c r="C7559" t="s">
        <v>18260</v>
      </c>
      <c r="D7559" t="s">
        <v>20</v>
      </c>
      <c r="E7559" t="s">
        <v>11</v>
      </c>
      <c r="F7559">
        <v>136.4</v>
      </c>
      <c r="G7559">
        <v>18</v>
      </c>
    </row>
    <row r="7560" spans="1:7" x14ac:dyDescent="0.25">
      <c r="A7560" t="s">
        <v>41</v>
      </c>
      <c r="B7560" t="s">
        <v>2923</v>
      </c>
      <c r="C7560" t="s">
        <v>17778</v>
      </c>
      <c r="D7560" t="s">
        <v>20</v>
      </c>
      <c r="E7560" t="s">
        <v>11</v>
      </c>
      <c r="F7560">
        <v>61.60000000000001</v>
      </c>
      <c r="G7560">
        <v>18</v>
      </c>
    </row>
    <row r="7561" spans="1:7" x14ac:dyDescent="0.25">
      <c r="A7561" t="s">
        <v>41</v>
      </c>
      <c r="B7561" t="s">
        <v>2926</v>
      </c>
      <c r="C7561" t="s">
        <v>17645</v>
      </c>
      <c r="D7561" t="s">
        <v>20</v>
      </c>
      <c r="E7561" t="s">
        <v>11</v>
      </c>
      <c r="F7561">
        <v>152.89999999999998</v>
      </c>
      <c r="G7561">
        <v>18</v>
      </c>
    </row>
    <row r="7562" spans="1:7" x14ac:dyDescent="0.25">
      <c r="A7562" t="s">
        <v>41</v>
      </c>
      <c r="B7562" t="s">
        <v>2929</v>
      </c>
      <c r="C7562" t="s">
        <v>17757</v>
      </c>
      <c r="D7562" t="s">
        <v>20</v>
      </c>
      <c r="E7562" t="s">
        <v>11</v>
      </c>
      <c r="F7562">
        <v>1856.8</v>
      </c>
      <c r="G7562">
        <v>18</v>
      </c>
    </row>
    <row r="7563" spans="1:7" x14ac:dyDescent="0.25">
      <c r="A7563" t="s">
        <v>41</v>
      </c>
      <c r="B7563" t="s">
        <v>2932</v>
      </c>
      <c r="C7563" t="s">
        <v>18261</v>
      </c>
      <c r="D7563" t="s">
        <v>20</v>
      </c>
      <c r="E7563" t="s">
        <v>11</v>
      </c>
      <c r="F7563">
        <v>590.7</v>
      </c>
      <c r="G7563">
        <v>18</v>
      </c>
    </row>
    <row r="7564" spans="1:7" x14ac:dyDescent="0.25">
      <c r="A7564" t="s">
        <v>41</v>
      </c>
      <c r="B7564" t="s">
        <v>2935</v>
      </c>
      <c r="C7564" t="s">
        <v>18262</v>
      </c>
      <c r="D7564" t="s">
        <v>20</v>
      </c>
      <c r="E7564" t="s">
        <v>11</v>
      </c>
      <c r="F7564">
        <v>233.20000000000002</v>
      </c>
      <c r="G7564">
        <v>18</v>
      </c>
    </row>
    <row r="7565" spans="1:7" x14ac:dyDescent="0.25">
      <c r="A7565" t="s">
        <v>41</v>
      </c>
      <c r="B7565" t="s">
        <v>2938</v>
      </c>
      <c r="C7565" t="s">
        <v>18263</v>
      </c>
      <c r="D7565" t="s">
        <v>20</v>
      </c>
      <c r="E7565" t="s">
        <v>11</v>
      </c>
      <c r="F7565">
        <v>23039.5</v>
      </c>
      <c r="G7565">
        <v>18</v>
      </c>
    </row>
    <row r="7566" spans="1:7" x14ac:dyDescent="0.25">
      <c r="A7566" t="s">
        <v>41</v>
      </c>
      <c r="B7566" t="s">
        <v>2941</v>
      </c>
      <c r="C7566" t="s">
        <v>18264</v>
      </c>
      <c r="D7566" t="s">
        <v>20</v>
      </c>
      <c r="E7566" t="s">
        <v>11</v>
      </c>
      <c r="F7566">
        <v>118.80000000000001</v>
      </c>
      <c r="G7566">
        <v>18</v>
      </c>
    </row>
    <row r="7567" spans="1:7" x14ac:dyDescent="0.25">
      <c r="A7567" t="s">
        <v>41</v>
      </c>
      <c r="B7567" t="s">
        <v>2944</v>
      </c>
      <c r="C7567" t="s">
        <v>18265</v>
      </c>
      <c r="D7567" t="s">
        <v>20</v>
      </c>
      <c r="E7567" t="s">
        <v>11</v>
      </c>
      <c r="F7567">
        <v>58.300000000000004</v>
      </c>
      <c r="G7567">
        <v>18</v>
      </c>
    </row>
    <row r="7568" spans="1:7" x14ac:dyDescent="0.25">
      <c r="A7568" t="s">
        <v>41</v>
      </c>
      <c r="B7568" t="s">
        <v>2947</v>
      </c>
      <c r="C7568" t="s">
        <v>17816</v>
      </c>
      <c r="D7568" t="s">
        <v>20</v>
      </c>
      <c r="E7568" t="s">
        <v>11</v>
      </c>
      <c r="F7568">
        <v>118.80000000000001</v>
      </c>
      <c r="G7568">
        <v>18</v>
      </c>
    </row>
    <row r="7569" spans="1:7" x14ac:dyDescent="0.25">
      <c r="A7569" t="s">
        <v>41</v>
      </c>
      <c r="B7569" t="s">
        <v>2950</v>
      </c>
      <c r="C7569" t="s">
        <v>17783</v>
      </c>
      <c r="D7569" t="s">
        <v>20</v>
      </c>
      <c r="E7569" t="s">
        <v>11</v>
      </c>
      <c r="F7569">
        <v>11480.7</v>
      </c>
      <c r="G7569">
        <v>18</v>
      </c>
    </row>
    <row r="7570" spans="1:7" x14ac:dyDescent="0.25">
      <c r="A7570" t="s">
        <v>41</v>
      </c>
      <c r="B7570" t="s">
        <v>2953</v>
      </c>
      <c r="C7570" t="s">
        <v>18266</v>
      </c>
      <c r="D7570" t="s">
        <v>20</v>
      </c>
      <c r="E7570" t="s">
        <v>11</v>
      </c>
      <c r="F7570">
        <v>482.9</v>
      </c>
      <c r="G7570">
        <v>18</v>
      </c>
    </row>
    <row r="7571" spans="1:7" x14ac:dyDescent="0.25">
      <c r="A7571" t="s">
        <v>41</v>
      </c>
      <c r="B7571" t="s">
        <v>2956</v>
      </c>
      <c r="C7571" t="s">
        <v>17845</v>
      </c>
      <c r="D7571" t="s">
        <v>20</v>
      </c>
      <c r="E7571" t="s">
        <v>11</v>
      </c>
      <c r="F7571">
        <v>58.300000000000004</v>
      </c>
      <c r="G7571">
        <v>18</v>
      </c>
    </row>
    <row r="7572" spans="1:7" x14ac:dyDescent="0.25">
      <c r="A7572" t="s">
        <v>41</v>
      </c>
      <c r="B7572" t="s">
        <v>2959</v>
      </c>
      <c r="C7572" t="s">
        <v>18267</v>
      </c>
      <c r="D7572" t="s">
        <v>20</v>
      </c>
      <c r="E7572" t="s">
        <v>11</v>
      </c>
      <c r="F7572">
        <v>70.4</v>
      </c>
      <c r="G7572">
        <v>18</v>
      </c>
    </row>
    <row r="7573" spans="1:7" x14ac:dyDescent="0.25">
      <c r="A7573" t="s">
        <v>41</v>
      </c>
      <c r="B7573" t="s">
        <v>2962</v>
      </c>
      <c r="C7573" t="s">
        <v>17848</v>
      </c>
      <c r="D7573" t="s">
        <v>20</v>
      </c>
      <c r="E7573" t="s">
        <v>11</v>
      </c>
      <c r="F7573">
        <v>58.300000000000004</v>
      </c>
      <c r="G7573">
        <v>18</v>
      </c>
    </row>
    <row r="7574" spans="1:7" x14ac:dyDescent="0.25">
      <c r="A7574" t="s">
        <v>41</v>
      </c>
      <c r="B7574" t="s">
        <v>2965</v>
      </c>
      <c r="C7574" t="s">
        <v>17819</v>
      </c>
      <c r="D7574" t="s">
        <v>20</v>
      </c>
      <c r="E7574" t="s">
        <v>11</v>
      </c>
      <c r="F7574">
        <v>79.2</v>
      </c>
      <c r="G7574">
        <v>18</v>
      </c>
    </row>
    <row r="7575" spans="1:7" x14ac:dyDescent="0.25">
      <c r="A7575" t="s">
        <v>41</v>
      </c>
      <c r="B7575" t="s">
        <v>2968</v>
      </c>
      <c r="C7575" t="s">
        <v>18268</v>
      </c>
      <c r="D7575" t="s">
        <v>20</v>
      </c>
      <c r="E7575" t="s">
        <v>11</v>
      </c>
      <c r="F7575">
        <v>35326.5</v>
      </c>
      <c r="G7575">
        <v>18</v>
      </c>
    </row>
    <row r="7576" spans="1:7" x14ac:dyDescent="0.25">
      <c r="A7576" t="s">
        <v>41</v>
      </c>
      <c r="B7576" t="s">
        <v>2971</v>
      </c>
      <c r="C7576" t="s">
        <v>18269</v>
      </c>
      <c r="D7576" t="s">
        <v>20</v>
      </c>
      <c r="E7576" t="s">
        <v>11</v>
      </c>
      <c r="F7576">
        <v>9109.1</v>
      </c>
      <c r="G7576">
        <v>18</v>
      </c>
    </row>
    <row r="7577" spans="1:7" x14ac:dyDescent="0.25">
      <c r="A7577" t="s">
        <v>41</v>
      </c>
      <c r="B7577" t="s">
        <v>2974</v>
      </c>
      <c r="C7577" t="s">
        <v>18270</v>
      </c>
      <c r="D7577" t="s">
        <v>20</v>
      </c>
      <c r="E7577" t="s">
        <v>11</v>
      </c>
      <c r="F7577">
        <v>157.29999999999998</v>
      </c>
      <c r="G7577">
        <v>18</v>
      </c>
    </row>
    <row r="7578" spans="1:7" x14ac:dyDescent="0.25">
      <c r="A7578" t="s">
        <v>41</v>
      </c>
      <c r="B7578" t="s">
        <v>2977</v>
      </c>
      <c r="C7578" t="s">
        <v>18271</v>
      </c>
      <c r="D7578" t="s">
        <v>20</v>
      </c>
      <c r="E7578" t="s">
        <v>11</v>
      </c>
      <c r="F7578">
        <v>212.29999999999998</v>
      </c>
      <c r="G7578">
        <v>18</v>
      </c>
    </row>
    <row r="7579" spans="1:7" x14ac:dyDescent="0.25">
      <c r="A7579" t="s">
        <v>41</v>
      </c>
      <c r="B7579" t="s">
        <v>2980</v>
      </c>
      <c r="C7579" t="s">
        <v>17649</v>
      </c>
      <c r="D7579" t="s">
        <v>20</v>
      </c>
      <c r="E7579" t="s">
        <v>11</v>
      </c>
      <c r="F7579">
        <v>70.4</v>
      </c>
      <c r="G7579">
        <v>18</v>
      </c>
    </row>
    <row r="7580" spans="1:7" x14ac:dyDescent="0.25">
      <c r="A7580" t="s">
        <v>41</v>
      </c>
      <c r="B7580" t="s">
        <v>2983</v>
      </c>
      <c r="C7580" t="s">
        <v>17898</v>
      </c>
      <c r="D7580" t="s">
        <v>20</v>
      </c>
      <c r="E7580" t="s">
        <v>11</v>
      </c>
      <c r="F7580">
        <v>304.7</v>
      </c>
      <c r="G7580">
        <v>18</v>
      </c>
    </row>
    <row r="7581" spans="1:7" x14ac:dyDescent="0.25">
      <c r="A7581" t="s">
        <v>41</v>
      </c>
      <c r="B7581" t="s">
        <v>2986</v>
      </c>
      <c r="C7581" t="s">
        <v>17757</v>
      </c>
      <c r="D7581" t="s">
        <v>20</v>
      </c>
      <c r="E7581" t="s">
        <v>11</v>
      </c>
      <c r="F7581">
        <v>1856.8</v>
      </c>
      <c r="G7581">
        <v>18</v>
      </c>
    </row>
    <row r="7582" spans="1:7" x14ac:dyDescent="0.25">
      <c r="A7582" t="s">
        <v>41</v>
      </c>
      <c r="B7582" t="s">
        <v>2989</v>
      </c>
      <c r="C7582" t="s">
        <v>18272</v>
      </c>
      <c r="D7582" t="s">
        <v>20</v>
      </c>
      <c r="E7582" t="s">
        <v>11</v>
      </c>
      <c r="F7582">
        <v>5077.599999999999</v>
      </c>
      <c r="G7582">
        <v>18</v>
      </c>
    </row>
    <row r="7583" spans="1:7" x14ac:dyDescent="0.25">
      <c r="A7583" t="s">
        <v>41</v>
      </c>
      <c r="B7583" t="s">
        <v>2992</v>
      </c>
      <c r="C7583" t="s">
        <v>18273</v>
      </c>
      <c r="D7583" t="s">
        <v>20</v>
      </c>
      <c r="E7583" t="s">
        <v>11</v>
      </c>
      <c r="F7583">
        <v>7012.5</v>
      </c>
      <c r="G7583">
        <v>18</v>
      </c>
    </row>
    <row r="7584" spans="1:7" x14ac:dyDescent="0.25">
      <c r="A7584" t="s">
        <v>41</v>
      </c>
      <c r="B7584" t="s">
        <v>2995</v>
      </c>
      <c r="C7584" t="s">
        <v>18274</v>
      </c>
      <c r="D7584" t="s">
        <v>20</v>
      </c>
      <c r="E7584" t="s">
        <v>11</v>
      </c>
      <c r="F7584">
        <v>212.29999999999998</v>
      </c>
      <c r="G7584">
        <v>18</v>
      </c>
    </row>
    <row r="7585" spans="1:7" x14ac:dyDescent="0.25">
      <c r="A7585" t="s">
        <v>41</v>
      </c>
      <c r="B7585" t="s">
        <v>2998</v>
      </c>
      <c r="C7585" t="s">
        <v>17690</v>
      </c>
      <c r="D7585" t="s">
        <v>20</v>
      </c>
      <c r="E7585" t="s">
        <v>11</v>
      </c>
      <c r="F7585">
        <v>57.2</v>
      </c>
      <c r="G7585">
        <v>18</v>
      </c>
    </row>
    <row r="7586" spans="1:7" x14ac:dyDescent="0.25">
      <c r="A7586" t="s">
        <v>41</v>
      </c>
      <c r="B7586" t="s">
        <v>3001</v>
      </c>
      <c r="C7586" t="s">
        <v>17689</v>
      </c>
      <c r="D7586" t="s">
        <v>20</v>
      </c>
      <c r="E7586" t="s">
        <v>11</v>
      </c>
      <c r="F7586">
        <v>57.2</v>
      </c>
      <c r="G7586">
        <v>18</v>
      </c>
    </row>
    <row r="7587" spans="1:7" x14ac:dyDescent="0.25">
      <c r="A7587" t="s">
        <v>41</v>
      </c>
      <c r="B7587" t="s">
        <v>3004</v>
      </c>
      <c r="C7587" t="s">
        <v>18275</v>
      </c>
      <c r="D7587" t="s">
        <v>20</v>
      </c>
      <c r="E7587" t="s">
        <v>11</v>
      </c>
      <c r="F7587">
        <v>564.3</v>
      </c>
      <c r="G7587">
        <v>18</v>
      </c>
    </row>
    <row r="7588" spans="1:7" x14ac:dyDescent="0.25">
      <c r="A7588" t="s">
        <v>41</v>
      </c>
      <c r="B7588" t="s">
        <v>3007</v>
      </c>
      <c r="C7588" t="s">
        <v>18276</v>
      </c>
      <c r="D7588" t="s">
        <v>20</v>
      </c>
      <c r="E7588" t="s">
        <v>11</v>
      </c>
      <c r="F7588">
        <v>1860.1</v>
      </c>
      <c r="G7588">
        <v>18</v>
      </c>
    </row>
    <row r="7589" spans="1:7" x14ac:dyDescent="0.25">
      <c r="A7589" t="s">
        <v>41</v>
      </c>
      <c r="B7589" t="s">
        <v>3010</v>
      </c>
      <c r="C7589" t="s">
        <v>18277</v>
      </c>
      <c r="D7589" t="s">
        <v>20</v>
      </c>
      <c r="E7589" t="s">
        <v>11</v>
      </c>
      <c r="F7589">
        <v>5100.7</v>
      </c>
      <c r="G7589">
        <v>18</v>
      </c>
    </row>
    <row r="7590" spans="1:7" x14ac:dyDescent="0.25">
      <c r="A7590" t="s">
        <v>41</v>
      </c>
      <c r="B7590" t="s">
        <v>3013</v>
      </c>
      <c r="C7590" t="s">
        <v>18278</v>
      </c>
      <c r="D7590" t="s">
        <v>20</v>
      </c>
      <c r="E7590" t="s">
        <v>11</v>
      </c>
      <c r="F7590">
        <v>8094.900000000001</v>
      </c>
      <c r="G7590">
        <v>18</v>
      </c>
    </row>
    <row r="7591" spans="1:7" x14ac:dyDescent="0.25">
      <c r="A7591" t="s">
        <v>41</v>
      </c>
      <c r="B7591" t="s">
        <v>3016</v>
      </c>
      <c r="C7591" t="s">
        <v>17796</v>
      </c>
      <c r="D7591" t="s">
        <v>20</v>
      </c>
      <c r="E7591" t="s">
        <v>11</v>
      </c>
      <c r="F7591">
        <v>157.29999999999998</v>
      </c>
      <c r="G7591">
        <v>18</v>
      </c>
    </row>
    <row r="7592" spans="1:7" x14ac:dyDescent="0.25">
      <c r="A7592" t="s">
        <v>41</v>
      </c>
      <c r="B7592" t="s">
        <v>3019</v>
      </c>
      <c r="C7592" t="s">
        <v>18279</v>
      </c>
      <c r="D7592" t="s">
        <v>20</v>
      </c>
      <c r="E7592" t="s">
        <v>11</v>
      </c>
      <c r="F7592">
        <v>5769.5</v>
      </c>
      <c r="G7592">
        <v>18</v>
      </c>
    </row>
    <row r="7593" spans="1:7" x14ac:dyDescent="0.25">
      <c r="A7593" t="s">
        <v>41</v>
      </c>
      <c r="B7593" t="s">
        <v>3022</v>
      </c>
      <c r="C7593" t="s">
        <v>18267</v>
      </c>
      <c r="D7593" t="s">
        <v>20</v>
      </c>
      <c r="E7593" t="s">
        <v>11</v>
      </c>
      <c r="F7593">
        <v>70.4</v>
      </c>
      <c r="G7593">
        <v>18</v>
      </c>
    </row>
    <row r="7594" spans="1:7" x14ac:dyDescent="0.25">
      <c r="A7594" t="s">
        <v>41</v>
      </c>
      <c r="B7594" t="s">
        <v>3025</v>
      </c>
      <c r="C7594" t="s">
        <v>17848</v>
      </c>
      <c r="D7594" t="s">
        <v>20</v>
      </c>
      <c r="E7594" t="s">
        <v>11</v>
      </c>
      <c r="F7594">
        <v>58.300000000000004</v>
      </c>
      <c r="G7594">
        <v>18</v>
      </c>
    </row>
    <row r="7595" spans="1:7" x14ac:dyDescent="0.25">
      <c r="A7595" t="s">
        <v>41</v>
      </c>
      <c r="B7595" t="s">
        <v>3028</v>
      </c>
      <c r="C7595" t="s">
        <v>17819</v>
      </c>
      <c r="D7595" t="s">
        <v>20</v>
      </c>
      <c r="E7595" t="s">
        <v>11</v>
      </c>
      <c r="F7595">
        <v>79.2</v>
      </c>
      <c r="G7595">
        <v>18</v>
      </c>
    </row>
    <row r="7596" spans="1:7" x14ac:dyDescent="0.25">
      <c r="A7596" t="s">
        <v>41</v>
      </c>
      <c r="B7596" t="s">
        <v>3031</v>
      </c>
      <c r="C7596" t="s">
        <v>17657</v>
      </c>
      <c r="D7596" t="s">
        <v>20</v>
      </c>
      <c r="E7596" t="s">
        <v>11</v>
      </c>
      <c r="F7596">
        <v>58.300000000000004</v>
      </c>
      <c r="G7596">
        <v>18</v>
      </c>
    </row>
    <row r="7597" spans="1:7" x14ac:dyDescent="0.25">
      <c r="A7597" t="s">
        <v>41</v>
      </c>
      <c r="B7597" t="s">
        <v>3034</v>
      </c>
      <c r="C7597" t="s">
        <v>18280</v>
      </c>
      <c r="D7597" t="s">
        <v>20</v>
      </c>
      <c r="E7597" t="s">
        <v>11</v>
      </c>
      <c r="F7597">
        <v>15441.8</v>
      </c>
      <c r="G7597">
        <v>18</v>
      </c>
    </row>
    <row r="7598" spans="1:7" x14ac:dyDescent="0.25">
      <c r="A7598" t="s">
        <v>41</v>
      </c>
      <c r="B7598" t="s">
        <v>3037</v>
      </c>
      <c r="C7598" t="s">
        <v>18281</v>
      </c>
      <c r="D7598" t="s">
        <v>20</v>
      </c>
      <c r="E7598" t="s">
        <v>11</v>
      </c>
      <c r="F7598">
        <v>3063.5</v>
      </c>
      <c r="G7598">
        <v>18</v>
      </c>
    </row>
    <row r="7599" spans="1:7" x14ac:dyDescent="0.25">
      <c r="A7599" t="s">
        <v>41</v>
      </c>
      <c r="B7599" t="s">
        <v>3040</v>
      </c>
      <c r="C7599" t="s">
        <v>18282</v>
      </c>
      <c r="D7599" t="s">
        <v>20</v>
      </c>
      <c r="E7599" t="s">
        <v>11</v>
      </c>
      <c r="F7599">
        <v>3115.2</v>
      </c>
      <c r="G7599">
        <v>18</v>
      </c>
    </row>
    <row r="7600" spans="1:7" x14ac:dyDescent="0.25">
      <c r="A7600" t="s">
        <v>41</v>
      </c>
      <c r="B7600" t="s">
        <v>3043</v>
      </c>
      <c r="C7600" t="s">
        <v>18283</v>
      </c>
      <c r="D7600" t="s">
        <v>20</v>
      </c>
      <c r="E7600" t="s">
        <v>11</v>
      </c>
      <c r="F7600">
        <v>1245.2</v>
      </c>
      <c r="G7600">
        <v>18</v>
      </c>
    </row>
    <row r="7601" spans="1:7" x14ac:dyDescent="0.25">
      <c r="A7601" t="s">
        <v>41</v>
      </c>
      <c r="B7601" t="s">
        <v>3046</v>
      </c>
      <c r="C7601" t="s">
        <v>18049</v>
      </c>
      <c r="D7601" t="s">
        <v>20</v>
      </c>
      <c r="E7601" t="s">
        <v>11</v>
      </c>
      <c r="F7601">
        <v>9508.4</v>
      </c>
      <c r="G7601">
        <v>18</v>
      </c>
    </row>
    <row r="7602" spans="1:7" x14ac:dyDescent="0.25">
      <c r="A7602" t="s">
        <v>41</v>
      </c>
      <c r="B7602" t="s">
        <v>3049</v>
      </c>
      <c r="C7602" t="s">
        <v>18284</v>
      </c>
      <c r="D7602" t="s">
        <v>20</v>
      </c>
      <c r="E7602" t="s">
        <v>11</v>
      </c>
      <c r="F7602">
        <v>9508.4</v>
      </c>
      <c r="G7602">
        <v>18</v>
      </c>
    </row>
    <row r="7603" spans="1:7" x14ac:dyDescent="0.25">
      <c r="A7603" t="s">
        <v>41</v>
      </c>
      <c r="B7603" t="s">
        <v>3052</v>
      </c>
      <c r="C7603" t="s">
        <v>17931</v>
      </c>
      <c r="D7603" t="s">
        <v>20</v>
      </c>
      <c r="E7603" t="s">
        <v>11</v>
      </c>
      <c r="F7603">
        <v>430.1</v>
      </c>
      <c r="G7603">
        <v>18</v>
      </c>
    </row>
    <row r="7604" spans="1:7" x14ac:dyDescent="0.25">
      <c r="A7604" t="s">
        <v>41</v>
      </c>
      <c r="B7604" t="s">
        <v>3055</v>
      </c>
      <c r="C7604" t="s">
        <v>18285</v>
      </c>
      <c r="D7604" t="s">
        <v>20</v>
      </c>
      <c r="E7604" t="s">
        <v>11</v>
      </c>
      <c r="F7604">
        <v>7244.6</v>
      </c>
      <c r="G7604">
        <v>18</v>
      </c>
    </row>
    <row r="7605" spans="1:7" x14ac:dyDescent="0.25">
      <c r="A7605" t="s">
        <v>41</v>
      </c>
      <c r="B7605" t="s">
        <v>3058</v>
      </c>
      <c r="C7605" t="s">
        <v>18286</v>
      </c>
      <c r="D7605" t="s">
        <v>20</v>
      </c>
      <c r="E7605" t="s">
        <v>11</v>
      </c>
      <c r="F7605">
        <v>5094.1</v>
      </c>
      <c r="G7605">
        <v>18</v>
      </c>
    </row>
    <row r="7606" spans="1:7" x14ac:dyDescent="0.25">
      <c r="A7606" t="s">
        <v>41</v>
      </c>
      <c r="B7606" t="s">
        <v>3061</v>
      </c>
      <c r="C7606" t="s">
        <v>18287</v>
      </c>
      <c r="D7606" t="s">
        <v>20</v>
      </c>
      <c r="E7606" t="s">
        <v>11</v>
      </c>
      <c r="F7606">
        <v>3243.8999999999996</v>
      </c>
      <c r="G7606">
        <v>18</v>
      </c>
    </row>
    <row r="7607" spans="1:7" x14ac:dyDescent="0.25">
      <c r="A7607" t="s">
        <v>41</v>
      </c>
      <c r="B7607" t="s">
        <v>3064</v>
      </c>
      <c r="C7607" t="s">
        <v>17779</v>
      </c>
      <c r="D7607" t="s">
        <v>20</v>
      </c>
      <c r="E7607" t="s">
        <v>11</v>
      </c>
      <c r="F7607">
        <v>58.300000000000004</v>
      </c>
      <c r="G7607">
        <v>18</v>
      </c>
    </row>
    <row r="7608" spans="1:7" x14ac:dyDescent="0.25">
      <c r="A7608" t="s">
        <v>41</v>
      </c>
      <c r="B7608" t="s">
        <v>3067</v>
      </c>
      <c r="C7608" t="s">
        <v>17838</v>
      </c>
      <c r="D7608" t="s">
        <v>20</v>
      </c>
      <c r="E7608" t="s">
        <v>11</v>
      </c>
      <c r="F7608">
        <v>40.7</v>
      </c>
      <c r="G7608">
        <v>18</v>
      </c>
    </row>
    <row r="7609" spans="1:7" x14ac:dyDescent="0.25">
      <c r="A7609" t="s">
        <v>41</v>
      </c>
      <c r="B7609" t="s">
        <v>3070</v>
      </c>
      <c r="C7609" t="s">
        <v>17736</v>
      </c>
      <c r="D7609" t="s">
        <v>20</v>
      </c>
      <c r="E7609" t="s">
        <v>11</v>
      </c>
      <c r="F7609">
        <v>57.2</v>
      </c>
      <c r="G7609">
        <v>18</v>
      </c>
    </row>
    <row r="7610" spans="1:7" x14ac:dyDescent="0.25">
      <c r="A7610" t="s">
        <v>41</v>
      </c>
      <c r="B7610" t="s">
        <v>3073</v>
      </c>
      <c r="C7610" t="s">
        <v>18288</v>
      </c>
      <c r="D7610" t="s">
        <v>20</v>
      </c>
      <c r="E7610" t="s">
        <v>11</v>
      </c>
      <c r="F7610">
        <v>2618</v>
      </c>
      <c r="G7610">
        <v>18</v>
      </c>
    </row>
    <row r="7611" spans="1:7" x14ac:dyDescent="0.25">
      <c r="A7611" t="s">
        <v>41</v>
      </c>
      <c r="B7611" t="s">
        <v>3076</v>
      </c>
      <c r="C7611" t="s">
        <v>18240</v>
      </c>
      <c r="D7611" t="s">
        <v>20</v>
      </c>
      <c r="E7611" t="s">
        <v>11</v>
      </c>
      <c r="F7611">
        <v>70.4</v>
      </c>
      <c r="G7611">
        <v>18</v>
      </c>
    </row>
    <row r="7612" spans="1:7" x14ac:dyDescent="0.25">
      <c r="A7612" t="s">
        <v>41</v>
      </c>
      <c r="B7612" t="s">
        <v>3079</v>
      </c>
      <c r="C7612" t="s">
        <v>17654</v>
      </c>
      <c r="D7612" t="s">
        <v>20</v>
      </c>
      <c r="E7612" t="s">
        <v>11</v>
      </c>
      <c r="F7612">
        <v>57.2</v>
      </c>
      <c r="G7612">
        <v>18</v>
      </c>
    </row>
    <row r="7613" spans="1:7" x14ac:dyDescent="0.25">
      <c r="A7613" t="s">
        <v>41</v>
      </c>
      <c r="B7613" t="s">
        <v>3082</v>
      </c>
      <c r="C7613" t="s">
        <v>17656</v>
      </c>
      <c r="D7613" t="s">
        <v>20</v>
      </c>
      <c r="E7613" t="s">
        <v>11</v>
      </c>
      <c r="F7613">
        <v>58.300000000000004</v>
      </c>
      <c r="G7613">
        <v>18</v>
      </c>
    </row>
    <row r="7614" spans="1:7" x14ac:dyDescent="0.25">
      <c r="A7614" t="s">
        <v>41</v>
      </c>
      <c r="B7614" t="s">
        <v>3085</v>
      </c>
      <c r="C7614" t="s">
        <v>18289</v>
      </c>
      <c r="D7614" t="s">
        <v>20</v>
      </c>
      <c r="E7614" t="s">
        <v>11</v>
      </c>
      <c r="F7614">
        <v>805.2</v>
      </c>
      <c r="G7614">
        <v>18</v>
      </c>
    </row>
    <row r="7615" spans="1:7" x14ac:dyDescent="0.25">
      <c r="A7615" t="s">
        <v>41</v>
      </c>
      <c r="B7615" t="s">
        <v>3088</v>
      </c>
      <c r="C7615" t="s">
        <v>17818</v>
      </c>
      <c r="D7615" t="s">
        <v>20</v>
      </c>
      <c r="E7615" t="s">
        <v>11</v>
      </c>
      <c r="F7615">
        <v>70.4</v>
      </c>
      <c r="G7615">
        <v>18</v>
      </c>
    </row>
    <row r="7616" spans="1:7" x14ac:dyDescent="0.25">
      <c r="A7616" t="s">
        <v>41</v>
      </c>
      <c r="B7616" t="s">
        <v>3091</v>
      </c>
      <c r="C7616" t="s">
        <v>18290</v>
      </c>
      <c r="D7616" t="s">
        <v>20</v>
      </c>
      <c r="E7616" t="s">
        <v>11</v>
      </c>
      <c r="F7616">
        <v>15745.399999999998</v>
      </c>
      <c r="G7616">
        <v>18</v>
      </c>
    </row>
    <row r="7617" spans="1:7" x14ac:dyDescent="0.25">
      <c r="A7617" t="s">
        <v>41</v>
      </c>
      <c r="B7617" t="s">
        <v>3094</v>
      </c>
      <c r="C7617" t="s">
        <v>18291</v>
      </c>
      <c r="D7617" t="s">
        <v>20</v>
      </c>
      <c r="E7617" t="s">
        <v>11</v>
      </c>
      <c r="F7617">
        <v>70.4</v>
      </c>
      <c r="G7617">
        <v>18</v>
      </c>
    </row>
    <row r="7618" spans="1:7" x14ac:dyDescent="0.25">
      <c r="A7618" t="s">
        <v>41</v>
      </c>
      <c r="B7618" t="s">
        <v>3097</v>
      </c>
      <c r="C7618" t="s">
        <v>18292</v>
      </c>
      <c r="D7618" t="s">
        <v>20</v>
      </c>
      <c r="E7618" t="s">
        <v>11</v>
      </c>
      <c r="F7618">
        <v>15745.399999999998</v>
      </c>
      <c r="G7618">
        <v>18</v>
      </c>
    </row>
    <row r="7619" spans="1:7" x14ac:dyDescent="0.25">
      <c r="A7619" t="s">
        <v>41</v>
      </c>
      <c r="B7619" t="s">
        <v>3100</v>
      </c>
      <c r="C7619" t="s">
        <v>18293</v>
      </c>
      <c r="D7619" t="s">
        <v>20</v>
      </c>
      <c r="E7619" t="s">
        <v>11</v>
      </c>
      <c r="F7619">
        <v>28900.300000000003</v>
      </c>
      <c r="G7619">
        <v>18</v>
      </c>
    </row>
    <row r="7620" spans="1:7" x14ac:dyDescent="0.25">
      <c r="A7620" t="s">
        <v>41</v>
      </c>
      <c r="B7620" t="s">
        <v>3103</v>
      </c>
      <c r="C7620" t="s">
        <v>18294</v>
      </c>
      <c r="D7620" t="s">
        <v>20</v>
      </c>
      <c r="E7620" t="s">
        <v>11</v>
      </c>
      <c r="F7620">
        <v>28900.300000000003</v>
      </c>
      <c r="G7620">
        <v>18</v>
      </c>
    </row>
    <row r="7621" spans="1:7" x14ac:dyDescent="0.25">
      <c r="A7621" t="s">
        <v>41</v>
      </c>
      <c r="B7621" t="s">
        <v>3106</v>
      </c>
      <c r="C7621" t="s">
        <v>18295</v>
      </c>
      <c r="D7621" t="s">
        <v>20</v>
      </c>
      <c r="E7621" t="s">
        <v>11</v>
      </c>
      <c r="F7621">
        <v>80175.7</v>
      </c>
      <c r="G7621">
        <v>18</v>
      </c>
    </row>
    <row r="7622" spans="1:7" x14ac:dyDescent="0.25">
      <c r="A7622" t="s">
        <v>41</v>
      </c>
      <c r="B7622" t="s">
        <v>3109</v>
      </c>
      <c r="C7622" t="s">
        <v>18296</v>
      </c>
      <c r="D7622" t="s">
        <v>20</v>
      </c>
      <c r="E7622" t="s">
        <v>11</v>
      </c>
      <c r="F7622">
        <v>80175.7</v>
      </c>
      <c r="G7622">
        <v>18</v>
      </c>
    </row>
    <row r="7623" spans="1:7" x14ac:dyDescent="0.25">
      <c r="A7623" t="s">
        <v>41</v>
      </c>
      <c r="B7623" t="s">
        <v>3112</v>
      </c>
      <c r="C7623" t="s">
        <v>18297</v>
      </c>
      <c r="D7623" t="s">
        <v>20</v>
      </c>
      <c r="E7623" t="s">
        <v>11</v>
      </c>
      <c r="F7623">
        <v>8336.900000000001</v>
      </c>
      <c r="G7623">
        <v>18</v>
      </c>
    </row>
    <row r="7624" spans="1:7" x14ac:dyDescent="0.25">
      <c r="A7624" t="s">
        <v>41</v>
      </c>
      <c r="B7624" t="s">
        <v>3115</v>
      </c>
      <c r="C7624" t="s">
        <v>18298</v>
      </c>
      <c r="D7624" t="s">
        <v>20</v>
      </c>
      <c r="E7624" t="s">
        <v>11</v>
      </c>
      <c r="F7624">
        <v>4594.700000000001</v>
      </c>
      <c r="G7624">
        <v>18</v>
      </c>
    </row>
    <row r="7625" spans="1:7" x14ac:dyDescent="0.25">
      <c r="A7625" t="s">
        <v>41</v>
      </c>
      <c r="B7625" t="s">
        <v>3118</v>
      </c>
      <c r="C7625" t="s">
        <v>17757</v>
      </c>
      <c r="D7625" t="s">
        <v>20</v>
      </c>
      <c r="E7625" t="s">
        <v>11</v>
      </c>
      <c r="F7625">
        <v>1856.8</v>
      </c>
      <c r="G7625">
        <v>18</v>
      </c>
    </row>
    <row r="7626" spans="1:7" x14ac:dyDescent="0.25">
      <c r="A7626" t="s">
        <v>41</v>
      </c>
      <c r="B7626" t="s">
        <v>3121</v>
      </c>
      <c r="C7626" t="s">
        <v>17645</v>
      </c>
      <c r="D7626" t="s">
        <v>20</v>
      </c>
      <c r="E7626" t="s">
        <v>11</v>
      </c>
      <c r="F7626">
        <v>167.2</v>
      </c>
      <c r="G7626">
        <v>18</v>
      </c>
    </row>
    <row r="7627" spans="1:7" x14ac:dyDescent="0.25">
      <c r="A7627" t="s">
        <v>41</v>
      </c>
      <c r="B7627" t="s">
        <v>3124</v>
      </c>
      <c r="C7627" t="s">
        <v>18299</v>
      </c>
      <c r="D7627" t="s">
        <v>20</v>
      </c>
      <c r="E7627" t="s">
        <v>11</v>
      </c>
      <c r="F7627">
        <v>3372.6</v>
      </c>
      <c r="G7627">
        <v>18</v>
      </c>
    </row>
    <row r="7628" spans="1:7" x14ac:dyDescent="0.25">
      <c r="A7628" t="s">
        <v>41</v>
      </c>
      <c r="B7628" t="s">
        <v>3127</v>
      </c>
      <c r="C7628" t="s">
        <v>17645</v>
      </c>
      <c r="D7628" t="s">
        <v>20</v>
      </c>
      <c r="E7628" t="s">
        <v>11</v>
      </c>
      <c r="F7628">
        <v>167.2</v>
      </c>
      <c r="G7628">
        <v>18</v>
      </c>
    </row>
    <row r="7629" spans="1:7" x14ac:dyDescent="0.25">
      <c r="A7629" t="s">
        <v>41</v>
      </c>
      <c r="B7629" t="s">
        <v>3130</v>
      </c>
      <c r="C7629" t="s">
        <v>18300</v>
      </c>
      <c r="D7629" t="s">
        <v>20</v>
      </c>
      <c r="E7629" t="s">
        <v>11</v>
      </c>
      <c r="F7629">
        <v>70.4</v>
      </c>
      <c r="G7629">
        <v>18</v>
      </c>
    </row>
    <row r="7630" spans="1:7" x14ac:dyDescent="0.25">
      <c r="A7630" t="s">
        <v>41</v>
      </c>
      <c r="B7630" t="s">
        <v>3133</v>
      </c>
      <c r="C7630" t="s">
        <v>17757</v>
      </c>
      <c r="D7630" t="s">
        <v>20</v>
      </c>
      <c r="E7630" t="s">
        <v>11</v>
      </c>
      <c r="F7630">
        <v>1856.8</v>
      </c>
      <c r="G7630">
        <v>18</v>
      </c>
    </row>
    <row r="7631" spans="1:7" x14ac:dyDescent="0.25">
      <c r="A7631" t="s">
        <v>41</v>
      </c>
      <c r="B7631" t="s">
        <v>3136</v>
      </c>
      <c r="C7631" t="s">
        <v>18301</v>
      </c>
      <c r="D7631" t="s">
        <v>20</v>
      </c>
      <c r="E7631" t="s">
        <v>11</v>
      </c>
      <c r="F7631">
        <v>178.20000000000002</v>
      </c>
      <c r="G7631">
        <v>18</v>
      </c>
    </row>
    <row r="7632" spans="1:7" x14ac:dyDescent="0.25">
      <c r="A7632" t="s">
        <v>41</v>
      </c>
      <c r="B7632" t="s">
        <v>3139</v>
      </c>
      <c r="C7632" t="s">
        <v>17532</v>
      </c>
      <c r="D7632" t="s">
        <v>20</v>
      </c>
      <c r="E7632" t="s">
        <v>11</v>
      </c>
      <c r="F7632">
        <v>45378.299999999996</v>
      </c>
      <c r="G7632">
        <v>18</v>
      </c>
    </row>
    <row r="7633" spans="1:7" x14ac:dyDescent="0.25">
      <c r="A7633" t="s">
        <v>41</v>
      </c>
      <c r="B7633" t="s">
        <v>3142</v>
      </c>
      <c r="C7633" t="s">
        <v>18302</v>
      </c>
      <c r="D7633" t="s">
        <v>20</v>
      </c>
      <c r="E7633" t="s">
        <v>11</v>
      </c>
      <c r="F7633">
        <v>140.8</v>
      </c>
      <c r="G7633">
        <v>18</v>
      </c>
    </row>
    <row r="7634" spans="1:7" x14ac:dyDescent="0.25">
      <c r="A7634" t="s">
        <v>41</v>
      </c>
      <c r="B7634" t="s">
        <v>3145</v>
      </c>
      <c r="C7634" t="s">
        <v>17819</v>
      </c>
      <c r="D7634" t="s">
        <v>20</v>
      </c>
      <c r="E7634" t="s">
        <v>11</v>
      </c>
      <c r="F7634">
        <v>79.2</v>
      </c>
      <c r="G7634">
        <v>18</v>
      </c>
    </row>
    <row r="7635" spans="1:7" x14ac:dyDescent="0.25">
      <c r="A7635" t="s">
        <v>41</v>
      </c>
      <c r="B7635" t="s">
        <v>3148</v>
      </c>
      <c r="C7635" t="s">
        <v>17657</v>
      </c>
      <c r="D7635" t="s">
        <v>20</v>
      </c>
      <c r="E7635" t="s">
        <v>11</v>
      </c>
      <c r="F7635">
        <v>173.8</v>
      </c>
      <c r="G7635">
        <v>18</v>
      </c>
    </row>
    <row r="7636" spans="1:7" x14ac:dyDescent="0.25">
      <c r="A7636" t="s">
        <v>41</v>
      </c>
      <c r="B7636" t="s">
        <v>3151</v>
      </c>
      <c r="C7636" t="s">
        <v>18303</v>
      </c>
      <c r="D7636" t="s">
        <v>20</v>
      </c>
      <c r="E7636" t="s">
        <v>11</v>
      </c>
      <c r="F7636">
        <v>5691.400000000001</v>
      </c>
      <c r="G7636">
        <v>18</v>
      </c>
    </row>
    <row r="7637" spans="1:7" x14ac:dyDescent="0.25">
      <c r="A7637" t="s">
        <v>41</v>
      </c>
      <c r="B7637" t="s">
        <v>3154</v>
      </c>
      <c r="C7637" t="s">
        <v>18042</v>
      </c>
      <c r="D7637" t="s">
        <v>20</v>
      </c>
      <c r="E7637" t="s">
        <v>11</v>
      </c>
      <c r="F7637">
        <v>4437.400000000001</v>
      </c>
      <c r="G7637">
        <v>18</v>
      </c>
    </row>
    <row r="7638" spans="1:7" x14ac:dyDescent="0.25">
      <c r="A7638" t="s">
        <v>41</v>
      </c>
      <c r="B7638" t="s">
        <v>3157</v>
      </c>
      <c r="C7638" t="s">
        <v>17834</v>
      </c>
      <c r="D7638" t="s">
        <v>20</v>
      </c>
      <c r="E7638" t="s">
        <v>11</v>
      </c>
      <c r="F7638">
        <v>4570.5</v>
      </c>
      <c r="G7638">
        <v>18</v>
      </c>
    </row>
    <row r="7639" spans="1:7" x14ac:dyDescent="0.25">
      <c r="A7639" t="s">
        <v>41</v>
      </c>
      <c r="B7639" t="s">
        <v>3160</v>
      </c>
      <c r="C7639" t="s">
        <v>17543</v>
      </c>
      <c r="D7639" t="s">
        <v>20</v>
      </c>
      <c r="E7639" t="s">
        <v>11</v>
      </c>
      <c r="F7639">
        <v>1658.8</v>
      </c>
      <c r="G7639">
        <v>18</v>
      </c>
    </row>
    <row r="7640" spans="1:7" x14ac:dyDescent="0.25">
      <c r="A7640" t="s">
        <v>41</v>
      </c>
      <c r="B7640" t="s">
        <v>3163</v>
      </c>
      <c r="C7640" t="s">
        <v>18304</v>
      </c>
      <c r="D7640" t="s">
        <v>20</v>
      </c>
      <c r="E7640" t="s">
        <v>11</v>
      </c>
      <c r="F7640">
        <v>58.300000000000004</v>
      </c>
      <c r="G7640">
        <v>18</v>
      </c>
    </row>
    <row r="7641" spans="1:7" x14ac:dyDescent="0.25">
      <c r="A7641" t="s">
        <v>41</v>
      </c>
      <c r="B7641" t="s">
        <v>3166</v>
      </c>
      <c r="C7641" t="s">
        <v>17838</v>
      </c>
      <c r="D7641" t="s">
        <v>20</v>
      </c>
      <c r="E7641" t="s">
        <v>11</v>
      </c>
      <c r="F7641">
        <v>40.7</v>
      </c>
      <c r="G7641">
        <v>18</v>
      </c>
    </row>
    <row r="7642" spans="1:7" x14ac:dyDescent="0.25">
      <c r="A7642" t="s">
        <v>41</v>
      </c>
      <c r="B7642" t="s">
        <v>3169</v>
      </c>
      <c r="C7642" t="s">
        <v>17736</v>
      </c>
      <c r="D7642" t="s">
        <v>20</v>
      </c>
      <c r="E7642" t="s">
        <v>11</v>
      </c>
      <c r="F7642">
        <v>57.2</v>
      </c>
      <c r="G7642">
        <v>18</v>
      </c>
    </row>
    <row r="7643" spans="1:7" x14ac:dyDescent="0.25">
      <c r="A7643" t="s">
        <v>41</v>
      </c>
      <c r="B7643" t="s">
        <v>3172</v>
      </c>
      <c r="C7643" t="s">
        <v>18045</v>
      </c>
      <c r="D7643" t="s">
        <v>20</v>
      </c>
      <c r="E7643" t="s">
        <v>11</v>
      </c>
      <c r="F7643">
        <v>2098.7999999999997</v>
      </c>
      <c r="G7643">
        <v>18</v>
      </c>
    </row>
    <row r="7644" spans="1:7" x14ac:dyDescent="0.25">
      <c r="A7644" t="s">
        <v>41</v>
      </c>
      <c r="B7644" t="s">
        <v>3175</v>
      </c>
      <c r="C7644" t="s">
        <v>17544</v>
      </c>
      <c r="D7644" t="s">
        <v>20</v>
      </c>
      <c r="E7644" t="s">
        <v>11</v>
      </c>
      <c r="F7644">
        <v>2098.7999999999997</v>
      </c>
      <c r="G7644">
        <v>18</v>
      </c>
    </row>
    <row r="7645" spans="1:7" x14ac:dyDescent="0.25">
      <c r="A7645" t="s">
        <v>41</v>
      </c>
      <c r="B7645" t="s">
        <v>3178</v>
      </c>
      <c r="C7645" t="s">
        <v>17837</v>
      </c>
      <c r="D7645" t="s">
        <v>20</v>
      </c>
      <c r="E7645" t="s">
        <v>11</v>
      </c>
      <c r="F7645">
        <v>564.3</v>
      </c>
      <c r="G7645">
        <v>18</v>
      </c>
    </row>
    <row r="7646" spans="1:7" x14ac:dyDescent="0.25">
      <c r="A7646" t="s">
        <v>41</v>
      </c>
      <c r="B7646" t="s">
        <v>3181</v>
      </c>
      <c r="C7646" t="s">
        <v>18305</v>
      </c>
      <c r="D7646" t="s">
        <v>20</v>
      </c>
      <c r="E7646" t="s">
        <v>11</v>
      </c>
      <c r="F7646">
        <v>9468.8</v>
      </c>
      <c r="G7646">
        <v>18</v>
      </c>
    </row>
    <row r="7647" spans="1:7" x14ac:dyDescent="0.25">
      <c r="A7647" t="s">
        <v>41</v>
      </c>
      <c r="B7647" t="s">
        <v>3184</v>
      </c>
      <c r="C7647" t="s">
        <v>18306</v>
      </c>
      <c r="D7647" t="s">
        <v>20</v>
      </c>
      <c r="E7647" t="s">
        <v>11</v>
      </c>
      <c r="F7647">
        <v>9468.8</v>
      </c>
      <c r="G7647">
        <v>18</v>
      </c>
    </row>
    <row r="7648" spans="1:7" x14ac:dyDescent="0.25">
      <c r="A7648" t="s">
        <v>41</v>
      </c>
      <c r="B7648" t="s">
        <v>3187</v>
      </c>
      <c r="C7648" t="s">
        <v>17904</v>
      </c>
      <c r="D7648" t="s">
        <v>20</v>
      </c>
      <c r="E7648" t="s">
        <v>11</v>
      </c>
      <c r="F7648">
        <v>137.5</v>
      </c>
      <c r="G7648">
        <v>18</v>
      </c>
    </row>
    <row r="7649" spans="1:7" x14ac:dyDescent="0.25">
      <c r="A7649" t="s">
        <v>41</v>
      </c>
      <c r="B7649" t="s">
        <v>3190</v>
      </c>
      <c r="C7649" t="s">
        <v>17815</v>
      </c>
      <c r="D7649" t="s">
        <v>20</v>
      </c>
      <c r="E7649" t="s">
        <v>11</v>
      </c>
      <c r="F7649">
        <v>214.5</v>
      </c>
      <c r="G7649">
        <v>18</v>
      </c>
    </row>
    <row r="7650" spans="1:7" x14ac:dyDescent="0.25">
      <c r="A7650" t="s">
        <v>41</v>
      </c>
      <c r="B7650" t="s">
        <v>3193</v>
      </c>
      <c r="C7650" t="s">
        <v>18028</v>
      </c>
      <c r="D7650" t="s">
        <v>20</v>
      </c>
      <c r="E7650" t="s">
        <v>11</v>
      </c>
      <c r="F7650">
        <v>57.2</v>
      </c>
      <c r="G7650">
        <v>18</v>
      </c>
    </row>
    <row r="7651" spans="1:7" x14ac:dyDescent="0.25">
      <c r="A7651" t="s">
        <v>41</v>
      </c>
      <c r="B7651" t="s">
        <v>3196</v>
      </c>
      <c r="C7651" t="s">
        <v>18231</v>
      </c>
      <c r="D7651" t="s">
        <v>20</v>
      </c>
      <c r="E7651" t="s">
        <v>11</v>
      </c>
      <c r="F7651">
        <v>58.300000000000004</v>
      </c>
      <c r="G7651">
        <v>18</v>
      </c>
    </row>
    <row r="7652" spans="1:7" x14ac:dyDescent="0.25">
      <c r="A7652" t="s">
        <v>41</v>
      </c>
      <c r="B7652" t="s">
        <v>3199</v>
      </c>
      <c r="C7652" t="s">
        <v>18307</v>
      </c>
      <c r="D7652" t="s">
        <v>20</v>
      </c>
      <c r="E7652" t="s">
        <v>11</v>
      </c>
      <c r="F7652">
        <v>264</v>
      </c>
      <c r="G7652">
        <v>18</v>
      </c>
    </row>
    <row r="7653" spans="1:7" x14ac:dyDescent="0.25">
      <c r="A7653" t="s">
        <v>41</v>
      </c>
      <c r="B7653" t="s">
        <v>3202</v>
      </c>
      <c r="C7653" t="s">
        <v>17677</v>
      </c>
      <c r="D7653" t="s">
        <v>20</v>
      </c>
      <c r="E7653" t="s">
        <v>11</v>
      </c>
      <c r="F7653">
        <v>58.300000000000004</v>
      </c>
      <c r="G7653">
        <v>18</v>
      </c>
    </row>
    <row r="7654" spans="1:7" x14ac:dyDescent="0.25">
      <c r="A7654" t="s">
        <v>41</v>
      </c>
      <c r="B7654" t="s">
        <v>3205</v>
      </c>
      <c r="C7654" t="s">
        <v>18308</v>
      </c>
      <c r="D7654" t="s">
        <v>20</v>
      </c>
      <c r="E7654" t="s">
        <v>11</v>
      </c>
      <c r="F7654">
        <v>860.2</v>
      </c>
      <c r="G7654">
        <v>18</v>
      </c>
    </row>
    <row r="7655" spans="1:7" x14ac:dyDescent="0.25">
      <c r="A7655" t="s">
        <v>41</v>
      </c>
      <c r="B7655" t="s">
        <v>3208</v>
      </c>
      <c r="C7655" t="s">
        <v>18309</v>
      </c>
      <c r="D7655" t="s">
        <v>20</v>
      </c>
      <c r="E7655" t="s">
        <v>11</v>
      </c>
      <c r="F7655">
        <v>762.3</v>
      </c>
      <c r="G7655">
        <v>18</v>
      </c>
    </row>
    <row r="7656" spans="1:7" x14ac:dyDescent="0.25">
      <c r="A7656" t="s">
        <v>41</v>
      </c>
      <c r="B7656" t="s">
        <v>3211</v>
      </c>
      <c r="C7656" t="s">
        <v>18310</v>
      </c>
      <c r="D7656" t="s">
        <v>20</v>
      </c>
      <c r="E7656" t="s">
        <v>11</v>
      </c>
      <c r="F7656">
        <v>5350.4</v>
      </c>
      <c r="G7656">
        <v>18</v>
      </c>
    </row>
    <row r="7657" spans="1:7" x14ac:dyDescent="0.25">
      <c r="A7657" t="s">
        <v>41</v>
      </c>
      <c r="B7657" t="s">
        <v>3214</v>
      </c>
      <c r="C7657" t="s">
        <v>18311</v>
      </c>
      <c r="D7657" t="s">
        <v>20</v>
      </c>
      <c r="E7657" t="s">
        <v>11</v>
      </c>
      <c r="F7657">
        <v>70.4</v>
      </c>
      <c r="G7657">
        <v>18</v>
      </c>
    </row>
    <row r="7658" spans="1:7" x14ac:dyDescent="0.25">
      <c r="A7658" t="s">
        <v>41</v>
      </c>
      <c r="B7658" t="s">
        <v>3217</v>
      </c>
      <c r="C7658" t="s">
        <v>18248</v>
      </c>
      <c r="D7658" t="s">
        <v>20</v>
      </c>
      <c r="E7658" t="s">
        <v>11</v>
      </c>
      <c r="F7658">
        <v>404.8</v>
      </c>
      <c r="G7658">
        <v>18</v>
      </c>
    </row>
    <row r="7659" spans="1:7" x14ac:dyDescent="0.25">
      <c r="A7659" t="s">
        <v>41</v>
      </c>
      <c r="B7659" t="s">
        <v>3220</v>
      </c>
      <c r="C7659" t="s">
        <v>18247</v>
      </c>
      <c r="D7659" t="s">
        <v>20</v>
      </c>
      <c r="E7659" t="s">
        <v>11</v>
      </c>
      <c r="F7659">
        <v>80.3</v>
      </c>
      <c r="G7659">
        <v>18</v>
      </c>
    </row>
    <row r="7660" spans="1:7" x14ac:dyDescent="0.25">
      <c r="A7660" t="s">
        <v>41</v>
      </c>
      <c r="B7660" t="s">
        <v>3223</v>
      </c>
      <c r="C7660" t="s">
        <v>17808</v>
      </c>
      <c r="D7660" t="s">
        <v>20</v>
      </c>
      <c r="E7660" t="s">
        <v>11</v>
      </c>
      <c r="F7660">
        <v>70.4</v>
      </c>
      <c r="G7660">
        <v>18</v>
      </c>
    </row>
    <row r="7661" spans="1:7" x14ac:dyDescent="0.25">
      <c r="A7661" t="s">
        <v>41</v>
      </c>
      <c r="B7661" t="s">
        <v>3226</v>
      </c>
      <c r="C7661" t="s">
        <v>17848</v>
      </c>
      <c r="D7661" t="s">
        <v>20</v>
      </c>
      <c r="E7661" t="s">
        <v>11</v>
      </c>
      <c r="F7661">
        <v>58.300000000000004</v>
      </c>
      <c r="G7661">
        <v>18</v>
      </c>
    </row>
    <row r="7662" spans="1:7" x14ac:dyDescent="0.25">
      <c r="A7662" t="s">
        <v>41</v>
      </c>
      <c r="B7662" t="s">
        <v>3229</v>
      </c>
      <c r="C7662" t="s">
        <v>17819</v>
      </c>
      <c r="D7662" t="s">
        <v>20</v>
      </c>
      <c r="E7662" t="s">
        <v>11</v>
      </c>
      <c r="F7662">
        <v>79.2</v>
      </c>
      <c r="G7662">
        <v>18</v>
      </c>
    </row>
    <row r="7663" spans="1:7" x14ac:dyDescent="0.25">
      <c r="A7663" t="s">
        <v>41</v>
      </c>
      <c r="B7663" t="s">
        <v>3232</v>
      </c>
      <c r="C7663" t="s">
        <v>17548</v>
      </c>
      <c r="D7663" t="s">
        <v>20</v>
      </c>
      <c r="E7663" t="s">
        <v>11</v>
      </c>
      <c r="F7663">
        <v>4570.5</v>
      </c>
      <c r="G7663">
        <v>18</v>
      </c>
    </row>
    <row r="7664" spans="1:7" x14ac:dyDescent="0.25">
      <c r="A7664" t="s">
        <v>41</v>
      </c>
      <c r="B7664" t="s">
        <v>3235</v>
      </c>
      <c r="C7664" t="s">
        <v>17850</v>
      </c>
      <c r="D7664" t="s">
        <v>20</v>
      </c>
      <c r="E7664" t="s">
        <v>11</v>
      </c>
      <c r="F7664">
        <v>3526.6000000000004</v>
      </c>
      <c r="G7664">
        <v>18</v>
      </c>
    </row>
    <row r="7665" spans="1:7" x14ac:dyDescent="0.25">
      <c r="A7665" t="s">
        <v>41</v>
      </c>
      <c r="B7665" t="s">
        <v>3238</v>
      </c>
      <c r="C7665" t="s">
        <v>18312</v>
      </c>
      <c r="D7665" t="s">
        <v>20</v>
      </c>
      <c r="E7665" t="s">
        <v>11</v>
      </c>
      <c r="F7665">
        <v>546.6999999999999</v>
      </c>
      <c r="G7665">
        <v>18</v>
      </c>
    </row>
    <row r="7666" spans="1:7" x14ac:dyDescent="0.25">
      <c r="A7666" t="s">
        <v>41</v>
      </c>
      <c r="B7666" t="s">
        <v>3241</v>
      </c>
      <c r="C7666" t="s">
        <v>18313</v>
      </c>
      <c r="D7666" t="s">
        <v>20</v>
      </c>
      <c r="E7666" t="s">
        <v>11</v>
      </c>
      <c r="F7666">
        <v>1642.3</v>
      </c>
      <c r="G7666">
        <v>18</v>
      </c>
    </row>
    <row r="7667" spans="1:7" x14ac:dyDescent="0.25">
      <c r="A7667" t="s">
        <v>41</v>
      </c>
      <c r="B7667" t="s">
        <v>3244</v>
      </c>
      <c r="C7667" t="s">
        <v>17686</v>
      </c>
      <c r="D7667" t="s">
        <v>20</v>
      </c>
      <c r="E7667" t="s">
        <v>11</v>
      </c>
      <c r="F7667">
        <v>58.300000000000004</v>
      </c>
      <c r="G7667">
        <v>18</v>
      </c>
    </row>
    <row r="7668" spans="1:7" x14ac:dyDescent="0.25">
      <c r="A7668" t="s">
        <v>41</v>
      </c>
      <c r="B7668" t="s">
        <v>3247</v>
      </c>
      <c r="C7668" t="s">
        <v>18233</v>
      </c>
      <c r="D7668" t="s">
        <v>20</v>
      </c>
      <c r="E7668" t="s">
        <v>11</v>
      </c>
      <c r="F7668">
        <v>58.300000000000004</v>
      </c>
      <c r="G7668">
        <v>18</v>
      </c>
    </row>
    <row r="7669" spans="1:7" x14ac:dyDescent="0.25">
      <c r="A7669" t="s">
        <v>41</v>
      </c>
      <c r="B7669" t="s">
        <v>3250</v>
      </c>
      <c r="C7669" t="s">
        <v>18038</v>
      </c>
      <c r="D7669" t="s">
        <v>20</v>
      </c>
      <c r="E7669" t="s">
        <v>11</v>
      </c>
      <c r="F7669">
        <v>45378.299999999996</v>
      </c>
      <c r="G7669">
        <v>18</v>
      </c>
    </row>
    <row r="7670" spans="1:7" x14ac:dyDescent="0.25">
      <c r="A7670" t="s">
        <v>41</v>
      </c>
      <c r="B7670" t="s">
        <v>3253</v>
      </c>
      <c r="C7670" t="s">
        <v>18314</v>
      </c>
      <c r="D7670" t="s">
        <v>20</v>
      </c>
      <c r="E7670" t="s">
        <v>11</v>
      </c>
      <c r="F7670">
        <v>45378.299999999996</v>
      </c>
      <c r="G7670">
        <v>18</v>
      </c>
    </row>
    <row r="7671" spans="1:7" x14ac:dyDescent="0.25">
      <c r="A7671" t="s">
        <v>41</v>
      </c>
      <c r="B7671" t="s">
        <v>3256</v>
      </c>
      <c r="C7671" t="s">
        <v>18315</v>
      </c>
      <c r="D7671" t="s">
        <v>20</v>
      </c>
      <c r="E7671" t="s">
        <v>11</v>
      </c>
      <c r="F7671">
        <v>11303.6</v>
      </c>
      <c r="G7671">
        <v>18</v>
      </c>
    </row>
    <row r="7672" spans="1:7" x14ac:dyDescent="0.25">
      <c r="A7672" t="s">
        <v>41</v>
      </c>
      <c r="B7672" t="s">
        <v>3258</v>
      </c>
      <c r="C7672" t="s">
        <v>17733</v>
      </c>
      <c r="D7672" t="s">
        <v>20</v>
      </c>
      <c r="E7672" t="s">
        <v>11</v>
      </c>
      <c r="F7672">
        <v>585.2</v>
      </c>
      <c r="G7672">
        <v>18</v>
      </c>
    </row>
    <row r="7673" spans="1:7" x14ac:dyDescent="0.25">
      <c r="A7673" t="s">
        <v>41</v>
      </c>
      <c r="B7673" t="s">
        <v>3261</v>
      </c>
      <c r="C7673" t="s">
        <v>18037</v>
      </c>
      <c r="D7673" t="s">
        <v>20</v>
      </c>
      <c r="E7673" t="s">
        <v>11</v>
      </c>
      <c r="F7673">
        <v>46333.1</v>
      </c>
      <c r="G7673">
        <v>18</v>
      </c>
    </row>
    <row r="7674" spans="1:7" x14ac:dyDescent="0.25">
      <c r="A7674" t="s">
        <v>41</v>
      </c>
      <c r="B7674" t="s">
        <v>3264</v>
      </c>
      <c r="C7674" t="s">
        <v>18316</v>
      </c>
      <c r="D7674" t="s">
        <v>20</v>
      </c>
      <c r="E7674" t="s">
        <v>11</v>
      </c>
      <c r="F7674">
        <v>46333.1</v>
      </c>
      <c r="G7674">
        <v>18</v>
      </c>
    </row>
    <row r="7675" spans="1:7" x14ac:dyDescent="0.25">
      <c r="A7675" t="s">
        <v>41</v>
      </c>
      <c r="B7675" t="s">
        <v>3267</v>
      </c>
      <c r="C7675" t="s">
        <v>17805</v>
      </c>
      <c r="D7675" t="s">
        <v>20</v>
      </c>
      <c r="E7675" t="s">
        <v>11</v>
      </c>
      <c r="F7675">
        <v>8336.900000000001</v>
      </c>
      <c r="G7675">
        <v>18</v>
      </c>
    </row>
    <row r="7676" spans="1:7" x14ac:dyDescent="0.25">
      <c r="A7676" t="s">
        <v>41</v>
      </c>
      <c r="B7676" t="s">
        <v>3270</v>
      </c>
      <c r="C7676" t="s">
        <v>17806</v>
      </c>
      <c r="D7676" t="s">
        <v>20</v>
      </c>
      <c r="E7676" t="s">
        <v>11</v>
      </c>
      <c r="F7676">
        <v>4594.700000000001</v>
      </c>
      <c r="G7676">
        <v>18</v>
      </c>
    </row>
    <row r="7677" spans="1:7" x14ac:dyDescent="0.25">
      <c r="A7677" t="s">
        <v>41</v>
      </c>
      <c r="B7677" t="s">
        <v>3273</v>
      </c>
      <c r="C7677" t="s">
        <v>17810</v>
      </c>
      <c r="D7677" t="s">
        <v>20</v>
      </c>
      <c r="E7677" t="s">
        <v>11</v>
      </c>
      <c r="F7677">
        <v>5691.400000000001</v>
      </c>
      <c r="G7677">
        <v>18</v>
      </c>
    </row>
    <row r="7678" spans="1:7" x14ac:dyDescent="0.25">
      <c r="A7678" t="s">
        <v>41</v>
      </c>
      <c r="B7678" t="s">
        <v>3276</v>
      </c>
      <c r="C7678" t="s">
        <v>17811</v>
      </c>
      <c r="D7678" t="s">
        <v>20</v>
      </c>
      <c r="E7678" t="s">
        <v>11</v>
      </c>
      <c r="F7678">
        <v>3372.6</v>
      </c>
      <c r="G7678">
        <v>18</v>
      </c>
    </row>
    <row r="7679" spans="1:7" x14ac:dyDescent="0.25">
      <c r="A7679" t="s">
        <v>41</v>
      </c>
      <c r="B7679" t="s">
        <v>3279</v>
      </c>
      <c r="C7679" t="s">
        <v>18317</v>
      </c>
      <c r="D7679" t="s">
        <v>20</v>
      </c>
      <c r="E7679" t="s">
        <v>11</v>
      </c>
      <c r="F7679">
        <v>25751</v>
      </c>
      <c r="G7679">
        <v>18</v>
      </c>
    </row>
    <row r="7680" spans="1:7" x14ac:dyDescent="0.25">
      <c r="A7680" t="s">
        <v>41</v>
      </c>
      <c r="B7680" t="s">
        <v>3282</v>
      </c>
      <c r="C7680" t="s">
        <v>17603</v>
      </c>
      <c r="D7680" t="s">
        <v>20</v>
      </c>
      <c r="E7680" t="s">
        <v>11</v>
      </c>
      <c r="F7680">
        <v>15000.7</v>
      </c>
      <c r="G7680">
        <v>18</v>
      </c>
    </row>
    <row r="7681" spans="1:7" x14ac:dyDescent="0.25">
      <c r="A7681" t="s">
        <v>41</v>
      </c>
      <c r="B7681" t="s">
        <v>3285</v>
      </c>
      <c r="C7681" t="s">
        <v>18318</v>
      </c>
      <c r="D7681" t="s">
        <v>20</v>
      </c>
      <c r="E7681" t="s">
        <v>11</v>
      </c>
      <c r="F7681">
        <v>3862.1</v>
      </c>
      <c r="G7681">
        <v>18</v>
      </c>
    </row>
    <row r="7682" spans="1:7" x14ac:dyDescent="0.25">
      <c r="A7682" t="s">
        <v>41</v>
      </c>
      <c r="B7682" t="s">
        <v>3288</v>
      </c>
      <c r="C7682" t="s">
        <v>18319</v>
      </c>
      <c r="D7682" t="s">
        <v>20</v>
      </c>
      <c r="E7682" t="s">
        <v>11</v>
      </c>
      <c r="F7682">
        <v>1338.7</v>
      </c>
      <c r="G7682">
        <v>18</v>
      </c>
    </row>
    <row r="7683" spans="1:7" x14ac:dyDescent="0.25">
      <c r="A7683" t="s">
        <v>41</v>
      </c>
      <c r="B7683" t="s">
        <v>3291</v>
      </c>
      <c r="C7683" t="s">
        <v>18320</v>
      </c>
      <c r="D7683" t="s">
        <v>20</v>
      </c>
      <c r="E7683" t="s">
        <v>11</v>
      </c>
      <c r="F7683">
        <v>2736.7999999999997</v>
      </c>
      <c r="G7683">
        <v>18</v>
      </c>
    </row>
    <row r="7684" spans="1:7" x14ac:dyDescent="0.25">
      <c r="A7684" t="s">
        <v>41</v>
      </c>
      <c r="B7684" t="s">
        <v>3294</v>
      </c>
      <c r="C7684" t="s">
        <v>18321</v>
      </c>
      <c r="D7684" t="s">
        <v>20</v>
      </c>
      <c r="E7684" t="s">
        <v>11</v>
      </c>
      <c r="F7684">
        <v>702.9</v>
      </c>
      <c r="G7684">
        <v>18</v>
      </c>
    </row>
    <row r="7685" spans="1:7" x14ac:dyDescent="0.25">
      <c r="A7685" t="s">
        <v>41</v>
      </c>
      <c r="B7685" t="s">
        <v>3297</v>
      </c>
      <c r="C7685" t="s">
        <v>17796</v>
      </c>
      <c r="D7685" t="s">
        <v>20</v>
      </c>
      <c r="E7685" t="s">
        <v>11</v>
      </c>
      <c r="F7685">
        <v>157.29999999999998</v>
      </c>
      <c r="G7685">
        <v>18</v>
      </c>
    </row>
    <row r="7686" spans="1:7" x14ac:dyDescent="0.25">
      <c r="A7686" t="s">
        <v>41</v>
      </c>
      <c r="B7686" t="s">
        <v>3300</v>
      </c>
      <c r="C7686" t="s">
        <v>18322</v>
      </c>
      <c r="D7686" t="s">
        <v>20</v>
      </c>
      <c r="E7686" t="s">
        <v>11</v>
      </c>
      <c r="F7686">
        <v>1027.4</v>
      </c>
      <c r="G7686">
        <v>18</v>
      </c>
    </row>
    <row r="7687" spans="1:7" x14ac:dyDescent="0.25">
      <c r="A7687" t="s">
        <v>41</v>
      </c>
      <c r="B7687" t="s">
        <v>3303</v>
      </c>
      <c r="C7687" t="s">
        <v>18323</v>
      </c>
      <c r="D7687" t="s">
        <v>20</v>
      </c>
      <c r="E7687" t="s">
        <v>11</v>
      </c>
      <c r="F7687">
        <v>756.8</v>
      </c>
      <c r="G7687">
        <v>18</v>
      </c>
    </row>
    <row r="7688" spans="1:7" x14ac:dyDescent="0.25">
      <c r="A7688" t="s">
        <v>41</v>
      </c>
      <c r="B7688" t="s">
        <v>3306</v>
      </c>
      <c r="C7688" t="s">
        <v>18324</v>
      </c>
      <c r="D7688" t="s">
        <v>20</v>
      </c>
      <c r="E7688" t="s">
        <v>11</v>
      </c>
      <c r="F7688">
        <v>682</v>
      </c>
      <c r="G7688">
        <v>18</v>
      </c>
    </row>
    <row r="7689" spans="1:7" x14ac:dyDescent="0.25">
      <c r="A7689" t="s">
        <v>41</v>
      </c>
      <c r="B7689" t="s">
        <v>3309</v>
      </c>
      <c r="C7689" t="s">
        <v>17626</v>
      </c>
      <c r="D7689" t="s">
        <v>20</v>
      </c>
      <c r="E7689" t="s">
        <v>11</v>
      </c>
      <c r="F7689">
        <v>655.6</v>
      </c>
      <c r="G7689">
        <v>18</v>
      </c>
    </row>
    <row r="7690" spans="1:7" x14ac:dyDescent="0.25">
      <c r="A7690" t="s">
        <v>41</v>
      </c>
      <c r="B7690" t="s">
        <v>3312</v>
      </c>
      <c r="C7690" t="s">
        <v>18325</v>
      </c>
      <c r="D7690" t="s">
        <v>20</v>
      </c>
      <c r="E7690" t="s">
        <v>11</v>
      </c>
      <c r="F7690">
        <v>8220.300000000001</v>
      </c>
      <c r="G7690">
        <v>18</v>
      </c>
    </row>
    <row r="7691" spans="1:7" x14ac:dyDescent="0.25">
      <c r="A7691" t="s">
        <v>41</v>
      </c>
      <c r="B7691" t="s">
        <v>3315</v>
      </c>
      <c r="C7691" t="s">
        <v>18326</v>
      </c>
      <c r="D7691" t="s">
        <v>20</v>
      </c>
      <c r="E7691" t="s">
        <v>11</v>
      </c>
      <c r="F7691">
        <v>1075.8</v>
      </c>
      <c r="G7691">
        <v>18</v>
      </c>
    </row>
    <row r="7692" spans="1:7" x14ac:dyDescent="0.25">
      <c r="A7692" t="s">
        <v>41</v>
      </c>
      <c r="B7692" t="s">
        <v>3317</v>
      </c>
      <c r="C7692" t="s">
        <v>18327</v>
      </c>
      <c r="D7692" t="s">
        <v>20</v>
      </c>
      <c r="E7692" t="s">
        <v>11</v>
      </c>
      <c r="F7692">
        <v>1125.3</v>
      </c>
      <c r="G7692">
        <v>18</v>
      </c>
    </row>
    <row r="7693" spans="1:7" x14ac:dyDescent="0.25">
      <c r="A7693" t="s">
        <v>41</v>
      </c>
      <c r="B7693" t="s">
        <v>3320</v>
      </c>
      <c r="C7693" t="s">
        <v>17656</v>
      </c>
      <c r="D7693" t="s">
        <v>20</v>
      </c>
      <c r="E7693" t="s">
        <v>11</v>
      </c>
      <c r="F7693">
        <v>58.300000000000004</v>
      </c>
      <c r="G7693">
        <v>18</v>
      </c>
    </row>
    <row r="7694" spans="1:7" x14ac:dyDescent="0.25">
      <c r="A7694" t="s">
        <v>41</v>
      </c>
      <c r="B7694" t="s">
        <v>3323</v>
      </c>
      <c r="C7694" t="s">
        <v>17847</v>
      </c>
      <c r="D7694" t="s">
        <v>20</v>
      </c>
      <c r="E7694" t="s">
        <v>11</v>
      </c>
      <c r="F7694">
        <v>70.4</v>
      </c>
      <c r="G7694">
        <v>18</v>
      </c>
    </row>
    <row r="7695" spans="1:7" x14ac:dyDescent="0.25">
      <c r="A7695" t="s">
        <v>41</v>
      </c>
      <c r="B7695" t="s">
        <v>3326</v>
      </c>
      <c r="C7695" t="s">
        <v>18328</v>
      </c>
      <c r="D7695" t="s">
        <v>20</v>
      </c>
      <c r="E7695" t="s">
        <v>11</v>
      </c>
      <c r="F7695">
        <v>94.6</v>
      </c>
      <c r="G7695">
        <v>18</v>
      </c>
    </row>
    <row r="7696" spans="1:7" x14ac:dyDescent="0.25">
      <c r="A7696" t="s">
        <v>41</v>
      </c>
      <c r="B7696" t="s">
        <v>3329</v>
      </c>
      <c r="C7696" t="s">
        <v>18154</v>
      </c>
      <c r="D7696" t="s">
        <v>20</v>
      </c>
      <c r="E7696" t="s">
        <v>11</v>
      </c>
      <c r="F7696">
        <v>58.300000000000004</v>
      </c>
      <c r="G7696">
        <v>18</v>
      </c>
    </row>
    <row r="7697" spans="1:7" x14ac:dyDescent="0.25">
      <c r="A7697" t="s">
        <v>41</v>
      </c>
      <c r="B7697" t="s">
        <v>3332</v>
      </c>
      <c r="C7697" t="s">
        <v>18329</v>
      </c>
      <c r="D7697" t="s">
        <v>20</v>
      </c>
      <c r="E7697" t="s">
        <v>11</v>
      </c>
      <c r="F7697">
        <v>853.6</v>
      </c>
      <c r="G7697">
        <v>18</v>
      </c>
    </row>
    <row r="7698" spans="1:7" x14ac:dyDescent="0.25">
      <c r="A7698" t="s">
        <v>41</v>
      </c>
      <c r="B7698" t="s">
        <v>3335</v>
      </c>
      <c r="C7698" t="s">
        <v>18330</v>
      </c>
      <c r="D7698" t="s">
        <v>20</v>
      </c>
      <c r="E7698" t="s">
        <v>11</v>
      </c>
      <c r="F7698">
        <v>70.4</v>
      </c>
      <c r="G7698">
        <v>18</v>
      </c>
    </row>
    <row r="7699" spans="1:7" x14ac:dyDescent="0.25">
      <c r="A7699" t="s">
        <v>41</v>
      </c>
      <c r="B7699" t="s">
        <v>3338</v>
      </c>
      <c r="C7699" t="s">
        <v>18331</v>
      </c>
      <c r="D7699" t="s">
        <v>20</v>
      </c>
      <c r="E7699" t="s">
        <v>11</v>
      </c>
      <c r="F7699">
        <v>173.8</v>
      </c>
      <c r="G7699">
        <v>18</v>
      </c>
    </row>
    <row r="7700" spans="1:7" x14ac:dyDescent="0.25">
      <c r="A7700" t="s">
        <v>41</v>
      </c>
      <c r="B7700" t="s">
        <v>3341</v>
      </c>
      <c r="C7700" t="s">
        <v>18005</v>
      </c>
      <c r="D7700" t="s">
        <v>20</v>
      </c>
      <c r="E7700" t="s">
        <v>11</v>
      </c>
      <c r="F7700">
        <v>140.8</v>
      </c>
      <c r="G7700">
        <v>18</v>
      </c>
    </row>
    <row r="7701" spans="1:7" x14ac:dyDescent="0.25">
      <c r="A7701" t="s">
        <v>41</v>
      </c>
      <c r="B7701" t="s">
        <v>3344</v>
      </c>
      <c r="C7701" t="s">
        <v>18332</v>
      </c>
      <c r="D7701" t="s">
        <v>20</v>
      </c>
      <c r="E7701" t="s">
        <v>11</v>
      </c>
      <c r="F7701">
        <v>718.3000000000001</v>
      </c>
      <c r="G7701">
        <v>18</v>
      </c>
    </row>
    <row r="7702" spans="1:7" x14ac:dyDescent="0.25">
      <c r="A7702" t="s">
        <v>41</v>
      </c>
      <c r="B7702" t="s">
        <v>3347</v>
      </c>
      <c r="C7702" t="s">
        <v>18333</v>
      </c>
      <c r="D7702" t="s">
        <v>20</v>
      </c>
      <c r="E7702" t="s">
        <v>11</v>
      </c>
      <c r="F7702">
        <v>1377.2</v>
      </c>
      <c r="G7702">
        <v>18</v>
      </c>
    </row>
    <row r="7703" spans="1:7" x14ac:dyDescent="0.25">
      <c r="A7703" t="s">
        <v>41</v>
      </c>
      <c r="B7703" t="s">
        <v>3350</v>
      </c>
      <c r="C7703" t="s">
        <v>18334</v>
      </c>
      <c r="D7703" t="s">
        <v>20</v>
      </c>
      <c r="E7703" t="s">
        <v>11</v>
      </c>
      <c r="F7703">
        <v>57.2</v>
      </c>
      <c r="G7703">
        <v>18</v>
      </c>
    </row>
    <row r="7704" spans="1:7" x14ac:dyDescent="0.25">
      <c r="A7704" t="s">
        <v>41</v>
      </c>
      <c r="B7704" t="s">
        <v>3353</v>
      </c>
      <c r="C7704" t="s">
        <v>18231</v>
      </c>
      <c r="D7704" t="s">
        <v>20</v>
      </c>
      <c r="E7704" t="s">
        <v>11</v>
      </c>
      <c r="F7704">
        <v>58.300000000000004</v>
      </c>
      <c r="G7704">
        <v>18</v>
      </c>
    </row>
    <row r="7705" spans="1:7" x14ac:dyDescent="0.25">
      <c r="A7705" t="s">
        <v>41</v>
      </c>
      <c r="B7705" t="s">
        <v>3356</v>
      </c>
      <c r="C7705" t="s">
        <v>18335</v>
      </c>
      <c r="D7705" t="s">
        <v>20</v>
      </c>
      <c r="E7705" t="s">
        <v>11</v>
      </c>
      <c r="F7705">
        <v>281.6</v>
      </c>
      <c r="G7705">
        <v>18</v>
      </c>
    </row>
    <row r="7706" spans="1:7" x14ac:dyDescent="0.25">
      <c r="A7706" t="s">
        <v>41</v>
      </c>
      <c r="B7706" t="s">
        <v>3359</v>
      </c>
      <c r="C7706" t="s">
        <v>18336</v>
      </c>
      <c r="D7706" t="s">
        <v>20</v>
      </c>
      <c r="E7706" t="s">
        <v>11</v>
      </c>
      <c r="F7706">
        <v>123.20000000000002</v>
      </c>
      <c r="G7706">
        <v>18</v>
      </c>
    </row>
    <row r="7707" spans="1:7" x14ac:dyDescent="0.25">
      <c r="A7707" t="s">
        <v>41</v>
      </c>
      <c r="B7707" t="s">
        <v>3362</v>
      </c>
      <c r="C7707" t="s">
        <v>18337</v>
      </c>
      <c r="D7707" t="s">
        <v>20</v>
      </c>
      <c r="E7707" t="s">
        <v>11</v>
      </c>
      <c r="F7707">
        <v>61.60000000000001</v>
      </c>
      <c r="G7707">
        <v>18</v>
      </c>
    </row>
    <row r="7708" spans="1:7" x14ac:dyDescent="0.25">
      <c r="A7708" t="s">
        <v>41</v>
      </c>
      <c r="B7708" t="s">
        <v>3365</v>
      </c>
      <c r="C7708" t="s">
        <v>18338</v>
      </c>
      <c r="D7708" t="s">
        <v>20</v>
      </c>
      <c r="E7708" t="s">
        <v>11</v>
      </c>
      <c r="F7708">
        <v>224.4</v>
      </c>
      <c r="G7708">
        <v>18</v>
      </c>
    </row>
    <row r="7709" spans="1:7" x14ac:dyDescent="0.25">
      <c r="A7709" t="s">
        <v>41</v>
      </c>
      <c r="B7709" t="s">
        <v>3368</v>
      </c>
      <c r="C7709" t="s">
        <v>18339</v>
      </c>
      <c r="D7709" t="s">
        <v>20</v>
      </c>
      <c r="E7709" t="s">
        <v>11</v>
      </c>
      <c r="F7709">
        <v>136.4</v>
      </c>
      <c r="G7709">
        <v>18</v>
      </c>
    </row>
    <row r="7710" spans="1:7" x14ac:dyDescent="0.25">
      <c r="A7710" t="s">
        <v>41</v>
      </c>
      <c r="B7710" t="s">
        <v>3371</v>
      </c>
      <c r="C7710" t="s">
        <v>18340</v>
      </c>
      <c r="D7710" t="s">
        <v>20</v>
      </c>
      <c r="E7710" t="s">
        <v>11</v>
      </c>
      <c r="F7710">
        <v>572</v>
      </c>
      <c r="G7710">
        <v>18</v>
      </c>
    </row>
    <row r="7711" spans="1:7" x14ac:dyDescent="0.25">
      <c r="A7711" t="s">
        <v>41</v>
      </c>
      <c r="B7711" t="s">
        <v>3374</v>
      </c>
      <c r="C7711" t="s">
        <v>18341</v>
      </c>
      <c r="D7711" t="s">
        <v>20</v>
      </c>
      <c r="E7711" t="s">
        <v>11</v>
      </c>
      <c r="F7711">
        <v>2116.3999999999996</v>
      </c>
      <c r="G7711">
        <v>18</v>
      </c>
    </row>
    <row r="7712" spans="1:7" x14ac:dyDescent="0.25">
      <c r="A7712" t="s">
        <v>41</v>
      </c>
      <c r="B7712" t="s">
        <v>3377</v>
      </c>
      <c r="C7712" t="s">
        <v>18342</v>
      </c>
      <c r="D7712" t="s">
        <v>20</v>
      </c>
      <c r="E7712" t="s">
        <v>11</v>
      </c>
      <c r="F7712">
        <v>17661.6</v>
      </c>
      <c r="G7712">
        <v>18</v>
      </c>
    </row>
    <row r="7713" spans="1:7" x14ac:dyDescent="0.25">
      <c r="A7713" t="s">
        <v>41</v>
      </c>
      <c r="B7713" t="s">
        <v>3380</v>
      </c>
      <c r="C7713" t="s">
        <v>18343</v>
      </c>
      <c r="D7713" t="s">
        <v>20</v>
      </c>
      <c r="E7713" t="s">
        <v>11</v>
      </c>
      <c r="F7713">
        <v>1823.7999999999997</v>
      </c>
      <c r="G7713">
        <v>18</v>
      </c>
    </row>
    <row r="7714" spans="1:7" x14ac:dyDescent="0.25">
      <c r="A7714" t="s">
        <v>41</v>
      </c>
      <c r="B7714" t="s">
        <v>3383</v>
      </c>
      <c r="C7714" t="s">
        <v>17673</v>
      </c>
      <c r="D7714" t="s">
        <v>20</v>
      </c>
      <c r="E7714" t="s">
        <v>11</v>
      </c>
      <c r="F7714">
        <v>1037.3</v>
      </c>
      <c r="G7714">
        <v>18</v>
      </c>
    </row>
    <row r="7715" spans="1:7" x14ac:dyDescent="0.25">
      <c r="A7715" t="s">
        <v>41</v>
      </c>
      <c r="B7715" t="s">
        <v>3386</v>
      </c>
      <c r="C7715" t="s">
        <v>18041</v>
      </c>
      <c r="D7715" t="s">
        <v>20</v>
      </c>
      <c r="E7715" t="s">
        <v>11</v>
      </c>
      <c r="F7715">
        <v>70.4</v>
      </c>
      <c r="G7715">
        <v>18</v>
      </c>
    </row>
    <row r="7716" spans="1:7" x14ac:dyDescent="0.25">
      <c r="A7716" t="s">
        <v>41</v>
      </c>
      <c r="B7716" t="s">
        <v>3389</v>
      </c>
      <c r="C7716" t="s">
        <v>17832</v>
      </c>
      <c r="D7716" t="s">
        <v>20</v>
      </c>
      <c r="E7716" t="s">
        <v>11</v>
      </c>
      <c r="F7716">
        <v>30.800000000000004</v>
      </c>
      <c r="G7716">
        <v>18</v>
      </c>
    </row>
    <row r="7717" spans="1:7" x14ac:dyDescent="0.25">
      <c r="A7717" t="s">
        <v>41</v>
      </c>
      <c r="B7717" t="s">
        <v>3392</v>
      </c>
      <c r="C7717" t="s">
        <v>18344</v>
      </c>
      <c r="D7717" t="s">
        <v>20</v>
      </c>
      <c r="E7717" t="s">
        <v>11</v>
      </c>
      <c r="F7717">
        <v>309.1</v>
      </c>
      <c r="G7717">
        <v>18</v>
      </c>
    </row>
    <row r="7718" spans="1:7" x14ac:dyDescent="0.25">
      <c r="A7718" t="s">
        <v>41</v>
      </c>
      <c r="B7718" t="s">
        <v>3395</v>
      </c>
      <c r="C7718" t="s">
        <v>17680</v>
      </c>
      <c r="D7718" t="s">
        <v>20</v>
      </c>
      <c r="E7718" t="s">
        <v>11</v>
      </c>
      <c r="F7718">
        <v>2599.2999999999997</v>
      </c>
      <c r="G7718">
        <v>18</v>
      </c>
    </row>
    <row r="7719" spans="1:7" x14ac:dyDescent="0.25">
      <c r="A7719" t="s">
        <v>41</v>
      </c>
      <c r="B7719" t="s">
        <v>3398</v>
      </c>
      <c r="C7719" t="s">
        <v>18345</v>
      </c>
      <c r="D7719" t="s">
        <v>20</v>
      </c>
      <c r="E7719" t="s">
        <v>11</v>
      </c>
      <c r="F7719">
        <v>2516.7999999999997</v>
      </c>
      <c r="G7719">
        <v>18</v>
      </c>
    </row>
    <row r="7720" spans="1:7" x14ac:dyDescent="0.25">
      <c r="A7720" t="s">
        <v>41</v>
      </c>
      <c r="B7720" t="s">
        <v>3401</v>
      </c>
      <c r="C7720" t="s">
        <v>17546</v>
      </c>
      <c r="D7720" t="s">
        <v>20</v>
      </c>
      <c r="E7720" t="s">
        <v>11</v>
      </c>
      <c r="F7720">
        <v>1295.8</v>
      </c>
      <c r="G7720">
        <v>18</v>
      </c>
    </row>
    <row r="7721" spans="1:7" x14ac:dyDescent="0.25">
      <c r="A7721" t="s">
        <v>41</v>
      </c>
      <c r="B7721" t="s">
        <v>3403</v>
      </c>
      <c r="C7721" t="s">
        <v>17808</v>
      </c>
      <c r="D7721" t="s">
        <v>20</v>
      </c>
      <c r="E7721" t="s">
        <v>11</v>
      </c>
      <c r="F7721">
        <v>70.4</v>
      </c>
      <c r="G7721">
        <v>18</v>
      </c>
    </row>
    <row r="7722" spans="1:7" x14ac:dyDescent="0.25">
      <c r="A7722" t="s">
        <v>41</v>
      </c>
      <c r="B7722" t="s">
        <v>3406</v>
      </c>
      <c r="C7722" t="s">
        <v>17819</v>
      </c>
      <c r="D7722" t="s">
        <v>20</v>
      </c>
      <c r="E7722" t="s">
        <v>11</v>
      </c>
      <c r="F7722">
        <v>79.2</v>
      </c>
      <c r="G7722">
        <v>18</v>
      </c>
    </row>
    <row r="7723" spans="1:7" x14ac:dyDescent="0.25">
      <c r="A7723" t="s">
        <v>41</v>
      </c>
      <c r="B7723" t="s">
        <v>3409</v>
      </c>
      <c r="C7723" t="s">
        <v>17848</v>
      </c>
      <c r="D7723" t="s">
        <v>20</v>
      </c>
      <c r="E7723" t="s">
        <v>11</v>
      </c>
      <c r="F7723">
        <v>58.300000000000004</v>
      </c>
      <c r="G7723">
        <v>18</v>
      </c>
    </row>
    <row r="7724" spans="1:7" x14ac:dyDescent="0.25">
      <c r="A7724" t="s">
        <v>41</v>
      </c>
      <c r="B7724" t="s">
        <v>3412</v>
      </c>
      <c r="C7724" t="s">
        <v>18346</v>
      </c>
      <c r="D7724" t="s">
        <v>20</v>
      </c>
      <c r="E7724" t="s">
        <v>11</v>
      </c>
      <c r="F7724">
        <v>287.09999999999997</v>
      </c>
      <c r="G7724">
        <v>18</v>
      </c>
    </row>
    <row r="7725" spans="1:7" x14ac:dyDescent="0.25">
      <c r="A7725" t="s">
        <v>41</v>
      </c>
      <c r="B7725" t="s">
        <v>3415</v>
      </c>
      <c r="C7725" t="s">
        <v>18347</v>
      </c>
      <c r="D7725" t="s">
        <v>20</v>
      </c>
      <c r="E7725" t="s">
        <v>11</v>
      </c>
      <c r="F7725">
        <v>2064.7</v>
      </c>
      <c r="G7725">
        <v>18</v>
      </c>
    </row>
    <row r="7726" spans="1:7" x14ac:dyDescent="0.25">
      <c r="A7726" t="s">
        <v>41</v>
      </c>
      <c r="B7726" t="s">
        <v>3418</v>
      </c>
      <c r="C7726" t="s">
        <v>18348</v>
      </c>
      <c r="D7726" t="s">
        <v>20</v>
      </c>
      <c r="E7726" t="s">
        <v>11</v>
      </c>
      <c r="F7726">
        <v>575.3000000000001</v>
      </c>
      <c r="G7726">
        <v>18</v>
      </c>
    </row>
    <row r="7727" spans="1:7" x14ac:dyDescent="0.25">
      <c r="A7727" t="s">
        <v>41</v>
      </c>
      <c r="B7727" t="s">
        <v>3421</v>
      </c>
      <c r="C7727" t="s">
        <v>18349</v>
      </c>
      <c r="D7727" t="s">
        <v>20</v>
      </c>
      <c r="E7727" t="s">
        <v>11</v>
      </c>
      <c r="F7727">
        <v>94.6</v>
      </c>
      <c r="G7727">
        <v>18</v>
      </c>
    </row>
    <row r="7728" spans="1:7" x14ac:dyDescent="0.25">
      <c r="A7728" t="s">
        <v>41</v>
      </c>
      <c r="B7728" t="s">
        <v>3424</v>
      </c>
      <c r="C7728" t="s">
        <v>17736</v>
      </c>
      <c r="D7728" t="s">
        <v>20</v>
      </c>
      <c r="E7728" t="s">
        <v>11</v>
      </c>
      <c r="F7728">
        <v>57.2</v>
      </c>
      <c r="G7728">
        <v>18</v>
      </c>
    </row>
    <row r="7729" spans="1:7" x14ac:dyDescent="0.25">
      <c r="A7729" t="s">
        <v>41</v>
      </c>
      <c r="B7729" t="s">
        <v>3427</v>
      </c>
      <c r="C7729" t="s">
        <v>18350</v>
      </c>
      <c r="D7729" t="s">
        <v>20</v>
      </c>
      <c r="E7729" t="s">
        <v>11</v>
      </c>
      <c r="F7729">
        <v>70.4</v>
      </c>
      <c r="G7729">
        <v>18</v>
      </c>
    </row>
    <row r="7730" spans="1:7" x14ac:dyDescent="0.25">
      <c r="A7730" t="s">
        <v>41</v>
      </c>
      <c r="B7730" t="s">
        <v>3430</v>
      </c>
      <c r="C7730" t="s">
        <v>18351</v>
      </c>
      <c r="D7730" t="s">
        <v>20</v>
      </c>
      <c r="E7730" t="s">
        <v>11</v>
      </c>
      <c r="F7730">
        <v>537.9</v>
      </c>
      <c r="G7730">
        <v>18</v>
      </c>
    </row>
    <row r="7731" spans="1:7" x14ac:dyDescent="0.25">
      <c r="A7731" t="s">
        <v>41</v>
      </c>
      <c r="B7731" t="s">
        <v>3433</v>
      </c>
      <c r="C7731" t="s">
        <v>18352</v>
      </c>
      <c r="D7731" t="s">
        <v>20</v>
      </c>
      <c r="E7731" t="s">
        <v>11</v>
      </c>
      <c r="F7731">
        <v>823.9</v>
      </c>
      <c r="G7731">
        <v>18</v>
      </c>
    </row>
    <row r="7732" spans="1:7" x14ac:dyDescent="0.25">
      <c r="A7732" t="s">
        <v>41</v>
      </c>
      <c r="B7732" t="s">
        <v>3436</v>
      </c>
      <c r="C7732" t="s">
        <v>18353</v>
      </c>
      <c r="D7732" t="s">
        <v>20</v>
      </c>
      <c r="E7732" t="s">
        <v>11</v>
      </c>
      <c r="F7732">
        <v>196.9</v>
      </c>
      <c r="G7732">
        <v>18</v>
      </c>
    </row>
    <row r="7733" spans="1:7" x14ac:dyDescent="0.25">
      <c r="A7733" t="s">
        <v>41</v>
      </c>
      <c r="B7733" t="s">
        <v>3439</v>
      </c>
      <c r="C7733" t="s">
        <v>18354</v>
      </c>
      <c r="D7733" t="s">
        <v>20</v>
      </c>
      <c r="E7733" t="s">
        <v>11</v>
      </c>
      <c r="F7733">
        <v>666.5999999999999</v>
      </c>
      <c r="G7733">
        <v>18</v>
      </c>
    </row>
    <row r="7734" spans="1:7" x14ac:dyDescent="0.25">
      <c r="A7734" t="s">
        <v>41</v>
      </c>
      <c r="B7734" t="s">
        <v>3442</v>
      </c>
      <c r="C7734" t="s">
        <v>18247</v>
      </c>
      <c r="D7734" t="s">
        <v>20</v>
      </c>
      <c r="E7734" t="s">
        <v>11</v>
      </c>
      <c r="F7734">
        <v>80.3</v>
      </c>
      <c r="G7734">
        <v>18</v>
      </c>
    </row>
    <row r="7735" spans="1:7" x14ac:dyDescent="0.25">
      <c r="A7735" t="s">
        <v>41</v>
      </c>
      <c r="B7735" t="s">
        <v>3445</v>
      </c>
      <c r="C7735" t="s">
        <v>18355</v>
      </c>
      <c r="D7735" t="s">
        <v>20</v>
      </c>
      <c r="E7735" t="s">
        <v>11</v>
      </c>
      <c r="F7735">
        <v>3620.0999999999995</v>
      </c>
      <c r="G7735">
        <v>18</v>
      </c>
    </row>
    <row r="7736" spans="1:7" x14ac:dyDescent="0.25">
      <c r="A7736" t="s">
        <v>41</v>
      </c>
      <c r="B7736" t="s">
        <v>3448</v>
      </c>
      <c r="C7736" t="s">
        <v>18356</v>
      </c>
      <c r="D7736" t="s">
        <v>20</v>
      </c>
      <c r="E7736" t="s">
        <v>11</v>
      </c>
      <c r="F7736">
        <v>564.3</v>
      </c>
      <c r="G7736">
        <v>18</v>
      </c>
    </row>
    <row r="7737" spans="1:7" x14ac:dyDescent="0.25">
      <c r="A7737" t="s">
        <v>41</v>
      </c>
      <c r="B7737" t="s">
        <v>3451</v>
      </c>
      <c r="C7737" t="s">
        <v>18219</v>
      </c>
      <c r="D7737" t="s">
        <v>20</v>
      </c>
      <c r="E7737" t="s">
        <v>11</v>
      </c>
      <c r="F7737">
        <v>1716</v>
      </c>
      <c r="G7737">
        <v>18</v>
      </c>
    </row>
    <row r="7738" spans="1:7" x14ac:dyDescent="0.25">
      <c r="A7738" t="s">
        <v>41</v>
      </c>
      <c r="B7738" t="s">
        <v>3454</v>
      </c>
      <c r="C7738" t="s">
        <v>18357</v>
      </c>
      <c r="D7738" t="s">
        <v>20</v>
      </c>
      <c r="E7738" t="s">
        <v>11</v>
      </c>
      <c r="F7738">
        <v>58.300000000000004</v>
      </c>
      <c r="G7738">
        <v>18</v>
      </c>
    </row>
    <row r="7739" spans="1:7" x14ac:dyDescent="0.25">
      <c r="A7739" t="s">
        <v>41</v>
      </c>
      <c r="B7739" t="s">
        <v>3457</v>
      </c>
      <c r="C7739" t="s">
        <v>17736</v>
      </c>
      <c r="D7739" t="s">
        <v>20</v>
      </c>
      <c r="E7739" t="s">
        <v>11</v>
      </c>
      <c r="F7739">
        <v>57.2</v>
      </c>
      <c r="G7739">
        <v>18</v>
      </c>
    </row>
    <row r="7740" spans="1:7" x14ac:dyDescent="0.25">
      <c r="A7740" t="s">
        <v>41</v>
      </c>
      <c r="B7740" t="s">
        <v>3460</v>
      </c>
      <c r="C7740" t="s">
        <v>17838</v>
      </c>
      <c r="D7740" t="s">
        <v>20</v>
      </c>
      <c r="E7740" t="s">
        <v>11</v>
      </c>
      <c r="F7740">
        <v>40.7</v>
      </c>
      <c r="G7740">
        <v>18</v>
      </c>
    </row>
    <row r="7741" spans="1:7" x14ac:dyDescent="0.25">
      <c r="A7741" t="s">
        <v>41</v>
      </c>
      <c r="B7741" t="s">
        <v>3463</v>
      </c>
      <c r="C7741" t="s">
        <v>17646</v>
      </c>
      <c r="D7741" t="s">
        <v>20</v>
      </c>
      <c r="E7741" t="s">
        <v>11</v>
      </c>
      <c r="F7741">
        <v>70.4</v>
      </c>
      <c r="G7741">
        <v>18</v>
      </c>
    </row>
    <row r="7742" spans="1:7" x14ac:dyDescent="0.25">
      <c r="A7742" t="s">
        <v>41</v>
      </c>
      <c r="B7742" t="s">
        <v>3466</v>
      </c>
      <c r="C7742" t="s">
        <v>18358</v>
      </c>
      <c r="D7742" t="s">
        <v>20</v>
      </c>
      <c r="E7742" t="s">
        <v>11</v>
      </c>
      <c r="F7742">
        <v>20353.3</v>
      </c>
      <c r="G7742">
        <v>18</v>
      </c>
    </row>
    <row r="7743" spans="1:7" x14ac:dyDescent="0.25">
      <c r="A7743" t="s">
        <v>41</v>
      </c>
      <c r="B7743" t="s">
        <v>3469</v>
      </c>
      <c r="C7743" t="s">
        <v>18359</v>
      </c>
      <c r="D7743" t="s">
        <v>20</v>
      </c>
      <c r="E7743" t="s">
        <v>11</v>
      </c>
      <c r="F7743">
        <v>479.6</v>
      </c>
      <c r="G7743">
        <v>18</v>
      </c>
    </row>
    <row r="7744" spans="1:7" x14ac:dyDescent="0.25">
      <c r="A7744" t="s">
        <v>41</v>
      </c>
      <c r="B7744" t="s">
        <v>3472</v>
      </c>
      <c r="C7744" t="s">
        <v>18360</v>
      </c>
      <c r="D7744" t="s">
        <v>20</v>
      </c>
      <c r="E7744" t="s">
        <v>11</v>
      </c>
      <c r="F7744">
        <v>469.69999999999993</v>
      </c>
      <c r="G7744">
        <v>18</v>
      </c>
    </row>
    <row r="7745" spans="1:7" x14ac:dyDescent="0.25">
      <c r="A7745" t="s">
        <v>41</v>
      </c>
      <c r="B7745" t="s">
        <v>3475</v>
      </c>
      <c r="C7745" t="s">
        <v>18361</v>
      </c>
      <c r="D7745" t="s">
        <v>20</v>
      </c>
      <c r="E7745" t="s">
        <v>11</v>
      </c>
      <c r="F7745">
        <v>613.8</v>
      </c>
      <c r="G7745">
        <v>18</v>
      </c>
    </row>
    <row r="7746" spans="1:7" x14ac:dyDescent="0.25">
      <c r="A7746" t="s">
        <v>41</v>
      </c>
      <c r="B7746" t="s">
        <v>3478</v>
      </c>
      <c r="C7746" t="s">
        <v>18362</v>
      </c>
      <c r="D7746" t="s">
        <v>20</v>
      </c>
      <c r="E7746" t="s">
        <v>11</v>
      </c>
      <c r="F7746">
        <v>2634.5</v>
      </c>
      <c r="G7746">
        <v>18</v>
      </c>
    </row>
    <row r="7747" spans="1:7" x14ac:dyDescent="0.25">
      <c r="A7747" t="s">
        <v>41</v>
      </c>
      <c r="B7747" t="s">
        <v>3481</v>
      </c>
      <c r="C7747" t="s">
        <v>18363</v>
      </c>
      <c r="D7747" t="s">
        <v>20</v>
      </c>
      <c r="E7747" t="s">
        <v>11</v>
      </c>
      <c r="F7747">
        <v>10357.6</v>
      </c>
      <c r="G7747">
        <v>18</v>
      </c>
    </row>
    <row r="7748" spans="1:7" x14ac:dyDescent="0.25">
      <c r="A7748" t="s">
        <v>41</v>
      </c>
      <c r="B7748" t="s">
        <v>3484</v>
      </c>
      <c r="C7748" t="s">
        <v>18364</v>
      </c>
      <c r="D7748" t="s">
        <v>20</v>
      </c>
      <c r="E7748" t="s">
        <v>11</v>
      </c>
      <c r="F7748">
        <v>67.1</v>
      </c>
      <c r="G7748">
        <v>18</v>
      </c>
    </row>
    <row r="7749" spans="1:7" x14ac:dyDescent="0.25">
      <c r="A7749" t="s">
        <v>41</v>
      </c>
      <c r="B7749" t="s">
        <v>3487</v>
      </c>
      <c r="C7749" t="s">
        <v>18365</v>
      </c>
      <c r="D7749" t="s">
        <v>20</v>
      </c>
      <c r="E7749" t="s">
        <v>11</v>
      </c>
      <c r="F7749">
        <v>70.4</v>
      </c>
      <c r="G7749">
        <v>18</v>
      </c>
    </row>
    <row r="7750" spans="1:7" x14ac:dyDescent="0.25">
      <c r="A7750" t="s">
        <v>41</v>
      </c>
      <c r="B7750" t="s">
        <v>3490</v>
      </c>
      <c r="C7750" t="s">
        <v>18366</v>
      </c>
      <c r="D7750" t="s">
        <v>20</v>
      </c>
      <c r="E7750" t="s">
        <v>11</v>
      </c>
      <c r="F7750">
        <v>3580.4999999999995</v>
      </c>
      <c r="G7750">
        <v>18</v>
      </c>
    </row>
    <row r="7751" spans="1:7" x14ac:dyDescent="0.25">
      <c r="A7751" t="s">
        <v>41</v>
      </c>
      <c r="B7751" t="s">
        <v>3493</v>
      </c>
      <c r="C7751" t="s">
        <v>18367</v>
      </c>
      <c r="D7751" t="s">
        <v>20</v>
      </c>
      <c r="E7751" t="s">
        <v>11</v>
      </c>
      <c r="F7751">
        <v>1338.7</v>
      </c>
      <c r="G7751">
        <v>18</v>
      </c>
    </row>
    <row r="7752" spans="1:7" x14ac:dyDescent="0.25">
      <c r="A7752" t="s">
        <v>41</v>
      </c>
      <c r="B7752" t="s">
        <v>3496</v>
      </c>
      <c r="C7752" t="s">
        <v>18368</v>
      </c>
      <c r="D7752" t="s">
        <v>20</v>
      </c>
      <c r="E7752" t="s">
        <v>11</v>
      </c>
      <c r="F7752">
        <v>2069.1</v>
      </c>
      <c r="G7752">
        <v>18</v>
      </c>
    </row>
    <row r="7753" spans="1:7" x14ac:dyDescent="0.25">
      <c r="A7753" t="s">
        <v>41</v>
      </c>
      <c r="B7753" t="s">
        <v>3499</v>
      </c>
      <c r="C7753" t="s">
        <v>18369</v>
      </c>
      <c r="D7753" t="s">
        <v>20</v>
      </c>
      <c r="E7753" t="s">
        <v>11</v>
      </c>
      <c r="F7753">
        <v>410.3</v>
      </c>
      <c r="G7753">
        <v>18</v>
      </c>
    </row>
    <row r="7754" spans="1:7" x14ac:dyDescent="0.25">
      <c r="A7754" t="s">
        <v>41</v>
      </c>
      <c r="B7754" t="s">
        <v>3502</v>
      </c>
      <c r="C7754" t="s">
        <v>17737</v>
      </c>
      <c r="D7754" t="s">
        <v>20</v>
      </c>
      <c r="E7754" t="s">
        <v>11</v>
      </c>
      <c r="F7754">
        <v>57.2</v>
      </c>
      <c r="G7754">
        <v>18</v>
      </c>
    </row>
    <row r="7755" spans="1:7" x14ac:dyDescent="0.25">
      <c r="A7755" t="s">
        <v>41</v>
      </c>
      <c r="B7755" t="s">
        <v>3505</v>
      </c>
      <c r="C7755" t="s">
        <v>17838</v>
      </c>
      <c r="D7755" t="s">
        <v>20</v>
      </c>
      <c r="E7755" t="s">
        <v>11</v>
      </c>
      <c r="F7755">
        <v>40.7</v>
      </c>
      <c r="G7755">
        <v>18</v>
      </c>
    </row>
    <row r="7756" spans="1:7" x14ac:dyDescent="0.25">
      <c r="A7756" t="s">
        <v>41</v>
      </c>
      <c r="B7756" t="s">
        <v>3508</v>
      </c>
      <c r="C7756" t="s">
        <v>18370</v>
      </c>
      <c r="D7756" t="s">
        <v>20</v>
      </c>
      <c r="E7756" t="s">
        <v>11</v>
      </c>
      <c r="F7756">
        <v>595.1</v>
      </c>
      <c r="G7756">
        <v>18</v>
      </c>
    </row>
    <row r="7757" spans="1:7" x14ac:dyDescent="0.25">
      <c r="A7757" t="s">
        <v>41</v>
      </c>
      <c r="B7757" t="s">
        <v>3511</v>
      </c>
      <c r="C7757" t="s">
        <v>18371</v>
      </c>
      <c r="D7757" t="s">
        <v>20</v>
      </c>
      <c r="E7757" t="s">
        <v>11</v>
      </c>
      <c r="F7757">
        <v>798.6</v>
      </c>
      <c r="G7757">
        <v>18</v>
      </c>
    </row>
    <row r="7758" spans="1:7" x14ac:dyDescent="0.25">
      <c r="A7758" t="s">
        <v>41</v>
      </c>
      <c r="B7758" t="s">
        <v>3514</v>
      </c>
      <c r="C7758" t="s">
        <v>18372</v>
      </c>
      <c r="D7758" t="s">
        <v>20</v>
      </c>
      <c r="E7758" t="s">
        <v>11</v>
      </c>
      <c r="F7758">
        <v>1855.7</v>
      </c>
      <c r="G7758">
        <v>18</v>
      </c>
    </row>
    <row r="7759" spans="1:7" x14ac:dyDescent="0.25">
      <c r="A7759" t="s">
        <v>41</v>
      </c>
      <c r="B7759" t="s">
        <v>3517</v>
      </c>
      <c r="C7759" t="s">
        <v>18373</v>
      </c>
      <c r="D7759" t="s">
        <v>20</v>
      </c>
      <c r="E7759" t="s">
        <v>11</v>
      </c>
      <c r="F7759">
        <v>70.4</v>
      </c>
      <c r="G7759">
        <v>18</v>
      </c>
    </row>
    <row r="7760" spans="1:7" x14ac:dyDescent="0.25">
      <c r="A7760" t="s">
        <v>41</v>
      </c>
      <c r="B7760" t="s">
        <v>3520</v>
      </c>
      <c r="C7760" t="s">
        <v>18341</v>
      </c>
      <c r="D7760" t="s">
        <v>20</v>
      </c>
      <c r="E7760" t="s">
        <v>11</v>
      </c>
      <c r="F7760">
        <v>410.3</v>
      </c>
      <c r="G7760">
        <v>18</v>
      </c>
    </row>
    <row r="7761" spans="1:7" x14ac:dyDescent="0.25">
      <c r="A7761" t="s">
        <v>41</v>
      </c>
      <c r="B7761" t="s">
        <v>3523</v>
      </c>
      <c r="C7761" t="s">
        <v>18040</v>
      </c>
      <c r="D7761" t="s">
        <v>20</v>
      </c>
      <c r="E7761" t="s">
        <v>11</v>
      </c>
      <c r="F7761">
        <v>30.800000000000004</v>
      </c>
      <c r="G7761">
        <v>18</v>
      </c>
    </row>
    <row r="7762" spans="1:7" x14ac:dyDescent="0.25">
      <c r="A7762" t="s">
        <v>41</v>
      </c>
      <c r="B7762" t="s">
        <v>3526</v>
      </c>
      <c r="C7762" t="s">
        <v>18231</v>
      </c>
      <c r="D7762" t="s">
        <v>20</v>
      </c>
      <c r="E7762" t="s">
        <v>11</v>
      </c>
      <c r="F7762">
        <v>58.300000000000004</v>
      </c>
      <c r="G7762">
        <v>18</v>
      </c>
    </row>
    <row r="7763" spans="1:7" x14ac:dyDescent="0.25">
      <c r="A7763" t="s">
        <v>41</v>
      </c>
      <c r="B7763" t="s">
        <v>3529</v>
      </c>
      <c r="C7763" t="s">
        <v>18374</v>
      </c>
      <c r="D7763" t="s">
        <v>20</v>
      </c>
      <c r="E7763" t="s">
        <v>11</v>
      </c>
      <c r="F7763">
        <v>57.2</v>
      </c>
      <c r="G7763">
        <v>18</v>
      </c>
    </row>
    <row r="7764" spans="1:7" x14ac:dyDescent="0.25">
      <c r="A7764" t="s">
        <v>41</v>
      </c>
      <c r="B7764" t="s">
        <v>3532</v>
      </c>
      <c r="C7764" t="s">
        <v>18375</v>
      </c>
      <c r="D7764" t="s">
        <v>20</v>
      </c>
      <c r="E7764" t="s">
        <v>11</v>
      </c>
      <c r="F7764">
        <v>67.1</v>
      </c>
      <c r="G7764">
        <v>18</v>
      </c>
    </row>
    <row r="7765" spans="1:7" x14ac:dyDescent="0.25">
      <c r="A7765" t="s">
        <v>41</v>
      </c>
      <c r="B7765" t="s">
        <v>3535</v>
      </c>
      <c r="C7765" t="s">
        <v>18376</v>
      </c>
      <c r="D7765" t="s">
        <v>20</v>
      </c>
      <c r="E7765" t="s">
        <v>11</v>
      </c>
      <c r="F7765">
        <v>2827</v>
      </c>
      <c r="G7765">
        <v>18</v>
      </c>
    </row>
    <row r="7766" spans="1:7" x14ac:dyDescent="0.25">
      <c r="A7766" t="s">
        <v>41</v>
      </c>
      <c r="B7766" t="s">
        <v>3538</v>
      </c>
      <c r="C7766" t="s">
        <v>18377</v>
      </c>
      <c r="D7766" t="s">
        <v>20</v>
      </c>
      <c r="E7766" t="s">
        <v>11</v>
      </c>
      <c r="F7766">
        <v>15803.699999999999</v>
      </c>
      <c r="G7766">
        <v>18</v>
      </c>
    </row>
    <row r="7767" spans="1:7" x14ac:dyDescent="0.25">
      <c r="A7767" t="s">
        <v>41</v>
      </c>
      <c r="B7767" t="s">
        <v>3541</v>
      </c>
      <c r="C7767" t="s">
        <v>18378</v>
      </c>
      <c r="D7767" t="s">
        <v>20</v>
      </c>
      <c r="E7767" t="s">
        <v>11</v>
      </c>
      <c r="F7767">
        <v>40979.4</v>
      </c>
      <c r="G7767">
        <v>18</v>
      </c>
    </row>
    <row r="7768" spans="1:7" x14ac:dyDescent="0.25">
      <c r="A7768" t="s">
        <v>41</v>
      </c>
      <c r="B7768" t="s">
        <v>3544</v>
      </c>
      <c r="C7768" t="s">
        <v>18379</v>
      </c>
      <c r="D7768" t="s">
        <v>20</v>
      </c>
      <c r="E7768" t="s">
        <v>11</v>
      </c>
      <c r="F7768">
        <v>40979.4</v>
      </c>
      <c r="G7768">
        <v>18</v>
      </c>
    </row>
    <row r="7769" spans="1:7" x14ac:dyDescent="0.25">
      <c r="A7769" t="s">
        <v>41</v>
      </c>
      <c r="B7769" t="s">
        <v>3547</v>
      </c>
      <c r="C7769" t="s">
        <v>18380</v>
      </c>
      <c r="D7769" t="s">
        <v>20</v>
      </c>
      <c r="E7769" t="s">
        <v>11</v>
      </c>
      <c r="F7769">
        <v>5116.099999999999</v>
      </c>
      <c r="G7769">
        <v>18</v>
      </c>
    </row>
    <row r="7770" spans="1:7" x14ac:dyDescent="0.25">
      <c r="A7770" t="s">
        <v>41</v>
      </c>
      <c r="B7770" t="s">
        <v>3550</v>
      </c>
      <c r="C7770" t="s">
        <v>18381</v>
      </c>
      <c r="D7770" t="s">
        <v>20</v>
      </c>
      <c r="E7770" t="s">
        <v>11</v>
      </c>
      <c r="F7770">
        <v>4682.7</v>
      </c>
      <c r="G7770">
        <v>18</v>
      </c>
    </row>
    <row r="7771" spans="1:7" x14ac:dyDescent="0.25">
      <c r="A7771" t="s">
        <v>41</v>
      </c>
      <c r="B7771" t="s">
        <v>3553</v>
      </c>
      <c r="C7771" t="s">
        <v>18382</v>
      </c>
      <c r="D7771" t="s">
        <v>20</v>
      </c>
      <c r="E7771" t="s">
        <v>11</v>
      </c>
      <c r="F7771">
        <v>1265</v>
      </c>
      <c r="G7771">
        <v>18</v>
      </c>
    </row>
    <row r="7772" spans="1:7" x14ac:dyDescent="0.25">
      <c r="A7772" t="s">
        <v>41</v>
      </c>
      <c r="B7772" t="s">
        <v>3556</v>
      </c>
      <c r="C7772" t="s">
        <v>18383</v>
      </c>
      <c r="D7772" t="s">
        <v>20</v>
      </c>
      <c r="E7772" t="s">
        <v>11</v>
      </c>
      <c r="F7772">
        <v>70.4</v>
      </c>
      <c r="G7772">
        <v>18</v>
      </c>
    </row>
    <row r="7773" spans="1:7" x14ac:dyDescent="0.25">
      <c r="A7773" t="s">
        <v>41</v>
      </c>
      <c r="B7773" t="s">
        <v>3559</v>
      </c>
      <c r="C7773" t="s">
        <v>18384</v>
      </c>
      <c r="D7773" t="s">
        <v>20</v>
      </c>
      <c r="E7773" t="s">
        <v>11</v>
      </c>
      <c r="F7773">
        <v>57.2</v>
      </c>
      <c r="G7773">
        <v>18</v>
      </c>
    </row>
    <row r="7774" spans="1:7" x14ac:dyDescent="0.25">
      <c r="A7774" t="s">
        <v>41</v>
      </c>
      <c r="B7774" t="s">
        <v>3562</v>
      </c>
      <c r="C7774" t="s">
        <v>18385</v>
      </c>
      <c r="D7774" t="s">
        <v>20</v>
      </c>
      <c r="E7774" t="s">
        <v>11</v>
      </c>
      <c r="F7774">
        <v>58.300000000000004</v>
      </c>
      <c r="G7774">
        <v>18</v>
      </c>
    </row>
    <row r="7775" spans="1:7" x14ac:dyDescent="0.25">
      <c r="A7775" t="s">
        <v>41</v>
      </c>
      <c r="B7775" t="s">
        <v>3565</v>
      </c>
      <c r="C7775" t="s">
        <v>18386</v>
      </c>
      <c r="D7775" t="s">
        <v>20</v>
      </c>
      <c r="E7775" t="s">
        <v>11</v>
      </c>
      <c r="F7775">
        <v>161.7</v>
      </c>
      <c r="G7775">
        <v>18</v>
      </c>
    </row>
    <row r="7776" spans="1:7" x14ac:dyDescent="0.25">
      <c r="A7776" t="s">
        <v>41</v>
      </c>
      <c r="B7776" t="s">
        <v>3568</v>
      </c>
      <c r="C7776" t="s">
        <v>18387</v>
      </c>
      <c r="D7776" t="s">
        <v>20</v>
      </c>
      <c r="E7776" t="s">
        <v>11</v>
      </c>
      <c r="F7776">
        <v>63.8</v>
      </c>
      <c r="G7776">
        <v>18</v>
      </c>
    </row>
    <row r="7777" spans="1:7" x14ac:dyDescent="0.25">
      <c r="A7777" t="s">
        <v>41</v>
      </c>
      <c r="B7777" t="s">
        <v>3571</v>
      </c>
      <c r="C7777" t="s">
        <v>18388</v>
      </c>
      <c r="D7777" t="s">
        <v>20</v>
      </c>
      <c r="E7777" t="s">
        <v>11</v>
      </c>
      <c r="F7777">
        <v>30826.4</v>
      </c>
      <c r="G7777">
        <v>18</v>
      </c>
    </row>
    <row r="7778" spans="1:7" x14ac:dyDescent="0.25">
      <c r="A7778" t="s">
        <v>41</v>
      </c>
      <c r="B7778" t="s">
        <v>3574</v>
      </c>
      <c r="C7778" t="s">
        <v>18389</v>
      </c>
      <c r="D7778" t="s">
        <v>20</v>
      </c>
      <c r="E7778" t="s">
        <v>11</v>
      </c>
      <c r="F7778">
        <v>36249.4</v>
      </c>
      <c r="G7778">
        <v>18</v>
      </c>
    </row>
    <row r="7779" spans="1:7" x14ac:dyDescent="0.25">
      <c r="A7779" t="s">
        <v>41</v>
      </c>
      <c r="B7779" t="s">
        <v>3577</v>
      </c>
      <c r="C7779" t="s">
        <v>18390</v>
      </c>
      <c r="D7779" t="s">
        <v>20</v>
      </c>
      <c r="E7779" t="s">
        <v>11</v>
      </c>
      <c r="F7779">
        <v>10912</v>
      </c>
      <c r="G7779">
        <v>18</v>
      </c>
    </row>
    <row r="7780" spans="1:7" x14ac:dyDescent="0.25">
      <c r="A7780" t="s">
        <v>41</v>
      </c>
      <c r="B7780" t="s">
        <v>3580</v>
      </c>
      <c r="C7780" t="s">
        <v>18391</v>
      </c>
      <c r="D7780" t="s">
        <v>20</v>
      </c>
      <c r="E7780" t="s">
        <v>11</v>
      </c>
      <c r="F7780">
        <v>655.6</v>
      </c>
      <c r="G7780">
        <v>18</v>
      </c>
    </row>
    <row r="7781" spans="1:7" x14ac:dyDescent="0.25">
      <c r="A7781" t="s">
        <v>41</v>
      </c>
      <c r="B7781" t="s">
        <v>3583</v>
      </c>
      <c r="C7781" t="s">
        <v>18392</v>
      </c>
      <c r="D7781" t="s">
        <v>20</v>
      </c>
      <c r="E7781" t="s">
        <v>11</v>
      </c>
      <c r="F7781">
        <v>3300</v>
      </c>
      <c r="G7781">
        <v>18</v>
      </c>
    </row>
    <row r="7782" spans="1:7" x14ac:dyDescent="0.25">
      <c r="A7782" t="s">
        <v>41</v>
      </c>
      <c r="B7782" t="s">
        <v>3586</v>
      </c>
      <c r="C7782" t="s">
        <v>18393</v>
      </c>
      <c r="D7782" t="s">
        <v>20</v>
      </c>
      <c r="E7782" t="s">
        <v>11</v>
      </c>
      <c r="F7782">
        <v>6341.5</v>
      </c>
      <c r="G7782">
        <v>18</v>
      </c>
    </row>
    <row r="7783" spans="1:7" x14ac:dyDescent="0.25">
      <c r="A7783" t="s">
        <v>41</v>
      </c>
      <c r="B7783" t="s">
        <v>3589</v>
      </c>
      <c r="C7783" t="s">
        <v>18394</v>
      </c>
      <c r="D7783" t="s">
        <v>20</v>
      </c>
      <c r="E7783" t="s">
        <v>11</v>
      </c>
      <c r="F7783">
        <v>82712.29999999999</v>
      </c>
      <c r="G7783">
        <v>18</v>
      </c>
    </row>
    <row r="7784" spans="1:7" x14ac:dyDescent="0.25">
      <c r="A7784" t="s">
        <v>41</v>
      </c>
      <c r="B7784" t="s">
        <v>3592</v>
      </c>
      <c r="C7784" t="s">
        <v>18395</v>
      </c>
      <c r="D7784" t="s">
        <v>20</v>
      </c>
      <c r="E7784" t="s">
        <v>11</v>
      </c>
      <c r="F7784">
        <v>45148.4</v>
      </c>
      <c r="G7784">
        <v>18</v>
      </c>
    </row>
    <row r="7785" spans="1:7" x14ac:dyDescent="0.25">
      <c r="A7785" t="s">
        <v>41</v>
      </c>
      <c r="B7785" t="s">
        <v>3595</v>
      </c>
      <c r="C7785" t="s">
        <v>18396</v>
      </c>
      <c r="D7785" t="s">
        <v>20</v>
      </c>
      <c r="E7785" t="s">
        <v>11</v>
      </c>
      <c r="F7785">
        <v>960.3000000000001</v>
      </c>
      <c r="G7785">
        <v>18</v>
      </c>
    </row>
    <row r="7786" spans="1:7" x14ac:dyDescent="0.25">
      <c r="A7786" t="s">
        <v>41</v>
      </c>
      <c r="B7786" t="s">
        <v>3598</v>
      </c>
      <c r="C7786" t="s">
        <v>18397</v>
      </c>
      <c r="D7786" t="s">
        <v>20</v>
      </c>
      <c r="E7786" t="s">
        <v>11</v>
      </c>
      <c r="F7786">
        <v>8372.1</v>
      </c>
      <c r="G7786">
        <v>18</v>
      </c>
    </row>
    <row r="7787" spans="1:7" x14ac:dyDescent="0.25">
      <c r="A7787" t="s">
        <v>41</v>
      </c>
      <c r="B7787" t="s">
        <v>3601</v>
      </c>
      <c r="C7787" t="s">
        <v>18398</v>
      </c>
      <c r="D7787" t="s">
        <v>20</v>
      </c>
      <c r="E7787" t="s">
        <v>11</v>
      </c>
      <c r="F7787">
        <v>8361.1</v>
      </c>
      <c r="G7787">
        <v>18</v>
      </c>
    </row>
    <row r="7788" spans="1:7" x14ac:dyDescent="0.25">
      <c r="A7788" t="s">
        <v>41</v>
      </c>
      <c r="B7788" t="s">
        <v>3604</v>
      </c>
      <c r="C7788" t="s">
        <v>18399</v>
      </c>
      <c r="D7788" t="s">
        <v>20</v>
      </c>
      <c r="E7788" t="s">
        <v>11</v>
      </c>
      <c r="F7788">
        <v>501.59999999999997</v>
      </c>
      <c r="G7788">
        <v>18</v>
      </c>
    </row>
    <row r="7789" spans="1:7" x14ac:dyDescent="0.25">
      <c r="A7789" t="s">
        <v>41</v>
      </c>
      <c r="B7789" t="s">
        <v>3607</v>
      </c>
      <c r="C7789" t="s">
        <v>18386</v>
      </c>
      <c r="D7789" t="s">
        <v>20</v>
      </c>
      <c r="E7789" t="s">
        <v>11</v>
      </c>
      <c r="F7789">
        <v>118.80000000000001</v>
      </c>
      <c r="G7789">
        <v>18</v>
      </c>
    </row>
    <row r="7790" spans="1:7" x14ac:dyDescent="0.25">
      <c r="A7790" t="s">
        <v>41</v>
      </c>
      <c r="B7790" t="s">
        <v>3610</v>
      </c>
      <c r="C7790" t="s">
        <v>18400</v>
      </c>
      <c r="D7790" t="s">
        <v>20</v>
      </c>
      <c r="E7790" t="s">
        <v>11</v>
      </c>
      <c r="F7790">
        <v>58.300000000000004</v>
      </c>
      <c r="G7790">
        <v>18</v>
      </c>
    </row>
    <row r="7791" spans="1:7" x14ac:dyDescent="0.25">
      <c r="A7791" t="s">
        <v>41</v>
      </c>
      <c r="B7791" t="s">
        <v>3613</v>
      </c>
      <c r="C7791" t="s">
        <v>18343</v>
      </c>
      <c r="D7791" t="s">
        <v>20</v>
      </c>
      <c r="E7791" t="s">
        <v>11</v>
      </c>
      <c r="F7791">
        <v>43356.5</v>
      </c>
      <c r="G7791">
        <v>18</v>
      </c>
    </row>
    <row r="7792" spans="1:7" x14ac:dyDescent="0.25">
      <c r="A7792" t="s">
        <v>41</v>
      </c>
      <c r="B7792" t="s">
        <v>3616</v>
      </c>
      <c r="C7792" t="s">
        <v>17570</v>
      </c>
      <c r="D7792" t="s">
        <v>20</v>
      </c>
      <c r="E7792" t="s">
        <v>11</v>
      </c>
      <c r="F7792">
        <v>43356.5</v>
      </c>
      <c r="G7792">
        <v>18</v>
      </c>
    </row>
    <row r="7793" spans="1:7" x14ac:dyDescent="0.25">
      <c r="A7793" t="s">
        <v>41</v>
      </c>
      <c r="B7793" t="s">
        <v>3619</v>
      </c>
      <c r="C7793" t="s">
        <v>18401</v>
      </c>
      <c r="D7793" t="s">
        <v>20</v>
      </c>
      <c r="E7793" t="s">
        <v>11</v>
      </c>
      <c r="F7793">
        <v>33667.7</v>
      </c>
      <c r="G7793">
        <v>18</v>
      </c>
    </row>
    <row r="7794" spans="1:7" x14ac:dyDescent="0.25">
      <c r="A7794" t="s">
        <v>41</v>
      </c>
      <c r="B7794" t="s">
        <v>3622</v>
      </c>
      <c r="C7794" t="s">
        <v>18402</v>
      </c>
      <c r="D7794" t="s">
        <v>20</v>
      </c>
      <c r="E7794" t="s">
        <v>11</v>
      </c>
      <c r="F7794">
        <v>33667.7</v>
      </c>
      <c r="G7794">
        <v>18</v>
      </c>
    </row>
    <row r="7795" spans="1:7" x14ac:dyDescent="0.25">
      <c r="A7795" t="s">
        <v>41</v>
      </c>
      <c r="B7795" t="s">
        <v>3625</v>
      </c>
      <c r="C7795" t="s">
        <v>18403</v>
      </c>
      <c r="D7795" t="s">
        <v>20</v>
      </c>
      <c r="E7795" t="s">
        <v>11</v>
      </c>
      <c r="F7795">
        <v>4570.5</v>
      </c>
      <c r="G7795">
        <v>18</v>
      </c>
    </row>
    <row r="7796" spans="1:7" x14ac:dyDescent="0.25">
      <c r="A7796" t="s">
        <v>41</v>
      </c>
      <c r="B7796" t="s">
        <v>3628</v>
      </c>
      <c r="C7796" t="s">
        <v>18404</v>
      </c>
      <c r="D7796" t="s">
        <v>20</v>
      </c>
      <c r="E7796" t="s">
        <v>11</v>
      </c>
      <c r="F7796">
        <v>4461.6</v>
      </c>
      <c r="G7796">
        <v>18</v>
      </c>
    </row>
    <row r="7797" spans="1:7" x14ac:dyDescent="0.25">
      <c r="A7797" t="s">
        <v>41</v>
      </c>
      <c r="B7797" t="s">
        <v>3631</v>
      </c>
      <c r="C7797" t="s">
        <v>18405</v>
      </c>
      <c r="D7797" t="s">
        <v>20</v>
      </c>
      <c r="E7797" t="s">
        <v>11</v>
      </c>
      <c r="F7797">
        <v>5033.599999999999</v>
      </c>
      <c r="G7797">
        <v>18</v>
      </c>
    </row>
    <row r="7798" spans="1:7" x14ac:dyDescent="0.25">
      <c r="A7798" t="s">
        <v>41</v>
      </c>
      <c r="B7798" t="s">
        <v>3634</v>
      </c>
      <c r="C7798" t="s">
        <v>18406</v>
      </c>
      <c r="D7798" t="s">
        <v>20</v>
      </c>
      <c r="E7798" t="s">
        <v>11</v>
      </c>
      <c r="F7798">
        <v>2164.8</v>
      </c>
      <c r="G7798">
        <v>18</v>
      </c>
    </row>
    <row r="7799" spans="1:7" x14ac:dyDescent="0.25">
      <c r="A7799" t="s">
        <v>41</v>
      </c>
      <c r="B7799" t="s">
        <v>3637</v>
      </c>
      <c r="C7799" t="s">
        <v>18143</v>
      </c>
      <c r="D7799" t="s">
        <v>20</v>
      </c>
      <c r="E7799" t="s">
        <v>11</v>
      </c>
      <c r="F7799">
        <v>546.6999999999999</v>
      </c>
      <c r="G7799">
        <v>18</v>
      </c>
    </row>
    <row r="7800" spans="1:7" x14ac:dyDescent="0.25">
      <c r="A7800" t="s">
        <v>41</v>
      </c>
      <c r="B7800" t="s">
        <v>3640</v>
      </c>
      <c r="C7800" t="s">
        <v>18407</v>
      </c>
      <c r="D7800" t="s">
        <v>20</v>
      </c>
      <c r="E7800" t="s">
        <v>11</v>
      </c>
      <c r="F7800">
        <v>8465.599999999999</v>
      </c>
      <c r="G7800">
        <v>18</v>
      </c>
    </row>
    <row r="7801" spans="1:7" x14ac:dyDescent="0.25">
      <c r="A7801" t="s">
        <v>41</v>
      </c>
      <c r="B7801" t="s">
        <v>3643</v>
      </c>
      <c r="C7801" t="s">
        <v>18408</v>
      </c>
      <c r="D7801" t="s">
        <v>20</v>
      </c>
      <c r="E7801" t="s">
        <v>11</v>
      </c>
      <c r="F7801">
        <v>11554.400000000001</v>
      </c>
      <c r="G7801">
        <v>18</v>
      </c>
    </row>
    <row r="7802" spans="1:7" x14ac:dyDescent="0.25">
      <c r="A7802" t="s">
        <v>41</v>
      </c>
      <c r="B7802" t="s">
        <v>3646</v>
      </c>
      <c r="C7802" t="s">
        <v>17844</v>
      </c>
      <c r="D7802" t="s">
        <v>20</v>
      </c>
      <c r="E7802" t="s">
        <v>11</v>
      </c>
      <c r="F7802">
        <v>58.300000000000004</v>
      </c>
      <c r="G7802">
        <v>18</v>
      </c>
    </row>
    <row r="7803" spans="1:7" x14ac:dyDescent="0.25">
      <c r="A7803" t="s">
        <v>41</v>
      </c>
      <c r="B7803" t="s">
        <v>3649</v>
      </c>
      <c r="C7803" t="s">
        <v>17736</v>
      </c>
      <c r="D7803" t="s">
        <v>20</v>
      </c>
      <c r="E7803" t="s">
        <v>11</v>
      </c>
      <c r="F7803">
        <v>57.2</v>
      </c>
      <c r="G7803">
        <v>18</v>
      </c>
    </row>
    <row r="7804" spans="1:7" x14ac:dyDescent="0.25">
      <c r="A7804" t="s">
        <v>41</v>
      </c>
      <c r="B7804" t="s">
        <v>3651</v>
      </c>
      <c r="C7804" t="s">
        <v>17838</v>
      </c>
      <c r="D7804" t="s">
        <v>20</v>
      </c>
      <c r="E7804" t="s">
        <v>11</v>
      </c>
      <c r="F7804">
        <v>40.7</v>
      </c>
      <c r="G7804">
        <v>18</v>
      </c>
    </row>
    <row r="7805" spans="1:7" x14ac:dyDescent="0.25">
      <c r="A7805" t="s">
        <v>41</v>
      </c>
      <c r="B7805" t="s">
        <v>3654</v>
      </c>
      <c r="C7805" t="s">
        <v>18409</v>
      </c>
      <c r="D7805" t="s">
        <v>20</v>
      </c>
      <c r="E7805" t="s">
        <v>11</v>
      </c>
      <c r="F7805">
        <v>2054.8</v>
      </c>
      <c r="G7805">
        <v>18</v>
      </c>
    </row>
    <row r="7806" spans="1:7" x14ac:dyDescent="0.25">
      <c r="A7806" t="s">
        <v>41</v>
      </c>
      <c r="B7806" t="s">
        <v>3657</v>
      </c>
      <c r="C7806" t="s">
        <v>18052</v>
      </c>
      <c r="D7806" t="s">
        <v>20</v>
      </c>
      <c r="E7806" t="s">
        <v>11</v>
      </c>
      <c r="F7806">
        <v>4565</v>
      </c>
      <c r="G7806">
        <v>18</v>
      </c>
    </row>
    <row r="7807" spans="1:7" x14ac:dyDescent="0.25">
      <c r="A7807" t="s">
        <v>41</v>
      </c>
      <c r="B7807" t="s">
        <v>3660</v>
      </c>
      <c r="C7807" t="s">
        <v>18410</v>
      </c>
      <c r="D7807" t="s">
        <v>20</v>
      </c>
      <c r="E7807" t="s">
        <v>11</v>
      </c>
      <c r="F7807">
        <v>1763.3000000000002</v>
      </c>
      <c r="G7807">
        <v>18</v>
      </c>
    </row>
    <row r="7808" spans="1:7" x14ac:dyDescent="0.25">
      <c r="A7808" t="s">
        <v>41</v>
      </c>
      <c r="B7808" t="s">
        <v>3663</v>
      </c>
      <c r="C7808" t="s">
        <v>18411</v>
      </c>
      <c r="D7808" t="s">
        <v>20</v>
      </c>
      <c r="E7808" t="s">
        <v>11</v>
      </c>
      <c r="F7808">
        <v>58.300000000000004</v>
      </c>
      <c r="G7808">
        <v>18</v>
      </c>
    </row>
    <row r="7809" spans="1:7" x14ac:dyDescent="0.25">
      <c r="A7809" t="s">
        <v>41</v>
      </c>
      <c r="B7809" t="s">
        <v>3666</v>
      </c>
      <c r="C7809" t="s">
        <v>18412</v>
      </c>
      <c r="D7809" t="s">
        <v>20</v>
      </c>
      <c r="E7809" t="s">
        <v>11</v>
      </c>
      <c r="F7809">
        <v>13772</v>
      </c>
      <c r="G7809">
        <v>18</v>
      </c>
    </row>
    <row r="7810" spans="1:7" x14ac:dyDescent="0.25">
      <c r="A7810" t="s">
        <v>41</v>
      </c>
      <c r="B7810" t="s">
        <v>3669</v>
      </c>
      <c r="C7810" t="s">
        <v>18413</v>
      </c>
      <c r="D7810" t="s">
        <v>20</v>
      </c>
      <c r="E7810" t="s">
        <v>11</v>
      </c>
      <c r="F7810">
        <v>1166</v>
      </c>
      <c r="G7810">
        <v>18</v>
      </c>
    </row>
    <row r="7811" spans="1:7" x14ac:dyDescent="0.25">
      <c r="A7811" t="s">
        <v>41</v>
      </c>
      <c r="B7811" t="s">
        <v>3672</v>
      </c>
      <c r="C7811" t="s">
        <v>18414</v>
      </c>
      <c r="D7811" t="s">
        <v>20</v>
      </c>
      <c r="E7811" t="s">
        <v>11</v>
      </c>
      <c r="F7811">
        <v>140.8</v>
      </c>
      <c r="G7811">
        <v>18</v>
      </c>
    </row>
    <row r="7812" spans="1:7" x14ac:dyDescent="0.25">
      <c r="A7812" t="s">
        <v>41</v>
      </c>
      <c r="B7812" t="s">
        <v>3675</v>
      </c>
      <c r="C7812" t="s">
        <v>17998</v>
      </c>
      <c r="D7812" t="s">
        <v>20</v>
      </c>
      <c r="E7812" t="s">
        <v>11</v>
      </c>
      <c r="F7812">
        <v>2850.1</v>
      </c>
      <c r="G7812">
        <v>18</v>
      </c>
    </row>
    <row r="7813" spans="1:7" x14ac:dyDescent="0.25">
      <c r="A7813" t="s">
        <v>41</v>
      </c>
      <c r="B7813" t="s">
        <v>3678</v>
      </c>
      <c r="C7813" t="s">
        <v>18415</v>
      </c>
      <c r="D7813" t="s">
        <v>20</v>
      </c>
      <c r="E7813" t="s">
        <v>11</v>
      </c>
      <c r="F7813">
        <v>4944.5</v>
      </c>
      <c r="G7813">
        <v>18</v>
      </c>
    </row>
    <row r="7814" spans="1:7" x14ac:dyDescent="0.25">
      <c r="A7814" t="s">
        <v>41</v>
      </c>
      <c r="B7814" t="s">
        <v>3681</v>
      </c>
      <c r="C7814" t="s">
        <v>17639</v>
      </c>
      <c r="D7814" t="s">
        <v>20</v>
      </c>
      <c r="E7814" t="s">
        <v>11</v>
      </c>
      <c r="F7814">
        <v>118.80000000000001</v>
      </c>
      <c r="G7814">
        <v>18</v>
      </c>
    </row>
    <row r="7815" spans="1:7" x14ac:dyDescent="0.25">
      <c r="A7815" t="s">
        <v>41</v>
      </c>
      <c r="B7815" t="s">
        <v>3684</v>
      </c>
      <c r="C7815" t="s">
        <v>18416</v>
      </c>
      <c r="D7815" t="s">
        <v>20</v>
      </c>
      <c r="E7815" t="s">
        <v>11</v>
      </c>
      <c r="F7815">
        <v>1103.3</v>
      </c>
      <c r="G7815">
        <v>18</v>
      </c>
    </row>
    <row r="7816" spans="1:7" x14ac:dyDescent="0.25">
      <c r="A7816" t="s">
        <v>41</v>
      </c>
      <c r="B7816" t="s">
        <v>3687</v>
      </c>
      <c r="C7816" t="s">
        <v>17654</v>
      </c>
      <c r="D7816" t="s">
        <v>20</v>
      </c>
      <c r="E7816" t="s">
        <v>11</v>
      </c>
      <c r="F7816">
        <v>57.2</v>
      </c>
      <c r="G7816">
        <v>18</v>
      </c>
    </row>
    <row r="7817" spans="1:7" x14ac:dyDescent="0.25">
      <c r="A7817" t="s">
        <v>41</v>
      </c>
      <c r="B7817" t="s">
        <v>3690</v>
      </c>
      <c r="C7817" t="s">
        <v>18417</v>
      </c>
      <c r="D7817" t="s">
        <v>20</v>
      </c>
      <c r="E7817" t="s">
        <v>11</v>
      </c>
      <c r="F7817">
        <v>676.5</v>
      </c>
      <c r="G7817">
        <v>18</v>
      </c>
    </row>
    <row r="7818" spans="1:7" x14ac:dyDescent="0.25">
      <c r="A7818" t="s">
        <v>41</v>
      </c>
      <c r="B7818" t="s">
        <v>3693</v>
      </c>
      <c r="C7818" t="s">
        <v>18418</v>
      </c>
      <c r="D7818" t="s">
        <v>20</v>
      </c>
      <c r="E7818" t="s">
        <v>11</v>
      </c>
      <c r="F7818">
        <v>244.20000000000002</v>
      </c>
      <c r="G7818">
        <v>18</v>
      </c>
    </row>
    <row r="7819" spans="1:7" x14ac:dyDescent="0.25">
      <c r="A7819" t="s">
        <v>41</v>
      </c>
      <c r="B7819" t="s">
        <v>3696</v>
      </c>
      <c r="C7819" t="s">
        <v>18419</v>
      </c>
      <c r="D7819" t="s">
        <v>20</v>
      </c>
      <c r="E7819" t="s">
        <v>11</v>
      </c>
      <c r="F7819">
        <v>123.20000000000002</v>
      </c>
      <c r="G7819">
        <v>18</v>
      </c>
    </row>
    <row r="7820" spans="1:7" x14ac:dyDescent="0.25">
      <c r="A7820" t="s">
        <v>41</v>
      </c>
      <c r="B7820" t="s">
        <v>3699</v>
      </c>
      <c r="C7820" t="s">
        <v>18420</v>
      </c>
      <c r="D7820" t="s">
        <v>20</v>
      </c>
      <c r="E7820" t="s">
        <v>11</v>
      </c>
      <c r="F7820">
        <v>162.8</v>
      </c>
      <c r="G7820">
        <v>18</v>
      </c>
    </row>
    <row r="7821" spans="1:7" x14ac:dyDescent="0.25">
      <c r="A7821" t="s">
        <v>41</v>
      </c>
      <c r="B7821" t="s">
        <v>3702</v>
      </c>
      <c r="C7821" t="s">
        <v>18421</v>
      </c>
      <c r="D7821" t="s">
        <v>20</v>
      </c>
      <c r="E7821" t="s">
        <v>11</v>
      </c>
      <c r="F7821">
        <v>9542.5</v>
      </c>
      <c r="G7821">
        <v>18</v>
      </c>
    </row>
    <row r="7822" spans="1:7" x14ac:dyDescent="0.25">
      <c r="A7822" t="s">
        <v>41</v>
      </c>
      <c r="B7822" t="s">
        <v>3705</v>
      </c>
      <c r="C7822" t="s">
        <v>18422</v>
      </c>
      <c r="D7822" t="s">
        <v>20</v>
      </c>
      <c r="E7822" t="s">
        <v>11</v>
      </c>
      <c r="F7822">
        <v>64436.899999999994</v>
      </c>
      <c r="G7822">
        <v>18</v>
      </c>
    </row>
    <row r="7823" spans="1:7" x14ac:dyDescent="0.25">
      <c r="A7823" t="s">
        <v>41</v>
      </c>
      <c r="B7823" t="s">
        <v>3708</v>
      </c>
      <c r="C7823" t="s">
        <v>18423</v>
      </c>
      <c r="D7823" t="s">
        <v>20</v>
      </c>
      <c r="E7823" t="s">
        <v>11</v>
      </c>
      <c r="F7823">
        <v>35519</v>
      </c>
      <c r="G7823">
        <v>18</v>
      </c>
    </row>
    <row r="7824" spans="1:7" x14ac:dyDescent="0.25">
      <c r="A7824" t="s">
        <v>41</v>
      </c>
      <c r="B7824" t="s">
        <v>3711</v>
      </c>
      <c r="C7824" t="s">
        <v>18424</v>
      </c>
      <c r="D7824" t="s">
        <v>20</v>
      </c>
      <c r="E7824" t="s">
        <v>11</v>
      </c>
      <c r="F7824">
        <v>7244.6</v>
      </c>
      <c r="G7824">
        <v>18</v>
      </c>
    </row>
    <row r="7825" spans="1:7" x14ac:dyDescent="0.25">
      <c r="A7825" t="s">
        <v>41</v>
      </c>
      <c r="B7825" t="s">
        <v>3714</v>
      </c>
      <c r="C7825" t="s">
        <v>18425</v>
      </c>
      <c r="D7825" t="s">
        <v>20</v>
      </c>
      <c r="E7825" t="s">
        <v>11</v>
      </c>
      <c r="F7825">
        <v>2168.1</v>
      </c>
      <c r="G7825">
        <v>18</v>
      </c>
    </row>
    <row r="7826" spans="1:7" x14ac:dyDescent="0.25">
      <c r="A7826" t="s">
        <v>41</v>
      </c>
      <c r="B7826" t="s">
        <v>3717</v>
      </c>
      <c r="C7826" t="s">
        <v>18426</v>
      </c>
      <c r="D7826" t="s">
        <v>20</v>
      </c>
      <c r="E7826" t="s">
        <v>11</v>
      </c>
      <c r="F7826">
        <v>5094.1</v>
      </c>
      <c r="G7826">
        <v>18</v>
      </c>
    </row>
    <row r="7827" spans="1:7" x14ac:dyDescent="0.25">
      <c r="A7827" t="s">
        <v>41</v>
      </c>
      <c r="B7827" t="s">
        <v>3720</v>
      </c>
      <c r="C7827" t="s">
        <v>18285</v>
      </c>
      <c r="D7827" t="s">
        <v>20</v>
      </c>
      <c r="E7827" t="s">
        <v>11</v>
      </c>
      <c r="F7827">
        <v>7244.6</v>
      </c>
      <c r="G7827">
        <v>18</v>
      </c>
    </row>
    <row r="7828" spans="1:7" x14ac:dyDescent="0.25">
      <c r="A7828" t="s">
        <v>41</v>
      </c>
      <c r="B7828" t="s">
        <v>3723</v>
      </c>
      <c r="C7828" t="s">
        <v>18287</v>
      </c>
      <c r="D7828" t="s">
        <v>20</v>
      </c>
      <c r="E7828" t="s">
        <v>11</v>
      </c>
      <c r="F7828">
        <v>2168.1</v>
      </c>
      <c r="G7828">
        <v>18</v>
      </c>
    </row>
    <row r="7829" spans="1:7" x14ac:dyDescent="0.25">
      <c r="A7829" t="s">
        <v>41</v>
      </c>
      <c r="B7829" t="s">
        <v>3726</v>
      </c>
      <c r="C7829" t="s">
        <v>18427</v>
      </c>
      <c r="D7829" t="s">
        <v>20</v>
      </c>
      <c r="E7829" t="s">
        <v>11</v>
      </c>
      <c r="F7829">
        <v>5094.1</v>
      </c>
      <c r="G7829">
        <v>18</v>
      </c>
    </row>
    <row r="7830" spans="1:7" x14ac:dyDescent="0.25">
      <c r="A7830" t="s">
        <v>41</v>
      </c>
      <c r="B7830" t="s">
        <v>3729</v>
      </c>
      <c r="C7830" t="s">
        <v>17728</v>
      </c>
      <c r="D7830" t="s">
        <v>20</v>
      </c>
      <c r="E7830" t="s">
        <v>11</v>
      </c>
      <c r="F7830">
        <v>303.59999999999997</v>
      </c>
      <c r="G7830">
        <v>18</v>
      </c>
    </row>
    <row r="7831" spans="1:7" x14ac:dyDescent="0.25">
      <c r="A7831" t="s">
        <v>41</v>
      </c>
      <c r="B7831" t="s">
        <v>3732</v>
      </c>
      <c r="C7831" t="s">
        <v>18428</v>
      </c>
      <c r="D7831" t="s">
        <v>20</v>
      </c>
      <c r="E7831" t="s">
        <v>11</v>
      </c>
      <c r="F7831">
        <v>1065.8999999999999</v>
      </c>
      <c r="G7831">
        <v>18</v>
      </c>
    </row>
    <row r="7832" spans="1:7" x14ac:dyDescent="0.25">
      <c r="A7832" t="s">
        <v>41</v>
      </c>
      <c r="B7832" t="s">
        <v>3735</v>
      </c>
      <c r="C7832" t="s">
        <v>17654</v>
      </c>
      <c r="D7832" t="s">
        <v>20</v>
      </c>
      <c r="E7832" t="s">
        <v>11</v>
      </c>
      <c r="F7832">
        <v>57.2</v>
      </c>
      <c r="G7832">
        <v>18</v>
      </c>
    </row>
    <row r="7833" spans="1:7" x14ac:dyDescent="0.25">
      <c r="A7833" t="s">
        <v>41</v>
      </c>
      <c r="B7833" t="s">
        <v>3738</v>
      </c>
      <c r="C7833" t="s">
        <v>17656</v>
      </c>
      <c r="D7833" t="s">
        <v>20</v>
      </c>
      <c r="E7833" t="s">
        <v>11</v>
      </c>
      <c r="F7833">
        <v>58.300000000000004</v>
      </c>
      <c r="G7833">
        <v>18</v>
      </c>
    </row>
    <row r="7834" spans="1:7" x14ac:dyDescent="0.25">
      <c r="A7834" t="s">
        <v>41</v>
      </c>
      <c r="B7834" t="s">
        <v>3741</v>
      </c>
      <c r="C7834" t="s">
        <v>18429</v>
      </c>
      <c r="D7834" t="s">
        <v>20</v>
      </c>
      <c r="E7834" t="s">
        <v>11</v>
      </c>
      <c r="F7834">
        <v>925.1</v>
      </c>
      <c r="G7834">
        <v>18</v>
      </c>
    </row>
    <row r="7835" spans="1:7" x14ac:dyDescent="0.25">
      <c r="A7835" t="s">
        <v>41</v>
      </c>
      <c r="B7835" t="s">
        <v>3744</v>
      </c>
      <c r="C7835" t="s">
        <v>18240</v>
      </c>
      <c r="D7835" t="s">
        <v>20</v>
      </c>
      <c r="E7835" t="s">
        <v>11</v>
      </c>
      <c r="F7835">
        <v>70.4</v>
      </c>
      <c r="G7835">
        <v>18</v>
      </c>
    </row>
    <row r="7836" spans="1:7" x14ac:dyDescent="0.25">
      <c r="A7836" t="s">
        <v>41</v>
      </c>
      <c r="B7836" t="s">
        <v>3747</v>
      </c>
      <c r="C7836" t="s">
        <v>17680</v>
      </c>
      <c r="D7836" t="s">
        <v>20</v>
      </c>
      <c r="E7836" t="s">
        <v>11</v>
      </c>
      <c r="F7836">
        <v>2599.2999999999997</v>
      </c>
      <c r="G7836">
        <v>18</v>
      </c>
    </row>
    <row r="7837" spans="1:7" x14ac:dyDescent="0.25">
      <c r="A7837" t="s">
        <v>41</v>
      </c>
      <c r="B7837" t="s">
        <v>3750</v>
      </c>
      <c r="C7837" t="s">
        <v>17545</v>
      </c>
      <c r="D7837" t="s">
        <v>20</v>
      </c>
      <c r="E7837" t="s">
        <v>11</v>
      </c>
      <c r="F7837">
        <v>2598.2000000000003</v>
      </c>
      <c r="G7837">
        <v>18</v>
      </c>
    </row>
    <row r="7838" spans="1:7" x14ac:dyDescent="0.25">
      <c r="A7838" t="s">
        <v>41</v>
      </c>
      <c r="B7838" t="s">
        <v>3753</v>
      </c>
      <c r="C7838" t="s">
        <v>18430</v>
      </c>
      <c r="D7838" t="s">
        <v>20</v>
      </c>
      <c r="E7838" t="s">
        <v>11</v>
      </c>
      <c r="F7838">
        <v>58.300000000000004</v>
      </c>
      <c r="G7838">
        <v>18</v>
      </c>
    </row>
    <row r="7839" spans="1:7" x14ac:dyDescent="0.25">
      <c r="A7839" t="s">
        <v>41</v>
      </c>
      <c r="B7839" t="s">
        <v>3756</v>
      </c>
      <c r="C7839" t="s">
        <v>18431</v>
      </c>
      <c r="D7839" t="s">
        <v>20</v>
      </c>
      <c r="E7839" t="s">
        <v>11</v>
      </c>
      <c r="F7839">
        <v>2827</v>
      </c>
      <c r="G7839">
        <v>18</v>
      </c>
    </row>
    <row r="7840" spans="1:7" x14ac:dyDescent="0.25">
      <c r="A7840" t="s">
        <v>41</v>
      </c>
      <c r="B7840" t="s">
        <v>3759</v>
      </c>
      <c r="C7840" t="s">
        <v>18357</v>
      </c>
      <c r="D7840" t="s">
        <v>20</v>
      </c>
      <c r="E7840" t="s">
        <v>11</v>
      </c>
      <c r="F7840">
        <v>58.300000000000004</v>
      </c>
      <c r="G7840">
        <v>18</v>
      </c>
    </row>
    <row r="7841" spans="1:7" x14ac:dyDescent="0.25">
      <c r="A7841" t="s">
        <v>41</v>
      </c>
      <c r="B7841" t="s">
        <v>3762</v>
      </c>
      <c r="C7841" t="s">
        <v>17838</v>
      </c>
      <c r="D7841" t="s">
        <v>20</v>
      </c>
      <c r="E7841" t="s">
        <v>11</v>
      </c>
      <c r="F7841">
        <v>40.7</v>
      </c>
      <c r="G7841">
        <v>18</v>
      </c>
    </row>
    <row r="7842" spans="1:7" x14ac:dyDescent="0.25">
      <c r="A7842" t="s">
        <v>41</v>
      </c>
      <c r="B7842" t="s">
        <v>3765</v>
      </c>
      <c r="C7842" t="s">
        <v>17736</v>
      </c>
      <c r="D7842" t="s">
        <v>20</v>
      </c>
      <c r="E7842" t="s">
        <v>11</v>
      </c>
      <c r="F7842">
        <v>57.2</v>
      </c>
      <c r="G7842">
        <v>18</v>
      </c>
    </row>
    <row r="7843" spans="1:7" x14ac:dyDescent="0.25">
      <c r="A7843" t="s">
        <v>41</v>
      </c>
      <c r="B7843" t="s">
        <v>3768</v>
      </c>
      <c r="C7843" t="s">
        <v>18432</v>
      </c>
      <c r="D7843" t="s">
        <v>20</v>
      </c>
      <c r="E7843" t="s">
        <v>11</v>
      </c>
      <c r="F7843">
        <v>1053.8</v>
      </c>
      <c r="G7843">
        <v>18</v>
      </c>
    </row>
    <row r="7844" spans="1:7" x14ac:dyDescent="0.25">
      <c r="A7844" t="s">
        <v>41</v>
      </c>
      <c r="B7844" t="s">
        <v>3771</v>
      </c>
      <c r="C7844" t="s">
        <v>18219</v>
      </c>
      <c r="D7844" t="s">
        <v>20</v>
      </c>
      <c r="E7844" t="s">
        <v>11</v>
      </c>
      <c r="F7844">
        <v>1485</v>
      </c>
      <c r="G7844">
        <v>18</v>
      </c>
    </row>
    <row r="7845" spans="1:7" x14ac:dyDescent="0.25">
      <c r="A7845" t="s">
        <v>41</v>
      </c>
      <c r="B7845" t="s">
        <v>3774</v>
      </c>
      <c r="C7845" t="s">
        <v>18433</v>
      </c>
      <c r="D7845" t="s">
        <v>20</v>
      </c>
      <c r="E7845" t="s">
        <v>11</v>
      </c>
      <c r="F7845">
        <v>1065.8999999999999</v>
      </c>
      <c r="G7845">
        <v>18</v>
      </c>
    </row>
    <row r="7846" spans="1:7" x14ac:dyDescent="0.25">
      <c r="A7846" t="s">
        <v>41</v>
      </c>
      <c r="B7846" t="s">
        <v>3777</v>
      </c>
      <c r="C7846" t="s">
        <v>18434</v>
      </c>
      <c r="D7846" t="s">
        <v>20</v>
      </c>
      <c r="E7846" t="s">
        <v>11</v>
      </c>
      <c r="F7846">
        <v>2015.2</v>
      </c>
      <c r="G7846">
        <v>18</v>
      </c>
    </row>
    <row r="7847" spans="1:7" x14ac:dyDescent="0.25">
      <c r="A7847" t="s">
        <v>41</v>
      </c>
      <c r="B7847" t="s">
        <v>3780</v>
      </c>
      <c r="C7847" t="s">
        <v>17654</v>
      </c>
      <c r="D7847" t="s">
        <v>20</v>
      </c>
      <c r="E7847" t="s">
        <v>11</v>
      </c>
      <c r="F7847">
        <v>57.2</v>
      </c>
      <c r="G7847">
        <v>18</v>
      </c>
    </row>
    <row r="7848" spans="1:7" x14ac:dyDescent="0.25">
      <c r="A7848" t="s">
        <v>41</v>
      </c>
      <c r="B7848" t="s">
        <v>3783</v>
      </c>
      <c r="C7848" t="s">
        <v>17677</v>
      </c>
      <c r="D7848" t="s">
        <v>20</v>
      </c>
      <c r="E7848" t="s">
        <v>11</v>
      </c>
      <c r="F7848">
        <v>61.60000000000001</v>
      </c>
      <c r="G7848">
        <v>18</v>
      </c>
    </row>
    <row r="7849" spans="1:7" x14ac:dyDescent="0.25">
      <c r="A7849" t="s">
        <v>41</v>
      </c>
      <c r="B7849" t="s">
        <v>3786</v>
      </c>
      <c r="C7849" t="s">
        <v>18435</v>
      </c>
      <c r="D7849" t="s">
        <v>20</v>
      </c>
      <c r="E7849" t="s">
        <v>11</v>
      </c>
      <c r="F7849">
        <v>762.3</v>
      </c>
      <c r="G7849">
        <v>18</v>
      </c>
    </row>
    <row r="7850" spans="1:7" x14ac:dyDescent="0.25">
      <c r="A7850" t="s">
        <v>41</v>
      </c>
      <c r="B7850" t="s">
        <v>3789</v>
      </c>
      <c r="C7850" t="s">
        <v>18436</v>
      </c>
      <c r="D7850" t="s">
        <v>20</v>
      </c>
      <c r="E7850" t="s">
        <v>11</v>
      </c>
      <c r="F7850">
        <v>930.6000000000001</v>
      </c>
      <c r="G7850">
        <v>18</v>
      </c>
    </row>
    <row r="7851" spans="1:7" x14ac:dyDescent="0.25">
      <c r="A7851" t="s">
        <v>41</v>
      </c>
      <c r="B7851" t="s">
        <v>3792</v>
      </c>
      <c r="C7851" t="s">
        <v>18437</v>
      </c>
      <c r="D7851" t="s">
        <v>20</v>
      </c>
      <c r="E7851" t="s">
        <v>11</v>
      </c>
      <c r="F7851">
        <v>418</v>
      </c>
      <c r="G7851">
        <v>18</v>
      </c>
    </row>
    <row r="7852" spans="1:7" x14ac:dyDescent="0.25">
      <c r="A7852" t="s">
        <v>41</v>
      </c>
      <c r="B7852" t="s">
        <v>3795</v>
      </c>
      <c r="C7852" t="s">
        <v>18438</v>
      </c>
      <c r="D7852" t="s">
        <v>20</v>
      </c>
      <c r="E7852" t="s">
        <v>11</v>
      </c>
      <c r="F7852">
        <v>8541.5</v>
      </c>
      <c r="G7852">
        <v>18</v>
      </c>
    </row>
    <row r="7853" spans="1:7" x14ac:dyDescent="0.25">
      <c r="A7853" t="s">
        <v>41</v>
      </c>
      <c r="B7853" t="s">
        <v>3798</v>
      </c>
      <c r="C7853" t="s">
        <v>17640</v>
      </c>
      <c r="D7853" t="s">
        <v>20</v>
      </c>
      <c r="E7853" t="s">
        <v>11</v>
      </c>
      <c r="F7853">
        <v>96024.5</v>
      </c>
      <c r="G7853">
        <v>18</v>
      </c>
    </row>
    <row r="7854" spans="1:7" x14ac:dyDescent="0.25">
      <c r="A7854" t="s">
        <v>41</v>
      </c>
      <c r="B7854" t="s">
        <v>3801</v>
      </c>
      <c r="C7854" t="s">
        <v>18439</v>
      </c>
      <c r="D7854" t="s">
        <v>20</v>
      </c>
      <c r="E7854" t="s">
        <v>11</v>
      </c>
      <c r="F7854">
        <v>96024.5</v>
      </c>
      <c r="G7854">
        <v>18</v>
      </c>
    </row>
    <row r="7855" spans="1:7" x14ac:dyDescent="0.25">
      <c r="A7855" t="s">
        <v>41</v>
      </c>
      <c r="B7855" t="s">
        <v>3804</v>
      </c>
      <c r="C7855" t="s">
        <v>18440</v>
      </c>
      <c r="D7855" t="s">
        <v>20</v>
      </c>
      <c r="E7855" t="s">
        <v>11</v>
      </c>
      <c r="F7855">
        <v>220</v>
      </c>
      <c r="G7855">
        <v>18</v>
      </c>
    </row>
    <row r="7856" spans="1:7" x14ac:dyDescent="0.25">
      <c r="A7856" t="s">
        <v>41</v>
      </c>
      <c r="B7856" t="s">
        <v>3807</v>
      </c>
      <c r="C7856" t="s">
        <v>18248</v>
      </c>
      <c r="D7856" t="s">
        <v>20</v>
      </c>
      <c r="E7856" t="s">
        <v>11</v>
      </c>
      <c r="F7856">
        <v>404.8</v>
      </c>
      <c r="G7856">
        <v>18</v>
      </c>
    </row>
    <row r="7857" spans="1:7" x14ac:dyDescent="0.25">
      <c r="A7857" t="s">
        <v>41</v>
      </c>
      <c r="B7857" t="s">
        <v>3810</v>
      </c>
      <c r="C7857" t="s">
        <v>18441</v>
      </c>
      <c r="D7857" t="s">
        <v>20</v>
      </c>
      <c r="E7857" t="s">
        <v>11</v>
      </c>
      <c r="F7857">
        <v>1797.4</v>
      </c>
      <c r="G7857">
        <v>18</v>
      </c>
    </row>
    <row r="7858" spans="1:7" x14ac:dyDescent="0.25">
      <c r="A7858" t="s">
        <v>41</v>
      </c>
      <c r="B7858" t="s">
        <v>3813</v>
      </c>
      <c r="C7858" t="s">
        <v>18442</v>
      </c>
      <c r="D7858" t="s">
        <v>20</v>
      </c>
      <c r="E7858" t="s">
        <v>11</v>
      </c>
      <c r="F7858">
        <v>1226.5</v>
      </c>
      <c r="G7858">
        <v>18</v>
      </c>
    </row>
    <row r="7859" spans="1:7" x14ac:dyDescent="0.25">
      <c r="A7859" t="s">
        <v>41</v>
      </c>
      <c r="B7859" t="s">
        <v>3816</v>
      </c>
      <c r="C7859" t="s">
        <v>17810</v>
      </c>
      <c r="D7859" t="s">
        <v>20</v>
      </c>
      <c r="E7859" t="s">
        <v>11</v>
      </c>
      <c r="F7859">
        <v>8531.6</v>
      </c>
      <c r="G7859">
        <v>18</v>
      </c>
    </row>
    <row r="7860" spans="1:7" x14ac:dyDescent="0.25">
      <c r="A7860" t="s">
        <v>41</v>
      </c>
      <c r="B7860" t="s">
        <v>3819</v>
      </c>
      <c r="C7860" t="s">
        <v>17811</v>
      </c>
      <c r="D7860" t="s">
        <v>20</v>
      </c>
      <c r="E7860" t="s">
        <v>11</v>
      </c>
      <c r="F7860">
        <v>9353.3</v>
      </c>
      <c r="G7860">
        <v>18</v>
      </c>
    </row>
    <row r="7861" spans="1:7" x14ac:dyDescent="0.25">
      <c r="A7861" t="s">
        <v>41</v>
      </c>
      <c r="B7861" t="s">
        <v>3822</v>
      </c>
      <c r="C7861" t="s">
        <v>17819</v>
      </c>
      <c r="D7861" t="s">
        <v>20</v>
      </c>
      <c r="E7861" t="s">
        <v>11</v>
      </c>
      <c r="F7861">
        <v>79.2</v>
      </c>
      <c r="G7861">
        <v>18</v>
      </c>
    </row>
    <row r="7862" spans="1:7" x14ac:dyDescent="0.25">
      <c r="A7862" t="s">
        <v>41</v>
      </c>
      <c r="B7862" t="s">
        <v>3825</v>
      </c>
      <c r="C7862" t="s">
        <v>17848</v>
      </c>
      <c r="D7862" t="s">
        <v>20</v>
      </c>
      <c r="E7862" t="s">
        <v>11</v>
      </c>
      <c r="F7862">
        <v>58.300000000000004</v>
      </c>
      <c r="G7862">
        <v>18</v>
      </c>
    </row>
    <row r="7863" spans="1:7" x14ac:dyDescent="0.25">
      <c r="A7863" t="s">
        <v>41</v>
      </c>
      <c r="B7863" t="s">
        <v>3828</v>
      </c>
      <c r="C7863" t="s">
        <v>18443</v>
      </c>
      <c r="D7863" t="s">
        <v>20</v>
      </c>
      <c r="E7863" t="s">
        <v>11</v>
      </c>
      <c r="F7863">
        <v>635.8000000000001</v>
      </c>
      <c r="G7863">
        <v>18</v>
      </c>
    </row>
    <row r="7864" spans="1:7" x14ac:dyDescent="0.25">
      <c r="A7864" t="s">
        <v>41</v>
      </c>
      <c r="B7864" t="s">
        <v>3831</v>
      </c>
      <c r="C7864" t="s">
        <v>18444</v>
      </c>
      <c r="D7864" t="s">
        <v>20</v>
      </c>
      <c r="E7864" t="s">
        <v>11</v>
      </c>
      <c r="F7864">
        <v>118.80000000000001</v>
      </c>
      <c r="G7864">
        <v>18</v>
      </c>
    </row>
    <row r="7865" spans="1:7" x14ac:dyDescent="0.25">
      <c r="A7865" t="s">
        <v>41</v>
      </c>
      <c r="B7865" t="s">
        <v>3834</v>
      </c>
      <c r="C7865" t="s">
        <v>18445</v>
      </c>
      <c r="D7865" t="s">
        <v>20</v>
      </c>
      <c r="E7865" t="s">
        <v>11</v>
      </c>
      <c r="F7865">
        <v>45988.799999999996</v>
      </c>
      <c r="G7865">
        <v>18</v>
      </c>
    </row>
    <row r="7866" spans="1:7" x14ac:dyDescent="0.25">
      <c r="A7866" t="s">
        <v>41</v>
      </c>
      <c r="B7866" t="s">
        <v>3837</v>
      </c>
      <c r="C7866" t="s">
        <v>17740</v>
      </c>
      <c r="D7866" t="s">
        <v>20</v>
      </c>
      <c r="E7866" t="s">
        <v>11</v>
      </c>
      <c r="F7866">
        <v>45988.799999999996</v>
      </c>
      <c r="G7866">
        <v>18</v>
      </c>
    </row>
    <row r="7867" spans="1:7" x14ac:dyDescent="0.25">
      <c r="A7867" t="s">
        <v>41</v>
      </c>
      <c r="B7867" t="s">
        <v>3840</v>
      </c>
      <c r="C7867" t="s">
        <v>18446</v>
      </c>
      <c r="D7867" t="s">
        <v>20</v>
      </c>
      <c r="E7867" t="s">
        <v>11</v>
      </c>
      <c r="F7867">
        <v>2164.8</v>
      </c>
      <c r="G7867">
        <v>18</v>
      </c>
    </row>
    <row r="7868" spans="1:7" x14ac:dyDescent="0.25">
      <c r="A7868" t="s">
        <v>41</v>
      </c>
      <c r="B7868" t="s">
        <v>3843</v>
      </c>
      <c r="C7868" t="s">
        <v>18447</v>
      </c>
      <c r="D7868" t="s">
        <v>20</v>
      </c>
      <c r="E7868" t="s">
        <v>11</v>
      </c>
      <c r="F7868">
        <v>2791.7999999999997</v>
      </c>
      <c r="G7868">
        <v>18</v>
      </c>
    </row>
    <row r="7869" spans="1:7" x14ac:dyDescent="0.25">
      <c r="A7869" t="s">
        <v>41</v>
      </c>
      <c r="B7869" t="s">
        <v>3846</v>
      </c>
      <c r="C7869" t="s">
        <v>17677</v>
      </c>
      <c r="D7869" t="s">
        <v>20</v>
      </c>
      <c r="E7869" t="s">
        <v>11</v>
      </c>
      <c r="F7869">
        <v>256.3</v>
      </c>
      <c r="G7869">
        <v>18</v>
      </c>
    </row>
    <row r="7870" spans="1:7" x14ac:dyDescent="0.25">
      <c r="A7870" t="s">
        <v>41</v>
      </c>
      <c r="B7870" t="s">
        <v>3849</v>
      </c>
      <c r="C7870" t="s">
        <v>17731</v>
      </c>
      <c r="D7870" t="s">
        <v>20</v>
      </c>
      <c r="E7870" t="s">
        <v>11</v>
      </c>
      <c r="F7870">
        <v>256.3</v>
      </c>
      <c r="G7870">
        <v>18</v>
      </c>
    </row>
    <row r="7871" spans="1:7" x14ac:dyDescent="0.25">
      <c r="A7871" t="s">
        <v>41</v>
      </c>
      <c r="B7871" t="s">
        <v>3852</v>
      </c>
      <c r="C7871" t="s">
        <v>18448</v>
      </c>
      <c r="D7871" t="s">
        <v>20</v>
      </c>
      <c r="E7871" t="s">
        <v>11</v>
      </c>
      <c r="F7871">
        <v>44074.8</v>
      </c>
      <c r="G7871">
        <v>18</v>
      </c>
    </row>
    <row r="7872" spans="1:7" x14ac:dyDescent="0.25">
      <c r="A7872" t="s">
        <v>41</v>
      </c>
      <c r="B7872" t="s">
        <v>3855</v>
      </c>
      <c r="C7872" t="s">
        <v>18449</v>
      </c>
      <c r="D7872" t="s">
        <v>20</v>
      </c>
      <c r="E7872" t="s">
        <v>11</v>
      </c>
      <c r="F7872">
        <v>118.80000000000001</v>
      </c>
      <c r="G7872">
        <v>18</v>
      </c>
    </row>
    <row r="7873" spans="1:7" x14ac:dyDescent="0.25">
      <c r="A7873" t="s">
        <v>41</v>
      </c>
      <c r="B7873" t="s">
        <v>3858</v>
      </c>
      <c r="C7873" t="s">
        <v>17645</v>
      </c>
      <c r="D7873" t="s">
        <v>20</v>
      </c>
      <c r="E7873" t="s">
        <v>11</v>
      </c>
      <c r="F7873">
        <v>2013</v>
      </c>
      <c r="G7873">
        <v>18</v>
      </c>
    </row>
    <row r="7874" spans="1:7" x14ac:dyDescent="0.25">
      <c r="A7874" t="s">
        <v>41</v>
      </c>
      <c r="B7874" t="s">
        <v>3861</v>
      </c>
      <c r="C7874" t="s">
        <v>18450</v>
      </c>
      <c r="D7874" t="s">
        <v>20</v>
      </c>
      <c r="E7874" t="s">
        <v>11</v>
      </c>
      <c r="F7874">
        <v>1434.3999999999999</v>
      </c>
      <c r="G7874">
        <v>18</v>
      </c>
    </row>
    <row r="7875" spans="1:7" x14ac:dyDescent="0.25">
      <c r="A7875" t="s">
        <v>41</v>
      </c>
      <c r="B7875" t="s">
        <v>3864</v>
      </c>
      <c r="C7875" t="s">
        <v>18451</v>
      </c>
      <c r="D7875" t="s">
        <v>20</v>
      </c>
      <c r="E7875" t="s">
        <v>11</v>
      </c>
      <c r="F7875">
        <v>688.6</v>
      </c>
      <c r="G7875">
        <v>18</v>
      </c>
    </row>
    <row r="7876" spans="1:7" x14ac:dyDescent="0.25">
      <c r="A7876" t="s">
        <v>41</v>
      </c>
      <c r="B7876" t="s">
        <v>3867</v>
      </c>
      <c r="C7876" t="s">
        <v>17645</v>
      </c>
      <c r="D7876" t="s">
        <v>20</v>
      </c>
      <c r="E7876" t="s">
        <v>11</v>
      </c>
      <c r="F7876">
        <v>1031.8000000000002</v>
      </c>
      <c r="G7876">
        <v>18</v>
      </c>
    </row>
    <row r="7877" spans="1:7" x14ac:dyDescent="0.25">
      <c r="A7877" t="s">
        <v>41</v>
      </c>
      <c r="B7877" t="s">
        <v>3870</v>
      </c>
      <c r="C7877" t="s">
        <v>18452</v>
      </c>
      <c r="D7877" t="s">
        <v>20</v>
      </c>
      <c r="E7877" t="s">
        <v>11</v>
      </c>
      <c r="F7877">
        <v>334.4</v>
      </c>
      <c r="G7877">
        <v>18</v>
      </c>
    </row>
    <row r="7878" spans="1:7" x14ac:dyDescent="0.25">
      <c r="A7878" t="s">
        <v>41</v>
      </c>
      <c r="B7878" t="s">
        <v>3873</v>
      </c>
      <c r="C7878" t="s">
        <v>18396</v>
      </c>
      <c r="D7878" t="s">
        <v>20</v>
      </c>
      <c r="E7878" t="s">
        <v>11</v>
      </c>
      <c r="F7878">
        <v>212.29999999999998</v>
      </c>
      <c r="G7878">
        <v>18</v>
      </c>
    </row>
    <row r="7879" spans="1:7" x14ac:dyDescent="0.25">
      <c r="A7879" t="s">
        <v>41</v>
      </c>
      <c r="B7879" t="s">
        <v>3876</v>
      </c>
      <c r="C7879" t="s">
        <v>17733</v>
      </c>
      <c r="D7879" t="s">
        <v>20</v>
      </c>
      <c r="E7879" t="s">
        <v>11</v>
      </c>
      <c r="F7879">
        <v>770</v>
      </c>
      <c r="G7879">
        <v>18</v>
      </c>
    </row>
    <row r="7880" spans="1:7" x14ac:dyDescent="0.25">
      <c r="A7880" t="s">
        <v>41</v>
      </c>
      <c r="B7880" t="s">
        <v>3879</v>
      </c>
      <c r="C7880" t="s">
        <v>18451</v>
      </c>
      <c r="D7880" t="s">
        <v>20</v>
      </c>
      <c r="E7880" t="s">
        <v>11</v>
      </c>
      <c r="F7880">
        <v>688.6</v>
      </c>
      <c r="G7880">
        <v>18</v>
      </c>
    </row>
    <row r="7881" spans="1:7" x14ac:dyDescent="0.25">
      <c r="A7881" t="s">
        <v>41</v>
      </c>
      <c r="B7881" t="s">
        <v>3882</v>
      </c>
      <c r="C7881" t="s">
        <v>18450</v>
      </c>
      <c r="D7881" t="s">
        <v>20</v>
      </c>
      <c r="E7881" t="s">
        <v>11</v>
      </c>
      <c r="F7881">
        <v>1434.3999999999999</v>
      </c>
      <c r="G7881">
        <v>18</v>
      </c>
    </row>
    <row r="7882" spans="1:7" x14ac:dyDescent="0.25">
      <c r="A7882" t="s">
        <v>41</v>
      </c>
      <c r="B7882" t="s">
        <v>3885</v>
      </c>
      <c r="C7882" t="s">
        <v>18453</v>
      </c>
      <c r="D7882" t="s">
        <v>20</v>
      </c>
      <c r="E7882" t="s">
        <v>11</v>
      </c>
      <c r="F7882">
        <v>1736.8999999999999</v>
      </c>
      <c r="G7882">
        <v>18</v>
      </c>
    </row>
    <row r="7883" spans="1:7" x14ac:dyDescent="0.25">
      <c r="A7883" t="s">
        <v>41</v>
      </c>
      <c r="B7883" t="s">
        <v>3888</v>
      </c>
      <c r="C7883" t="s">
        <v>18454</v>
      </c>
      <c r="D7883" t="s">
        <v>20</v>
      </c>
      <c r="E7883" t="s">
        <v>11</v>
      </c>
      <c r="F7883">
        <v>372.90000000000003</v>
      </c>
      <c r="G7883">
        <v>18</v>
      </c>
    </row>
    <row r="7884" spans="1:7" x14ac:dyDescent="0.25">
      <c r="A7884" t="s">
        <v>41</v>
      </c>
      <c r="B7884" t="s">
        <v>3891</v>
      </c>
      <c r="C7884" t="s">
        <v>18455</v>
      </c>
      <c r="D7884" t="s">
        <v>20</v>
      </c>
      <c r="E7884" t="s">
        <v>11</v>
      </c>
      <c r="F7884">
        <v>118.80000000000001</v>
      </c>
      <c r="G7884">
        <v>18</v>
      </c>
    </row>
    <row r="7885" spans="1:7" x14ac:dyDescent="0.25">
      <c r="A7885" t="s">
        <v>41</v>
      </c>
      <c r="B7885" t="s">
        <v>3894</v>
      </c>
      <c r="C7885" t="s">
        <v>18456</v>
      </c>
      <c r="D7885" t="s">
        <v>20</v>
      </c>
      <c r="E7885" t="s">
        <v>11</v>
      </c>
      <c r="F7885">
        <v>70.4</v>
      </c>
      <c r="G7885">
        <v>18</v>
      </c>
    </row>
    <row r="7886" spans="1:7" x14ac:dyDescent="0.25">
      <c r="A7886" t="s">
        <v>41</v>
      </c>
      <c r="B7886" t="s">
        <v>3897</v>
      </c>
      <c r="C7886" t="s">
        <v>17642</v>
      </c>
      <c r="D7886" t="s">
        <v>20</v>
      </c>
      <c r="E7886" t="s">
        <v>11</v>
      </c>
      <c r="F7886">
        <v>41548.1</v>
      </c>
      <c r="G7886">
        <v>18</v>
      </c>
    </row>
    <row r="7887" spans="1:7" x14ac:dyDescent="0.25">
      <c r="A7887" t="s">
        <v>41</v>
      </c>
      <c r="B7887" t="s">
        <v>3900</v>
      </c>
      <c r="C7887" t="s">
        <v>17643</v>
      </c>
      <c r="D7887" t="s">
        <v>20</v>
      </c>
      <c r="E7887" t="s">
        <v>11</v>
      </c>
      <c r="F7887">
        <v>25740</v>
      </c>
      <c r="G7887">
        <v>18</v>
      </c>
    </row>
    <row r="7888" spans="1:7" x14ac:dyDescent="0.25">
      <c r="A7888" t="s">
        <v>41</v>
      </c>
      <c r="B7888" t="s">
        <v>3903</v>
      </c>
      <c r="C7888" t="s">
        <v>18443</v>
      </c>
      <c r="D7888" t="s">
        <v>20</v>
      </c>
      <c r="E7888" t="s">
        <v>11</v>
      </c>
      <c r="F7888">
        <v>635.8000000000001</v>
      </c>
      <c r="G7888">
        <v>18</v>
      </c>
    </row>
    <row r="7889" spans="1:7" x14ac:dyDescent="0.25">
      <c r="A7889" t="s">
        <v>41</v>
      </c>
      <c r="B7889" t="s">
        <v>3906</v>
      </c>
      <c r="C7889" t="s">
        <v>18457</v>
      </c>
      <c r="D7889" t="s">
        <v>20</v>
      </c>
      <c r="E7889" t="s">
        <v>11</v>
      </c>
      <c r="F7889">
        <v>137.5</v>
      </c>
      <c r="G7889">
        <v>18</v>
      </c>
    </row>
    <row r="7890" spans="1:7" x14ac:dyDescent="0.25">
      <c r="A7890" t="s">
        <v>41</v>
      </c>
      <c r="B7890" t="s">
        <v>3909</v>
      </c>
      <c r="C7890" t="s">
        <v>18458</v>
      </c>
      <c r="D7890" t="s">
        <v>20</v>
      </c>
      <c r="E7890" t="s">
        <v>11</v>
      </c>
      <c r="F7890">
        <v>94.6</v>
      </c>
      <c r="G7890">
        <v>18</v>
      </c>
    </row>
    <row r="7891" spans="1:7" x14ac:dyDescent="0.25">
      <c r="A7891" t="s">
        <v>41</v>
      </c>
      <c r="B7891" t="s">
        <v>3912</v>
      </c>
      <c r="C7891" t="s">
        <v>18459</v>
      </c>
      <c r="D7891" t="s">
        <v>20</v>
      </c>
      <c r="E7891" t="s">
        <v>11</v>
      </c>
      <c r="F7891">
        <v>710.6</v>
      </c>
      <c r="G7891">
        <v>18</v>
      </c>
    </row>
    <row r="7892" spans="1:7" x14ac:dyDescent="0.25">
      <c r="A7892" t="s">
        <v>41</v>
      </c>
      <c r="B7892" t="s">
        <v>3915</v>
      </c>
      <c r="C7892" t="s">
        <v>18460</v>
      </c>
      <c r="D7892" t="s">
        <v>20</v>
      </c>
      <c r="E7892" t="s">
        <v>11</v>
      </c>
      <c r="F7892">
        <v>5825.6</v>
      </c>
      <c r="G7892">
        <v>18</v>
      </c>
    </row>
    <row r="7893" spans="1:7" x14ac:dyDescent="0.25">
      <c r="A7893" t="s">
        <v>41</v>
      </c>
      <c r="B7893" t="s">
        <v>3918</v>
      </c>
      <c r="C7893" t="s">
        <v>18461</v>
      </c>
      <c r="D7893" t="s">
        <v>20</v>
      </c>
      <c r="E7893" t="s">
        <v>11</v>
      </c>
      <c r="F7893">
        <v>17341.5</v>
      </c>
      <c r="G7893">
        <v>18</v>
      </c>
    </row>
    <row r="7894" spans="1:7" x14ac:dyDescent="0.25">
      <c r="A7894" t="s">
        <v>41</v>
      </c>
      <c r="B7894" t="s">
        <v>3921</v>
      </c>
      <c r="C7894" t="s">
        <v>18462</v>
      </c>
      <c r="D7894" t="s">
        <v>20</v>
      </c>
      <c r="E7894" t="s">
        <v>11</v>
      </c>
      <c r="F7894">
        <v>1399.2</v>
      </c>
      <c r="G7894">
        <v>18</v>
      </c>
    </row>
    <row r="7895" spans="1:7" x14ac:dyDescent="0.25">
      <c r="A7895" t="s">
        <v>41</v>
      </c>
      <c r="B7895" t="s">
        <v>3924</v>
      </c>
      <c r="C7895" t="s">
        <v>18463</v>
      </c>
      <c r="D7895" t="s">
        <v>20</v>
      </c>
      <c r="E7895" t="s">
        <v>11</v>
      </c>
      <c r="F7895">
        <v>44280.5</v>
      </c>
      <c r="G7895">
        <v>18</v>
      </c>
    </row>
    <row r="7896" spans="1:7" x14ac:dyDescent="0.25">
      <c r="A7896" t="s">
        <v>41</v>
      </c>
      <c r="B7896" t="s">
        <v>3927</v>
      </c>
      <c r="C7896" t="s">
        <v>18464</v>
      </c>
      <c r="D7896" t="s">
        <v>20</v>
      </c>
      <c r="E7896" t="s">
        <v>11</v>
      </c>
      <c r="F7896">
        <v>22110</v>
      </c>
      <c r="G7896">
        <v>18</v>
      </c>
    </row>
    <row r="7897" spans="1:7" x14ac:dyDescent="0.25">
      <c r="A7897" t="s">
        <v>41</v>
      </c>
      <c r="B7897" t="s">
        <v>3930</v>
      </c>
      <c r="C7897" t="s">
        <v>18465</v>
      </c>
      <c r="D7897" t="s">
        <v>20</v>
      </c>
      <c r="E7897" t="s">
        <v>11</v>
      </c>
      <c r="F7897">
        <v>7484.400000000001</v>
      </c>
      <c r="G7897">
        <v>18</v>
      </c>
    </row>
    <row r="7898" spans="1:7" x14ac:dyDescent="0.25">
      <c r="A7898" t="s">
        <v>41</v>
      </c>
      <c r="B7898" t="s">
        <v>3933</v>
      </c>
      <c r="C7898" t="s">
        <v>18466</v>
      </c>
      <c r="D7898" t="s">
        <v>20</v>
      </c>
      <c r="E7898" t="s">
        <v>11</v>
      </c>
      <c r="F7898">
        <v>12698.4</v>
      </c>
      <c r="G7898">
        <v>18</v>
      </c>
    </row>
    <row r="7899" spans="1:7" x14ac:dyDescent="0.25">
      <c r="A7899" t="s">
        <v>41</v>
      </c>
      <c r="B7899" t="s">
        <v>3936</v>
      </c>
      <c r="C7899" t="s">
        <v>18467</v>
      </c>
      <c r="D7899" t="s">
        <v>20</v>
      </c>
      <c r="E7899" t="s">
        <v>11</v>
      </c>
      <c r="F7899">
        <v>12698.4</v>
      </c>
      <c r="G7899">
        <v>18</v>
      </c>
    </row>
    <row r="7900" spans="1:7" x14ac:dyDescent="0.25">
      <c r="A7900" t="s">
        <v>41</v>
      </c>
      <c r="B7900" t="s">
        <v>3939</v>
      </c>
      <c r="C7900" t="s">
        <v>18468</v>
      </c>
      <c r="D7900" t="s">
        <v>20</v>
      </c>
      <c r="E7900" t="s">
        <v>11</v>
      </c>
      <c r="F7900">
        <v>21194.8</v>
      </c>
      <c r="G7900">
        <v>18</v>
      </c>
    </row>
    <row r="7901" spans="1:7" x14ac:dyDescent="0.25">
      <c r="A7901" t="s">
        <v>41</v>
      </c>
      <c r="B7901" t="s">
        <v>3942</v>
      </c>
      <c r="C7901" t="s">
        <v>18469</v>
      </c>
      <c r="D7901" t="s">
        <v>20</v>
      </c>
      <c r="E7901" t="s">
        <v>11</v>
      </c>
      <c r="F7901">
        <v>151.79999999999998</v>
      </c>
      <c r="G7901">
        <v>18</v>
      </c>
    </row>
    <row r="7902" spans="1:7" x14ac:dyDescent="0.25">
      <c r="A7902" t="s">
        <v>41</v>
      </c>
      <c r="B7902" t="s">
        <v>3945</v>
      </c>
      <c r="C7902" t="s">
        <v>17657</v>
      </c>
      <c r="D7902" t="s">
        <v>20</v>
      </c>
      <c r="E7902" t="s">
        <v>11</v>
      </c>
      <c r="F7902">
        <v>70.4</v>
      </c>
      <c r="G7902">
        <v>18</v>
      </c>
    </row>
    <row r="7903" spans="1:7" x14ac:dyDescent="0.25">
      <c r="A7903" t="s">
        <v>41</v>
      </c>
      <c r="B7903" t="s">
        <v>3948</v>
      </c>
      <c r="C7903" t="s">
        <v>18470</v>
      </c>
      <c r="D7903" t="s">
        <v>20</v>
      </c>
      <c r="E7903" t="s">
        <v>11</v>
      </c>
      <c r="F7903">
        <v>9116.8</v>
      </c>
      <c r="G7903">
        <v>18</v>
      </c>
    </row>
    <row r="7904" spans="1:7" x14ac:dyDescent="0.25">
      <c r="A7904" t="s">
        <v>41</v>
      </c>
      <c r="B7904" t="s">
        <v>3951</v>
      </c>
      <c r="C7904" t="s">
        <v>18471</v>
      </c>
      <c r="D7904" t="s">
        <v>20</v>
      </c>
      <c r="E7904" t="s">
        <v>11</v>
      </c>
      <c r="F7904">
        <v>151.79999999999998</v>
      </c>
      <c r="G7904">
        <v>18</v>
      </c>
    </row>
    <row r="7905" spans="1:7" x14ac:dyDescent="0.25">
      <c r="A7905" t="s">
        <v>41</v>
      </c>
      <c r="B7905" t="s">
        <v>3954</v>
      </c>
      <c r="C7905" t="s">
        <v>17657</v>
      </c>
      <c r="D7905" t="s">
        <v>20</v>
      </c>
      <c r="E7905" t="s">
        <v>11</v>
      </c>
      <c r="F7905">
        <v>70.4</v>
      </c>
      <c r="G7905">
        <v>18</v>
      </c>
    </row>
    <row r="7906" spans="1:7" x14ac:dyDescent="0.25">
      <c r="A7906" t="s">
        <v>41</v>
      </c>
      <c r="B7906" t="s">
        <v>3957</v>
      </c>
      <c r="C7906" t="s">
        <v>18472</v>
      </c>
      <c r="D7906" t="s">
        <v>20</v>
      </c>
      <c r="E7906" t="s">
        <v>11</v>
      </c>
      <c r="F7906">
        <v>31735</v>
      </c>
      <c r="G7906">
        <v>18</v>
      </c>
    </row>
    <row r="7907" spans="1:7" x14ac:dyDescent="0.25">
      <c r="A7907" t="s">
        <v>41</v>
      </c>
      <c r="B7907" t="s">
        <v>3960</v>
      </c>
      <c r="C7907" t="s">
        <v>18473</v>
      </c>
      <c r="D7907" t="s">
        <v>20</v>
      </c>
      <c r="E7907" t="s">
        <v>11</v>
      </c>
      <c r="F7907">
        <v>31735</v>
      </c>
      <c r="G7907">
        <v>18</v>
      </c>
    </row>
    <row r="7908" spans="1:7" x14ac:dyDescent="0.25">
      <c r="A7908" t="s">
        <v>41</v>
      </c>
      <c r="B7908" t="s">
        <v>3963</v>
      </c>
      <c r="C7908" t="s">
        <v>18474</v>
      </c>
      <c r="D7908" t="s">
        <v>20</v>
      </c>
      <c r="E7908" t="s">
        <v>11</v>
      </c>
      <c r="F7908">
        <v>4412.1</v>
      </c>
      <c r="G7908">
        <v>18</v>
      </c>
    </row>
    <row r="7909" spans="1:7" x14ac:dyDescent="0.25">
      <c r="A7909" t="s">
        <v>41</v>
      </c>
      <c r="B7909" t="s">
        <v>3966</v>
      </c>
      <c r="C7909" t="s">
        <v>18475</v>
      </c>
      <c r="D7909" t="s">
        <v>20</v>
      </c>
      <c r="E7909" t="s">
        <v>11</v>
      </c>
      <c r="F7909">
        <v>1797.4</v>
      </c>
      <c r="G7909">
        <v>18</v>
      </c>
    </row>
    <row r="7910" spans="1:7" x14ac:dyDescent="0.25">
      <c r="A7910" t="s">
        <v>41</v>
      </c>
      <c r="B7910" t="s">
        <v>3969</v>
      </c>
      <c r="C7910" t="s">
        <v>18476</v>
      </c>
      <c r="D7910" t="s">
        <v>20</v>
      </c>
      <c r="E7910" t="s">
        <v>11</v>
      </c>
      <c r="F7910">
        <v>2432.1</v>
      </c>
      <c r="G7910">
        <v>18</v>
      </c>
    </row>
    <row r="7911" spans="1:7" x14ac:dyDescent="0.25">
      <c r="A7911" t="s">
        <v>41</v>
      </c>
      <c r="B7911" t="s">
        <v>3972</v>
      </c>
      <c r="C7911" t="s">
        <v>18477</v>
      </c>
      <c r="D7911" t="s">
        <v>20</v>
      </c>
      <c r="E7911" t="s">
        <v>11</v>
      </c>
      <c r="F7911">
        <v>8372.1</v>
      </c>
      <c r="G7911">
        <v>18</v>
      </c>
    </row>
    <row r="7912" spans="1:7" x14ac:dyDescent="0.25">
      <c r="A7912" t="s">
        <v>41</v>
      </c>
      <c r="B7912" t="s">
        <v>3975</v>
      </c>
      <c r="C7912" t="s">
        <v>18396</v>
      </c>
      <c r="D7912" t="s">
        <v>20</v>
      </c>
      <c r="E7912" t="s">
        <v>11</v>
      </c>
      <c r="F7912">
        <v>212.29999999999998</v>
      </c>
      <c r="G7912">
        <v>18</v>
      </c>
    </row>
    <row r="7913" spans="1:7" x14ac:dyDescent="0.25">
      <c r="A7913" t="s">
        <v>41</v>
      </c>
      <c r="B7913" t="s">
        <v>3978</v>
      </c>
      <c r="C7913" t="s">
        <v>18478</v>
      </c>
      <c r="D7913" t="s">
        <v>20</v>
      </c>
      <c r="E7913" t="s">
        <v>11</v>
      </c>
      <c r="F7913">
        <v>7410.700000000001</v>
      </c>
      <c r="G7913">
        <v>18</v>
      </c>
    </row>
    <row r="7914" spans="1:7" x14ac:dyDescent="0.25">
      <c r="A7914" t="s">
        <v>41</v>
      </c>
      <c r="B7914" t="s">
        <v>3981</v>
      </c>
      <c r="C7914" t="s">
        <v>18479</v>
      </c>
      <c r="D7914" t="s">
        <v>20</v>
      </c>
      <c r="E7914" t="s">
        <v>11</v>
      </c>
      <c r="F7914">
        <v>10336.7</v>
      </c>
      <c r="G7914">
        <v>18</v>
      </c>
    </row>
    <row r="7915" spans="1:7" x14ac:dyDescent="0.25">
      <c r="A7915" t="s">
        <v>41</v>
      </c>
      <c r="B7915" t="s">
        <v>3984</v>
      </c>
      <c r="C7915" t="s">
        <v>17673</v>
      </c>
      <c r="D7915" t="s">
        <v>20</v>
      </c>
      <c r="E7915" t="s">
        <v>11</v>
      </c>
      <c r="F7915">
        <v>6704.5</v>
      </c>
      <c r="G7915">
        <v>18</v>
      </c>
    </row>
    <row r="7916" spans="1:7" x14ac:dyDescent="0.25">
      <c r="A7916" t="s">
        <v>41</v>
      </c>
      <c r="B7916" t="s">
        <v>3987</v>
      </c>
      <c r="C7916" t="s">
        <v>18480</v>
      </c>
      <c r="D7916" t="s">
        <v>20</v>
      </c>
      <c r="E7916" t="s">
        <v>11</v>
      </c>
      <c r="F7916">
        <v>872.3</v>
      </c>
      <c r="G7916">
        <v>18</v>
      </c>
    </row>
    <row r="7917" spans="1:7" x14ac:dyDescent="0.25">
      <c r="A7917" t="s">
        <v>41</v>
      </c>
      <c r="B7917" t="s">
        <v>3990</v>
      </c>
      <c r="C7917" t="s">
        <v>18481</v>
      </c>
      <c r="D7917" t="s">
        <v>20</v>
      </c>
      <c r="E7917" t="s">
        <v>11</v>
      </c>
      <c r="F7917">
        <v>151.79999999999998</v>
      </c>
      <c r="G7917">
        <v>18</v>
      </c>
    </row>
    <row r="7918" spans="1:7" x14ac:dyDescent="0.25">
      <c r="A7918" t="s">
        <v>41</v>
      </c>
      <c r="B7918" t="s">
        <v>3993</v>
      </c>
      <c r="C7918" t="s">
        <v>17689</v>
      </c>
      <c r="D7918" t="s">
        <v>20</v>
      </c>
      <c r="E7918" t="s">
        <v>11</v>
      </c>
      <c r="F7918">
        <v>57.2</v>
      </c>
      <c r="G7918">
        <v>18</v>
      </c>
    </row>
    <row r="7919" spans="1:7" x14ac:dyDescent="0.25">
      <c r="A7919" t="s">
        <v>41</v>
      </c>
      <c r="B7919" t="s">
        <v>3996</v>
      </c>
      <c r="C7919" t="s">
        <v>18482</v>
      </c>
      <c r="D7919" t="s">
        <v>20</v>
      </c>
      <c r="E7919" t="s">
        <v>11</v>
      </c>
      <c r="F7919">
        <v>70.4</v>
      </c>
      <c r="G7919">
        <v>18</v>
      </c>
    </row>
    <row r="7920" spans="1:7" x14ac:dyDescent="0.25">
      <c r="A7920" t="s">
        <v>41</v>
      </c>
      <c r="B7920" t="s">
        <v>3999</v>
      </c>
      <c r="C7920" t="s">
        <v>18483</v>
      </c>
      <c r="D7920" t="s">
        <v>20</v>
      </c>
      <c r="E7920" t="s">
        <v>11</v>
      </c>
      <c r="F7920">
        <v>8466.7</v>
      </c>
      <c r="G7920">
        <v>18</v>
      </c>
    </row>
    <row r="7921" spans="1:7" x14ac:dyDescent="0.25">
      <c r="A7921" t="s">
        <v>41</v>
      </c>
      <c r="B7921" t="s">
        <v>4002</v>
      </c>
      <c r="C7921" t="s">
        <v>18484</v>
      </c>
      <c r="D7921" t="s">
        <v>20</v>
      </c>
      <c r="E7921" t="s">
        <v>11</v>
      </c>
      <c r="F7921">
        <v>4545.2</v>
      </c>
      <c r="G7921">
        <v>18</v>
      </c>
    </row>
    <row r="7922" spans="1:7" x14ac:dyDescent="0.25">
      <c r="A7922" t="s">
        <v>41</v>
      </c>
      <c r="B7922" t="s">
        <v>4005</v>
      </c>
      <c r="C7922" t="s">
        <v>18485</v>
      </c>
      <c r="D7922" t="s">
        <v>20</v>
      </c>
      <c r="E7922" t="s">
        <v>11</v>
      </c>
      <c r="F7922">
        <v>8466.7</v>
      </c>
      <c r="G7922">
        <v>18</v>
      </c>
    </row>
    <row r="7923" spans="1:7" x14ac:dyDescent="0.25">
      <c r="A7923" t="s">
        <v>41</v>
      </c>
      <c r="B7923" t="s">
        <v>4008</v>
      </c>
      <c r="C7923" t="s">
        <v>18486</v>
      </c>
      <c r="D7923" t="s">
        <v>20</v>
      </c>
      <c r="E7923" t="s">
        <v>11</v>
      </c>
      <c r="F7923">
        <v>4545.2</v>
      </c>
      <c r="G7923">
        <v>18</v>
      </c>
    </row>
    <row r="7924" spans="1:7" x14ac:dyDescent="0.25">
      <c r="A7924" t="s">
        <v>41</v>
      </c>
      <c r="B7924" t="s">
        <v>4011</v>
      </c>
      <c r="C7924" t="s">
        <v>18471</v>
      </c>
      <c r="D7924" t="s">
        <v>20</v>
      </c>
      <c r="E7924" t="s">
        <v>11</v>
      </c>
      <c r="F7924">
        <v>61.60000000000001</v>
      </c>
      <c r="G7924">
        <v>18</v>
      </c>
    </row>
    <row r="7925" spans="1:7" x14ac:dyDescent="0.25">
      <c r="A7925" t="s">
        <v>41</v>
      </c>
      <c r="B7925" t="s">
        <v>4014</v>
      </c>
      <c r="C7925" t="s">
        <v>18471</v>
      </c>
      <c r="D7925" t="s">
        <v>20</v>
      </c>
      <c r="E7925" t="s">
        <v>11</v>
      </c>
      <c r="F7925">
        <v>151.79999999999998</v>
      </c>
      <c r="G7925">
        <v>18</v>
      </c>
    </row>
    <row r="7926" spans="1:7" x14ac:dyDescent="0.25">
      <c r="A7926" t="s">
        <v>41</v>
      </c>
      <c r="B7926" t="s">
        <v>4017</v>
      </c>
      <c r="C7926" t="s">
        <v>18487</v>
      </c>
      <c r="D7926" t="s">
        <v>20</v>
      </c>
      <c r="E7926" t="s">
        <v>11</v>
      </c>
      <c r="F7926">
        <v>140.8</v>
      </c>
      <c r="G7926">
        <v>18</v>
      </c>
    </row>
    <row r="7927" spans="1:7" x14ac:dyDescent="0.25">
      <c r="A7927" t="s">
        <v>41</v>
      </c>
      <c r="B7927" t="s">
        <v>4020</v>
      </c>
      <c r="C7927" t="s">
        <v>18488</v>
      </c>
      <c r="D7927" t="s">
        <v>20</v>
      </c>
      <c r="E7927" t="s">
        <v>11</v>
      </c>
      <c r="F7927">
        <v>70.4</v>
      </c>
      <c r="G7927">
        <v>18</v>
      </c>
    </row>
    <row r="7928" spans="1:7" x14ac:dyDescent="0.25">
      <c r="A7928" t="s">
        <v>41</v>
      </c>
      <c r="B7928" t="s">
        <v>4023</v>
      </c>
      <c r="C7928" t="s">
        <v>17832</v>
      </c>
      <c r="D7928" t="s">
        <v>20</v>
      </c>
      <c r="E7928" t="s">
        <v>11</v>
      </c>
      <c r="F7928">
        <v>63.8</v>
      </c>
      <c r="G7928">
        <v>18</v>
      </c>
    </row>
    <row r="7929" spans="1:7" x14ac:dyDescent="0.25">
      <c r="A7929" t="s">
        <v>41</v>
      </c>
      <c r="B7929" t="s">
        <v>4026</v>
      </c>
      <c r="C7929" t="s">
        <v>18489</v>
      </c>
      <c r="D7929" t="s">
        <v>20</v>
      </c>
      <c r="E7929" t="s">
        <v>11</v>
      </c>
      <c r="F7929">
        <v>7375.5</v>
      </c>
      <c r="G7929">
        <v>18</v>
      </c>
    </row>
    <row r="7930" spans="1:7" x14ac:dyDescent="0.25">
      <c r="A7930" t="s">
        <v>41</v>
      </c>
      <c r="B7930" t="s">
        <v>4029</v>
      </c>
      <c r="C7930" t="s">
        <v>18490</v>
      </c>
      <c r="D7930" t="s">
        <v>20</v>
      </c>
      <c r="E7930" t="s">
        <v>11</v>
      </c>
      <c r="F7930">
        <v>11710.599999999999</v>
      </c>
      <c r="G7930">
        <v>18</v>
      </c>
    </row>
    <row r="7931" spans="1:7" x14ac:dyDescent="0.25">
      <c r="A7931" t="s">
        <v>41</v>
      </c>
      <c r="B7931" t="s">
        <v>4032</v>
      </c>
      <c r="C7931" t="s">
        <v>18491</v>
      </c>
      <c r="D7931" t="s">
        <v>20</v>
      </c>
      <c r="E7931" t="s">
        <v>11</v>
      </c>
      <c r="F7931">
        <v>151.79999999999998</v>
      </c>
      <c r="G7931">
        <v>18</v>
      </c>
    </row>
    <row r="7932" spans="1:7" x14ac:dyDescent="0.25">
      <c r="A7932" t="s">
        <v>41</v>
      </c>
      <c r="B7932" t="s">
        <v>4035</v>
      </c>
      <c r="C7932" t="s">
        <v>17656</v>
      </c>
      <c r="D7932" t="s">
        <v>20</v>
      </c>
      <c r="E7932" t="s">
        <v>11</v>
      </c>
      <c r="F7932">
        <v>57.2</v>
      </c>
      <c r="G7932">
        <v>18</v>
      </c>
    </row>
    <row r="7933" spans="1:7" x14ac:dyDescent="0.25">
      <c r="A7933" t="s">
        <v>41</v>
      </c>
      <c r="B7933" t="s">
        <v>4038</v>
      </c>
      <c r="C7933" t="s">
        <v>18492</v>
      </c>
      <c r="D7933" t="s">
        <v>20</v>
      </c>
      <c r="E7933" t="s">
        <v>11</v>
      </c>
      <c r="F7933">
        <v>70.4</v>
      </c>
      <c r="G7933">
        <v>18</v>
      </c>
    </row>
    <row r="7934" spans="1:7" x14ac:dyDescent="0.25">
      <c r="A7934" t="s">
        <v>41</v>
      </c>
      <c r="B7934" t="s">
        <v>4041</v>
      </c>
      <c r="C7934" t="s">
        <v>18493</v>
      </c>
      <c r="D7934" t="s">
        <v>20</v>
      </c>
      <c r="E7934" t="s">
        <v>11</v>
      </c>
      <c r="F7934">
        <v>3978.7000000000003</v>
      </c>
      <c r="G7934">
        <v>18</v>
      </c>
    </row>
    <row r="7935" spans="1:7" x14ac:dyDescent="0.25">
      <c r="A7935" t="s">
        <v>41</v>
      </c>
      <c r="B7935" t="s">
        <v>4044</v>
      </c>
      <c r="C7935" t="s">
        <v>18494</v>
      </c>
      <c r="D7935" t="s">
        <v>20</v>
      </c>
      <c r="E7935" t="s">
        <v>11</v>
      </c>
      <c r="F7935">
        <v>140.8</v>
      </c>
      <c r="G7935">
        <v>18</v>
      </c>
    </row>
    <row r="7936" spans="1:7" x14ac:dyDescent="0.25">
      <c r="A7936" t="s">
        <v>41</v>
      </c>
      <c r="B7936" t="s">
        <v>4047</v>
      </c>
      <c r="C7936" t="s">
        <v>18495</v>
      </c>
      <c r="D7936" t="s">
        <v>20</v>
      </c>
      <c r="E7936" t="s">
        <v>11</v>
      </c>
      <c r="F7936">
        <v>25826.899999999998</v>
      </c>
      <c r="G7936">
        <v>18</v>
      </c>
    </row>
    <row r="7937" spans="1:7" x14ac:dyDescent="0.25">
      <c r="A7937" t="s">
        <v>41</v>
      </c>
      <c r="B7937" t="s">
        <v>4050</v>
      </c>
      <c r="C7937" t="s">
        <v>18496</v>
      </c>
      <c r="D7937" t="s">
        <v>20</v>
      </c>
      <c r="E7937" t="s">
        <v>11</v>
      </c>
      <c r="F7937">
        <v>8351.2</v>
      </c>
      <c r="G7937">
        <v>18</v>
      </c>
    </row>
    <row r="7938" spans="1:7" x14ac:dyDescent="0.25">
      <c r="A7938" t="s">
        <v>41</v>
      </c>
      <c r="B7938" t="s">
        <v>4053</v>
      </c>
      <c r="C7938" t="s">
        <v>18497</v>
      </c>
      <c r="D7938" t="s">
        <v>20</v>
      </c>
      <c r="E7938" t="s">
        <v>11</v>
      </c>
      <c r="F7938">
        <v>1413.5</v>
      </c>
      <c r="G7938">
        <v>18</v>
      </c>
    </row>
    <row r="7939" spans="1:7" x14ac:dyDescent="0.25">
      <c r="A7939" t="s">
        <v>41</v>
      </c>
      <c r="B7939" t="s">
        <v>4056</v>
      </c>
      <c r="C7939" t="s">
        <v>18498</v>
      </c>
      <c r="D7939" t="s">
        <v>20</v>
      </c>
      <c r="E7939" t="s">
        <v>11</v>
      </c>
      <c r="F7939">
        <v>1672</v>
      </c>
      <c r="G7939">
        <v>18</v>
      </c>
    </row>
    <row r="7940" spans="1:7" x14ac:dyDescent="0.25">
      <c r="A7940" t="s">
        <v>41</v>
      </c>
      <c r="B7940" t="s">
        <v>4059</v>
      </c>
      <c r="C7940" t="s">
        <v>18499</v>
      </c>
      <c r="D7940" t="s">
        <v>20</v>
      </c>
      <c r="E7940" t="s">
        <v>11</v>
      </c>
      <c r="F7940">
        <v>3063.5</v>
      </c>
      <c r="G7940">
        <v>18</v>
      </c>
    </row>
    <row r="7941" spans="1:7" x14ac:dyDescent="0.25">
      <c r="A7941" t="s">
        <v>41</v>
      </c>
      <c r="B7941" t="s">
        <v>4062</v>
      </c>
      <c r="C7941" t="s">
        <v>18500</v>
      </c>
      <c r="D7941" t="s">
        <v>20</v>
      </c>
      <c r="E7941" t="s">
        <v>11</v>
      </c>
      <c r="F7941">
        <v>185.9</v>
      </c>
      <c r="G7941">
        <v>18</v>
      </c>
    </row>
    <row r="7942" spans="1:7" x14ac:dyDescent="0.25">
      <c r="A7942" t="s">
        <v>41</v>
      </c>
      <c r="B7942" t="s">
        <v>4065</v>
      </c>
      <c r="C7942" t="s">
        <v>18501</v>
      </c>
      <c r="D7942" t="s">
        <v>20</v>
      </c>
      <c r="E7942" t="s">
        <v>11</v>
      </c>
      <c r="F7942">
        <v>70.4</v>
      </c>
      <c r="G7942">
        <v>18</v>
      </c>
    </row>
    <row r="7943" spans="1:7" x14ac:dyDescent="0.25">
      <c r="A7943" t="s">
        <v>41</v>
      </c>
      <c r="B7943" t="s">
        <v>4068</v>
      </c>
      <c r="C7943" t="s">
        <v>18502</v>
      </c>
      <c r="D7943" t="s">
        <v>20</v>
      </c>
      <c r="E7943" t="s">
        <v>11</v>
      </c>
      <c r="F7943">
        <v>1441</v>
      </c>
      <c r="G7943">
        <v>18</v>
      </c>
    </row>
    <row r="7944" spans="1:7" x14ac:dyDescent="0.25">
      <c r="A7944" t="s">
        <v>41</v>
      </c>
      <c r="B7944" t="s">
        <v>4071</v>
      </c>
      <c r="C7944" t="s">
        <v>18494</v>
      </c>
      <c r="D7944" t="s">
        <v>20</v>
      </c>
      <c r="E7944" t="s">
        <v>11</v>
      </c>
      <c r="F7944">
        <v>140.8</v>
      </c>
      <c r="G7944">
        <v>18</v>
      </c>
    </row>
    <row r="7945" spans="1:7" x14ac:dyDescent="0.25">
      <c r="A7945" t="s">
        <v>41</v>
      </c>
      <c r="B7945" t="s">
        <v>4074</v>
      </c>
      <c r="C7945" t="s">
        <v>18350</v>
      </c>
      <c r="D7945" t="s">
        <v>20</v>
      </c>
      <c r="E7945" t="s">
        <v>11</v>
      </c>
      <c r="F7945">
        <v>70.4</v>
      </c>
      <c r="G7945">
        <v>18</v>
      </c>
    </row>
    <row r="7946" spans="1:7" x14ac:dyDescent="0.25">
      <c r="A7946" t="s">
        <v>41</v>
      </c>
      <c r="B7946" t="s">
        <v>4077</v>
      </c>
      <c r="C7946" t="s">
        <v>18503</v>
      </c>
      <c r="D7946" t="s">
        <v>20</v>
      </c>
      <c r="E7946" t="s">
        <v>11</v>
      </c>
      <c r="F7946">
        <v>63.8</v>
      </c>
      <c r="G7946">
        <v>18</v>
      </c>
    </row>
    <row r="7947" spans="1:7" x14ac:dyDescent="0.25">
      <c r="A7947" t="s">
        <v>41</v>
      </c>
      <c r="B7947" t="s">
        <v>4080</v>
      </c>
      <c r="C7947" t="s">
        <v>18504</v>
      </c>
      <c r="D7947" t="s">
        <v>20</v>
      </c>
      <c r="E7947" t="s">
        <v>11</v>
      </c>
      <c r="F7947">
        <v>20837.3</v>
      </c>
      <c r="G7947">
        <v>18</v>
      </c>
    </row>
    <row r="7948" spans="1:7" x14ac:dyDescent="0.25">
      <c r="A7948" t="s">
        <v>41</v>
      </c>
      <c r="B7948" t="s">
        <v>4083</v>
      </c>
      <c r="C7948" t="s">
        <v>18505</v>
      </c>
      <c r="D7948" t="s">
        <v>20</v>
      </c>
      <c r="E7948" t="s">
        <v>11</v>
      </c>
      <c r="F7948">
        <v>11936.1</v>
      </c>
      <c r="G7948">
        <v>18</v>
      </c>
    </row>
    <row r="7949" spans="1:7" x14ac:dyDescent="0.25">
      <c r="A7949" t="s">
        <v>41</v>
      </c>
      <c r="B7949" t="s">
        <v>4086</v>
      </c>
      <c r="C7949" t="s">
        <v>18506</v>
      </c>
      <c r="D7949" t="s">
        <v>20</v>
      </c>
      <c r="E7949" t="s">
        <v>11</v>
      </c>
      <c r="F7949">
        <v>3522.2000000000003</v>
      </c>
      <c r="G7949">
        <v>18</v>
      </c>
    </row>
    <row r="7950" spans="1:7" x14ac:dyDescent="0.25">
      <c r="A7950" t="s">
        <v>41</v>
      </c>
      <c r="B7950" t="s">
        <v>4089</v>
      </c>
      <c r="C7950" t="s">
        <v>18507</v>
      </c>
      <c r="D7950" t="s">
        <v>20</v>
      </c>
      <c r="E7950" t="s">
        <v>11</v>
      </c>
      <c r="F7950">
        <v>140.8</v>
      </c>
      <c r="G7950">
        <v>18</v>
      </c>
    </row>
    <row r="7951" spans="1:7" x14ac:dyDescent="0.25">
      <c r="A7951" t="s">
        <v>41</v>
      </c>
      <c r="B7951" t="s">
        <v>4092</v>
      </c>
      <c r="C7951" t="s">
        <v>17656</v>
      </c>
      <c r="D7951" t="s">
        <v>20</v>
      </c>
      <c r="E7951" t="s">
        <v>11</v>
      </c>
      <c r="F7951">
        <v>57.2</v>
      </c>
      <c r="G7951">
        <v>18</v>
      </c>
    </row>
    <row r="7952" spans="1:7" x14ac:dyDescent="0.25">
      <c r="A7952" t="s">
        <v>41</v>
      </c>
      <c r="B7952" t="s">
        <v>4095</v>
      </c>
      <c r="C7952" t="s">
        <v>18492</v>
      </c>
      <c r="D7952" t="s">
        <v>20</v>
      </c>
      <c r="E7952" t="s">
        <v>11</v>
      </c>
      <c r="F7952">
        <v>70.4</v>
      </c>
      <c r="G7952">
        <v>18</v>
      </c>
    </row>
    <row r="7953" spans="1:7" x14ac:dyDescent="0.25">
      <c r="A7953" t="s">
        <v>41</v>
      </c>
      <c r="B7953" t="s">
        <v>4098</v>
      </c>
      <c r="C7953" t="s">
        <v>18508</v>
      </c>
      <c r="D7953" t="s">
        <v>20</v>
      </c>
      <c r="E7953" t="s">
        <v>11</v>
      </c>
      <c r="F7953">
        <v>2432.1</v>
      </c>
      <c r="G7953">
        <v>18</v>
      </c>
    </row>
    <row r="7954" spans="1:7" x14ac:dyDescent="0.25">
      <c r="A7954" t="s">
        <v>41</v>
      </c>
      <c r="B7954" t="s">
        <v>4101</v>
      </c>
      <c r="C7954" t="s">
        <v>18509</v>
      </c>
      <c r="D7954" t="s">
        <v>20</v>
      </c>
      <c r="E7954" t="s">
        <v>11</v>
      </c>
      <c r="F7954">
        <v>1182.5</v>
      </c>
      <c r="G7954">
        <v>18</v>
      </c>
    </row>
    <row r="7955" spans="1:7" x14ac:dyDescent="0.25">
      <c r="A7955" t="s">
        <v>41</v>
      </c>
      <c r="B7955" t="s">
        <v>4104</v>
      </c>
      <c r="C7955" t="s">
        <v>18456</v>
      </c>
      <c r="D7955" t="s">
        <v>20</v>
      </c>
      <c r="E7955" t="s">
        <v>11</v>
      </c>
      <c r="F7955">
        <v>114.4</v>
      </c>
      <c r="G7955">
        <v>18</v>
      </c>
    </row>
    <row r="7956" spans="1:7" x14ac:dyDescent="0.25">
      <c r="A7956" t="s">
        <v>41</v>
      </c>
      <c r="B7956" t="s">
        <v>4107</v>
      </c>
      <c r="C7956" t="s">
        <v>18350</v>
      </c>
      <c r="D7956" t="s">
        <v>20</v>
      </c>
      <c r="E7956" t="s">
        <v>11</v>
      </c>
      <c r="F7956">
        <v>70.4</v>
      </c>
      <c r="G7956">
        <v>18</v>
      </c>
    </row>
    <row r="7957" spans="1:7" x14ac:dyDescent="0.25">
      <c r="A7957" t="s">
        <v>41</v>
      </c>
      <c r="B7957" t="s">
        <v>4110</v>
      </c>
      <c r="C7957" t="s">
        <v>18510</v>
      </c>
      <c r="D7957" t="s">
        <v>20</v>
      </c>
      <c r="E7957" t="s">
        <v>11</v>
      </c>
      <c r="F7957">
        <v>482.9</v>
      </c>
      <c r="G7957">
        <v>18</v>
      </c>
    </row>
    <row r="7958" spans="1:7" x14ac:dyDescent="0.25">
      <c r="A7958" t="s">
        <v>41</v>
      </c>
      <c r="B7958" t="s">
        <v>4113</v>
      </c>
      <c r="C7958" t="s">
        <v>18511</v>
      </c>
      <c r="D7958" t="s">
        <v>20</v>
      </c>
      <c r="E7958" t="s">
        <v>11</v>
      </c>
      <c r="F7958">
        <v>151.79999999999998</v>
      </c>
      <c r="G7958">
        <v>18</v>
      </c>
    </row>
    <row r="7959" spans="1:7" x14ac:dyDescent="0.25">
      <c r="A7959" t="s">
        <v>41</v>
      </c>
      <c r="B7959" t="s">
        <v>4116</v>
      </c>
      <c r="C7959" t="s">
        <v>18512</v>
      </c>
      <c r="D7959" t="s">
        <v>20</v>
      </c>
      <c r="E7959" t="s">
        <v>11</v>
      </c>
      <c r="F7959">
        <v>1868.8999999999999</v>
      </c>
      <c r="G7959">
        <v>18</v>
      </c>
    </row>
    <row r="7960" spans="1:7" x14ac:dyDescent="0.25">
      <c r="A7960" t="s">
        <v>41</v>
      </c>
      <c r="B7960" t="s">
        <v>4119</v>
      </c>
      <c r="C7960" t="s">
        <v>18513</v>
      </c>
      <c r="D7960" t="s">
        <v>20</v>
      </c>
      <c r="E7960" t="s">
        <v>11</v>
      </c>
      <c r="F7960">
        <v>140.8</v>
      </c>
      <c r="G7960">
        <v>18</v>
      </c>
    </row>
    <row r="7961" spans="1:7" x14ac:dyDescent="0.25">
      <c r="A7961" t="s">
        <v>41</v>
      </c>
      <c r="B7961" t="s">
        <v>4122</v>
      </c>
      <c r="C7961" t="s">
        <v>18514</v>
      </c>
      <c r="D7961" t="s">
        <v>20</v>
      </c>
      <c r="E7961" t="s">
        <v>11</v>
      </c>
      <c r="F7961">
        <v>70.4</v>
      </c>
      <c r="G7961">
        <v>18</v>
      </c>
    </row>
    <row r="7962" spans="1:7" x14ac:dyDescent="0.25">
      <c r="A7962" t="s">
        <v>41</v>
      </c>
      <c r="B7962" t="s">
        <v>4125</v>
      </c>
      <c r="C7962" t="s">
        <v>18515</v>
      </c>
      <c r="D7962" t="s">
        <v>20</v>
      </c>
      <c r="E7962" t="s">
        <v>11</v>
      </c>
      <c r="F7962">
        <v>71.5</v>
      </c>
      <c r="G7962">
        <v>18</v>
      </c>
    </row>
    <row r="7963" spans="1:7" x14ac:dyDescent="0.25">
      <c r="A7963" t="s">
        <v>41</v>
      </c>
      <c r="B7963" t="s">
        <v>4128</v>
      </c>
      <c r="C7963" t="s">
        <v>18350</v>
      </c>
      <c r="D7963" t="s">
        <v>20</v>
      </c>
      <c r="E7963" t="s">
        <v>11</v>
      </c>
      <c r="F7963">
        <v>70.4</v>
      </c>
      <c r="G7963">
        <v>18</v>
      </c>
    </row>
    <row r="7964" spans="1:7" x14ac:dyDescent="0.25">
      <c r="A7964" t="s">
        <v>41</v>
      </c>
      <c r="B7964" t="s">
        <v>4131</v>
      </c>
      <c r="C7964" t="s">
        <v>18516</v>
      </c>
      <c r="D7964" t="s">
        <v>20</v>
      </c>
      <c r="E7964" t="s">
        <v>11</v>
      </c>
      <c r="F7964">
        <v>268733.30000000005</v>
      </c>
      <c r="G7964">
        <v>18</v>
      </c>
    </row>
    <row r="7965" spans="1:7" x14ac:dyDescent="0.25">
      <c r="A7965" t="s">
        <v>41</v>
      </c>
      <c r="B7965" t="s">
        <v>4134</v>
      </c>
      <c r="C7965" t="s">
        <v>18517</v>
      </c>
      <c r="D7965" t="s">
        <v>20</v>
      </c>
      <c r="E7965" t="s">
        <v>11</v>
      </c>
      <c r="F7965">
        <v>80625.6</v>
      </c>
      <c r="G7965">
        <v>18</v>
      </c>
    </row>
    <row r="7966" spans="1:7" x14ac:dyDescent="0.25">
      <c r="A7966" t="s">
        <v>41</v>
      </c>
      <c r="B7966" t="s">
        <v>4137</v>
      </c>
      <c r="C7966" t="s">
        <v>18518</v>
      </c>
      <c r="D7966" t="s">
        <v>20</v>
      </c>
      <c r="E7966" t="s">
        <v>11</v>
      </c>
      <c r="F7966">
        <v>173.8</v>
      </c>
      <c r="G7966">
        <v>18</v>
      </c>
    </row>
    <row r="7967" spans="1:7" x14ac:dyDescent="0.25">
      <c r="A7967" t="s">
        <v>41</v>
      </c>
      <c r="B7967" t="s">
        <v>4140</v>
      </c>
      <c r="C7967" t="s">
        <v>18519</v>
      </c>
      <c r="D7967" t="s">
        <v>20</v>
      </c>
      <c r="E7967" t="s">
        <v>11</v>
      </c>
      <c r="F7967">
        <v>85.8</v>
      </c>
      <c r="G7967">
        <v>18</v>
      </c>
    </row>
    <row r="7968" spans="1:7" x14ac:dyDescent="0.25">
      <c r="A7968" t="s">
        <v>41</v>
      </c>
      <c r="B7968" t="s">
        <v>4143</v>
      </c>
      <c r="C7968" t="s">
        <v>18443</v>
      </c>
      <c r="D7968" t="s">
        <v>20</v>
      </c>
      <c r="E7968" t="s">
        <v>11</v>
      </c>
      <c r="F7968">
        <v>3271.3999999999996</v>
      </c>
      <c r="G7968">
        <v>18</v>
      </c>
    </row>
    <row r="7969" spans="1:7" x14ac:dyDescent="0.25">
      <c r="A7969" t="s">
        <v>41</v>
      </c>
      <c r="B7969" t="s">
        <v>4146</v>
      </c>
      <c r="C7969" t="s">
        <v>18520</v>
      </c>
      <c r="D7969" t="s">
        <v>20</v>
      </c>
      <c r="E7969" t="s">
        <v>11</v>
      </c>
      <c r="F7969">
        <v>1080.2</v>
      </c>
      <c r="G7969">
        <v>18</v>
      </c>
    </row>
    <row r="7970" spans="1:7" x14ac:dyDescent="0.25">
      <c r="A7970" t="s">
        <v>41</v>
      </c>
      <c r="B7970" t="s">
        <v>4149</v>
      </c>
      <c r="C7970" t="s">
        <v>18521</v>
      </c>
      <c r="D7970" t="s">
        <v>20</v>
      </c>
      <c r="E7970" t="s">
        <v>11</v>
      </c>
      <c r="F7970">
        <v>2150.5</v>
      </c>
      <c r="G7970">
        <v>18</v>
      </c>
    </row>
    <row r="7971" spans="1:7" x14ac:dyDescent="0.25">
      <c r="A7971" t="s">
        <v>41</v>
      </c>
      <c r="B7971" t="s">
        <v>4152</v>
      </c>
      <c r="C7971" t="s">
        <v>18522</v>
      </c>
      <c r="D7971" t="s">
        <v>20</v>
      </c>
      <c r="E7971" t="s">
        <v>11</v>
      </c>
      <c r="F7971">
        <v>16845.399999999998</v>
      </c>
      <c r="G7971">
        <v>18</v>
      </c>
    </row>
    <row r="7972" spans="1:7" x14ac:dyDescent="0.25">
      <c r="A7972" t="s">
        <v>41</v>
      </c>
      <c r="B7972" t="s">
        <v>4155</v>
      </c>
      <c r="C7972" t="s">
        <v>18523</v>
      </c>
      <c r="D7972" t="s">
        <v>20</v>
      </c>
      <c r="E7972" t="s">
        <v>11</v>
      </c>
      <c r="F7972">
        <v>1612.6</v>
      </c>
      <c r="G7972">
        <v>18</v>
      </c>
    </row>
    <row r="7973" spans="1:7" x14ac:dyDescent="0.25">
      <c r="A7973" t="s">
        <v>41</v>
      </c>
      <c r="B7973" t="s">
        <v>4158</v>
      </c>
      <c r="C7973" t="s">
        <v>18524</v>
      </c>
      <c r="D7973" t="s">
        <v>20</v>
      </c>
      <c r="E7973" t="s">
        <v>11</v>
      </c>
      <c r="F7973">
        <v>1185.8</v>
      </c>
      <c r="G7973">
        <v>18</v>
      </c>
    </row>
    <row r="7974" spans="1:7" x14ac:dyDescent="0.25">
      <c r="A7974" t="s">
        <v>41</v>
      </c>
      <c r="B7974" t="s">
        <v>4161</v>
      </c>
      <c r="C7974" t="s">
        <v>18525</v>
      </c>
      <c r="D7974" t="s">
        <v>20</v>
      </c>
      <c r="E7974" t="s">
        <v>11</v>
      </c>
      <c r="F7974">
        <v>702.9</v>
      </c>
      <c r="G7974">
        <v>18</v>
      </c>
    </row>
    <row r="7975" spans="1:7" x14ac:dyDescent="0.25">
      <c r="A7975" t="s">
        <v>41</v>
      </c>
      <c r="B7975" t="s">
        <v>4164</v>
      </c>
      <c r="C7975" t="s">
        <v>18526</v>
      </c>
      <c r="D7975" t="s">
        <v>20</v>
      </c>
      <c r="E7975" t="s">
        <v>11</v>
      </c>
      <c r="F7975">
        <v>70.4</v>
      </c>
      <c r="G7975">
        <v>18</v>
      </c>
    </row>
    <row r="7976" spans="1:7" x14ac:dyDescent="0.25">
      <c r="A7976" t="s">
        <v>41</v>
      </c>
      <c r="B7976" t="s">
        <v>4167</v>
      </c>
      <c r="C7976" t="s">
        <v>18527</v>
      </c>
      <c r="D7976" t="s">
        <v>20</v>
      </c>
      <c r="E7976" t="s">
        <v>11</v>
      </c>
      <c r="F7976">
        <v>70.4</v>
      </c>
      <c r="G7976">
        <v>18</v>
      </c>
    </row>
    <row r="7977" spans="1:7" x14ac:dyDescent="0.25">
      <c r="A7977" t="s">
        <v>41</v>
      </c>
      <c r="B7977" t="s">
        <v>4170</v>
      </c>
      <c r="C7977" t="s">
        <v>18528</v>
      </c>
      <c r="D7977" t="s">
        <v>20</v>
      </c>
      <c r="E7977" t="s">
        <v>11</v>
      </c>
      <c r="F7977">
        <v>3906.1</v>
      </c>
      <c r="G7977">
        <v>18</v>
      </c>
    </row>
    <row r="7978" spans="1:7" x14ac:dyDescent="0.25">
      <c r="A7978" t="s">
        <v>41</v>
      </c>
      <c r="B7978" t="s">
        <v>4173</v>
      </c>
      <c r="C7978" t="s">
        <v>18529</v>
      </c>
      <c r="D7978" t="s">
        <v>20</v>
      </c>
      <c r="E7978" t="s">
        <v>11</v>
      </c>
      <c r="F7978">
        <v>151.79999999999998</v>
      </c>
      <c r="G7978">
        <v>18</v>
      </c>
    </row>
    <row r="7979" spans="1:7" x14ac:dyDescent="0.25">
      <c r="A7979" t="s">
        <v>41</v>
      </c>
      <c r="B7979" t="s">
        <v>4176</v>
      </c>
      <c r="C7979" t="s">
        <v>18530</v>
      </c>
      <c r="D7979" t="s">
        <v>20</v>
      </c>
      <c r="E7979" t="s">
        <v>11</v>
      </c>
      <c r="F7979">
        <v>1332.1</v>
      </c>
      <c r="G7979">
        <v>18</v>
      </c>
    </row>
    <row r="7980" spans="1:7" x14ac:dyDescent="0.25">
      <c r="A7980" t="s">
        <v>41</v>
      </c>
      <c r="B7980" t="s">
        <v>4179</v>
      </c>
      <c r="C7980" t="s">
        <v>18531</v>
      </c>
      <c r="D7980" t="s">
        <v>20</v>
      </c>
      <c r="E7980" t="s">
        <v>11</v>
      </c>
      <c r="F7980">
        <v>2700.5</v>
      </c>
      <c r="G7980">
        <v>18</v>
      </c>
    </row>
    <row r="7981" spans="1:7" x14ac:dyDescent="0.25">
      <c r="A7981" t="s">
        <v>41</v>
      </c>
      <c r="B7981" t="s">
        <v>4182</v>
      </c>
      <c r="C7981" t="s">
        <v>18532</v>
      </c>
      <c r="D7981" t="s">
        <v>20</v>
      </c>
      <c r="E7981" t="s">
        <v>11</v>
      </c>
      <c r="F7981">
        <v>70.4</v>
      </c>
      <c r="G7981">
        <v>18</v>
      </c>
    </row>
    <row r="7982" spans="1:7" x14ac:dyDescent="0.25">
      <c r="A7982" t="s">
        <v>41</v>
      </c>
      <c r="B7982" t="s">
        <v>4185</v>
      </c>
      <c r="C7982" t="s">
        <v>18533</v>
      </c>
      <c r="D7982" t="s">
        <v>20</v>
      </c>
      <c r="E7982" t="s">
        <v>11</v>
      </c>
      <c r="F7982">
        <v>691.9</v>
      </c>
      <c r="G7982">
        <v>18</v>
      </c>
    </row>
    <row r="7983" spans="1:7" x14ac:dyDescent="0.25">
      <c r="A7983" t="s">
        <v>41</v>
      </c>
      <c r="B7983" t="s">
        <v>4188</v>
      </c>
      <c r="C7983" t="s">
        <v>18534</v>
      </c>
      <c r="D7983" t="s">
        <v>20</v>
      </c>
      <c r="E7983" t="s">
        <v>11</v>
      </c>
      <c r="F7983">
        <v>212.29999999999998</v>
      </c>
      <c r="G7983">
        <v>18</v>
      </c>
    </row>
    <row r="7984" spans="1:7" x14ac:dyDescent="0.25">
      <c r="A7984" t="s">
        <v>41</v>
      </c>
      <c r="B7984" t="s">
        <v>4191</v>
      </c>
      <c r="C7984" t="s">
        <v>18535</v>
      </c>
      <c r="D7984" t="s">
        <v>20</v>
      </c>
      <c r="E7984" t="s">
        <v>11</v>
      </c>
      <c r="F7984">
        <v>2635.6</v>
      </c>
      <c r="G7984">
        <v>18</v>
      </c>
    </row>
    <row r="7985" spans="1:7" x14ac:dyDescent="0.25">
      <c r="A7985" t="s">
        <v>41</v>
      </c>
      <c r="B7985" t="s">
        <v>4194</v>
      </c>
      <c r="C7985" t="s">
        <v>18536</v>
      </c>
      <c r="D7985" t="s">
        <v>20</v>
      </c>
      <c r="E7985" t="s">
        <v>11</v>
      </c>
      <c r="F7985">
        <v>58.300000000000004</v>
      </c>
      <c r="G7985">
        <v>18</v>
      </c>
    </row>
    <row r="7986" spans="1:7" x14ac:dyDescent="0.25">
      <c r="A7986" t="s">
        <v>41</v>
      </c>
      <c r="B7986" t="s">
        <v>4197</v>
      </c>
      <c r="C7986" t="s">
        <v>18537</v>
      </c>
      <c r="D7986" t="s">
        <v>20</v>
      </c>
      <c r="E7986" t="s">
        <v>11</v>
      </c>
      <c r="F7986">
        <v>4107.400000000001</v>
      </c>
      <c r="G7986">
        <v>18</v>
      </c>
    </row>
    <row r="7987" spans="1:7" x14ac:dyDescent="0.25">
      <c r="A7987" t="s">
        <v>41</v>
      </c>
      <c r="B7987" t="s">
        <v>4200</v>
      </c>
      <c r="C7987" t="s">
        <v>18069</v>
      </c>
      <c r="D7987" t="s">
        <v>20</v>
      </c>
      <c r="E7987" t="s">
        <v>11</v>
      </c>
      <c r="F7987">
        <v>140.8</v>
      </c>
      <c r="G7987">
        <v>18</v>
      </c>
    </row>
    <row r="7988" spans="1:7" x14ac:dyDescent="0.25">
      <c r="A7988" t="s">
        <v>41</v>
      </c>
      <c r="B7988" t="s">
        <v>4202</v>
      </c>
      <c r="C7988" t="s">
        <v>17656</v>
      </c>
      <c r="D7988" t="s">
        <v>20</v>
      </c>
      <c r="E7988" t="s">
        <v>11</v>
      </c>
      <c r="F7988">
        <v>57.2</v>
      </c>
      <c r="G7988">
        <v>18</v>
      </c>
    </row>
    <row r="7989" spans="1:7" x14ac:dyDescent="0.25">
      <c r="A7989" t="s">
        <v>41</v>
      </c>
      <c r="B7989" t="s">
        <v>4204</v>
      </c>
      <c r="C7989" t="s">
        <v>18492</v>
      </c>
      <c r="D7989" t="s">
        <v>20</v>
      </c>
      <c r="E7989" t="s">
        <v>11</v>
      </c>
      <c r="F7989">
        <v>70.4</v>
      </c>
      <c r="G7989">
        <v>18</v>
      </c>
    </row>
    <row r="7990" spans="1:7" x14ac:dyDescent="0.25">
      <c r="A7990" t="s">
        <v>41</v>
      </c>
      <c r="B7990" t="s">
        <v>4207</v>
      </c>
      <c r="C7990" t="s">
        <v>18538</v>
      </c>
      <c r="D7990" t="s">
        <v>20</v>
      </c>
      <c r="E7990" t="s">
        <v>11</v>
      </c>
      <c r="F7990">
        <v>766.6999999999999</v>
      </c>
      <c r="G7990">
        <v>18</v>
      </c>
    </row>
    <row r="7991" spans="1:7" x14ac:dyDescent="0.25">
      <c r="A7991" t="s">
        <v>41</v>
      </c>
      <c r="B7991" t="s">
        <v>4210</v>
      </c>
      <c r="C7991" t="s">
        <v>18539</v>
      </c>
      <c r="D7991" t="s">
        <v>20</v>
      </c>
      <c r="E7991" t="s">
        <v>11</v>
      </c>
      <c r="F7991">
        <v>378.4</v>
      </c>
      <c r="G7991">
        <v>18</v>
      </c>
    </row>
    <row r="7992" spans="1:7" x14ac:dyDescent="0.25">
      <c r="A7992" t="s">
        <v>41</v>
      </c>
      <c r="B7992" t="s">
        <v>4213</v>
      </c>
      <c r="C7992" t="s">
        <v>18540</v>
      </c>
      <c r="D7992" t="s">
        <v>20</v>
      </c>
      <c r="E7992" t="s">
        <v>11</v>
      </c>
      <c r="F7992">
        <v>2984.2999999999997</v>
      </c>
      <c r="G7992">
        <v>18</v>
      </c>
    </row>
    <row r="7993" spans="1:7" x14ac:dyDescent="0.25">
      <c r="A7993" t="s">
        <v>41</v>
      </c>
      <c r="B7993" t="s">
        <v>4216</v>
      </c>
      <c r="C7993" t="s">
        <v>18541</v>
      </c>
      <c r="D7993" t="s">
        <v>20</v>
      </c>
      <c r="E7993" t="s">
        <v>11</v>
      </c>
      <c r="F7993">
        <v>13949.1</v>
      </c>
      <c r="G7993">
        <v>18</v>
      </c>
    </row>
    <row r="7994" spans="1:7" x14ac:dyDescent="0.25">
      <c r="A7994" t="s">
        <v>41</v>
      </c>
      <c r="B7994" t="s">
        <v>4219</v>
      </c>
      <c r="C7994" t="s">
        <v>18542</v>
      </c>
      <c r="D7994" t="s">
        <v>20</v>
      </c>
      <c r="E7994" t="s">
        <v>11</v>
      </c>
      <c r="F7994">
        <v>1125.3</v>
      </c>
      <c r="G7994">
        <v>18</v>
      </c>
    </row>
    <row r="7995" spans="1:7" x14ac:dyDescent="0.25">
      <c r="A7995" t="s">
        <v>41</v>
      </c>
      <c r="B7995" t="s">
        <v>4222</v>
      </c>
      <c r="C7995" t="s">
        <v>18543</v>
      </c>
      <c r="D7995" t="s">
        <v>20</v>
      </c>
      <c r="E7995" t="s">
        <v>11</v>
      </c>
      <c r="F7995">
        <v>1125.3</v>
      </c>
      <c r="G7995">
        <v>18</v>
      </c>
    </row>
    <row r="7996" spans="1:7" x14ac:dyDescent="0.25">
      <c r="A7996" t="s">
        <v>41</v>
      </c>
      <c r="B7996" t="s">
        <v>4225</v>
      </c>
      <c r="C7996" t="s">
        <v>18544</v>
      </c>
      <c r="D7996" t="s">
        <v>20</v>
      </c>
      <c r="E7996" t="s">
        <v>11</v>
      </c>
      <c r="F7996">
        <v>173.8</v>
      </c>
      <c r="G7996">
        <v>18</v>
      </c>
    </row>
    <row r="7997" spans="1:7" x14ac:dyDescent="0.25">
      <c r="A7997" t="s">
        <v>41</v>
      </c>
      <c r="B7997" t="s">
        <v>4228</v>
      </c>
      <c r="C7997" t="s">
        <v>18545</v>
      </c>
      <c r="D7997" t="s">
        <v>20</v>
      </c>
      <c r="E7997" t="s">
        <v>11</v>
      </c>
      <c r="F7997">
        <v>590.7</v>
      </c>
      <c r="G7997">
        <v>18</v>
      </c>
    </row>
    <row r="7998" spans="1:7" x14ac:dyDescent="0.25">
      <c r="A7998" t="s">
        <v>41</v>
      </c>
      <c r="B7998" t="s">
        <v>4231</v>
      </c>
      <c r="C7998" t="s">
        <v>18546</v>
      </c>
      <c r="D7998" t="s">
        <v>20</v>
      </c>
      <c r="E7998" t="s">
        <v>11</v>
      </c>
      <c r="F7998">
        <v>118.80000000000001</v>
      </c>
      <c r="G7998">
        <v>18</v>
      </c>
    </row>
    <row r="7999" spans="1:7" x14ac:dyDescent="0.25">
      <c r="A7999" t="s">
        <v>41</v>
      </c>
      <c r="B7999" t="s">
        <v>4234</v>
      </c>
      <c r="C7999" t="s">
        <v>18547</v>
      </c>
      <c r="D7999" t="s">
        <v>20</v>
      </c>
      <c r="E7999" t="s">
        <v>11</v>
      </c>
      <c r="F7999">
        <v>646.8</v>
      </c>
      <c r="G7999">
        <v>18</v>
      </c>
    </row>
    <row r="8000" spans="1:7" x14ac:dyDescent="0.25">
      <c r="A8000" t="s">
        <v>41</v>
      </c>
      <c r="B8000" t="s">
        <v>4237</v>
      </c>
      <c r="C8000" t="s">
        <v>18548</v>
      </c>
      <c r="D8000" t="s">
        <v>20</v>
      </c>
      <c r="E8000" t="s">
        <v>11</v>
      </c>
      <c r="F8000">
        <v>185.9</v>
      </c>
      <c r="G8000">
        <v>18</v>
      </c>
    </row>
    <row r="8001" spans="1:7" x14ac:dyDescent="0.25">
      <c r="A8001" t="s">
        <v>41</v>
      </c>
      <c r="B8001" t="s">
        <v>4240</v>
      </c>
      <c r="C8001" t="s">
        <v>18549</v>
      </c>
      <c r="D8001" t="s">
        <v>20</v>
      </c>
      <c r="E8001" t="s">
        <v>11</v>
      </c>
      <c r="F8001">
        <v>6898.1</v>
      </c>
      <c r="G8001">
        <v>18</v>
      </c>
    </row>
    <row r="8002" spans="1:7" x14ac:dyDescent="0.25">
      <c r="A8002" t="s">
        <v>41</v>
      </c>
      <c r="B8002" t="s">
        <v>4243</v>
      </c>
      <c r="C8002" t="s">
        <v>18550</v>
      </c>
      <c r="D8002" t="s">
        <v>20</v>
      </c>
      <c r="E8002" t="s">
        <v>11</v>
      </c>
      <c r="F8002">
        <v>6898.1</v>
      </c>
      <c r="G8002">
        <v>18</v>
      </c>
    </row>
    <row r="8003" spans="1:7" x14ac:dyDescent="0.25">
      <c r="A8003" t="s">
        <v>41</v>
      </c>
      <c r="B8003" t="s">
        <v>4246</v>
      </c>
      <c r="C8003" t="s">
        <v>18546</v>
      </c>
      <c r="D8003" t="s">
        <v>20</v>
      </c>
      <c r="E8003" t="s">
        <v>11</v>
      </c>
      <c r="F8003">
        <v>118.80000000000001</v>
      </c>
      <c r="G8003">
        <v>18</v>
      </c>
    </row>
    <row r="8004" spans="1:7" x14ac:dyDescent="0.25">
      <c r="A8004" t="s">
        <v>41</v>
      </c>
      <c r="B8004" t="s">
        <v>4249</v>
      </c>
      <c r="C8004" t="s">
        <v>18544</v>
      </c>
      <c r="D8004" t="s">
        <v>20</v>
      </c>
      <c r="E8004" t="s">
        <v>11</v>
      </c>
      <c r="F8004">
        <v>173.8</v>
      </c>
      <c r="G8004">
        <v>18</v>
      </c>
    </row>
    <row r="8005" spans="1:7" x14ac:dyDescent="0.25">
      <c r="A8005" t="s">
        <v>41</v>
      </c>
      <c r="B8005" t="s">
        <v>4252</v>
      </c>
      <c r="C8005" t="s">
        <v>18551</v>
      </c>
      <c r="D8005" t="s">
        <v>20</v>
      </c>
      <c r="E8005" t="s">
        <v>11</v>
      </c>
      <c r="F8005">
        <v>1425.6000000000001</v>
      </c>
      <c r="G8005">
        <v>18</v>
      </c>
    </row>
    <row r="8006" spans="1:7" x14ac:dyDescent="0.25">
      <c r="A8006" t="s">
        <v>41</v>
      </c>
      <c r="B8006" t="s">
        <v>4255</v>
      </c>
      <c r="C8006" t="s">
        <v>18515</v>
      </c>
      <c r="D8006" t="s">
        <v>20</v>
      </c>
      <c r="E8006" t="s">
        <v>11</v>
      </c>
      <c r="F8006">
        <v>71.5</v>
      </c>
      <c r="G8006">
        <v>18</v>
      </c>
    </row>
    <row r="8007" spans="1:7" x14ac:dyDescent="0.25">
      <c r="A8007" t="s">
        <v>41</v>
      </c>
      <c r="B8007" t="s">
        <v>4258</v>
      </c>
      <c r="C8007" t="s">
        <v>17942</v>
      </c>
      <c r="D8007" t="s">
        <v>20</v>
      </c>
      <c r="E8007" t="s">
        <v>11</v>
      </c>
      <c r="F8007">
        <v>69.3</v>
      </c>
      <c r="G8007">
        <v>18</v>
      </c>
    </row>
    <row r="8008" spans="1:7" x14ac:dyDescent="0.25">
      <c r="A8008" t="s">
        <v>41</v>
      </c>
      <c r="B8008" t="s">
        <v>4261</v>
      </c>
      <c r="C8008" t="s">
        <v>18552</v>
      </c>
      <c r="D8008" t="s">
        <v>20</v>
      </c>
      <c r="E8008" t="s">
        <v>11</v>
      </c>
      <c r="F8008">
        <v>783.2</v>
      </c>
      <c r="G8008">
        <v>18</v>
      </c>
    </row>
    <row r="8009" spans="1:7" x14ac:dyDescent="0.25">
      <c r="A8009" t="s">
        <v>41</v>
      </c>
      <c r="B8009" t="s">
        <v>4264</v>
      </c>
      <c r="C8009" t="s">
        <v>18386</v>
      </c>
      <c r="D8009" t="s">
        <v>20</v>
      </c>
      <c r="E8009" t="s">
        <v>11</v>
      </c>
      <c r="F8009">
        <v>118.80000000000001</v>
      </c>
      <c r="G8009">
        <v>18</v>
      </c>
    </row>
    <row r="8010" spans="1:7" x14ac:dyDescent="0.25">
      <c r="A8010" t="s">
        <v>41</v>
      </c>
      <c r="B8010" t="s">
        <v>4267</v>
      </c>
      <c r="C8010" t="s">
        <v>18040</v>
      </c>
      <c r="D8010" t="s">
        <v>20</v>
      </c>
      <c r="E8010" t="s">
        <v>11</v>
      </c>
      <c r="F8010">
        <v>63.8</v>
      </c>
      <c r="G8010">
        <v>18</v>
      </c>
    </row>
    <row r="8011" spans="1:7" x14ac:dyDescent="0.25">
      <c r="A8011" t="s">
        <v>41</v>
      </c>
      <c r="B8011" t="s">
        <v>4270</v>
      </c>
      <c r="C8011" t="s">
        <v>18553</v>
      </c>
      <c r="D8011" t="s">
        <v>20</v>
      </c>
      <c r="E8011" t="s">
        <v>11</v>
      </c>
      <c r="F8011">
        <v>2432.1</v>
      </c>
      <c r="G8011">
        <v>18</v>
      </c>
    </row>
    <row r="8012" spans="1:7" x14ac:dyDescent="0.25">
      <c r="A8012" t="s">
        <v>41</v>
      </c>
      <c r="B8012" t="s">
        <v>4273</v>
      </c>
      <c r="C8012" t="s">
        <v>18554</v>
      </c>
      <c r="D8012" t="s">
        <v>20</v>
      </c>
      <c r="E8012" t="s">
        <v>11</v>
      </c>
      <c r="F8012">
        <v>1868.8999999999999</v>
      </c>
      <c r="G8012">
        <v>18</v>
      </c>
    </row>
    <row r="8013" spans="1:7" x14ac:dyDescent="0.25">
      <c r="A8013" t="s">
        <v>41</v>
      </c>
      <c r="B8013" t="s">
        <v>4276</v>
      </c>
      <c r="C8013" t="s">
        <v>18494</v>
      </c>
      <c r="D8013" t="s">
        <v>20</v>
      </c>
      <c r="E8013" t="s">
        <v>11</v>
      </c>
      <c r="F8013">
        <v>140.8</v>
      </c>
      <c r="G8013">
        <v>18</v>
      </c>
    </row>
    <row r="8014" spans="1:7" x14ac:dyDescent="0.25">
      <c r="A8014" t="s">
        <v>41</v>
      </c>
      <c r="B8014" t="s">
        <v>4279</v>
      </c>
      <c r="C8014" t="s">
        <v>17657</v>
      </c>
      <c r="D8014" t="s">
        <v>20</v>
      </c>
      <c r="E8014" t="s">
        <v>11</v>
      </c>
      <c r="F8014">
        <v>58.300000000000004</v>
      </c>
      <c r="G8014">
        <v>18</v>
      </c>
    </row>
    <row r="8015" spans="1:7" x14ac:dyDescent="0.25">
      <c r="A8015" t="s">
        <v>41</v>
      </c>
      <c r="B8015" t="s">
        <v>4282</v>
      </c>
      <c r="C8015" t="s">
        <v>18028</v>
      </c>
      <c r="D8015" t="s">
        <v>20</v>
      </c>
      <c r="E8015" t="s">
        <v>11</v>
      </c>
      <c r="F8015">
        <v>94.6</v>
      </c>
      <c r="G8015">
        <v>18</v>
      </c>
    </row>
    <row r="8016" spans="1:7" x14ac:dyDescent="0.25">
      <c r="A8016" t="s">
        <v>41</v>
      </c>
      <c r="B8016" t="s">
        <v>4285</v>
      </c>
      <c r="C8016" t="s">
        <v>18555</v>
      </c>
      <c r="D8016" t="s">
        <v>20</v>
      </c>
      <c r="E8016" t="s">
        <v>11</v>
      </c>
      <c r="F8016">
        <v>18406.300000000003</v>
      </c>
      <c r="G8016">
        <v>18</v>
      </c>
    </row>
    <row r="8017" spans="1:7" x14ac:dyDescent="0.25">
      <c r="A8017" t="s">
        <v>41</v>
      </c>
      <c r="B8017" t="s">
        <v>4288</v>
      </c>
      <c r="C8017" t="s">
        <v>18556</v>
      </c>
      <c r="D8017" t="s">
        <v>20</v>
      </c>
      <c r="E8017" t="s">
        <v>11</v>
      </c>
      <c r="F8017">
        <v>18406.300000000003</v>
      </c>
      <c r="G8017">
        <v>18</v>
      </c>
    </row>
    <row r="8018" spans="1:7" x14ac:dyDescent="0.25">
      <c r="A8018" t="s">
        <v>41</v>
      </c>
      <c r="B8018" t="s">
        <v>4291</v>
      </c>
      <c r="C8018" t="s">
        <v>18549</v>
      </c>
      <c r="D8018" t="s">
        <v>20</v>
      </c>
      <c r="E8018" t="s">
        <v>11</v>
      </c>
      <c r="F8018">
        <v>22306.899999999998</v>
      </c>
      <c r="G8018">
        <v>18</v>
      </c>
    </row>
    <row r="8019" spans="1:7" x14ac:dyDescent="0.25">
      <c r="A8019" t="s">
        <v>41</v>
      </c>
      <c r="B8019" t="s">
        <v>4294</v>
      </c>
      <c r="C8019" t="s">
        <v>18550</v>
      </c>
      <c r="D8019" t="s">
        <v>20</v>
      </c>
      <c r="E8019" t="s">
        <v>11</v>
      </c>
      <c r="F8019">
        <v>22306.899999999998</v>
      </c>
      <c r="G8019">
        <v>18</v>
      </c>
    </row>
    <row r="8020" spans="1:7" x14ac:dyDescent="0.25">
      <c r="A8020" t="s">
        <v>41</v>
      </c>
      <c r="B8020" t="s">
        <v>4297</v>
      </c>
      <c r="C8020" t="s">
        <v>18557</v>
      </c>
      <c r="D8020" t="s">
        <v>20</v>
      </c>
      <c r="E8020" t="s">
        <v>11</v>
      </c>
      <c r="F8020">
        <v>1317.8</v>
      </c>
      <c r="G8020">
        <v>18</v>
      </c>
    </row>
    <row r="8021" spans="1:7" x14ac:dyDescent="0.25">
      <c r="A8021" t="s">
        <v>41</v>
      </c>
      <c r="B8021" t="s">
        <v>4300</v>
      </c>
      <c r="C8021" t="s">
        <v>18069</v>
      </c>
      <c r="D8021" t="s">
        <v>20</v>
      </c>
      <c r="E8021" t="s">
        <v>11</v>
      </c>
      <c r="F8021">
        <v>140.8</v>
      </c>
      <c r="G8021">
        <v>18</v>
      </c>
    </row>
    <row r="8022" spans="1:7" x14ac:dyDescent="0.25">
      <c r="A8022" t="s">
        <v>41</v>
      </c>
      <c r="B8022" t="s">
        <v>4303</v>
      </c>
      <c r="C8022" t="s">
        <v>17656</v>
      </c>
      <c r="D8022" t="s">
        <v>20</v>
      </c>
      <c r="E8022" t="s">
        <v>11</v>
      </c>
      <c r="F8022">
        <v>57.2</v>
      </c>
      <c r="G8022">
        <v>18</v>
      </c>
    </row>
    <row r="8023" spans="1:7" x14ac:dyDescent="0.25">
      <c r="A8023" t="s">
        <v>41</v>
      </c>
      <c r="B8023" t="s">
        <v>4306</v>
      </c>
      <c r="C8023" t="s">
        <v>18492</v>
      </c>
      <c r="D8023" t="s">
        <v>20</v>
      </c>
      <c r="E8023" t="s">
        <v>11</v>
      </c>
      <c r="F8023">
        <v>70.4</v>
      </c>
      <c r="G8023">
        <v>18</v>
      </c>
    </row>
    <row r="8024" spans="1:7" x14ac:dyDescent="0.25">
      <c r="A8024" t="s">
        <v>41</v>
      </c>
      <c r="B8024" t="s">
        <v>4309</v>
      </c>
      <c r="C8024" t="s">
        <v>18558</v>
      </c>
      <c r="D8024" t="s">
        <v>20</v>
      </c>
      <c r="E8024" t="s">
        <v>11</v>
      </c>
      <c r="F8024">
        <v>2627.9</v>
      </c>
      <c r="G8024">
        <v>18</v>
      </c>
    </row>
    <row r="8025" spans="1:7" x14ac:dyDescent="0.25">
      <c r="A8025" t="s">
        <v>41</v>
      </c>
      <c r="B8025" t="s">
        <v>4312</v>
      </c>
      <c r="C8025" t="s">
        <v>18494</v>
      </c>
      <c r="D8025" t="s">
        <v>20</v>
      </c>
      <c r="E8025" t="s">
        <v>11</v>
      </c>
      <c r="F8025">
        <v>140.8</v>
      </c>
      <c r="G8025">
        <v>18</v>
      </c>
    </row>
    <row r="8026" spans="1:7" x14ac:dyDescent="0.25">
      <c r="A8026" t="s">
        <v>41</v>
      </c>
      <c r="B8026" t="s">
        <v>4315</v>
      </c>
      <c r="C8026" t="s">
        <v>18559</v>
      </c>
      <c r="D8026" t="s">
        <v>20</v>
      </c>
      <c r="E8026" t="s">
        <v>11</v>
      </c>
      <c r="F8026">
        <v>772.1999999999999</v>
      </c>
      <c r="G8026">
        <v>18</v>
      </c>
    </row>
    <row r="8027" spans="1:7" x14ac:dyDescent="0.25">
      <c r="A8027" t="s">
        <v>41</v>
      </c>
      <c r="B8027" t="s">
        <v>4318</v>
      </c>
      <c r="C8027" t="s">
        <v>18386</v>
      </c>
      <c r="D8027" t="s">
        <v>20</v>
      </c>
      <c r="E8027" t="s">
        <v>11</v>
      </c>
      <c r="F8027">
        <v>118.80000000000001</v>
      </c>
      <c r="G8027">
        <v>18</v>
      </c>
    </row>
    <row r="8028" spans="1:7" x14ac:dyDescent="0.25">
      <c r="A8028" t="s">
        <v>41</v>
      </c>
      <c r="B8028" t="s">
        <v>4321</v>
      </c>
      <c r="C8028" t="s">
        <v>18560</v>
      </c>
      <c r="D8028" t="s">
        <v>20</v>
      </c>
      <c r="E8028" t="s">
        <v>11</v>
      </c>
      <c r="F8028">
        <v>1114.3000000000002</v>
      </c>
      <c r="G8028">
        <v>18</v>
      </c>
    </row>
    <row r="8029" spans="1:7" x14ac:dyDescent="0.25">
      <c r="A8029" t="s">
        <v>41</v>
      </c>
      <c r="B8029" t="s">
        <v>4324</v>
      </c>
      <c r="C8029" t="s">
        <v>18544</v>
      </c>
      <c r="D8029" t="s">
        <v>20</v>
      </c>
      <c r="E8029" t="s">
        <v>11</v>
      </c>
      <c r="F8029">
        <v>173.8</v>
      </c>
      <c r="G8029">
        <v>18</v>
      </c>
    </row>
    <row r="8030" spans="1:7" x14ac:dyDescent="0.25">
      <c r="A8030" t="s">
        <v>41</v>
      </c>
      <c r="B8030" t="s">
        <v>4327</v>
      </c>
      <c r="C8030" t="s">
        <v>17942</v>
      </c>
      <c r="D8030" t="s">
        <v>20</v>
      </c>
      <c r="E8030" t="s">
        <v>11</v>
      </c>
      <c r="F8030">
        <v>69.3</v>
      </c>
      <c r="G8030">
        <v>18</v>
      </c>
    </row>
    <row r="8031" spans="1:7" x14ac:dyDescent="0.25">
      <c r="A8031" t="s">
        <v>41</v>
      </c>
      <c r="B8031" t="s">
        <v>4330</v>
      </c>
      <c r="C8031" t="s">
        <v>18086</v>
      </c>
      <c r="D8031" t="s">
        <v>20</v>
      </c>
      <c r="E8031" t="s">
        <v>11</v>
      </c>
      <c r="F8031">
        <v>70.4</v>
      </c>
      <c r="G8031">
        <v>18</v>
      </c>
    </row>
    <row r="8032" spans="1:7" x14ac:dyDescent="0.25">
      <c r="A8032" t="s">
        <v>41</v>
      </c>
      <c r="B8032" t="s">
        <v>4333</v>
      </c>
      <c r="C8032" t="s">
        <v>18561</v>
      </c>
      <c r="D8032" t="s">
        <v>20</v>
      </c>
      <c r="E8032" t="s">
        <v>11</v>
      </c>
      <c r="F8032">
        <v>57.2</v>
      </c>
      <c r="G8032">
        <v>18</v>
      </c>
    </row>
    <row r="8033" spans="1:7" x14ac:dyDescent="0.25">
      <c r="A8033" t="s">
        <v>41</v>
      </c>
      <c r="B8033" t="s">
        <v>4336</v>
      </c>
      <c r="C8033" t="s">
        <v>18562</v>
      </c>
      <c r="D8033" t="s">
        <v>20</v>
      </c>
      <c r="E8033" t="s">
        <v>11</v>
      </c>
      <c r="F8033">
        <v>1173.7</v>
      </c>
      <c r="G8033">
        <v>18</v>
      </c>
    </row>
    <row r="8034" spans="1:7" x14ac:dyDescent="0.25">
      <c r="A8034" t="s">
        <v>41</v>
      </c>
      <c r="B8034" t="s">
        <v>4338</v>
      </c>
      <c r="C8034" t="s">
        <v>18563</v>
      </c>
      <c r="D8034" t="s">
        <v>20</v>
      </c>
      <c r="E8034" t="s">
        <v>11</v>
      </c>
      <c r="F8034">
        <v>635.8000000000001</v>
      </c>
      <c r="G8034">
        <v>18</v>
      </c>
    </row>
    <row r="8035" spans="1:7" x14ac:dyDescent="0.25">
      <c r="A8035" t="s">
        <v>41</v>
      </c>
      <c r="B8035" t="s">
        <v>4340</v>
      </c>
      <c r="C8035" t="s">
        <v>18564</v>
      </c>
      <c r="D8035" t="s">
        <v>20</v>
      </c>
      <c r="E8035" t="s">
        <v>11</v>
      </c>
      <c r="F8035">
        <v>118.80000000000001</v>
      </c>
      <c r="G8035">
        <v>18</v>
      </c>
    </row>
    <row r="8036" spans="1:7" x14ac:dyDescent="0.25">
      <c r="A8036" t="s">
        <v>41</v>
      </c>
      <c r="B8036" t="s">
        <v>4343</v>
      </c>
      <c r="C8036" t="s">
        <v>18565</v>
      </c>
      <c r="D8036" t="s">
        <v>20</v>
      </c>
      <c r="E8036" t="s">
        <v>11</v>
      </c>
      <c r="F8036">
        <v>727.1</v>
      </c>
      <c r="G8036">
        <v>18</v>
      </c>
    </row>
    <row r="8037" spans="1:7" x14ac:dyDescent="0.25">
      <c r="A8037" t="s">
        <v>41</v>
      </c>
      <c r="B8037" t="s">
        <v>4346</v>
      </c>
      <c r="C8037" t="s">
        <v>18566</v>
      </c>
      <c r="D8037" t="s">
        <v>20</v>
      </c>
      <c r="E8037" t="s">
        <v>11</v>
      </c>
      <c r="F8037">
        <v>11158.4</v>
      </c>
      <c r="G8037">
        <v>18</v>
      </c>
    </row>
    <row r="8038" spans="1:7" x14ac:dyDescent="0.25">
      <c r="A8038" t="s">
        <v>41</v>
      </c>
      <c r="B8038" t="s">
        <v>4349</v>
      </c>
      <c r="C8038" t="s">
        <v>18567</v>
      </c>
      <c r="D8038" t="s">
        <v>20</v>
      </c>
      <c r="E8038" t="s">
        <v>11</v>
      </c>
      <c r="F8038">
        <v>11158.4</v>
      </c>
      <c r="G8038">
        <v>18</v>
      </c>
    </row>
    <row r="8039" spans="1:7" x14ac:dyDescent="0.25">
      <c r="A8039" t="s">
        <v>41</v>
      </c>
      <c r="B8039" t="s">
        <v>4352</v>
      </c>
      <c r="C8039" t="s">
        <v>18568</v>
      </c>
      <c r="D8039" t="s">
        <v>20</v>
      </c>
      <c r="E8039" t="s">
        <v>11</v>
      </c>
      <c r="F8039">
        <v>40791.299999999996</v>
      </c>
      <c r="G8039">
        <v>18</v>
      </c>
    </row>
    <row r="8040" spans="1:7" x14ac:dyDescent="0.25">
      <c r="A8040" t="s">
        <v>41</v>
      </c>
      <c r="B8040" t="s">
        <v>4355</v>
      </c>
      <c r="C8040" t="s">
        <v>18569</v>
      </c>
      <c r="D8040" t="s">
        <v>20</v>
      </c>
      <c r="E8040" t="s">
        <v>11</v>
      </c>
      <c r="F8040">
        <v>35888.6</v>
      </c>
      <c r="G8040">
        <v>18</v>
      </c>
    </row>
    <row r="8041" spans="1:7" x14ac:dyDescent="0.25">
      <c r="A8041" t="s">
        <v>41</v>
      </c>
      <c r="B8041" t="s">
        <v>4358</v>
      </c>
      <c r="C8041" t="s">
        <v>18570</v>
      </c>
      <c r="D8041" t="s">
        <v>20</v>
      </c>
      <c r="E8041" t="s">
        <v>11</v>
      </c>
      <c r="F8041">
        <v>17661.6</v>
      </c>
      <c r="G8041">
        <v>18</v>
      </c>
    </row>
    <row r="8042" spans="1:7" x14ac:dyDescent="0.25">
      <c r="A8042" t="s">
        <v>41</v>
      </c>
      <c r="B8042" t="s">
        <v>4361</v>
      </c>
      <c r="C8042" t="s">
        <v>18571</v>
      </c>
      <c r="D8042" t="s">
        <v>20</v>
      </c>
      <c r="E8042" t="s">
        <v>11</v>
      </c>
      <c r="F8042">
        <v>8094.900000000001</v>
      </c>
      <c r="G8042">
        <v>18</v>
      </c>
    </row>
    <row r="8043" spans="1:7" x14ac:dyDescent="0.25">
      <c r="A8043" t="s">
        <v>41</v>
      </c>
      <c r="B8043" t="s">
        <v>4364</v>
      </c>
      <c r="C8043" t="s">
        <v>18572</v>
      </c>
      <c r="D8043" t="s">
        <v>20</v>
      </c>
      <c r="E8043" t="s">
        <v>11</v>
      </c>
      <c r="F8043">
        <v>7443.7</v>
      </c>
      <c r="G8043">
        <v>18</v>
      </c>
    </row>
    <row r="8044" spans="1:7" x14ac:dyDescent="0.25">
      <c r="A8044" t="s">
        <v>41</v>
      </c>
      <c r="B8044" t="s">
        <v>4367</v>
      </c>
      <c r="C8044" t="s">
        <v>18573</v>
      </c>
      <c r="D8044" t="s">
        <v>20</v>
      </c>
      <c r="E8044" t="s">
        <v>11</v>
      </c>
      <c r="F8044">
        <v>7623</v>
      </c>
      <c r="G8044">
        <v>18</v>
      </c>
    </row>
    <row r="8045" spans="1:7" x14ac:dyDescent="0.25">
      <c r="A8045" t="s">
        <v>41</v>
      </c>
      <c r="B8045" t="s">
        <v>4370</v>
      </c>
      <c r="C8045" t="s">
        <v>18574</v>
      </c>
      <c r="D8045" t="s">
        <v>20</v>
      </c>
      <c r="E8045" t="s">
        <v>11</v>
      </c>
      <c r="F8045">
        <v>1315.6000000000001</v>
      </c>
      <c r="G8045">
        <v>18</v>
      </c>
    </row>
    <row r="8046" spans="1:7" x14ac:dyDescent="0.25">
      <c r="A8046" t="s">
        <v>41</v>
      </c>
      <c r="B8046" t="s">
        <v>4373</v>
      </c>
      <c r="C8046" t="s">
        <v>18575</v>
      </c>
      <c r="D8046" t="s">
        <v>20</v>
      </c>
      <c r="E8046" t="s">
        <v>11</v>
      </c>
      <c r="F8046">
        <v>1315.6000000000001</v>
      </c>
      <c r="G8046">
        <v>18</v>
      </c>
    </row>
    <row r="8047" spans="1:7" x14ac:dyDescent="0.25">
      <c r="A8047" t="s">
        <v>41</v>
      </c>
      <c r="B8047" t="s">
        <v>4376</v>
      </c>
      <c r="C8047" t="s">
        <v>18576</v>
      </c>
      <c r="D8047" t="s">
        <v>20</v>
      </c>
      <c r="E8047" t="s">
        <v>11</v>
      </c>
      <c r="F8047">
        <v>1508.1000000000001</v>
      </c>
      <c r="G8047">
        <v>18</v>
      </c>
    </row>
    <row r="8048" spans="1:7" x14ac:dyDescent="0.25">
      <c r="A8048" t="s">
        <v>41</v>
      </c>
      <c r="B8048" t="s">
        <v>4379</v>
      </c>
      <c r="C8048" t="s">
        <v>18548</v>
      </c>
      <c r="D8048" t="s">
        <v>20</v>
      </c>
      <c r="E8048" t="s">
        <v>11</v>
      </c>
      <c r="F8048">
        <v>185.9</v>
      </c>
      <c r="G8048">
        <v>18</v>
      </c>
    </row>
    <row r="8049" spans="1:7" x14ac:dyDescent="0.25">
      <c r="A8049" t="s">
        <v>41</v>
      </c>
      <c r="B8049" t="s">
        <v>4382</v>
      </c>
      <c r="C8049" t="s">
        <v>18577</v>
      </c>
      <c r="D8049" t="s">
        <v>20</v>
      </c>
      <c r="E8049" t="s">
        <v>11</v>
      </c>
      <c r="F8049">
        <v>1655.5</v>
      </c>
      <c r="G8049">
        <v>18</v>
      </c>
    </row>
    <row r="8050" spans="1:7" x14ac:dyDescent="0.25">
      <c r="A8050" t="s">
        <v>41</v>
      </c>
      <c r="B8050" t="s">
        <v>4385</v>
      </c>
      <c r="C8050" t="s">
        <v>18578</v>
      </c>
      <c r="D8050" t="s">
        <v>20</v>
      </c>
      <c r="E8050" t="s">
        <v>11</v>
      </c>
      <c r="F8050">
        <v>3584.9000000000005</v>
      </c>
      <c r="G8050">
        <v>18</v>
      </c>
    </row>
    <row r="8051" spans="1:7" x14ac:dyDescent="0.25">
      <c r="A8051" t="s">
        <v>41</v>
      </c>
      <c r="B8051" t="s">
        <v>4388</v>
      </c>
      <c r="C8051" t="s">
        <v>18579</v>
      </c>
      <c r="D8051" t="s">
        <v>20</v>
      </c>
      <c r="E8051" t="s">
        <v>11</v>
      </c>
      <c r="F8051">
        <v>3080</v>
      </c>
      <c r="G8051">
        <v>18</v>
      </c>
    </row>
    <row r="8052" spans="1:7" x14ac:dyDescent="0.25">
      <c r="A8052" t="s">
        <v>41</v>
      </c>
      <c r="B8052" t="s">
        <v>4391</v>
      </c>
      <c r="C8052" t="s">
        <v>18580</v>
      </c>
      <c r="D8052" t="s">
        <v>20</v>
      </c>
      <c r="E8052" t="s">
        <v>11</v>
      </c>
      <c r="F8052">
        <v>2123</v>
      </c>
      <c r="G8052">
        <v>18</v>
      </c>
    </row>
    <row r="8053" spans="1:7" x14ac:dyDescent="0.25">
      <c r="A8053" t="s">
        <v>41</v>
      </c>
      <c r="B8053" t="s">
        <v>4394</v>
      </c>
      <c r="C8053" t="s">
        <v>18581</v>
      </c>
      <c r="D8053" t="s">
        <v>20</v>
      </c>
      <c r="E8053" t="s">
        <v>11</v>
      </c>
      <c r="F8053">
        <v>1338.7</v>
      </c>
      <c r="G8053">
        <v>18</v>
      </c>
    </row>
    <row r="8054" spans="1:7" x14ac:dyDescent="0.25">
      <c r="A8054" t="s">
        <v>41</v>
      </c>
      <c r="B8054" t="s">
        <v>4397</v>
      </c>
      <c r="C8054" t="s">
        <v>18582</v>
      </c>
      <c r="D8054" t="s">
        <v>20</v>
      </c>
      <c r="E8054" t="s">
        <v>11</v>
      </c>
      <c r="F8054">
        <v>1868.8999999999999</v>
      </c>
      <c r="G8054">
        <v>18</v>
      </c>
    </row>
    <row r="8055" spans="1:7" x14ac:dyDescent="0.25">
      <c r="A8055" t="s">
        <v>41</v>
      </c>
      <c r="B8055" t="s">
        <v>4400</v>
      </c>
      <c r="C8055" t="s">
        <v>18583</v>
      </c>
      <c r="D8055" t="s">
        <v>20</v>
      </c>
      <c r="E8055" t="s">
        <v>11</v>
      </c>
      <c r="F8055">
        <v>5119.4</v>
      </c>
      <c r="G8055">
        <v>18</v>
      </c>
    </row>
    <row r="8056" spans="1:7" x14ac:dyDescent="0.25">
      <c r="A8056" t="s">
        <v>41</v>
      </c>
      <c r="B8056" t="s">
        <v>4403</v>
      </c>
      <c r="C8056" t="s">
        <v>18584</v>
      </c>
      <c r="D8056" t="s">
        <v>20</v>
      </c>
      <c r="E8056" t="s">
        <v>11</v>
      </c>
      <c r="F8056">
        <v>143111.1</v>
      </c>
      <c r="G8056">
        <v>18</v>
      </c>
    </row>
    <row r="8057" spans="1:7" x14ac:dyDescent="0.25">
      <c r="A8057" t="s">
        <v>41</v>
      </c>
      <c r="B8057" t="s">
        <v>4406</v>
      </c>
      <c r="C8057" t="s">
        <v>18585</v>
      </c>
      <c r="D8057" t="s">
        <v>20</v>
      </c>
      <c r="E8057" t="s">
        <v>11</v>
      </c>
      <c r="F8057">
        <v>2645.5</v>
      </c>
      <c r="G8057">
        <v>18</v>
      </c>
    </row>
    <row r="8058" spans="1:7" x14ac:dyDescent="0.25">
      <c r="A8058" t="s">
        <v>41</v>
      </c>
      <c r="B8058" t="s">
        <v>4409</v>
      </c>
      <c r="C8058" t="s">
        <v>17785</v>
      </c>
      <c r="D8058" t="s">
        <v>20</v>
      </c>
      <c r="E8058" t="s">
        <v>11</v>
      </c>
      <c r="F8058">
        <v>1802.9</v>
      </c>
      <c r="G8058">
        <v>18</v>
      </c>
    </row>
    <row r="8059" spans="1:7" x14ac:dyDescent="0.25">
      <c r="A8059" t="s">
        <v>41</v>
      </c>
      <c r="B8059" t="s">
        <v>4412</v>
      </c>
      <c r="C8059" t="s">
        <v>18586</v>
      </c>
      <c r="D8059" t="s">
        <v>20</v>
      </c>
      <c r="E8059" t="s">
        <v>11</v>
      </c>
      <c r="F8059">
        <v>1672</v>
      </c>
      <c r="G8059">
        <v>18</v>
      </c>
    </row>
    <row r="8060" spans="1:7" x14ac:dyDescent="0.25">
      <c r="A8060" t="s">
        <v>41</v>
      </c>
      <c r="B8060" t="s">
        <v>4415</v>
      </c>
      <c r="C8060" t="s">
        <v>18587</v>
      </c>
      <c r="D8060" t="s">
        <v>20</v>
      </c>
      <c r="E8060" t="s">
        <v>11</v>
      </c>
      <c r="F8060">
        <v>801.9</v>
      </c>
      <c r="G8060">
        <v>18</v>
      </c>
    </row>
    <row r="8061" spans="1:7" x14ac:dyDescent="0.25">
      <c r="A8061" t="s">
        <v>41</v>
      </c>
      <c r="B8061" t="s">
        <v>4418</v>
      </c>
      <c r="C8061" t="s">
        <v>18588</v>
      </c>
      <c r="D8061" t="s">
        <v>20</v>
      </c>
      <c r="E8061" t="s">
        <v>11</v>
      </c>
      <c r="F8061">
        <v>9209.2</v>
      </c>
      <c r="G8061">
        <v>18</v>
      </c>
    </row>
    <row r="8062" spans="1:7" x14ac:dyDescent="0.25">
      <c r="A8062" t="s">
        <v>41</v>
      </c>
      <c r="B8062" t="s">
        <v>4421</v>
      </c>
      <c r="C8062" t="s">
        <v>18589</v>
      </c>
      <c r="D8062" t="s">
        <v>20</v>
      </c>
      <c r="E8062" t="s">
        <v>11</v>
      </c>
      <c r="F8062">
        <v>5119.4</v>
      </c>
      <c r="G8062">
        <v>18</v>
      </c>
    </row>
    <row r="8063" spans="1:7" x14ac:dyDescent="0.25">
      <c r="A8063" t="s">
        <v>41</v>
      </c>
      <c r="B8063" t="s">
        <v>4424</v>
      </c>
      <c r="C8063" t="s">
        <v>18590</v>
      </c>
      <c r="D8063" t="s">
        <v>20</v>
      </c>
      <c r="E8063" t="s">
        <v>11</v>
      </c>
      <c r="F8063">
        <v>192.5</v>
      </c>
      <c r="G8063">
        <v>18</v>
      </c>
    </row>
    <row r="8064" spans="1:7" x14ac:dyDescent="0.25">
      <c r="A8064" t="s">
        <v>41</v>
      </c>
      <c r="B8064" t="s">
        <v>4427</v>
      </c>
      <c r="C8064" t="s">
        <v>18532</v>
      </c>
      <c r="D8064" t="s">
        <v>20</v>
      </c>
      <c r="E8064" t="s">
        <v>11</v>
      </c>
      <c r="F8064">
        <v>85.8</v>
      </c>
      <c r="G8064">
        <v>18</v>
      </c>
    </row>
    <row r="8065" spans="1:7" x14ac:dyDescent="0.25">
      <c r="A8065" t="s">
        <v>41</v>
      </c>
      <c r="B8065" t="s">
        <v>4430</v>
      </c>
      <c r="C8065" t="s">
        <v>18591</v>
      </c>
      <c r="D8065" t="s">
        <v>20</v>
      </c>
      <c r="E8065" t="s">
        <v>11</v>
      </c>
      <c r="F8065">
        <v>790.9000000000001</v>
      </c>
      <c r="G8065">
        <v>18</v>
      </c>
    </row>
    <row r="8066" spans="1:7" x14ac:dyDescent="0.25">
      <c r="A8066" t="s">
        <v>41</v>
      </c>
      <c r="B8066" t="s">
        <v>4433</v>
      </c>
      <c r="C8066" t="s">
        <v>18330</v>
      </c>
      <c r="D8066" t="s">
        <v>20</v>
      </c>
      <c r="E8066" t="s">
        <v>11</v>
      </c>
      <c r="F8066">
        <v>70.4</v>
      </c>
      <c r="G8066">
        <v>18</v>
      </c>
    </row>
    <row r="8067" spans="1:7" x14ac:dyDescent="0.25">
      <c r="A8067" t="s">
        <v>41</v>
      </c>
      <c r="B8067" t="s">
        <v>4436</v>
      </c>
      <c r="C8067" t="s">
        <v>18364</v>
      </c>
      <c r="D8067" t="s">
        <v>20</v>
      </c>
      <c r="E8067" t="s">
        <v>11</v>
      </c>
      <c r="F8067">
        <v>67.1</v>
      </c>
      <c r="G8067">
        <v>18</v>
      </c>
    </row>
    <row r="8068" spans="1:7" x14ac:dyDescent="0.25">
      <c r="A8068" t="s">
        <v>41</v>
      </c>
      <c r="B8068" t="s">
        <v>4439</v>
      </c>
      <c r="C8068" t="s">
        <v>18592</v>
      </c>
      <c r="D8068" t="s">
        <v>20</v>
      </c>
      <c r="E8068" t="s">
        <v>11</v>
      </c>
      <c r="F8068">
        <v>28564.8</v>
      </c>
      <c r="G8068">
        <v>18</v>
      </c>
    </row>
    <row r="8069" spans="1:7" x14ac:dyDescent="0.25">
      <c r="A8069" t="s">
        <v>41</v>
      </c>
      <c r="B8069" t="s">
        <v>4442</v>
      </c>
      <c r="C8069" t="s">
        <v>18593</v>
      </c>
      <c r="D8069" t="s">
        <v>20</v>
      </c>
      <c r="E8069" t="s">
        <v>11</v>
      </c>
      <c r="F8069">
        <v>26095.3</v>
      </c>
      <c r="G8069">
        <v>18</v>
      </c>
    </row>
    <row r="8070" spans="1:7" x14ac:dyDescent="0.25">
      <c r="A8070" t="s">
        <v>41</v>
      </c>
      <c r="B8070" t="s">
        <v>4445</v>
      </c>
      <c r="C8070" t="s">
        <v>18594</v>
      </c>
      <c r="D8070" t="s">
        <v>20</v>
      </c>
      <c r="E8070" t="s">
        <v>11</v>
      </c>
      <c r="F8070">
        <v>3906.1</v>
      </c>
      <c r="G8070">
        <v>18</v>
      </c>
    </row>
    <row r="8071" spans="1:7" x14ac:dyDescent="0.25">
      <c r="A8071" t="s">
        <v>41</v>
      </c>
      <c r="B8071" t="s">
        <v>4448</v>
      </c>
      <c r="C8071" t="s">
        <v>18595</v>
      </c>
      <c r="D8071" t="s">
        <v>20</v>
      </c>
      <c r="E8071" t="s">
        <v>11</v>
      </c>
      <c r="F8071">
        <v>1545.5</v>
      </c>
      <c r="G8071">
        <v>18</v>
      </c>
    </row>
    <row r="8072" spans="1:7" x14ac:dyDescent="0.25">
      <c r="A8072" t="s">
        <v>41</v>
      </c>
      <c r="B8072" t="s">
        <v>4451</v>
      </c>
      <c r="C8072" t="s">
        <v>18596</v>
      </c>
      <c r="D8072" t="s">
        <v>20</v>
      </c>
      <c r="E8072" t="s">
        <v>11</v>
      </c>
      <c r="F8072">
        <v>33789.8</v>
      </c>
      <c r="G8072">
        <v>18</v>
      </c>
    </row>
    <row r="8073" spans="1:7" x14ac:dyDescent="0.25">
      <c r="A8073" t="s">
        <v>41</v>
      </c>
      <c r="B8073" t="s">
        <v>4454</v>
      </c>
      <c r="C8073" t="s">
        <v>18597</v>
      </c>
      <c r="D8073" t="s">
        <v>20</v>
      </c>
      <c r="E8073" t="s">
        <v>11</v>
      </c>
      <c r="F8073">
        <v>6052.200000000001</v>
      </c>
      <c r="G8073">
        <v>18</v>
      </c>
    </row>
    <row r="8074" spans="1:7" x14ac:dyDescent="0.25">
      <c r="A8074" t="s">
        <v>41</v>
      </c>
      <c r="B8074" t="s">
        <v>4457</v>
      </c>
      <c r="C8074" t="s">
        <v>18598</v>
      </c>
      <c r="D8074" t="s">
        <v>20</v>
      </c>
      <c r="E8074" t="s">
        <v>11</v>
      </c>
      <c r="F8074">
        <v>28673.7</v>
      </c>
      <c r="G8074">
        <v>18</v>
      </c>
    </row>
    <row r="8075" spans="1:7" x14ac:dyDescent="0.25">
      <c r="A8075" t="s">
        <v>41</v>
      </c>
      <c r="B8075" t="s">
        <v>4460</v>
      </c>
      <c r="C8075" t="s">
        <v>18599</v>
      </c>
      <c r="D8075" t="s">
        <v>20</v>
      </c>
      <c r="E8075" t="s">
        <v>11</v>
      </c>
      <c r="F8075">
        <v>2450.8</v>
      </c>
      <c r="G8075">
        <v>18</v>
      </c>
    </row>
    <row r="8076" spans="1:7" x14ac:dyDescent="0.25">
      <c r="A8076" t="s">
        <v>41</v>
      </c>
      <c r="B8076" t="s">
        <v>4463</v>
      </c>
      <c r="C8076" t="s">
        <v>18600</v>
      </c>
      <c r="D8076" t="s">
        <v>20</v>
      </c>
      <c r="E8076" t="s">
        <v>11</v>
      </c>
      <c r="F8076">
        <v>14184.499999999998</v>
      </c>
      <c r="G8076">
        <v>18</v>
      </c>
    </row>
    <row r="8077" spans="1:7" x14ac:dyDescent="0.25">
      <c r="A8077" t="s">
        <v>41</v>
      </c>
      <c r="B8077" t="s">
        <v>4466</v>
      </c>
      <c r="C8077" t="s">
        <v>18601</v>
      </c>
      <c r="D8077" t="s">
        <v>20</v>
      </c>
      <c r="E8077" t="s">
        <v>11</v>
      </c>
      <c r="F8077">
        <v>1868.8999999999999</v>
      </c>
      <c r="G8077">
        <v>18</v>
      </c>
    </row>
    <row r="8078" spans="1:7" x14ac:dyDescent="0.25">
      <c r="A8078" t="s">
        <v>41</v>
      </c>
      <c r="B8078" t="s">
        <v>4469</v>
      </c>
      <c r="C8078" t="s">
        <v>18602</v>
      </c>
      <c r="D8078" t="s">
        <v>20</v>
      </c>
      <c r="E8078" t="s">
        <v>11</v>
      </c>
      <c r="F8078">
        <v>1868.8999999999999</v>
      </c>
      <c r="G8078">
        <v>18</v>
      </c>
    </row>
    <row r="8079" spans="1:7" x14ac:dyDescent="0.25">
      <c r="A8079" t="s">
        <v>41</v>
      </c>
      <c r="B8079" t="s">
        <v>4472</v>
      </c>
      <c r="C8079" t="s">
        <v>18603</v>
      </c>
      <c r="D8079" t="s">
        <v>20</v>
      </c>
      <c r="E8079" t="s">
        <v>11</v>
      </c>
      <c r="F8079">
        <v>2083.4</v>
      </c>
      <c r="G8079">
        <v>18</v>
      </c>
    </row>
    <row r="8080" spans="1:7" x14ac:dyDescent="0.25">
      <c r="A8080" t="s">
        <v>41</v>
      </c>
      <c r="B8080" t="s">
        <v>4475</v>
      </c>
      <c r="C8080" t="s">
        <v>18604</v>
      </c>
      <c r="D8080" t="s">
        <v>20</v>
      </c>
      <c r="E8080" t="s">
        <v>11</v>
      </c>
      <c r="F8080">
        <v>8372.1</v>
      </c>
      <c r="G8080">
        <v>18</v>
      </c>
    </row>
    <row r="8081" spans="1:7" x14ac:dyDescent="0.25">
      <c r="A8081" t="s">
        <v>41</v>
      </c>
      <c r="B8081" t="s">
        <v>4478</v>
      </c>
      <c r="C8081" t="s">
        <v>18605</v>
      </c>
      <c r="D8081" t="s">
        <v>20</v>
      </c>
      <c r="E8081" t="s">
        <v>11</v>
      </c>
      <c r="F8081">
        <v>2984.2999999999997</v>
      </c>
      <c r="G8081">
        <v>18</v>
      </c>
    </row>
    <row r="8082" spans="1:7" x14ac:dyDescent="0.25">
      <c r="A8082" t="s">
        <v>41</v>
      </c>
      <c r="B8082" t="s">
        <v>4481</v>
      </c>
      <c r="C8082" t="s">
        <v>18606</v>
      </c>
      <c r="D8082" t="s">
        <v>20</v>
      </c>
      <c r="E8082" t="s">
        <v>11</v>
      </c>
      <c r="F8082">
        <v>192.5</v>
      </c>
      <c r="G8082">
        <v>18</v>
      </c>
    </row>
    <row r="8083" spans="1:7" x14ac:dyDescent="0.25">
      <c r="A8083" t="s">
        <v>41</v>
      </c>
      <c r="B8083" t="s">
        <v>4484</v>
      </c>
      <c r="C8083" t="s">
        <v>18607</v>
      </c>
      <c r="D8083" t="s">
        <v>20</v>
      </c>
      <c r="E8083" t="s">
        <v>11</v>
      </c>
      <c r="F8083">
        <v>70.4</v>
      </c>
      <c r="G8083">
        <v>18</v>
      </c>
    </row>
    <row r="8084" spans="1:7" x14ac:dyDescent="0.25">
      <c r="A8084" t="s">
        <v>41</v>
      </c>
      <c r="B8084" t="s">
        <v>4487</v>
      </c>
      <c r="C8084" t="s">
        <v>18608</v>
      </c>
      <c r="D8084" t="s">
        <v>20</v>
      </c>
      <c r="E8084" t="s">
        <v>11</v>
      </c>
      <c r="F8084">
        <v>3537.5999999999995</v>
      </c>
      <c r="G8084">
        <v>18</v>
      </c>
    </row>
    <row r="8085" spans="1:7" x14ac:dyDescent="0.25">
      <c r="A8085" t="s">
        <v>41</v>
      </c>
      <c r="B8085" t="s">
        <v>4490</v>
      </c>
      <c r="C8085" t="s">
        <v>18609</v>
      </c>
      <c r="D8085" t="s">
        <v>20</v>
      </c>
      <c r="E8085" t="s">
        <v>11</v>
      </c>
      <c r="F8085">
        <v>676.5</v>
      </c>
      <c r="G8085">
        <v>18</v>
      </c>
    </row>
    <row r="8086" spans="1:7" x14ac:dyDescent="0.25">
      <c r="A8086" t="s">
        <v>41</v>
      </c>
      <c r="B8086" t="s">
        <v>4493</v>
      </c>
      <c r="C8086" t="s">
        <v>18610</v>
      </c>
      <c r="D8086" t="s">
        <v>20</v>
      </c>
      <c r="E8086" t="s">
        <v>11</v>
      </c>
      <c r="F8086">
        <v>1182.5</v>
      </c>
      <c r="G8086">
        <v>18</v>
      </c>
    </row>
    <row r="8087" spans="1:7" x14ac:dyDescent="0.25">
      <c r="A8087" t="s">
        <v>41</v>
      </c>
      <c r="B8087" t="s">
        <v>4496</v>
      </c>
      <c r="C8087" t="s">
        <v>18611</v>
      </c>
      <c r="D8087" t="s">
        <v>20</v>
      </c>
      <c r="E8087" t="s">
        <v>11</v>
      </c>
      <c r="F8087">
        <v>2284.7</v>
      </c>
      <c r="G8087">
        <v>18</v>
      </c>
    </row>
    <row r="8088" spans="1:7" x14ac:dyDescent="0.25">
      <c r="A8088" t="s">
        <v>41</v>
      </c>
      <c r="B8088" t="s">
        <v>4498</v>
      </c>
      <c r="C8088" t="s">
        <v>18612</v>
      </c>
      <c r="D8088" t="s">
        <v>20</v>
      </c>
      <c r="E8088" t="s">
        <v>11</v>
      </c>
      <c r="F8088">
        <v>49248.1</v>
      </c>
      <c r="G8088">
        <v>18</v>
      </c>
    </row>
    <row r="8089" spans="1:7" x14ac:dyDescent="0.25">
      <c r="A8089" t="s">
        <v>41</v>
      </c>
      <c r="B8089" t="s">
        <v>4500</v>
      </c>
      <c r="C8089" t="s">
        <v>17757</v>
      </c>
      <c r="D8089" t="s">
        <v>20</v>
      </c>
      <c r="E8089" t="s">
        <v>11</v>
      </c>
      <c r="F8089">
        <v>1856.8</v>
      </c>
      <c r="G8089">
        <v>18</v>
      </c>
    </row>
    <row r="8090" spans="1:7" x14ac:dyDescent="0.25">
      <c r="A8090" t="s">
        <v>41</v>
      </c>
      <c r="B8090" t="s">
        <v>4502</v>
      </c>
      <c r="C8090" t="s">
        <v>18613</v>
      </c>
      <c r="D8090" t="s">
        <v>20</v>
      </c>
      <c r="E8090" t="s">
        <v>11</v>
      </c>
      <c r="F8090">
        <v>738.1</v>
      </c>
      <c r="G8090">
        <v>18</v>
      </c>
    </row>
    <row r="8091" spans="1:7" x14ac:dyDescent="0.25">
      <c r="A8091" t="s">
        <v>41</v>
      </c>
      <c r="B8091" t="s">
        <v>4504</v>
      </c>
      <c r="C8091" t="s">
        <v>17645</v>
      </c>
      <c r="D8091" t="s">
        <v>20</v>
      </c>
      <c r="E8091" t="s">
        <v>11</v>
      </c>
      <c r="F8091">
        <v>167.2</v>
      </c>
      <c r="G8091">
        <v>18</v>
      </c>
    </row>
    <row r="8092" spans="1:7" x14ac:dyDescent="0.25">
      <c r="A8092" t="s">
        <v>41</v>
      </c>
      <c r="B8092" t="s">
        <v>4506</v>
      </c>
      <c r="C8092" t="s">
        <v>17649</v>
      </c>
      <c r="D8092" t="s">
        <v>20</v>
      </c>
      <c r="E8092" t="s">
        <v>11</v>
      </c>
      <c r="F8092">
        <v>70.4</v>
      </c>
      <c r="G8092">
        <v>18</v>
      </c>
    </row>
    <row r="8093" spans="1:7" x14ac:dyDescent="0.25">
      <c r="A8093" t="s">
        <v>41</v>
      </c>
      <c r="B8093" t="s">
        <v>4508</v>
      </c>
      <c r="C8093" t="s">
        <v>18614</v>
      </c>
      <c r="D8093" t="s">
        <v>20</v>
      </c>
      <c r="E8093" t="s">
        <v>11</v>
      </c>
      <c r="F8093">
        <v>355.3</v>
      </c>
      <c r="G8093">
        <v>18</v>
      </c>
    </row>
    <row r="8094" spans="1:7" x14ac:dyDescent="0.25">
      <c r="A8094" t="s">
        <v>41</v>
      </c>
      <c r="B8094" t="s">
        <v>4510</v>
      </c>
      <c r="C8094" t="s">
        <v>18615</v>
      </c>
      <c r="D8094" t="s">
        <v>20</v>
      </c>
      <c r="E8094" t="s">
        <v>11</v>
      </c>
      <c r="F8094">
        <v>23171.5</v>
      </c>
      <c r="G8094">
        <v>18</v>
      </c>
    </row>
    <row r="8095" spans="1:7" x14ac:dyDescent="0.25">
      <c r="A8095" t="s">
        <v>41</v>
      </c>
      <c r="B8095" t="s">
        <v>4512</v>
      </c>
      <c r="C8095" t="s">
        <v>18616</v>
      </c>
      <c r="D8095" t="s">
        <v>20</v>
      </c>
      <c r="E8095" t="s">
        <v>11</v>
      </c>
      <c r="F8095">
        <v>5207.400000000001</v>
      </c>
      <c r="G8095">
        <v>18</v>
      </c>
    </row>
    <row r="8096" spans="1:7" x14ac:dyDescent="0.25">
      <c r="A8096" t="s">
        <v>41</v>
      </c>
      <c r="B8096" t="s">
        <v>4515</v>
      </c>
      <c r="C8096" t="s">
        <v>18617</v>
      </c>
      <c r="D8096" t="s">
        <v>20</v>
      </c>
      <c r="E8096" t="s">
        <v>11</v>
      </c>
      <c r="F8096">
        <v>5207.400000000001</v>
      </c>
      <c r="G8096">
        <v>18</v>
      </c>
    </row>
    <row r="8097" spans="1:7" x14ac:dyDescent="0.25">
      <c r="A8097" t="s">
        <v>41</v>
      </c>
      <c r="B8097" t="s">
        <v>4517</v>
      </c>
      <c r="C8097" t="s">
        <v>17656</v>
      </c>
      <c r="D8097" t="s">
        <v>20</v>
      </c>
      <c r="E8097" t="s">
        <v>11</v>
      </c>
      <c r="F8097">
        <v>58.300000000000004</v>
      </c>
      <c r="G8097">
        <v>18</v>
      </c>
    </row>
    <row r="8098" spans="1:7" x14ac:dyDescent="0.25">
      <c r="A8098" t="s">
        <v>41</v>
      </c>
      <c r="B8098" t="s">
        <v>4520</v>
      </c>
      <c r="C8098" t="s">
        <v>17654</v>
      </c>
      <c r="D8098" t="s">
        <v>20</v>
      </c>
      <c r="E8098" t="s">
        <v>11</v>
      </c>
      <c r="F8098">
        <v>70.4</v>
      </c>
      <c r="G8098">
        <v>18</v>
      </c>
    </row>
    <row r="8099" spans="1:7" x14ac:dyDescent="0.25">
      <c r="A8099" t="s">
        <v>41</v>
      </c>
      <c r="B8099" t="s">
        <v>4523</v>
      </c>
      <c r="C8099" t="s">
        <v>17847</v>
      </c>
      <c r="D8099" t="s">
        <v>20</v>
      </c>
      <c r="E8099" t="s">
        <v>11</v>
      </c>
      <c r="F8099">
        <v>70.4</v>
      </c>
      <c r="G8099">
        <v>18</v>
      </c>
    </row>
    <row r="8100" spans="1:7" x14ac:dyDescent="0.25">
      <c r="A8100" t="s">
        <v>41</v>
      </c>
      <c r="B8100" t="s">
        <v>4526</v>
      </c>
      <c r="C8100" t="s">
        <v>18248</v>
      </c>
      <c r="D8100" t="s">
        <v>20</v>
      </c>
      <c r="E8100" t="s">
        <v>11</v>
      </c>
      <c r="F8100">
        <v>404.8</v>
      </c>
      <c r="G8100">
        <v>18</v>
      </c>
    </row>
    <row r="8101" spans="1:7" x14ac:dyDescent="0.25">
      <c r="A8101" t="s">
        <v>41</v>
      </c>
      <c r="B8101" t="s">
        <v>4529</v>
      </c>
      <c r="C8101" t="s">
        <v>18330</v>
      </c>
      <c r="D8101" t="s">
        <v>20</v>
      </c>
      <c r="E8101" t="s">
        <v>11</v>
      </c>
      <c r="F8101">
        <v>70.4</v>
      </c>
      <c r="G8101">
        <v>18</v>
      </c>
    </row>
    <row r="8102" spans="1:7" x14ac:dyDescent="0.25">
      <c r="A8102" t="s">
        <v>41</v>
      </c>
      <c r="B8102" t="s">
        <v>4532</v>
      </c>
      <c r="C8102" t="s">
        <v>18618</v>
      </c>
      <c r="D8102" t="s">
        <v>20</v>
      </c>
      <c r="E8102" t="s">
        <v>11</v>
      </c>
      <c r="F8102">
        <v>58.300000000000004</v>
      </c>
      <c r="G8102">
        <v>18</v>
      </c>
    </row>
    <row r="8103" spans="1:7" x14ac:dyDescent="0.25">
      <c r="A8103" t="s">
        <v>41</v>
      </c>
      <c r="B8103" t="s">
        <v>4535</v>
      </c>
      <c r="C8103" t="s">
        <v>18619</v>
      </c>
      <c r="D8103" t="s">
        <v>20</v>
      </c>
      <c r="E8103" t="s">
        <v>11</v>
      </c>
      <c r="F8103">
        <v>4944.5</v>
      </c>
      <c r="G8103">
        <v>18</v>
      </c>
    </row>
    <row r="8104" spans="1:7" x14ac:dyDescent="0.25">
      <c r="A8104" t="s">
        <v>41</v>
      </c>
      <c r="B8104" t="s">
        <v>4538</v>
      </c>
      <c r="C8104" t="s">
        <v>18508</v>
      </c>
      <c r="D8104" t="s">
        <v>20</v>
      </c>
      <c r="E8104" t="s">
        <v>11</v>
      </c>
      <c r="F8104">
        <v>2432.1</v>
      </c>
      <c r="G8104">
        <v>18</v>
      </c>
    </row>
    <row r="8105" spans="1:7" x14ac:dyDescent="0.25">
      <c r="A8105" t="s">
        <v>41</v>
      </c>
      <c r="B8105" t="s">
        <v>4541</v>
      </c>
      <c r="C8105" t="s">
        <v>18620</v>
      </c>
      <c r="D8105" t="s">
        <v>20</v>
      </c>
      <c r="E8105" t="s">
        <v>11</v>
      </c>
      <c r="F8105">
        <v>8372.1</v>
      </c>
      <c r="G8105">
        <v>18</v>
      </c>
    </row>
    <row r="8106" spans="1:7" x14ac:dyDescent="0.25">
      <c r="A8106" t="s">
        <v>41</v>
      </c>
      <c r="B8106" t="s">
        <v>4543</v>
      </c>
      <c r="C8106" t="s">
        <v>18621</v>
      </c>
      <c r="D8106" t="s">
        <v>20</v>
      </c>
      <c r="E8106" t="s">
        <v>11</v>
      </c>
      <c r="F8106">
        <v>15307.6</v>
      </c>
      <c r="G8106">
        <v>18</v>
      </c>
    </row>
    <row r="8107" spans="1:7" x14ac:dyDescent="0.25">
      <c r="A8107" t="s">
        <v>41</v>
      </c>
      <c r="B8107" t="s">
        <v>4545</v>
      </c>
      <c r="C8107" t="s">
        <v>18622</v>
      </c>
      <c r="D8107" t="s">
        <v>20</v>
      </c>
      <c r="E8107" t="s">
        <v>11</v>
      </c>
      <c r="F8107">
        <v>10230</v>
      </c>
      <c r="G8107">
        <v>18</v>
      </c>
    </row>
    <row r="8108" spans="1:7" x14ac:dyDescent="0.25">
      <c r="A8108" t="s">
        <v>41</v>
      </c>
      <c r="B8108" t="s">
        <v>4547</v>
      </c>
      <c r="C8108" t="s">
        <v>18623</v>
      </c>
      <c r="D8108" t="s">
        <v>20</v>
      </c>
      <c r="E8108" t="s">
        <v>11</v>
      </c>
      <c r="F8108">
        <v>1173.7</v>
      </c>
      <c r="G8108">
        <v>18</v>
      </c>
    </row>
    <row r="8109" spans="1:7" x14ac:dyDescent="0.25">
      <c r="A8109" t="s">
        <v>41</v>
      </c>
      <c r="B8109" t="s">
        <v>4550</v>
      </c>
      <c r="C8109" t="s">
        <v>18624</v>
      </c>
      <c r="D8109" t="s">
        <v>20</v>
      </c>
      <c r="E8109" t="s">
        <v>11</v>
      </c>
      <c r="F8109">
        <v>85.8</v>
      </c>
      <c r="G8109">
        <v>18</v>
      </c>
    </row>
    <row r="8110" spans="1:7" x14ac:dyDescent="0.25">
      <c r="A8110" t="s">
        <v>41</v>
      </c>
      <c r="B8110" t="s">
        <v>4552</v>
      </c>
      <c r="C8110" t="s">
        <v>18625</v>
      </c>
      <c r="D8110" t="s">
        <v>20</v>
      </c>
      <c r="E8110" t="s">
        <v>11</v>
      </c>
      <c r="F8110">
        <v>20098.100000000002</v>
      </c>
      <c r="G8110">
        <v>18</v>
      </c>
    </row>
    <row r="8111" spans="1:7" x14ac:dyDescent="0.25">
      <c r="A8111" t="s">
        <v>41</v>
      </c>
      <c r="B8111" t="s">
        <v>4554</v>
      </c>
      <c r="C8111" t="s">
        <v>18626</v>
      </c>
      <c r="D8111" t="s">
        <v>20</v>
      </c>
      <c r="E8111" t="s">
        <v>11</v>
      </c>
      <c r="F8111">
        <v>20098.100000000002</v>
      </c>
      <c r="G8111">
        <v>18</v>
      </c>
    </row>
    <row r="8112" spans="1:7" x14ac:dyDescent="0.25">
      <c r="A8112" t="s">
        <v>41</v>
      </c>
      <c r="B8112" t="s">
        <v>4556</v>
      </c>
      <c r="C8112" t="s">
        <v>18627</v>
      </c>
      <c r="D8112" t="s">
        <v>20</v>
      </c>
      <c r="E8112" t="s">
        <v>11</v>
      </c>
      <c r="F8112">
        <v>2651</v>
      </c>
      <c r="G8112">
        <v>18</v>
      </c>
    </row>
    <row r="8113" spans="1:7" x14ac:dyDescent="0.25">
      <c r="A8113" t="s">
        <v>41</v>
      </c>
      <c r="B8113" t="s">
        <v>4558</v>
      </c>
      <c r="C8113" t="s">
        <v>18469</v>
      </c>
      <c r="D8113" t="s">
        <v>20</v>
      </c>
      <c r="E8113" t="s">
        <v>11</v>
      </c>
      <c r="F8113">
        <v>192.5</v>
      </c>
      <c r="G8113">
        <v>18</v>
      </c>
    </row>
    <row r="8114" spans="1:7" x14ac:dyDescent="0.25">
      <c r="A8114" t="s">
        <v>41</v>
      </c>
      <c r="B8114" t="s">
        <v>4560</v>
      </c>
      <c r="C8114" t="s">
        <v>17654</v>
      </c>
      <c r="D8114" t="s">
        <v>20</v>
      </c>
      <c r="E8114" t="s">
        <v>11</v>
      </c>
      <c r="F8114">
        <v>70.4</v>
      </c>
      <c r="G8114">
        <v>18</v>
      </c>
    </row>
    <row r="8115" spans="1:7" x14ac:dyDescent="0.25">
      <c r="A8115" t="s">
        <v>41</v>
      </c>
      <c r="B8115" t="s">
        <v>4562</v>
      </c>
      <c r="C8115" t="s">
        <v>17656</v>
      </c>
      <c r="D8115" t="s">
        <v>20</v>
      </c>
      <c r="E8115" t="s">
        <v>11</v>
      </c>
      <c r="F8115">
        <v>57.2</v>
      </c>
      <c r="G8115">
        <v>18</v>
      </c>
    </row>
    <row r="8116" spans="1:7" x14ac:dyDescent="0.25">
      <c r="A8116" t="s">
        <v>41</v>
      </c>
      <c r="B8116" t="s">
        <v>4564</v>
      </c>
      <c r="C8116" t="s">
        <v>17847</v>
      </c>
      <c r="D8116" t="s">
        <v>20</v>
      </c>
      <c r="E8116" t="s">
        <v>11</v>
      </c>
      <c r="F8116">
        <v>70.4</v>
      </c>
      <c r="G8116">
        <v>18</v>
      </c>
    </row>
    <row r="8117" spans="1:7" x14ac:dyDescent="0.25">
      <c r="A8117" t="s">
        <v>41</v>
      </c>
      <c r="B8117" t="s">
        <v>4566</v>
      </c>
      <c r="C8117" t="s">
        <v>17656</v>
      </c>
      <c r="D8117" t="s">
        <v>20</v>
      </c>
      <c r="E8117" t="s">
        <v>11</v>
      </c>
      <c r="F8117">
        <v>58.300000000000004</v>
      </c>
      <c r="G8117">
        <v>18</v>
      </c>
    </row>
    <row r="8118" spans="1:7" x14ac:dyDescent="0.25">
      <c r="A8118" t="s">
        <v>41</v>
      </c>
      <c r="B8118" t="s">
        <v>4568</v>
      </c>
      <c r="C8118" t="s">
        <v>18628</v>
      </c>
      <c r="D8118" t="s">
        <v>20</v>
      </c>
      <c r="E8118" t="s">
        <v>11</v>
      </c>
      <c r="F8118">
        <v>1027.4</v>
      </c>
      <c r="G8118">
        <v>18</v>
      </c>
    </row>
    <row r="8119" spans="1:7" x14ac:dyDescent="0.25">
      <c r="A8119" t="s">
        <v>41</v>
      </c>
      <c r="B8119" t="s">
        <v>4570</v>
      </c>
      <c r="C8119" t="s">
        <v>18629</v>
      </c>
      <c r="D8119" t="s">
        <v>20</v>
      </c>
      <c r="E8119" t="s">
        <v>11</v>
      </c>
      <c r="F8119">
        <v>3627.7999999999997</v>
      </c>
      <c r="G8119">
        <v>18</v>
      </c>
    </row>
    <row r="8120" spans="1:7" x14ac:dyDescent="0.25">
      <c r="A8120" t="s">
        <v>41</v>
      </c>
      <c r="B8120" t="s">
        <v>4572</v>
      </c>
      <c r="C8120" t="s">
        <v>18630</v>
      </c>
      <c r="D8120" t="s">
        <v>20</v>
      </c>
      <c r="E8120" t="s">
        <v>11</v>
      </c>
      <c r="F8120">
        <v>781</v>
      </c>
      <c r="G8120">
        <v>18</v>
      </c>
    </row>
    <row r="8121" spans="1:7" x14ac:dyDescent="0.25">
      <c r="A8121" t="s">
        <v>41</v>
      </c>
      <c r="B8121" t="s">
        <v>4574</v>
      </c>
      <c r="C8121" t="s">
        <v>18631</v>
      </c>
      <c r="D8121" t="s">
        <v>20</v>
      </c>
      <c r="E8121" t="s">
        <v>11</v>
      </c>
      <c r="F8121">
        <v>2482.7</v>
      </c>
      <c r="G8121">
        <v>18</v>
      </c>
    </row>
    <row r="8122" spans="1:7" x14ac:dyDescent="0.25">
      <c r="A8122" t="s">
        <v>41</v>
      </c>
      <c r="B8122" t="s">
        <v>4576</v>
      </c>
      <c r="C8122" t="s">
        <v>17847</v>
      </c>
      <c r="D8122" t="s">
        <v>20</v>
      </c>
      <c r="E8122" t="s">
        <v>11</v>
      </c>
      <c r="F8122">
        <v>70.4</v>
      </c>
      <c r="G8122">
        <v>18</v>
      </c>
    </row>
    <row r="8123" spans="1:7" x14ac:dyDescent="0.25">
      <c r="A8123" t="s">
        <v>41</v>
      </c>
      <c r="B8123" t="s">
        <v>4578</v>
      </c>
      <c r="C8123" t="s">
        <v>17656</v>
      </c>
      <c r="D8123" t="s">
        <v>20</v>
      </c>
      <c r="E8123" t="s">
        <v>11</v>
      </c>
      <c r="F8123">
        <v>58.300000000000004</v>
      </c>
      <c r="G8123">
        <v>18</v>
      </c>
    </row>
    <row r="8124" spans="1:7" x14ac:dyDescent="0.25">
      <c r="A8124" t="s">
        <v>41</v>
      </c>
      <c r="B8124" t="s">
        <v>4580</v>
      </c>
      <c r="C8124" t="s">
        <v>18327</v>
      </c>
      <c r="D8124" t="s">
        <v>20</v>
      </c>
      <c r="E8124" t="s">
        <v>11</v>
      </c>
      <c r="F8124">
        <v>756.8</v>
      </c>
      <c r="G8124">
        <v>18</v>
      </c>
    </row>
    <row r="8125" spans="1:7" x14ac:dyDescent="0.25">
      <c r="A8125" t="s">
        <v>41</v>
      </c>
      <c r="B8125" t="s">
        <v>4582</v>
      </c>
      <c r="C8125" t="s">
        <v>18322</v>
      </c>
      <c r="D8125" t="s">
        <v>20</v>
      </c>
      <c r="E8125" t="s">
        <v>11</v>
      </c>
      <c r="F8125">
        <v>1027.4</v>
      </c>
      <c r="G8125">
        <v>18</v>
      </c>
    </row>
    <row r="8126" spans="1:7" x14ac:dyDescent="0.25">
      <c r="A8126" t="s">
        <v>41</v>
      </c>
      <c r="B8126" t="s">
        <v>4584</v>
      </c>
      <c r="C8126" t="s">
        <v>18156</v>
      </c>
      <c r="D8126" t="s">
        <v>20</v>
      </c>
      <c r="E8126" t="s">
        <v>11</v>
      </c>
      <c r="F8126">
        <v>118.80000000000001</v>
      </c>
      <c r="G8126">
        <v>18</v>
      </c>
    </row>
    <row r="8127" spans="1:7" x14ac:dyDescent="0.25">
      <c r="A8127" t="s">
        <v>41</v>
      </c>
      <c r="B8127" t="s">
        <v>4586</v>
      </c>
      <c r="C8127" t="s">
        <v>17654</v>
      </c>
      <c r="D8127" t="s">
        <v>20</v>
      </c>
      <c r="E8127" t="s">
        <v>11</v>
      </c>
      <c r="F8127">
        <v>57.2</v>
      </c>
      <c r="G8127">
        <v>18</v>
      </c>
    </row>
    <row r="8128" spans="1:7" x14ac:dyDescent="0.25">
      <c r="A8128" t="s">
        <v>41</v>
      </c>
      <c r="B8128" t="s">
        <v>4588</v>
      </c>
      <c r="C8128" t="s">
        <v>17656</v>
      </c>
      <c r="D8128" t="s">
        <v>20</v>
      </c>
      <c r="E8128" t="s">
        <v>11</v>
      </c>
      <c r="F8128">
        <v>57.2</v>
      </c>
      <c r="G8128">
        <v>18</v>
      </c>
    </row>
    <row r="8129" spans="1:7" x14ac:dyDescent="0.25">
      <c r="A8129" t="s">
        <v>41</v>
      </c>
      <c r="B8129" t="s">
        <v>4590</v>
      </c>
      <c r="C8129" t="s">
        <v>18632</v>
      </c>
      <c r="D8129" t="s">
        <v>20</v>
      </c>
      <c r="E8129" t="s">
        <v>11</v>
      </c>
      <c r="F8129">
        <v>293.7</v>
      </c>
      <c r="G8129">
        <v>18</v>
      </c>
    </row>
    <row r="8130" spans="1:7" x14ac:dyDescent="0.25">
      <c r="A8130" t="s">
        <v>41</v>
      </c>
      <c r="B8130" t="s">
        <v>4592</v>
      </c>
      <c r="C8130" t="s">
        <v>17690</v>
      </c>
      <c r="D8130" t="s">
        <v>20</v>
      </c>
      <c r="E8130" t="s">
        <v>11</v>
      </c>
      <c r="F8130">
        <v>57.2</v>
      </c>
      <c r="G8130">
        <v>18</v>
      </c>
    </row>
    <row r="8131" spans="1:7" x14ac:dyDescent="0.25">
      <c r="A8131" t="s">
        <v>41</v>
      </c>
      <c r="B8131" t="s">
        <v>4594</v>
      </c>
      <c r="C8131" t="s">
        <v>18633</v>
      </c>
      <c r="D8131" t="s">
        <v>20</v>
      </c>
      <c r="E8131" t="s">
        <v>11</v>
      </c>
      <c r="F8131">
        <v>63.8</v>
      </c>
      <c r="G8131">
        <v>18</v>
      </c>
    </row>
    <row r="8132" spans="1:7" x14ac:dyDescent="0.25">
      <c r="A8132" t="s">
        <v>41</v>
      </c>
      <c r="B8132" t="s">
        <v>4596</v>
      </c>
      <c r="C8132" t="s">
        <v>17689</v>
      </c>
      <c r="D8132" t="s">
        <v>20</v>
      </c>
      <c r="E8132" t="s">
        <v>11</v>
      </c>
      <c r="F8132">
        <v>70.4</v>
      </c>
      <c r="G8132">
        <v>18</v>
      </c>
    </row>
    <row r="8133" spans="1:7" x14ac:dyDescent="0.25">
      <c r="A8133" t="s">
        <v>41</v>
      </c>
      <c r="B8133" t="s">
        <v>4598</v>
      </c>
      <c r="C8133" t="s">
        <v>18634</v>
      </c>
      <c r="D8133" t="s">
        <v>20</v>
      </c>
      <c r="E8133" t="s">
        <v>11</v>
      </c>
      <c r="F8133">
        <v>4980.8</v>
      </c>
      <c r="G8133">
        <v>18</v>
      </c>
    </row>
    <row r="8134" spans="1:7" x14ac:dyDescent="0.25">
      <c r="A8134" t="s">
        <v>41</v>
      </c>
      <c r="B8134" t="s">
        <v>4600</v>
      </c>
      <c r="C8134" t="s">
        <v>18635</v>
      </c>
      <c r="D8134" t="s">
        <v>20</v>
      </c>
      <c r="E8134" t="s">
        <v>11</v>
      </c>
      <c r="F8134">
        <v>2000.9</v>
      </c>
      <c r="G8134">
        <v>18</v>
      </c>
    </row>
    <row r="8135" spans="1:7" x14ac:dyDescent="0.25">
      <c r="A8135" t="s">
        <v>41</v>
      </c>
      <c r="B8135" t="s">
        <v>4602</v>
      </c>
      <c r="C8135" t="s">
        <v>18636</v>
      </c>
      <c r="D8135" t="s">
        <v>20</v>
      </c>
      <c r="E8135" t="s">
        <v>11</v>
      </c>
      <c r="F8135">
        <v>120715.1</v>
      </c>
      <c r="G8135">
        <v>18</v>
      </c>
    </row>
    <row r="8136" spans="1:7" x14ac:dyDescent="0.25">
      <c r="A8136" t="s">
        <v>41</v>
      </c>
      <c r="B8136" t="s">
        <v>4604</v>
      </c>
      <c r="C8136" t="s">
        <v>18637</v>
      </c>
      <c r="D8136" t="s">
        <v>20</v>
      </c>
      <c r="E8136" t="s">
        <v>11</v>
      </c>
      <c r="F8136">
        <v>120715.1</v>
      </c>
      <c r="G8136">
        <v>18</v>
      </c>
    </row>
    <row r="8137" spans="1:7" x14ac:dyDescent="0.25">
      <c r="A8137" t="s">
        <v>41</v>
      </c>
      <c r="B8137" t="s">
        <v>4606</v>
      </c>
      <c r="C8137" t="s">
        <v>18638</v>
      </c>
      <c r="D8137" t="s">
        <v>20</v>
      </c>
      <c r="E8137" t="s">
        <v>11</v>
      </c>
      <c r="F8137">
        <v>80175.7</v>
      </c>
      <c r="G8137">
        <v>18</v>
      </c>
    </row>
    <row r="8138" spans="1:7" x14ac:dyDescent="0.25">
      <c r="A8138" t="s">
        <v>41</v>
      </c>
      <c r="B8138" t="s">
        <v>4608</v>
      </c>
      <c r="C8138" t="s">
        <v>18639</v>
      </c>
      <c r="D8138" t="s">
        <v>20</v>
      </c>
      <c r="E8138" t="s">
        <v>11</v>
      </c>
      <c r="F8138">
        <v>41411.700000000004</v>
      </c>
      <c r="G8138">
        <v>18</v>
      </c>
    </row>
    <row r="8139" spans="1:7" x14ac:dyDescent="0.25">
      <c r="A8139" t="s">
        <v>41</v>
      </c>
      <c r="B8139" t="s">
        <v>4610</v>
      </c>
      <c r="C8139" t="s">
        <v>18122</v>
      </c>
      <c r="D8139" t="s">
        <v>20</v>
      </c>
      <c r="E8139" t="s">
        <v>11</v>
      </c>
      <c r="F8139">
        <v>4594.700000000001</v>
      </c>
      <c r="G8139">
        <v>18</v>
      </c>
    </row>
    <row r="8140" spans="1:7" x14ac:dyDescent="0.25">
      <c r="A8140" t="s">
        <v>41</v>
      </c>
      <c r="B8140" t="s">
        <v>4612</v>
      </c>
      <c r="C8140" t="s">
        <v>18121</v>
      </c>
      <c r="D8140" t="s">
        <v>20</v>
      </c>
      <c r="E8140" t="s">
        <v>11</v>
      </c>
      <c r="F8140">
        <v>4594.700000000001</v>
      </c>
      <c r="G8140">
        <v>18</v>
      </c>
    </row>
    <row r="8141" spans="1:7" x14ac:dyDescent="0.25">
      <c r="A8141" t="s">
        <v>41</v>
      </c>
      <c r="B8141" t="s">
        <v>4614</v>
      </c>
      <c r="C8141" t="s">
        <v>17757</v>
      </c>
      <c r="D8141" t="s">
        <v>20</v>
      </c>
      <c r="E8141" t="s">
        <v>11</v>
      </c>
      <c r="F8141">
        <v>1856.8</v>
      </c>
      <c r="G8141">
        <v>18</v>
      </c>
    </row>
    <row r="8142" spans="1:7" x14ac:dyDescent="0.25">
      <c r="A8142" t="s">
        <v>41</v>
      </c>
      <c r="B8142" t="s">
        <v>4617</v>
      </c>
      <c r="C8142" t="s">
        <v>17645</v>
      </c>
      <c r="D8142" t="s">
        <v>20</v>
      </c>
      <c r="E8142" t="s">
        <v>11</v>
      </c>
      <c r="F8142">
        <v>167.2</v>
      </c>
      <c r="G8142">
        <v>18</v>
      </c>
    </row>
    <row r="8143" spans="1:7" x14ac:dyDescent="0.25">
      <c r="A8143" t="s">
        <v>41</v>
      </c>
      <c r="B8143" t="s">
        <v>4620</v>
      </c>
      <c r="C8143" t="s">
        <v>17812</v>
      </c>
      <c r="D8143" t="s">
        <v>20</v>
      </c>
      <c r="E8143" t="s">
        <v>11</v>
      </c>
      <c r="F8143">
        <v>70.4</v>
      </c>
      <c r="G8143">
        <v>18</v>
      </c>
    </row>
    <row r="8144" spans="1:7" x14ac:dyDescent="0.25">
      <c r="A8144" t="s">
        <v>41</v>
      </c>
      <c r="B8144" t="s">
        <v>4623</v>
      </c>
      <c r="C8144" t="s">
        <v>17656</v>
      </c>
      <c r="D8144" t="s">
        <v>20</v>
      </c>
      <c r="E8144" t="s">
        <v>11</v>
      </c>
      <c r="F8144">
        <v>58.300000000000004</v>
      </c>
      <c r="G8144">
        <v>18</v>
      </c>
    </row>
    <row r="8145" spans="1:7" x14ac:dyDescent="0.25">
      <c r="A8145" t="s">
        <v>41</v>
      </c>
      <c r="B8145" t="s">
        <v>4626</v>
      </c>
      <c r="C8145" t="s">
        <v>17653</v>
      </c>
      <c r="D8145" t="s">
        <v>20</v>
      </c>
      <c r="E8145" t="s">
        <v>11</v>
      </c>
      <c r="F8145">
        <v>214.5</v>
      </c>
      <c r="G8145">
        <v>18</v>
      </c>
    </row>
    <row r="8146" spans="1:7" x14ac:dyDescent="0.25">
      <c r="A8146" t="s">
        <v>41</v>
      </c>
      <c r="B8146" t="s">
        <v>4629</v>
      </c>
      <c r="C8146" t="s">
        <v>18640</v>
      </c>
      <c r="D8146" t="s">
        <v>20</v>
      </c>
      <c r="E8146" t="s">
        <v>11</v>
      </c>
      <c r="F8146">
        <v>57.2</v>
      </c>
      <c r="G8146">
        <v>18</v>
      </c>
    </row>
    <row r="8147" spans="1:7" x14ac:dyDescent="0.25">
      <c r="A8147" t="s">
        <v>41</v>
      </c>
      <c r="B8147" t="s">
        <v>4632</v>
      </c>
      <c r="C8147" t="s">
        <v>18641</v>
      </c>
      <c r="D8147" t="s">
        <v>20</v>
      </c>
      <c r="E8147" t="s">
        <v>11</v>
      </c>
      <c r="F8147">
        <v>1237.5</v>
      </c>
      <c r="G8147">
        <v>18</v>
      </c>
    </row>
    <row r="8148" spans="1:7" x14ac:dyDescent="0.25">
      <c r="A8148" t="s">
        <v>41</v>
      </c>
      <c r="B8148" t="s">
        <v>4635</v>
      </c>
      <c r="C8148" t="s">
        <v>18642</v>
      </c>
      <c r="D8148" t="s">
        <v>20</v>
      </c>
      <c r="E8148" t="s">
        <v>11</v>
      </c>
      <c r="F8148">
        <v>114.4</v>
      </c>
      <c r="G8148">
        <v>18</v>
      </c>
    </row>
    <row r="8149" spans="1:7" x14ac:dyDescent="0.25">
      <c r="A8149" t="s">
        <v>41</v>
      </c>
      <c r="B8149" t="s">
        <v>4638</v>
      </c>
      <c r="C8149" t="s">
        <v>17819</v>
      </c>
      <c r="D8149" t="s">
        <v>20</v>
      </c>
      <c r="E8149" t="s">
        <v>11</v>
      </c>
      <c r="F8149">
        <v>79.2</v>
      </c>
      <c r="G8149">
        <v>18</v>
      </c>
    </row>
    <row r="8150" spans="1:7" x14ac:dyDescent="0.25">
      <c r="A8150" t="s">
        <v>41</v>
      </c>
      <c r="B8150" t="s">
        <v>4641</v>
      </c>
      <c r="C8150" t="s">
        <v>17728</v>
      </c>
      <c r="D8150" t="s">
        <v>20</v>
      </c>
      <c r="E8150" t="s">
        <v>11</v>
      </c>
      <c r="F8150">
        <v>212.29999999999998</v>
      </c>
      <c r="G8150">
        <v>18</v>
      </c>
    </row>
    <row r="8151" spans="1:7" x14ac:dyDescent="0.25">
      <c r="A8151" t="s">
        <v>41</v>
      </c>
      <c r="B8151" t="s">
        <v>4643</v>
      </c>
      <c r="C8151" t="s">
        <v>17995</v>
      </c>
      <c r="D8151" t="s">
        <v>20</v>
      </c>
      <c r="E8151" t="s">
        <v>11</v>
      </c>
      <c r="F8151">
        <v>9275.199999999999</v>
      </c>
      <c r="G8151">
        <v>18</v>
      </c>
    </row>
    <row r="8152" spans="1:7" x14ac:dyDescent="0.25">
      <c r="A8152" t="s">
        <v>41</v>
      </c>
      <c r="B8152" t="s">
        <v>4645</v>
      </c>
      <c r="C8152" t="s">
        <v>18643</v>
      </c>
      <c r="D8152" t="s">
        <v>20</v>
      </c>
      <c r="E8152" t="s">
        <v>11</v>
      </c>
      <c r="F8152">
        <v>192.5</v>
      </c>
      <c r="G8152">
        <v>18</v>
      </c>
    </row>
    <row r="8153" spans="1:7" x14ac:dyDescent="0.25">
      <c r="A8153" t="s">
        <v>41</v>
      </c>
      <c r="B8153" t="s">
        <v>4647</v>
      </c>
      <c r="C8153" t="s">
        <v>17733</v>
      </c>
      <c r="D8153" t="s">
        <v>20</v>
      </c>
      <c r="E8153" t="s">
        <v>11</v>
      </c>
      <c r="F8153">
        <v>585.2</v>
      </c>
      <c r="G8153">
        <v>18</v>
      </c>
    </row>
    <row r="8154" spans="1:7" x14ac:dyDescent="0.25">
      <c r="A8154" t="s">
        <v>41</v>
      </c>
      <c r="B8154" t="s">
        <v>4649</v>
      </c>
      <c r="C8154" t="s">
        <v>18644</v>
      </c>
      <c r="D8154" t="s">
        <v>20</v>
      </c>
      <c r="E8154" t="s">
        <v>11</v>
      </c>
      <c r="F8154">
        <v>45378.299999999996</v>
      </c>
      <c r="G8154">
        <v>18</v>
      </c>
    </row>
    <row r="8155" spans="1:7" x14ac:dyDescent="0.25">
      <c r="A8155" t="s">
        <v>41</v>
      </c>
      <c r="B8155" t="s">
        <v>4651</v>
      </c>
      <c r="C8155" t="s">
        <v>17740</v>
      </c>
      <c r="D8155" t="s">
        <v>20</v>
      </c>
      <c r="E8155" t="s">
        <v>11</v>
      </c>
      <c r="F8155">
        <v>45378.299999999996</v>
      </c>
      <c r="G8155">
        <v>18</v>
      </c>
    </row>
    <row r="8156" spans="1:7" x14ac:dyDescent="0.25">
      <c r="A8156" t="s">
        <v>41</v>
      </c>
      <c r="B8156" t="s">
        <v>4653</v>
      </c>
      <c r="C8156" t="s">
        <v>18645</v>
      </c>
      <c r="D8156" t="s">
        <v>20</v>
      </c>
      <c r="E8156" t="s">
        <v>11</v>
      </c>
      <c r="F8156">
        <v>46381.5</v>
      </c>
      <c r="G8156">
        <v>18</v>
      </c>
    </row>
    <row r="8157" spans="1:7" x14ac:dyDescent="0.25">
      <c r="A8157" t="s">
        <v>41</v>
      </c>
      <c r="B8157" t="s">
        <v>4655</v>
      </c>
      <c r="C8157" t="s">
        <v>17783</v>
      </c>
      <c r="D8157" t="s">
        <v>20</v>
      </c>
      <c r="E8157" t="s">
        <v>11</v>
      </c>
      <c r="F8157">
        <v>11480.7</v>
      </c>
      <c r="G8157">
        <v>18</v>
      </c>
    </row>
    <row r="8158" spans="1:7" x14ac:dyDescent="0.25">
      <c r="A8158" t="s">
        <v>41</v>
      </c>
      <c r="B8158" t="s">
        <v>4657</v>
      </c>
      <c r="C8158" t="s">
        <v>18646</v>
      </c>
      <c r="D8158" t="s">
        <v>20</v>
      </c>
      <c r="E8158" t="s">
        <v>11</v>
      </c>
      <c r="F8158">
        <v>9185</v>
      </c>
      <c r="G8158">
        <v>18</v>
      </c>
    </row>
    <row r="8159" spans="1:7" x14ac:dyDescent="0.25">
      <c r="A8159" t="s">
        <v>41</v>
      </c>
      <c r="B8159" t="s">
        <v>4659</v>
      </c>
      <c r="C8159" t="s">
        <v>18647</v>
      </c>
      <c r="D8159" t="s">
        <v>20</v>
      </c>
      <c r="E8159" t="s">
        <v>11</v>
      </c>
      <c r="F8159">
        <v>8130.099999999999</v>
      </c>
      <c r="G8159">
        <v>18</v>
      </c>
    </row>
    <row r="8160" spans="1:7" x14ac:dyDescent="0.25">
      <c r="A8160" t="s">
        <v>41</v>
      </c>
      <c r="B8160" t="s">
        <v>4661</v>
      </c>
      <c r="C8160" t="s">
        <v>17991</v>
      </c>
      <c r="D8160" t="s">
        <v>20</v>
      </c>
      <c r="E8160" t="s">
        <v>11</v>
      </c>
      <c r="F8160">
        <v>11086.900000000001</v>
      </c>
      <c r="G8160">
        <v>18</v>
      </c>
    </row>
    <row r="8161" spans="1:7" x14ac:dyDescent="0.25">
      <c r="A8161" t="s">
        <v>41</v>
      </c>
      <c r="B8161" t="s">
        <v>4664</v>
      </c>
      <c r="C8161" t="s">
        <v>18648</v>
      </c>
      <c r="D8161" t="s">
        <v>20</v>
      </c>
      <c r="E8161" t="s">
        <v>11</v>
      </c>
      <c r="F8161">
        <v>137.5</v>
      </c>
      <c r="G8161">
        <v>18</v>
      </c>
    </row>
    <row r="8162" spans="1:7" x14ac:dyDescent="0.25">
      <c r="A8162" t="s">
        <v>41</v>
      </c>
      <c r="B8162" t="s">
        <v>4666</v>
      </c>
      <c r="C8162" t="s">
        <v>17847</v>
      </c>
      <c r="D8162" t="s">
        <v>20</v>
      </c>
      <c r="E8162" t="s">
        <v>11</v>
      </c>
      <c r="F8162">
        <v>70.4</v>
      </c>
      <c r="G8162">
        <v>18</v>
      </c>
    </row>
    <row r="8163" spans="1:7" x14ac:dyDescent="0.25">
      <c r="A8163" t="s">
        <v>41</v>
      </c>
      <c r="B8163" t="s">
        <v>4668</v>
      </c>
      <c r="C8163" t="s">
        <v>17656</v>
      </c>
      <c r="D8163" t="s">
        <v>20</v>
      </c>
      <c r="E8163" t="s">
        <v>11</v>
      </c>
      <c r="F8163">
        <v>58.300000000000004</v>
      </c>
      <c r="G8163">
        <v>18</v>
      </c>
    </row>
    <row r="8164" spans="1:7" x14ac:dyDescent="0.25">
      <c r="A8164" t="s">
        <v>41</v>
      </c>
      <c r="B8164" t="s">
        <v>4670</v>
      </c>
      <c r="C8164" t="s">
        <v>18248</v>
      </c>
      <c r="D8164" t="s">
        <v>20</v>
      </c>
      <c r="E8164" t="s">
        <v>11</v>
      </c>
      <c r="F8164">
        <v>404.8</v>
      </c>
      <c r="G8164">
        <v>18</v>
      </c>
    </row>
    <row r="8165" spans="1:7" x14ac:dyDescent="0.25">
      <c r="A8165" t="s">
        <v>41</v>
      </c>
      <c r="B8165" t="s">
        <v>4672</v>
      </c>
      <c r="C8165" t="s">
        <v>17757</v>
      </c>
      <c r="D8165" t="s">
        <v>20</v>
      </c>
      <c r="E8165" t="s">
        <v>11</v>
      </c>
      <c r="F8165">
        <v>1856.8</v>
      </c>
      <c r="G8165">
        <v>18</v>
      </c>
    </row>
    <row r="8166" spans="1:7" x14ac:dyDescent="0.25">
      <c r="A8166" t="s">
        <v>41</v>
      </c>
      <c r="B8166" t="s">
        <v>4674</v>
      </c>
      <c r="C8166" t="s">
        <v>18649</v>
      </c>
      <c r="D8166" t="s">
        <v>20</v>
      </c>
      <c r="E8166" t="s">
        <v>11</v>
      </c>
      <c r="F8166">
        <v>482.9</v>
      </c>
      <c r="G8166">
        <v>18</v>
      </c>
    </row>
    <row r="8167" spans="1:7" x14ac:dyDescent="0.25">
      <c r="A8167" t="s">
        <v>41</v>
      </c>
      <c r="B8167" t="s">
        <v>4676</v>
      </c>
      <c r="C8167" t="s">
        <v>18650</v>
      </c>
      <c r="D8167" t="s">
        <v>20</v>
      </c>
      <c r="E8167" t="s">
        <v>11</v>
      </c>
      <c r="F8167">
        <v>983.4</v>
      </c>
      <c r="G8167">
        <v>18</v>
      </c>
    </row>
    <row r="8168" spans="1:7" x14ac:dyDescent="0.25">
      <c r="A8168" t="s">
        <v>41</v>
      </c>
      <c r="B8168" t="s">
        <v>4678</v>
      </c>
      <c r="C8168" t="s">
        <v>17987</v>
      </c>
      <c r="D8168" t="s">
        <v>20</v>
      </c>
      <c r="E8168" t="s">
        <v>11</v>
      </c>
      <c r="F8168">
        <v>233.20000000000002</v>
      </c>
      <c r="G8168">
        <v>18</v>
      </c>
    </row>
    <row r="8169" spans="1:7" x14ac:dyDescent="0.25">
      <c r="A8169" t="s">
        <v>41</v>
      </c>
      <c r="B8169" t="s">
        <v>4680</v>
      </c>
      <c r="C8169" t="s">
        <v>18651</v>
      </c>
      <c r="D8169" t="s">
        <v>20</v>
      </c>
      <c r="E8169" t="s">
        <v>11</v>
      </c>
      <c r="F8169">
        <v>941.6</v>
      </c>
      <c r="G8169">
        <v>18</v>
      </c>
    </row>
    <row r="8170" spans="1:7" x14ac:dyDescent="0.25">
      <c r="A8170" t="s">
        <v>41</v>
      </c>
      <c r="B8170" t="s">
        <v>4683</v>
      </c>
      <c r="C8170" t="s">
        <v>18652</v>
      </c>
      <c r="D8170" t="s">
        <v>20</v>
      </c>
      <c r="E8170" t="s">
        <v>11</v>
      </c>
      <c r="F8170">
        <v>2736.7999999999997</v>
      </c>
      <c r="G8170">
        <v>18</v>
      </c>
    </row>
    <row r="8171" spans="1:7" x14ac:dyDescent="0.25">
      <c r="A8171" t="s">
        <v>41</v>
      </c>
      <c r="B8171" t="s">
        <v>4686</v>
      </c>
      <c r="C8171" t="s">
        <v>18653</v>
      </c>
      <c r="D8171" t="s">
        <v>20</v>
      </c>
      <c r="E8171" t="s">
        <v>11</v>
      </c>
      <c r="F8171">
        <v>2736.7999999999997</v>
      </c>
      <c r="G8171">
        <v>18</v>
      </c>
    </row>
    <row r="8172" spans="1:7" x14ac:dyDescent="0.25">
      <c r="A8172" t="s">
        <v>41</v>
      </c>
      <c r="B8172" t="s">
        <v>4688</v>
      </c>
      <c r="C8172" t="s">
        <v>18654</v>
      </c>
      <c r="D8172" t="s">
        <v>20</v>
      </c>
      <c r="E8172" t="s">
        <v>11</v>
      </c>
      <c r="F8172">
        <v>590.7</v>
      </c>
      <c r="G8172">
        <v>18</v>
      </c>
    </row>
    <row r="8173" spans="1:7" x14ac:dyDescent="0.25">
      <c r="A8173" t="s">
        <v>41</v>
      </c>
      <c r="B8173" t="s">
        <v>4690</v>
      </c>
      <c r="C8173" t="s">
        <v>17847</v>
      </c>
      <c r="D8173" t="s">
        <v>20</v>
      </c>
      <c r="E8173" t="s">
        <v>11</v>
      </c>
      <c r="F8173">
        <v>70.4</v>
      </c>
      <c r="G8173">
        <v>18</v>
      </c>
    </row>
    <row r="8174" spans="1:7" x14ac:dyDescent="0.25">
      <c r="A8174" t="s">
        <v>41</v>
      </c>
      <c r="B8174" t="s">
        <v>4693</v>
      </c>
      <c r="C8174" t="s">
        <v>17656</v>
      </c>
      <c r="D8174" t="s">
        <v>20</v>
      </c>
      <c r="E8174" t="s">
        <v>11</v>
      </c>
      <c r="F8174">
        <v>57.2</v>
      </c>
      <c r="G8174">
        <v>18</v>
      </c>
    </row>
    <row r="8175" spans="1:7" x14ac:dyDescent="0.25">
      <c r="A8175" t="s">
        <v>41</v>
      </c>
      <c r="B8175" t="s">
        <v>4695</v>
      </c>
      <c r="C8175" t="s">
        <v>18248</v>
      </c>
      <c r="D8175" t="s">
        <v>20</v>
      </c>
      <c r="E8175" t="s">
        <v>11</v>
      </c>
      <c r="F8175">
        <v>404.8</v>
      </c>
      <c r="G8175">
        <v>18</v>
      </c>
    </row>
    <row r="8176" spans="1:7" x14ac:dyDescent="0.25">
      <c r="A8176" t="s">
        <v>41</v>
      </c>
      <c r="B8176" t="s">
        <v>4697</v>
      </c>
      <c r="C8176" t="s">
        <v>17646</v>
      </c>
      <c r="D8176" t="s">
        <v>20</v>
      </c>
      <c r="E8176" t="s">
        <v>11</v>
      </c>
      <c r="F8176">
        <v>70.4</v>
      </c>
      <c r="G8176">
        <v>18</v>
      </c>
    </row>
    <row r="8177" spans="1:7" x14ac:dyDescent="0.25">
      <c r="A8177" t="s">
        <v>41</v>
      </c>
      <c r="B8177" t="s">
        <v>4699</v>
      </c>
      <c r="C8177" t="s">
        <v>17802</v>
      </c>
      <c r="D8177" t="s">
        <v>20</v>
      </c>
      <c r="E8177" t="s">
        <v>11</v>
      </c>
      <c r="F8177">
        <v>70.4</v>
      </c>
      <c r="G8177">
        <v>18</v>
      </c>
    </row>
    <row r="8178" spans="1:7" x14ac:dyDescent="0.25">
      <c r="A8178" t="s">
        <v>41</v>
      </c>
      <c r="B8178" t="s">
        <v>4702</v>
      </c>
      <c r="C8178" t="s">
        <v>18655</v>
      </c>
      <c r="D8178" t="s">
        <v>20</v>
      </c>
      <c r="E8178" t="s">
        <v>11</v>
      </c>
      <c r="F8178">
        <v>6326.099999999999</v>
      </c>
      <c r="G8178">
        <v>18</v>
      </c>
    </row>
    <row r="8179" spans="1:7" x14ac:dyDescent="0.25">
      <c r="A8179" t="s">
        <v>41</v>
      </c>
      <c r="B8179" t="s">
        <v>4705</v>
      </c>
      <c r="C8179" t="s">
        <v>18656</v>
      </c>
      <c r="D8179" t="s">
        <v>20</v>
      </c>
      <c r="E8179" t="s">
        <v>11</v>
      </c>
      <c r="F8179">
        <v>2098.7999999999997</v>
      </c>
      <c r="G8179">
        <v>18</v>
      </c>
    </row>
    <row r="8180" spans="1:7" x14ac:dyDescent="0.25">
      <c r="A8180" t="s">
        <v>41</v>
      </c>
      <c r="B8180" t="s">
        <v>4707</v>
      </c>
      <c r="C8180" t="s">
        <v>18657</v>
      </c>
      <c r="D8180" t="s">
        <v>20</v>
      </c>
      <c r="E8180" t="s">
        <v>11</v>
      </c>
      <c r="F8180">
        <v>58.300000000000004</v>
      </c>
      <c r="G8180">
        <v>18</v>
      </c>
    </row>
    <row r="8181" spans="1:7" x14ac:dyDescent="0.25">
      <c r="A8181" t="s">
        <v>41</v>
      </c>
      <c r="B8181" t="s">
        <v>4709</v>
      </c>
      <c r="C8181" t="s">
        <v>17838</v>
      </c>
      <c r="D8181" t="s">
        <v>20</v>
      </c>
      <c r="E8181" t="s">
        <v>11</v>
      </c>
      <c r="F8181">
        <v>40.7</v>
      </c>
      <c r="G8181">
        <v>18</v>
      </c>
    </row>
    <row r="8182" spans="1:7" x14ac:dyDescent="0.25">
      <c r="A8182" t="s">
        <v>41</v>
      </c>
      <c r="B8182" t="s">
        <v>4711</v>
      </c>
      <c r="C8182" t="s">
        <v>18620</v>
      </c>
      <c r="D8182" t="s">
        <v>20</v>
      </c>
      <c r="E8182" t="s">
        <v>11</v>
      </c>
      <c r="F8182">
        <v>8372.1</v>
      </c>
      <c r="G8182">
        <v>18</v>
      </c>
    </row>
    <row r="8183" spans="1:7" x14ac:dyDescent="0.25">
      <c r="A8183" t="s">
        <v>41</v>
      </c>
      <c r="B8183" t="s">
        <v>4713</v>
      </c>
      <c r="C8183" t="s">
        <v>17592</v>
      </c>
      <c r="D8183" t="s">
        <v>20</v>
      </c>
      <c r="E8183" t="s">
        <v>11</v>
      </c>
      <c r="F8183">
        <v>1855.7</v>
      </c>
      <c r="G8183">
        <v>18</v>
      </c>
    </row>
    <row r="8184" spans="1:7" x14ac:dyDescent="0.25">
      <c r="A8184" t="s">
        <v>41</v>
      </c>
      <c r="B8184" t="s">
        <v>4715</v>
      </c>
      <c r="C8184" t="s">
        <v>18658</v>
      </c>
      <c r="D8184" t="s">
        <v>20</v>
      </c>
      <c r="E8184" t="s">
        <v>11</v>
      </c>
      <c r="F8184">
        <v>1855.7</v>
      </c>
      <c r="G8184">
        <v>18</v>
      </c>
    </row>
    <row r="8185" spans="1:7" x14ac:dyDescent="0.25">
      <c r="A8185" t="s">
        <v>41</v>
      </c>
      <c r="B8185" t="s">
        <v>4717</v>
      </c>
      <c r="C8185" t="s">
        <v>18659</v>
      </c>
      <c r="D8185" t="s">
        <v>20</v>
      </c>
      <c r="E8185" t="s">
        <v>11</v>
      </c>
      <c r="F8185">
        <v>1948.1000000000001</v>
      </c>
      <c r="G8185">
        <v>18</v>
      </c>
    </row>
    <row r="8186" spans="1:7" x14ac:dyDescent="0.25">
      <c r="A8186" t="s">
        <v>41</v>
      </c>
      <c r="B8186" t="s">
        <v>4719</v>
      </c>
      <c r="C8186" t="s">
        <v>18660</v>
      </c>
      <c r="D8186" t="s">
        <v>20</v>
      </c>
      <c r="E8186" t="s">
        <v>11</v>
      </c>
      <c r="F8186">
        <v>140.8</v>
      </c>
      <c r="G8186">
        <v>18</v>
      </c>
    </row>
    <row r="8187" spans="1:7" x14ac:dyDescent="0.25">
      <c r="A8187" t="s">
        <v>41</v>
      </c>
      <c r="B8187" t="s">
        <v>4721</v>
      </c>
      <c r="C8187" t="s">
        <v>18661</v>
      </c>
      <c r="D8187" t="s">
        <v>20</v>
      </c>
      <c r="E8187" t="s">
        <v>11</v>
      </c>
      <c r="F8187">
        <v>1497.1</v>
      </c>
      <c r="G8187">
        <v>18</v>
      </c>
    </row>
    <row r="8188" spans="1:7" x14ac:dyDescent="0.25">
      <c r="A8188" t="s">
        <v>41</v>
      </c>
      <c r="B8188" t="s">
        <v>4723</v>
      </c>
      <c r="C8188" t="s">
        <v>18662</v>
      </c>
      <c r="D8188" t="s">
        <v>20</v>
      </c>
      <c r="E8188" t="s">
        <v>11</v>
      </c>
      <c r="F8188">
        <v>1497.1</v>
      </c>
      <c r="G8188">
        <v>18</v>
      </c>
    </row>
    <row r="8189" spans="1:7" x14ac:dyDescent="0.25">
      <c r="A8189" t="s">
        <v>41</v>
      </c>
      <c r="B8189" t="s">
        <v>4725</v>
      </c>
      <c r="C8189" t="s">
        <v>18663</v>
      </c>
      <c r="D8189" t="s">
        <v>20</v>
      </c>
      <c r="E8189" t="s">
        <v>11</v>
      </c>
      <c r="F8189">
        <v>9210.300000000001</v>
      </c>
      <c r="G8189">
        <v>18</v>
      </c>
    </row>
    <row r="8190" spans="1:7" x14ac:dyDescent="0.25">
      <c r="A8190" t="s">
        <v>41</v>
      </c>
      <c r="B8190" t="s">
        <v>4727</v>
      </c>
      <c r="C8190" t="s">
        <v>18664</v>
      </c>
      <c r="D8190" t="s">
        <v>20</v>
      </c>
      <c r="E8190" t="s">
        <v>11</v>
      </c>
      <c r="F8190">
        <v>3359.4</v>
      </c>
      <c r="G8190">
        <v>18</v>
      </c>
    </row>
    <row r="8191" spans="1:7" x14ac:dyDescent="0.25">
      <c r="A8191" t="s">
        <v>41</v>
      </c>
      <c r="B8191" t="s">
        <v>4729</v>
      </c>
      <c r="C8191" t="s">
        <v>17850</v>
      </c>
      <c r="D8191" t="s">
        <v>20</v>
      </c>
      <c r="E8191" t="s">
        <v>11</v>
      </c>
      <c r="F8191">
        <v>3526.6000000000004</v>
      </c>
      <c r="G8191">
        <v>18</v>
      </c>
    </row>
    <row r="8192" spans="1:7" x14ac:dyDescent="0.25">
      <c r="A8192" t="s">
        <v>41</v>
      </c>
      <c r="B8192" t="s">
        <v>4731</v>
      </c>
      <c r="C8192" t="s">
        <v>18313</v>
      </c>
      <c r="D8192" t="s">
        <v>20</v>
      </c>
      <c r="E8192" t="s">
        <v>11</v>
      </c>
      <c r="F8192">
        <v>1642.3</v>
      </c>
      <c r="G8192">
        <v>18</v>
      </c>
    </row>
    <row r="8193" spans="1:7" x14ac:dyDescent="0.25">
      <c r="A8193" t="s">
        <v>41</v>
      </c>
      <c r="B8193" t="s">
        <v>4734</v>
      </c>
      <c r="C8193" t="s">
        <v>18665</v>
      </c>
      <c r="D8193" t="s">
        <v>20</v>
      </c>
      <c r="E8193" t="s">
        <v>11</v>
      </c>
      <c r="F8193">
        <v>45540</v>
      </c>
      <c r="G8193">
        <v>18</v>
      </c>
    </row>
    <row r="8194" spans="1:7" x14ac:dyDescent="0.25">
      <c r="A8194" t="s">
        <v>41</v>
      </c>
      <c r="B8194" t="s">
        <v>4737</v>
      </c>
      <c r="C8194" t="s">
        <v>18666</v>
      </c>
      <c r="D8194" t="s">
        <v>20</v>
      </c>
      <c r="E8194" t="s">
        <v>11</v>
      </c>
      <c r="F8194">
        <v>45540</v>
      </c>
      <c r="G8194">
        <v>18</v>
      </c>
    </row>
    <row r="8195" spans="1:7" x14ac:dyDescent="0.25">
      <c r="A8195" t="s">
        <v>41</v>
      </c>
      <c r="B8195" t="s">
        <v>4740</v>
      </c>
      <c r="C8195" t="s">
        <v>17680</v>
      </c>
      <c r="D8195" t="s">
        <v>20</v>
      </c>
      <c r="E8195" t="s">
        <v>11</v>
      </c>
      <c r="F8195">
        <v>2599.2999999999997</v>
      </c>
      <c r="G8195">
        <v>18</v>
      </c>
    </row>
    <row r="8196" spans="1:7" x14ac:dyDescent="0.25">
      <c r="A8196" t="s">
        <v>41</v>
      </c>
      <c r="B8196" t="s">
        <v>4743</v>
      </c>
      <c r="C8196" t="s">
        <v>17545</v>
      </c>
      <c r="D8196" t="s">
        <v>20</v>
      </c>
      <c r="E8196" t="s">
        <v>11</v>
      </c>
      <c r="F8196">
        <v>2516.7999999999997</v>
      </c>
      <c r="G8196">
        <v>18</v>
      </c>
    </row>
    <row r="8197" spans="1:7" x14ac:dyDescent="0.25">
      <c r="A8197" t="s">
        <v>41</v>
      </c>
      <c r="B8197" t="s">
        <v>4746</v>
      </c>
      <c r="C8197" t="s">
        <v>18667</v>
      </c>
      <c r="D8197" t="s">
        <v>20</v>
      </c>
      <c r="E8197" t="s">
        <v>11</v>
      </c>
      <c r="F8197">
        <v>50942.1</v>
      </c>
      <c r="G8197">
        <v>18</v>
      </c>
    </row>
    <row r="8198" spans="1:7" x14ac:dyDescent="0.25">
      <c r="A8198" t="s">
        <v>41</v>
      </c>
      <c r="B8198" t="s">
        <v>4749</v>
      </c>
      <c r="C8198" t="s">
        <v>18668</v>
      </c>
      <c r="D8198" t="s">
        <v>20</v>
      </c>
      <c r="E8198" t="s">
        <v>11</v>
      </c>
      <c r="F8198">
        <v>42883.5</v>
      </c>
      <c r="G8198">
        <v>18</v>
      </c>
    </row>
    <row r="8199" spans="1:7" x14ac:dyDescent="0.25">
      <c r="A8199" t="s">
        <v>41</v>
      </c>
      <c r="B8199" t="s">
        <v>4752</v>
      </c>
      <c r="C8199" t="s">
        <v>18669</v>
      </c>
      <c r="D8199" t="s">
        <v>20</v>
      </c>
      <c r="E8199" t="s">
        <v>11</v>
      </c>
      <c r="F8199">
        <v>18552.6</v>
      </c>
      <c r="G8199">
        <v>18</v>
      </c>
    </row>
    <row r="8200" spans="1:7" x14ac:dyDescent="0.25">
      <c r="A8200" t="s">
        <v>41</v>
      </c>
      <c r="B8200" t="s">
        <v>4755</v>
      </c>
      <c r="C8200" t="s">
        <v>18670</v>
      </c>
      <c r="D8200" t="s">
        <v>20</v>
      </c>
      <c r="E8200" t="s">
        <v>11</v>
      </c>
      <c r="F8200">
        <v>5407.599999999999</v>
      </c>
      <c r="G8200">
        <v>18</v>
      </c>
    </row>
    <row r="8201" spans="1:7" x14ac:dyDescent="0.25">
      <c r="A8201" t="s">
        <v>41</v>
      </c>
      <c r="B8201" t="s">
        <v>4758</v>
      </c>
      <c r="C8201" t="s">
        <v>18671</v>
      </c>
      <c r="D8201" t="s">
        <v>20</v>
      </c>
      <c r="E8201" t="s">
        <v>11</v>
      </c>
      <c r="F8201">
        <v>4565</v>
      </c>
      <c r="G8201">
        <v>18</v>
      </c>
    </row>
    <row r="8202" spans="1:7" x14ac:dyDescent="0.25">
      <c r="A8202" t="s">
        <v>41</v>
      </c>
      <c r="B8202" t="s">
        <v>4761</v>
      </c>
      <c r="C8202" t="s">
        <v>18548</v>
      </c>
      <c r="D8202" t="s">
        <v>20</v>
      </c>
      <c r="E8202" t="s">
        <v>11</v>
      </c>
      <c r="F8202">
        <v>185.9</v>
      </c>
      <c r="G8202">
        <v>18</v>
      </c>
    </row>
    <row r="8203" spans="1:7" x14ac:dyDescent="0.25">
      <c r="A8203" t="s">
        <v>41</v>
      </c>
      <c r="B8203" t="s">
        <v>4764</v>
      </c>
      <c r="C8203" t="s">
        <v>18672</v>
      </c>
      <c r="D8203" t="s">
        <v>20</v>
      </c>
      <c r="E8203" t="s">
        <v>11</v>
      </c>
      <c r="F8203">
        <v>11429</v>
      </c>
      <c r="G8203">
        <v>18</v>
      </c>
    </row>
    <row r="8204" spans="1:7" x14ac:dyDescent="0.25">
      <c r="A8204" t="s">
        <v>41</v>
      </c>
      <c r="B8204" t="s">
        <v>4767</v>
      </c>
      <c r="C8204" t="s">
        <v>18673</v>
      </c>
      <c r="D8204" t="s">
        <v>20</v>
      </c>
      <c r="E8204" t="s">
        <v>11</v>
      </c>
      <c r="F8204">
        <v>10843.8</v>
      </c>
      <c r="G8204">
        <v>18</v>
      </c>
    </row>
    <row r="8205" spans="1:7" x14ac:dyDescent="0.25">
      <c r="A8205" t="s">
        <v>41</v>
      </c>
      <c r="B8205" t="s">
        <v>4770</v>
      </c>
      <c r="C8205" t="s">
        <v>18674</v>
      </c>
      <c r="D8205" t="s">
        <v>20</v>
      </c>
      <c r="E8205" t="s">
        <v>11</v>
      </c>
      <c r="F8205">
        <v>8466.7</v>
      </c>
      <c r="G8205">
        <v>18</v>
      </c>
    </row>
    <row r="8206" spans="1:7" x14ac:dyDescent="0.25">
      <c r="A8206" t="s">
        <v>41</v>
      </c>
      <c r="B8206" t="s">
        <v>4773</v>
      </c>
      <c r="C8206" t="s">
        <v>18675</v>
      </c>
      <c r="D8206" t="s">
        <v>20</v>
      </c>
      <c r="E8206" t="s">
        <v>11</v>
      </c>
      <c r="F8206">
        <v>850.3000000000001</v>
      </c>
      <c r="G8206">
        <v>18</v>
      </c>
    </row>
    <row r="8207" spans="1:7" x14ac:dyDescent="0.25">
      <c r="A8207" t="s">
        <v>41</v>
      </c>
      <c r="B8207" t="s">
        <v>4776</v>
      </c>
      <c r="C8207" t="s">
        <v>18676</v>
      </c>
      <c r="D8207" t="s">
        <v>20</v>
      </c>
      <c r="E8207" t="s">
        <v>11</v>
      </c>
      <c r="F8207">
        <v>369.59999999999997</v>
      </c>
      <c r="G8207">
        <v>18</v>
      </c>
    </row>
    <row r="8208" spans="1:7" x14ac:dyDescent="0.25">
      <c r="A8208" t="s">
        <v>41</v>
      </c>
      <c r="B8208" t="s">
        <v>4779</v>
      </c>
      <c r="C8208" t="s">
        <v>18677</v>
      </c>
      <c r="D8208" t="s">
        <v>20</v>
      </c>
      <c r="E8208" t="s">
        <v>11</v>
      </c>
      <c r="F8208">
        <v>6410.8</v>
      </c>
      <c r="G8208">
        <v>18</v>
      </c>
    </row>
    <row r="8209" spans="1:7" x14ac:dyDescent="0.25">
      <c r="A8209" t="s">
        <v>41</v>
      </c>
      <c r="B8209" t="s">
        <v>4782</v>
      </c>
      <c r="C8209" t="s">
        <v>18507</v>
      </c>
      <c r="D8209" t="s">
        <v>20</v>
      </c>
      <c r="E8209" t="s">
        <v>11</v>
      </c>
      <c r="F8209">
        <v>151.79999999999998</v>
      </c>
      <c r="G8209">
        <v>18</v>
      </c>
    </row>
    <row r="8210" spans="1:7" x14ac:dyDescent="0.25">
      <c r="A8210" t="s">
        <v>41</v>
      </c>
      <c r="B8210" t="s">
        <v>4785</v>
      </c>
      <c r="C8210" t="s">
        <v>18494</v>
      </c>
      <c r="D8210" t="s">
        <v>20</v>
      </c>
      <c r="E8210" t="s">
        <v>11</v>
      </c>
      <c r="F8210">
        <v>140.8</v>
      </c>
      <c r="G8210">
        <v>18</v>
      </c>
    </row>
    <row r="8211" spans="1:7" x14ac:dyDescent="0.25">
      <c r="A8211" t="s">
        <v>41</v>
      </c>
      <c r="B8211" t="s">
        <v>4788</v>
      </c>
      <c r="C8211" t="s">
        <v>18678</v>
      </c>
      <c r="D8211" t="s">
        <v>20</v>
      </c>
      <c r="E8211" t="s">
        <v>11</v>
      </c>
      <c r="F8211">
        <v>4369.2</v>
      </c>
      <c r="G8211">
        <v>18</v>
      </c>
    </row>
    <row r="8212" spans="1:7" x14ac:dyDescent="0.25">
      <c r="A8212" t="s">
        <v>41</v>
      </c>
      <c r="B8212" t="s">
        <v>4791</v>
      </c>
      <c r="C8212" t="s">
        <v>18679</v>
      </c>
      <c r="D8212" t="s">
        <v>20</v>
      </c>
      <c r="E8212" t="s">
        <v>11</v>
      </c>
      <c r="F8212">
        <v>1401.4</v>
      </c>
      <c r="G8212">
        <v>18</v>
      </c>
    </row>
    <row r="8213" spans="1:7" x14ac:dyDescent="0.25">
      <c r="A8213" t="s">
        <v>41</v>
      </c>
      <c r="B8213" t="s">
        <v>4794</v>
      </c>
      <c r="C8213" t="s">
        <v>18680</v>
      </c>
      <c r="D8213" t="s">
        <v>20</v>
      </c>
      <c r="E8213" t="s">
        <v>11</v>
      </c>
      <c r="F8213">
        <v>482.9</v>
      </c>
      <c r="G8213">
        <v>18</v>
      </c>
    </row>
    <row r="8214" spans="1:7" x14ac:dyDescent="0.25">
      <c r="A8214" t="s">
        <v>41</v>
      </c>
      <c r="B8214" t="s">
        <v>4797</v>
      </c>
      <c r="C8214" t="s">
        <v>18681</v>
      </c>
      <c r="D8214" t="s">
        <v>20</v>
      </c>
      <c r="E8214" t="s">
        <v>11</v>
      </c>
      <c r="F8214">
        <v>192.5</v>
      </c>
      <c r="G8214">
        <v>18</v>
      </c>
    </row>
    <row r="8215" spans="1:7" x14ac:dyDescent="0.25">
      <c r="A8215" t="s">
        <v>41</v>
      </c>
      <c r="B8215" t="s">
        <v>4800</v>
      </c>
      <c r="C8215" t="s">
        <v>18682</v>
      </c>
      <c r="D8215" t="s">
        <v>20</v>
      </c>
      <c r="E8215" t="s">
        <v>11</v>
      </c>
      <c r="F8215">
        <v>17198.5</v>
      </c>
      <c r="G8215">
        <v>18</v>
      </c>
    </row>
    <row r="8216" spans="1:7" x14ac:dyDescent="0.25">
      <c r="A8216" t="s">
        <v>41</v>
      </c>
      <c r="B8216" t="s">
        <v>4803</v>
      </c>
      <c r="C8216" t="s">
        <v>17654</v>
      </c>
      <c r="D8216" t="s">
        <v>20</v>
      </c>
      <c r="E8216" t="s">
        <v>11</v>
      </c>
      <c r="F8216">
        <v>70.4</v>
      </c>
      <c r="G8216">
        <v>18</v>
      </c>
    </row>
    <row r="8217" spans="1:7" x14ac:dyDescent="0.25">
      <c r="A8217" t="s">
        <v>41</v>
      </c>
      <c r="B8217" t="s">
        <v>4806</v>
      </c>
      <c r="C8217" t="s">
        <v>17656</v>
      </c>
      <c r="D8217" t="s">
        <v>20</v>
      </c>
      <c r="E8217" t="s">
        <v>11</v>
      </c>
      <c r="F8217">
        <v>57.2</v>
      </c>
      <c r="G8217">
        <v>18</v>
      </c>
    </row>
    <row r="8218" spans="1:7" x14ac:dyDescent="0.25">
      <c r="A8218" t="s">
        <v>41</v>
      </c>
      <c r="B8218" t="s">
        <v>4809</v>
      </c>
      <c r="C8218" t="s">
        <v>17690</v>
      </c>
      <c r="D8218" t="s">
        <v>20</v>
      </c>
      <c r="E8218" t="s">
        <v>11</v>
      </c>
      <c r="F8218">
        <v>57.2</v>
      </c>
      <c r="G8218">
        <v>18</v>
      </c>
    </row>
    <row r="8219" spans="1:7" x14ac:dyDescent="0.25">
      <c r="A8219" t="s">
        <v>41</v>
      </c>
      <c r="B8219" t="s">
        <v>4812</v>
      </c>
      <c r="C8219" t="s">
        <v>17689</v>
      </c>
      <c r="D8219" t="s">
        <v>20</v>
      </c>
      <c r="E8219" t="s">
        <v>11</v>
      </c>
      <c r="F8219">
        <v>57.2</v>
      </c>
      <c r="G8219">
        <v>18</v>
      </c>
    </row>
    <row r="8220" spans="1:7" x14ac:dyDescent="0.25">
      <c r="A8220" t="s">
        <v>41</v>
      </c>
      <c r="B8220" t="s">
        <v>4815</v>
      </c>
      <c r="C8220" t="s">
        <v>18683</v>
      </c>
      <c r="D8220" t="s">
        <v>20</v>
      </c>
      <c r="E8220" t="s">
        <v>11</v>
      </c>
      <c r="F8220">
        <v>5998.3</v>
      </c>
      <c r="G8220">
        <v>18</v>
      </c>
    </row>
    <row r="8221" spans="1:7" x14ac:dyDescent="0.25">
      <c r="A8221" t="s">
        <v>41</v>
      </c>
      <c r="B8221" t="s">
        <v>4818</v>
      </c>
      <c r="C8221" t="s">
        <v>18684</v>
      </c>
      <c r="D8221" t="s">
        <v>20</v>
      </c>
      <c r="E8221" t="s">
        <v>11</v>
      </c>
      <c r="F8221">
        <v>7710.999999999999</v>
      </c>
      <c r="G8221">
        <v>18</v>
      </c>
    </row>
    <row r="8222" spans="1:7" x14ac:dyDescent="0.25">
      <c r="A8222" t="s">
        <v>41</v>
      </c>
      <c r="B8222" t="s">
        <v>4821</v>
      </c>
      <c r="C8222" t="s">
        <v>18685</v>
      </c>
      <c r="D8222" t="s">
        <v>20</v>
      </c>
      <c r="E8222" t="s">
        <v>11</v>
      </c>
      <c r="F8222">
        <v>19010.2</v>
      </c>
      <c r="G8222">
        <v>18</v>
      </c>
    </row>
    <row r="8223" spans="1:7" x14ac:dyDescent="0.25">
      <c r="A8223" t="s">
        <v>41</v>
      </c>
      <c r="B8223" t="s">
        <v>4824</v>
      </c>
      <c r="C8223" t="s">
        <v>18686</v>
      </c>
      <c r="D8223" t="s">
        <v>20</v>
      </c>
      <c r="E8223" t="s">
        <v>11</v>
      </c>
      <c r="F8223">
        <v>10233.3</v>
      </c>
      <c r="G8223">
        <v>18</v>
      </c>
    </row>
    <row r="8224" spans="1:7" x14ac:dyDescent="0.25">
      <c r="A8224" t="s">
        <v>41</v>
      </c>
      <c r="B8224" t="s">
        <v>4827</v>
      </c>
      <c r="C8224" t="s">
        <v>18687</v>
      </c>
      <c r="D8224" t="s">
        <v>20</v>
      </c>
      <c r="E8224" t="s">
        <v>11</v>
      </c>
      <c r="F8224">
        <v>12650</v>
      </c>
      <c r="G8224">
        <v>18</v>
      </c>
    </row>
    <row r="8225" spans="1:7" x14ac:dyDescent="0.25">
      <c r="A8225" t="s">
        <v>41</v>
      </c>
      <c r="B8225" t="s">
        <v>4830</v>
      </c>
      <c r="C8225" t="s">
        <v>18688</v>
      </c>
      <c r="D8225" t="s">
        <v>20</v>
      </c>
      <c r="E8225" t="s">
        <v>11</v>
      </c>
      <c r="F8225">
        <v>3133.8999999999996</v>
      </c>
      <c r="G8225">
        <v>18</v>
      </c>
    </row>
    <row r="8226" spans="1:7" x14ac:dyDescent="0.25">
      <c r="A8226" t="s">
        <v>41</v>
      </c>
      <c r="B8226" t="s">
        <v>4833</v>
      </c>
      <c r="C8226" t="s">
        <v>18689</v>
      </c>
      <c r="D8226" t="s">
        <v>20</v>
      </c>
      <c r="E8226" t="s">
        <v>11</v>
      </c>
      <c r="F8226">
        <v>2451.9</v>
      </c>
      <c r="G8226">
        <v>18</v>
      </c>
    </row>
    <row r="8227" spans="1:7" x14ac:dyDescent="0.25">
      <c r="A8227" t="s">
        <v>41</v>
      </c>
      <c r="B8227" t="s">
        <v>4836</v>
      </c>
      <c r="C8227" t="s">
        <v>18690</v>
      </c>
      <c r="D8227" t="s">
        <v>20</v>
      </c>
      <c r="E8227" t="s">
        <v>11</v>
      </c>
      <c r="F8227">
        <v>924</v>
      </c>
      <c r="G8227">
        <v>18</v>
      </c>
    </row>
    <row r="8228" spans="1:7" x14ac:dyDescent="0.25">
      <c r="A8228" t="s">
        <v>41</v>
      </c>
      <c r="B8228" t="s">
        <v>4839</v>
      </c>
      <c r="C8228" t="s">
        <v>18691</v>
      </c>
      <c r="D8228" t="s">
        <v>20</v>
      </c>
      <c r="E8228" t="s">
        <v>11</v>
      </c>
      <c r="F8228">
        <v>724.9</v>
      </c>
      <c r="G8228">
        <v>18</v>
      </c>
    </row>
    <row r="8229" spans="1:7" x14ac:dyDescent="0.25">
      <c r="A8229" t="s">
        <v>41</v>
      </c>
      <c r="B8229" t="s">
        <v>4842</v>
      </c>
      <c r="C8229" t="s">
        <v>18692</v>
      </c>
      <c r="D8229" t="s">
        <v>20</v>
      </c>
      <c r="E8229" t="s">
        <v>11</v>
      </c>
      <c r="F8229">
        <v>1191.3</v>
      </c>
      <c r="G8229">
        <v>18</v>
      </c>
    </row>
    <row r="8230" spans="1:7" x14ac:dyDescent="0.25">
      <c r="A8230" t="s">
        <v>41</v>
      </c>
      <c r="B8230" t="s">
        <v>4845</v>
      </c>
      <c r="C8230" t="s">
        <v>18693</v>
      </c>
      <c r="D8230" t="s">
        <v>20</v>
      </c>
      <c r="E8230" t="s">
        <v>11</v>
      </c>
      <c r="F8230">
        <v>539</v>
      </c>
      <c r="G8230">
        <v>18</v>
      </c>
    </row>
    <row r="8231" spans="1:7" x14ac:dyDescent="0.25">
      <c r="A8231" t="s">
        <v>41</v>
      </c>
      <c r="B8231" t="s">
        <v>4848</v>
      </c>
      <c r="C8231" t="s">
        <v>18694</v>
      </c>
      <c r="D8231" t="s">
        <v>20</v>
      </c>
      <c r="E8231" t="s">
        <v>11</v>
      </c>
      <c r="F8231">
        <v>7893.6</v>
      </c>
      <c r="G8231">
        <v>18</v>
      </c>
    </row>
    <row r="8232" spans="1:7" x14ac:dyDescent="0.25">
      <c r="A8232" t="s">
        <v>41</v>
      </c>
      <c r="B8232" t="s">
        <v>4851</v>
      </c>
      <c r="C8232" t="s">
        <v>18695</v>
      </c>
      <c r="D8232" t="s">
        <v>20</v>
      </c>
      <c r="E8232" t="s">
        <v>11</v>
      </c>
      <c r="F8232">
        <v>217.8</v>
      </c>
      <c r="G8232">
        <v>18</v>
      </c>
    </row>
    <row r="8233" spans="1:7" x14ac:dyDescent="0.25">
      <c r="A8233" t="s">
        <v>41</v>
      </c>
      <c r="B8233" t="s">
        <v>4854</v>
      </c>
      <c r="C8233" t="s">
        <v>18696</v>
      </c>
      <c r="D8233" t="s">
        <v>20</v>
      </c>
      <c r="E8233" t="s">
        <v>11</v>
      </c>
      <c r="F8233">
        <v>63.8</v>
      </c>
      <c r="G8233">
        <v>18</v>
      </c>
    </row>
    <row r="8234" spans="1:7" x14ac:dyDescent="0.25">
      <c r="A8234" t="s">
        <v>41</v>
      </c>
      <c r="B8234" t="s">
        <v>4857</v>
      </c>
      <c r="C8234" t="s">
        <v>18697</v>
      </c>
      <c r="D8234" t="s">
        <v>20</v>
      </c>
      <c r="E8234" t="s">
        <v>11</v>
      </c>
      <c r="F8234">
        <v>739.1999999999999</v>
      </c>
      <c r="G8234">
        <v>18</v>
      </c>
    </row>
    <row r="8235" spans="1:7" x14ac:dyDescent="0.25">
      <c r="A8235" t="s">
        <v>41</v>
      </c>
      <c r="B8235" t="s">
        <v>4860</v>
      </c>
      <c r="C8235" t="s">
        <v>18698</v>
      </c>
      <c r="D8235" t="s">
        <v>20</v>
      </c>
      <c r="E8235" t="s">
        <v>11</v>
      </c>
      <c r="F8235">
        <v>302.5</v>
      </c>
      <c r="G8235">
        <v>18</v>
      </c>
    </row>
    <row r="8236" spans="1:7" x14ac:dyDescent="0.25">
      <c r="A8236" t="s">
        <v>41</v>
      </c>
      <c r="B8236" t="s">
        <v>4863</v>
      </c>
      <c r="C8236" t="s">
        <v>18699</v>
      </c>
      <c r="D8236" t="s">
        <v>20</v>
      </c>
      <c r="E8236" t="s">
        <v>11</v>
      </c>
      <c r="F8236">
        <v>220</v>
      </c>
      <c r="G8236">
        <v>18</v>
      </c>
    </row>
    <row r="8237" spans="1:7" x14ac:dyDescent="0.25">
      <c r="A8237" t="s">
        <v>41</v>
      </c>
      <c r="B8237" t="s">
        <v>4866</v>
      </c>
      <c r="C8237" t="s">
        <v>18700</v>
      </c>
      <c r="D8237" t="s">
        <v>20</v>
      </c>
      <c r="E8237" t="s">
        <v>11</v>
      </c>
      <c r="F8237">
        <v>264</v>
      </c>
      <c r="G8237">
        <v>18</v>
      </c>
    </row>
    <row r="8238" spans="1:7" x14ac:dyDescent="0.25">
      <c r="A8238" t="s">
        <v>41</v>
      </c>
      <c r="B8238" t="s">
        <v>4869</v>
      </c>
      <c r="C8238" t="s">
        <v>18701</v>
      </c>
      <c r="D8238" t="s">
        <v>20</v>
      </c>
      <c r="E8238" t="s">
        <v>11</v>
      </c>
      <c r="F8238">
        <v>422.4</v>
      </c>
      <c r="G8238">
        <v>18</v>
      </c>
    </row>
    <row r="8239" spans="1:7" x14ac:dyDescent="0.25">
      <c r="A8239" t="s">
        <v>41</v>
      </c>
      <c r="B8239" t="s">
        <v>4872</v>
      </c>
      <c r="C8239" t="s">
        <v>18702</v>
      </c>
      <c r="D8239" t="s">
        <v>20</v>
      </c>
      <c r="E8239" t="s">
        <v>11</v>
      </c>
      <c r="F8239">
        <v>2123</v>
      </c>
      <c r="G8239">
        <v>18</v>
      </c>
    </row>
    <row r="8240" spans="1:7" x14ac:dyDescent="0.25">
      <c r="A8240" t="s">
        <v>41</v>
      </c>
      <c r="B8240" t="s">
        <v>4875</v>
      </c>
      <c r="C8240" t="s">
        <v>18703</v>
      </c>
      <c r="D8240" t="s">
        <v>20</v>
      </c>
      <c r="E8240" t="s">
        <v>11</v>
      </c>
      <c r="F8240">
        <v>140.8</v>
      </c>
      <c r="G8240">
        <v>18</v>
      </c>
    </row>
    <row r="8241" spans="1:7" x14ac:dyDescent="0.25">
      <c r="A8241" t="s">
        <v>41</v>
      </c>
      <c r="B8241" t="s">
        <v>4878</v>
      </c>
      <c r="C8241" t="s">
        <v>18704</v>
      </c>
      <c r="D8241" t="s">
        <v>20</v>
      </c>
      <c r="E8241" t="s">
        <v>11</v>
      </c>
      <c r="F8241">
        <v>431.2</v>
      </c>
      <c r="G8241">
        <v>18</v>
      </c>
    </row>
    <row r="8242" spans="1:7" x14ac:dyDescent="0.25">
      <c r="A8242" t="s">
        <v>41</v>
      </c>
      <c r="B8242" t="s">
        <v>4881</v>
      </c>
      <c r="C8242" t="s">
        <v>18705</v>
      </c>
      <c r="D8242" t="s">
        <v>20</v>
      </c>
      <c r="E8242" t="s">
        <v>11</v>
      </c>
      <c r="F8242">
        <v>404.8</v>
      </c>
      <c r="G8242">
        <v>18</v>
      </c>
    </row>
    <row r="8243" spans="1:7" x14ac:dyDescent="0.25">
      <c r="A8243" t="s">
        <v>41</v>
      </c>
      <c r="B8243" t="s">
        <v>4884</v>
      </c>
      <c r="C8243" t="s">
        <v>18706</v>
      </c>
      <c r="D8243" t="s">
        <v>20</v>
      </c>
      <c r="E8243" t="s">
        <v>11</v>
      </c>
      <c r="F8243">
        <v>4149.2</v>
      </c>
      <c r="G8243">
        <v>18</v>
      </c>
    </row>
    <row r="8244" spans="1:7" x14ac:dyDescent="0.25">
      <c r="A8244" t="s">
        <v>41</v>
      </c>
      <c r="B8244" t="s">
        <v>4887</v>
      </c>
      <c r="C8244" t="s">
        <v>18618</v>
      </c>
      <c r="D8244" t="s">
        <v>20</v>
      </c>
      <c r="E8244" t="s">
        <v>11</v>
      </c>
      <c r="F8244">
        <v>61.60000000000001</v>
      </c>
      <c r="G8244">
        <v>18</v>
      </c>
    </row>
    <row r="8245" spans="1:7" x14ac:dyDescent="0.25">
      <c r="A8245" t="s">
        <v>41</v>
      </c>
      <c r="B8245" t="s">
        <v>4890</v>
      </c>
      <c r="C8245" t="s">
        <v>18707</v>
      </c>
      <c r="D8245" t="s">
        <v>20</v>
      </c>
      <c r="E8245" t="s">
        <v>11</v>
      </c>
      <c r="F8245">
        <v>1146.2</v>
      </c>
      <c r="G8245">
        <v>18</v>
      </c>
    </row>
    <row r="8246" spans="1:7" x14ac:dyDescent="0.25">
      <c r="A8246" t="s">
        <v>41</v>
      </c>
      <c r="B8246" t="s">
        <v>4893</v>
      </c>
      <c r="C8246" t="s">
        <v>18708</v>
      </c>
      <c r="D8246" t="s">
        <v>20</v>
      </c>
      <c r="E8246" t="s">
        <v>11</v>
      </c>
      <c r="F8246">
        <v>591.8</v>
      </c>
      <c r="G8246">
        <v>18</v>
      </c>
    </row>
    <row r="8247" spans="1:7" x14ac:dyDescent="0.25">
      <c r="A8247" t="s">
        <v>41</v>
      </c>
      <c r="B8247" t="s">
        <v>4896</v>
      </c>
      <c r="C8247" t="s">
        <v>18709</v>
      </c>
      <c r="D8247" t="s">
        <v>20</v>
      </c>
      <c r="E8247" t="s">
        <v>11</v>
      </c>
      <c r="F8247">
        <v>256.3</v>
      </c>
      <c r="G8247">
        <v>18</v>
      </c>
    </row>
    <row r="8248" spans="1:7" x14ac:dyDescent="0.25">
      <c r="A8248" t="s">
        <v>41</v>
      </c>
      <c r="B8248" t="s">
        <v>4899</v>
      </c>
      <c r="C8248" t="s">
        <v>18710</v>
      </c>
      <c r="D8248" t="s">
        <v>20</v>
      </c>
      <c r="E8248" t="s">
        <v>11</v>
      </c>
      <c r="F8248">
        <v>1329.9</v>
      </c>
      <c r="G8248">
        <v>18</v>
      </c>
    </row>
    <row r="8249" spans="1:7" x14ac:dyDescent="0.25">
      <c r="A8249" t="s">
        <v>41</v>
      </c>
      <c r="B8249" t="s">
        <v>4902</v>
      </c>
      <c r="C8249" t="s">
        <v>18711</v>
      </c>
      <c r="D8249" t="s">
        <v>20</v>
      </c>
      <c r="E8249" t="s">
        <v>11</v>
      </c>
      <c r="F8249">
        <v>41474.4</v>
      </c>
      <c r="G8249">
        <v>18</v>
      </c>
    </row>
    <row r="8250" spans="1:7" x14ac:dyDescent="0.25">
      <c r="A8250" t="s">
        <v>41</v>
      </c>
      <c r="B8250" t="s">
        <v>4905</v>
      </c>
      <c r="C8250" t="s">
        <v>18712</v>
      </c>
      <c r="D8250" t="s">
        <v>20</v>
      </c>
      <c r="E8250" t="s">
        <v>11</v>
      </c>
      <c r="F8250">
        <v>41474.4</v>
      </c>
      <c r="G8250">
        <v>18</v>
      </c>
    </row>
    <row r="8251" spans="1:7" x14ac:dyDescent="0.25">
      <c r="A8251" t="s">
        <v>41</v>
      </c>
      <c r="B8251" t="s">
        <v>4908</v>
      </c>
      <c r="C8251" t="s">
        <v>18713</v>
      </c>
      <c r="D8251" t="s">
        <v>20</v>
      </c>
      <c r="E8251" t="s">
        <v>11</v>
      </c>
      <c r="F8251">
        <v>47892.9</v>
      </c>
      <c r="G8251">
        <v>18</v>
      </c>
    </row>
    <row r="8252" spans="1:7" x14ac:dyDescent="0.25">
      <c r="A8252" t="s">
        <v>41</v>
      </c>
      <c r="B8252" t="s">
        <v>4911</v>
      </c>
      <c r="C8252" t="s">
        <v>18714</v>
      </c>
      <c r="D8252" t="s">
        <v>20</v>
      </c>
      <c r="E8252" t="s">
        <v>11</v>
      </c>
      <c r="F8252">
        <v>47892.9</v>
      </c>
      <c r="G8252">
        <v>18</v>
      </c>
    </row>
    <row r="8253" spans="1:7" x14ac:dyDescent="0.25">
      <c r="A8253" t="s">
        <v>41</v>
      </c>
      <c r="B8253" t="s">
        <v>4914</v>
      </c>
      <c r="C8253" t="s">
        <v>18715</v>
      </c>
      <c r="D8253" t="s">
        <v>20</v>
      </c>
      <c r="E8253" t="s">
        <v>11</v>
      </c>
      <c r="F8253">
        <v>47892.9</v>
      </c>
      <c r="G8253">
        <v>18</v>
      </c>
    </row>
    <row r="8254" spans="1:7" x14ac:dyDescent="0.25">
      <c r="A8254" t="s">
        <v>41</v>
      </c>
      <c r="B8254" t="s">
        <v>4917</v>
      </c>
      <c r="C8254" t="s">
        <v>18716</v>
      </c>
      <c r="D8254" t="s">
        <v>20</v>
      </c>
      <c r="E8254" t="s">
        <v>11</v>
      </c>
      <c r="F8254">
        <v>47892.9</v>
      </c>
      <c r="G8254">
        <v>18</v>
      </c>
    </row>
    <row r="8255" spans="1:7" x14ac:dyDescent="0.25">
      <c r="A8255" t="s">
        <v>41</v>
      </c>
      <c r="B8255" t="s">
        <v>4920</v>
      </c>
      <c r="C8255" t="s">
        <v>18717</v>
      </c>
      <c r="D8255" t="s">
        <v>20</v>
      </c>
      <c r="E8255" t="s">
        <v>11</v>
      </c>
      <c r="F8255">
        <v>47892.9</v>
      </c>
      <c r="G8255">
        <v>18</v>
      </c>
    </row>
    <row r="8256" spans="1:7" x14ac:dyDescent="0.25">
      <c r="A8256" t="s">
        <v>41</v>
      </c>
      <c r="B8256" t="s">
        <v>4923</v>
      </c>
      <c r="C8256" t="s">
        <v>18718</v>
      </c>
      <c r="D8256" t="s">
        <v>20</v>
      </c>
      <c r="E8256" t="s">
        <v>11</v>
      </c>
      <c r="F8256">
        <v>47892.9</v>
      </c>
      <c r="G8256">
        <v>18</v>
      </c>
    </row>
    <row r="8257" spans="1:7" x14ac:dyDescent="0.25">
      <c r="A8257" t="s">
        <v>41</v>
      </c>
      <c r="B8257" t="s">
        <v>4926</v>
      </c>
      <c r="C8257" t="s">
        <v>18719</v>
      </c>
      <c r="D8257" t="s">
        <v>20</v>
      </c>
      <c r="E8257" t="s">
        <v>11</v>
      </c>
      <c r="F8257">
        <v>47892.9</v>
      </c>
      <c r="G8257">
        <v>18</v>
      </c>
    </row>
    <row r="8258" spans="1:7" x14ac:dyDescent="0.25">
      <c r="A8258" t="s">
        <v>41</v>
      </c>
      <c r="B8258" t="s">
        <v>4929</v>
      </c>
      <c r="C8258" t="s">
        <v>18720</v>
      </c>
      <c r="D8258" t="s">
        <v>20</v>
      </c>
      <c r="E8258" t="s">
        <v>11</v>
      </c>
      <c r="F8258">
        <v>47892.9</v>
      </c>
      <c r="G8258">
        <v>18</v>
      </c>
    </row>
    <row r="8259" spans="1:7" x14ac:dyDescent="0.25">
      <c r="A8259" t="s">
        <v>41</v>
      </c>
      <c r="B8259" t="s">
        <v>4932</v>
      </c>
      <c r="C8259" t="s">
        <v>18721</v>
      </c>
      <c r="D8259" t="s">
        <v>20</v>
      </c>
      <c r="E8259" t="s">
        <v>11</v>
      </c>
      <c r="F8259">
        <v>11809.6</v>
      </c>
      <c r="G8259">
        <v>18</v>
      </c>
    </row>
    <row r="8260" spans="1:7" x14ac:dyDescent="0.25">
      <c r="A8260" t="s">
        <v>41</v>
      </c>
      <c r="B8260" t="s">
        <v>4935</v>
      </c>
      <c r="C8260" t="s">
        <v>17670</v>
      </c>
      <c r="D8260" t="s">
        <v>20</v>
      </c>
      <c r="E8260" t="s">
        <v>11</v>
      </c>
      <c r="F8260">
        <v>27055.600000000002</v>
      </c>
      <c r="G8260">
        <v>18</v>
      </c>
    </row>
    <row r="8261" spans="1:7" x14ac:dyDescent="0.25">
      <c r="A8261" t="s">
        <v>41</v>
      </c>
      <c r="B8261" t="s">
        <v>4938</v>
      </c>
      <c r="C8261" t="s">
        <v>18722</v>
      </c>
      <c r="D8261" t="s">
        <v>20</v>
      </c>
      <c r="E8261" t="s">
        <v>11</v>
      </c>
      <c r="F8261">
        <v>514.8</v>
      </c>
      <c r="G8261">
        <v>18</v>
      </c>
    </row>
    <row r="8262" spans="1:7" x14ac:dyDescent="0.25">
      <c r="A8262" t="s">
        <v>41</v>
      </c>
      <c r="B8262" t="s">
        <v>4941</v>
      </c>
      <c r="C8262" t="s">
        <v>18723</v>
      </c>
      <c r="D8262" t="s">
        <v>20</v>
      </c>
      <c r="E8262" t="s">
        <v>11</v>
      </c>
      <c r="F8262">
        <v>1065.8999999999999</v>
      </c>
      <c r="G8262">
        <v>18</v>
      </c>
    </row>
    <row r="8263" spans="1:7" x14ac:dyDescent="0.25">
      <c r="A8263" t="s">
        <v>41</v>
      </c>
      <c r="B8263" t="s">
        <v>4944</v>
      </c>
      <c r="C8263" t="s">
        <v>18724</v>
      </c>
      <c r="D8263" t="s">
        <v>20</v>
      </c>
      <c r="E8263" t="s">
        <v>11</v>
      </c>
      <c r="F8263">
        <v>574.1999999999999</v>
      </c>
      <c r="G8263">
        <v>18</v>
      </c>
    </row>
    <row r="8264" spans="1:7" x14ac:dyDescent="0.25">
      <c r="A8264" t="s">
        <v>41</v>
      </c>
      <c r="B8264" t="s">
        <v>4947</v>
      </c>
      <c r="C8264" t="s">
        <v>18725</v>
      </c>
      <c r="D8264" t="s">
        <v>20</v>
      </c>
      <c r="E8264" t="s">
        <v>11</v>
      </c>
      <c r="F8264">
        <v>886.6</v>
      </c>
      <c r="G8264">
        <v>18</v>
      </c>
    </row>
    <row r="8265" spans="1:7" x14ac:dyDescent="0.25">
      <c r="A8265" t="s">
        <v>41</v>
      </c>
      <c r="B8265" t="s">
        <v>4950</v>
      </c>
      <c r="C8265" t="s">
        <v>17680</v>
      </c>
      <c r="D8265" t="s">
        <v>20</v>
      </c>
      <c r="E8265" t="s">
        <v>11</v>
      </c>
      <c r="F8265">
        <v>2599.2999999999997</v>
      </c>
      <c r="G8265">
        <v>18</v>
      </c>
    </row>
    <row r="8266" spans="1:7" x14ac:dyDescent="0.25">
      <c r="A8266" t="s">
        <v>41</v>
      </c>
      <c r="B8266" t="s">
        <v>4953</v>
      </c>
      <c r="C8266" t="s">
        <v>17545</v>
      </c>
      <c r="D8266" t="s">
        <v>20</v>
      </c>
      <c r="E8266" t="s">
        <v>11</v>
      </c>
      <c r="F8266">
        <v>2516.7999999999997</v>
      </c>
      <c r="G8266">
        <v>18</v>
      </c>
    </row>
    <row r="8267" spans="1:7" x14ac:dyDescent="0.25">
      <c r="A8267" t="s">
        <v>41</v>
      </c>
      <c r="B8267" t="s">
        <v>4956</v>
      </c>
      <c r="C8267" t="s">
        <v>18726</v>
      </c>
      <c r="D8267" t="s">
        <v>20</v>
      </c>
      <c r="E8267" t="s">
        <v>11</v>
      </c>
      <c r="F8267">
        <v>1908.5000000000002</v>
      </c>
      <c r="G8267">
        <v>18</v>
      </c>
    </row>
    <row r="8268" spans="1:7" x14ac:dyDescent="0.25">
      <c r="A8268" t="s">
        <v>41</v>
      </c>
      <c r="B8268" t="s">
        <v>4959</v>
      </c>
      <c r="C8268" t="s">
        <v>18727</v>
      </c>
      <c r="D8268" t="s">
        <v>20</v>
      </c>
      <c r="E8268" t="s">
        <v>11</v>
      </c>
      <c r="F8268">
        <v>1153.9</v>
      </c>
      <c r="G8268">
        <v>18</v>
      </c>
    </row>
    <row r="8269" spans="1:7" x14ac:dyDescent="0.25">
      <c r="A8269" t="s">
        <v>41</v>
      </c>
      <c r="B8269" t="s">
        <v>4962</v>
      </c>
      <c r="C8269" t="s">
        <v>17630</v>
      </c>
      <c r="D8269" t="s">
        <v>20</v>
      </c>
      <c r="E8269" t="s">
        <v>11</v>
      </c>
      <c r="F8269">
        <v>58.300000000000004</v>
      </c>
      <c r="G8269">
        <v>18</v>
      </c>
    </row>
    <row r="8270" spans="1:7" x14ac:dyDescent="0.25">
      <c r="A8270" t="s">
        <v>41</v>
      </c>
      <c r="B8270" t="s">
        <v>4965</v>
      </c>
      <c r="C8270" t="s">
        <v>18728</v>
      </c>
      <c r="D8270" t="s">
        <v>20</v>
      </c>
      <c r="E8270" t="s">
        <v>11</v>
      </c>
      <c r="F8270">
        <v>12068.099999999999</v>
      </c>
      <c r="G8270">
        <v>18</v>
      </c>
    </row>
    <row r="8271" spans="1:7" x14ac:dyDescent="0.25">
      <c r="A8271" t="s">
        <v>41</v>
      </c>
      <c r="B8271" t="s">
        <v>4968</v>
      </c>
      <c r="C8271" t="s">
        <v>18729</v>
      </c>
      <c r="D8271" t="s">
        <v>20</v>
      </c>
      <c r="E8271" t="s">
        <v>11</v>
      </c>
      <c r="F8271">
        <v>15880.7</v>
      </c>
      <c r="G8271">
        <v>18</v>
      </c>
    </row>
    <row r="8272" spans="1:7" x14ac:dyDescent="0.25">
      <c r="A8272" t="s">
        <v>41</v>
      </c>
      <c r="B8272" t="s">
        <v>4971</v>
      </c>
      <c r="C8272" t="s">
        <v>18730</v>
      </c>
      <c r="D8272" t="s">
        <v>20</v>
      </c>
      <c r="E8272" t="s">
        <v>11</v>
      </c>
      <c r="F8272">
        <v>2098.7999999999997</v>
      </c>
      <c r="G8272">
        <v>18</v>
      </c>
    </row>
    <row r="8273" spans="1:7" x14ac:dyDescent="0.25">
      <c r="A8273" t="s">
        <v>41</v>
      </c>
      <c r="B8273" t="s">
        <v>4974</v>
      </c>
      <c r="C8273" t="s">
        <v>18536</v>
      </c>
      <c r="D8273" t="s">
        <v>20</v>
      </c>
      <c r="E8273" t="s">
        <v>11</v>
      </c>
      <c r="F8273">
        <v>58.300000000000004</v>
      </c>
      <c r="G8273">
        <v>18</v>
      </c>
    </row>
    <row r="8274" spans="1:7" x14ac:dyDescent="0.25">
      <c r="A8274" t="s">
        <v>41</v>
      </c>
      <c r="B8274" t="s">
        <v>4977</v>
      </c>
      <c r="C8274" t="s">
        <v>18357</v>
      </c>
      <c r="D8274" t="s">
        <v>20</v>
      </c>
      <c r="E8274" t="s">
        <v>11</v>
      </c>
      <c r="F8274">
        <v>58.300000000000004</v>
      </c>
      <c r="G8274">
        <v>18</v>
      </c>
    </row>
    <row r="8275" spans="1:7" x14ac:dyDescent="0.25">
      <c r="A8275" t="s">
        <v>41</v>
      </c>
      <c r="B8275" t="s">
        <v>4980</v>
      </c>
      <c r="C8275" t="s">
        <v>18731</v>
      </c>
      <c r="D8275" t="s">
        <v>20</v>
      </c>
      <c r="E8275" t="s">
        <v>11</v>
      </c>
      <c r="F8275">
        <v>57.2</v>
      </c>
      <c r="G8275">
        <v>18</v>
      </c>
    </row>
    <row r="8276" spans="1:7" x14ac:dyDescent="0.25">
      <c r="A8276" t="s">
        <v>41</v>
      </c>
      <c r="B8276" t="s">
        <v>4983</v>
      </c>
      <c r="C8276" t="s">
        <v>17736</v>
      </c>
      <c r="D8276" t="s">
        <v>20</v>
      </c>
      <c r="E8276" t="s">
        <v>11</v>
      </c>
      <c r="F8276">
        <v>57.2</v>
      </c>
      <c r="G8276">
        <v>18</v>
      </c>
    </row>
    <row r="8277" spans="1:7" x14ac:dyDescent="0.25">
      <c r="A8277" t="s">
        <v>41</v>
      </c>
      <c r="B8277" t="s">
        <v>4986</v>
      </c>
      <c r="C8277" t="s">
        <v>17673</v>
      </c>
      <c r="D8277" t="s">
        <v>20</v>
      </c>
      <c r="E8277" t="s">
        <v>11</v>
      </c>
      <c r="F8277">
        <v>1862.3</v>
      </c>
      <c r="G8277">
        <v>18</v>
      </c>
    </row>
    <row r="8278" spans="1:7" x14ac:dyDescent="0.25">
      <c r="A8278" t="s">
        <v>41</v>
      </c>
      <c r="B8278" t="s">
        <v>4989</v>
      </c>
      <c r="C8278" t="s">
        <v>17735</v>
      </c>
      <c r="D8278" t="s">
        <v>20</v>
      </c>
      <c r="E8278" t="s">
        <v>11</v>
      </c>
      <c r="F8278">
        <v>58.300000000000004</v>
      </c>
      <c r="G8278">
        <v>18</v>
      </c>
    </row>
    <row r="8279" spans="1:7" x14ac:dyDescent="0.25">
      <c r="A8279" t="s">
        <v>41</v>
      </c>
      <c r="B8279" t="s">
        <v>4992</v>
      </c>
      <c r="C8279" t="s">
        <v>18732</v>
      </c>
      <c r="D8279" t="s">
        <v>20</v>
      </c>
      <c r="E8279" t="s">
        <v>11</v>
      </c>
      <c r="F8279">
        <v>157.29999999999998</v>
      </c>
      <c r="G8279">
        <v>18</v>
      </c>
    </row>
    <row r="8280" spans="1:7" x14ac:dyDescent="0.25">
      <c r="A8280" t="s">
        <v>41</v>
      </c>
      <c r="B8280" t="s">
        <v>4995</v>
      </c>
      <c r="C8280" t="s">
        <v>17748</v>
      </c>
      <c r="D8280" t="s">
        <v>20</v>
      </c>
      <c r="E8280" t="s">
        <v>11</v>
      </c>
      <c r="F8280">
        <v>63.8</v>
      </c>
      <c r="G8280">
        <v>18</v>
      </c>
    </row>
    <row r="8281" spans="1:7" x14ac:dyDescent="0.25">
      <c r="A8281" t="s">
        <v>41</v>
      </c>
      <c r="B8281" t="s">
        <v>4998</v>
      </c>
      <c r="C8281" t="s">
        <v>18733</v>
      </c>
      <c r="D8281" t="s">
        <v>20</v>
      </c>
      <c r="E8281" t="s">
        <v>11</v>
      </c>
      <c r="F8281">
        <v>11805.199999999999</v>
      </c>
      <c r="G8281">
        <v>18</v>
      </c>
    </row>
    <row r="8282" spans="1:7" x14ac:dyDescent="0.25">
      <c r="A8282" t="s">
        <v>41</v>
      </c>
      <c r="B8282" t="s">
        <v>5001</v>
      </c>
      <c r="C8282" t="s">
        <v>18734</v>
      </c>
      <c r="D8282" t="s">
        <v>20</v>
      </c>
      <c r="E8282" t="s">
        <v>11</v>
      </c>
      <c r="F8282">
        <v>2098.7999999999997</v>
      </c>
      <c r="G8282">
        <v>18</v>
      </c>
    </row>
    <row r="8283" spans="1:7" x14ac:dyDescent="0.25">
      <c r="A8283" t="s">
        <v>41</v>
      </c>
      <c r="B8283" t="s">
        <v>5004</v>
      </c>
      <c r="C8283" t="s">
        <v>17831</v>
      </c>
      <c r="D8283" t="s">
        <v>20</v>
      </c>
      <c r="E8283" t="s">
        <v>11</v>
      </c>
      <c r="F8283">
        <v>229.89999999999998</v>
      </c>
      <c r="G8283">
        <v>18</v>
      </c>
    </row>
    <row r="8284" spans="1:7" x14ac:dyDescent="0.25">
      <c r="A8284" t="s">
        <v>41</v>
      </c>
      <c r="B8284" t="s">
        <v>5007</v>
      </c>
      <c r="C8284" t="s">
        <v>18735</v>
      </c>
      <c r="D8284" t="s">
        <v>20</v>
      </c>
      <c r="E8284" t="s">
        <v>11</v>
      </c>
      <c r="F8284">
        <v>58.300000000000004</v>
      </c>
      <c r="G8284">
        <v>18</v>
      </c>
    </row>
    <row r="8285" spans="1:7" x14ac:dyDescent="0.25">
      <c r="A8285" t="s">
        <v>41</v>
      </c>
      <c r="B8285" t="s">
        <v>5010</v>
      </c>
      <c r="C8285" t="s">
        <v>18736</v>
      </c>
      <c r="D8285" t="s">
        <v>20</v>
      </c>
      <c r="E8285" t="s">
        <v>11</v>
      </c>
      <c r="F8285">
        <v>3924.8</v>
      </c>
      <c r="G8285">
        <v>18</v>
      </c>
    </row>
    <row r="8286" spans="1:7" x14ac:dyDescent="0.25">
      <c r="A8286" t="s">
        <v>41</v>
      </c>
      <c r="B8286" t="s">
        <v>5013</v>
      </c>
      <c r="C8286" t="s">
        <v>18737</v>
      </c>
      <c r="D8286" t="s">
        <v>20</v>
      </c>
      <c r="E8286" t="s">
        <v>11</v>
      </c>
      <c r="F8286">
        <v>40.7</v>
      </c>
      <c r="G8286">
        <v>18</v>
      </c>
    </row>
    <row r="8287" spans="1:7" x14ac:dyDescent="0.25">
      <c r="A8287" t="s">
        <v>41</v>
      </c>
      <c r="B8287" t="s">
        <v>5016</v>
      </c>
      <c r="C8287" t="s">
        <v>17736</v>
      </c>
      <c r="D8287" t="s">
        <v>20</v>
      </c>
      <c r="E8287" t="s">
        <v>11</v>
      </c>
      <c r="F8287">
        <v>57.2</v>
      </c>
      <c r="G8287">
        <v>18</v>
      </c>
    </row>
    <row r="8288" spans="1:7" x14ac:dyDescent="0.25">
      <c r="A8288" t="s">
        <v>41</v>
      </c>
      <c r="B8288" t="s">
        <v>5019</v>
      </c>
      <c r="C8288" t="s">
        <v>18738</v>
      </c>
      <c r="D8288" t="s">
        <v>20</v>
      </c>
      <c r="E8288" t="s">
        <v>11</v>
      </c>
      <c r="F8288">
        <v>58.300000000000004</v>
      </c>
      <c r="G8288">
        <v>18</v>
      </c>
    </row>
    <row r="8289" spans="1:7" x14ac:dyDescent="0.25">
      <c r="A8289" t="s">
        <v>41</v>
      </c>
      <c r="B8289" t="s">
        <v>5022</v>
      </c>
      <c r="C8289" t="s">
        <v>18739</v>
      </c>
      <c r="D8289" t="s">
        <v>20</v>
      </c>
      <c r="E8289" t="s">
        <v>11</v>
      </c>
      <c r="F8289">
        <v>2249.5</v>
      </c>
      <c r="G8289">
        <v>18</v>
      </c>
    </row>
    <row r="8290" spans="1:7" x14ac:dyDescent="0.25">
      <c r="A8290" t="s">
        <v>41</v>
      </c>
      <c r="B8290" t="s">
        <v>5025</v>
      </c>
      <c r="C8290" t="s">
        <v>18740</v>
      </c>
      <c r="D8290" t="s">
        <v>20</v>
      </c>
      <c r="E8290" t="s">
        <v>11</v>
      </c>
      <c r="F8290">
        <v>1746.8000000000002</v>
      </c>
      <c r="G8290">
        <v>18</v>
      </c>
    </row>
    <row r="8291" spans="1:7" x14ac:dyDescent="0.25">
      <c r="A8291" t="s">
        <v>41</v>
      </c>
      <c r="B8291" t="s">
        <v>5028</v>
      </c>
      <c r="C8291" t="s">
        <v>18741</v>
      </c>
      <c r="D8291" t="s">
        <v>20</v>
      </c>
      <c r="E8291" t="s">
        <v>11</v>
      </c>
      <c r="F8291">
        <v>247.5</v>
      </c>
      <c r="G8291">
        <v>18</v>
      </c>
    </row>
    <row r="8292" spans="1:7" x14ac:dyDescent="0.25">
      <c r="A8292" t="s">
        <v>41</v>
      </c>
      <c r="B8292" t="s">
        <v>5031</v>
      </c>
      <c r="C8292" t="s">
        <v>18742</v>
      </c>
      <c r="D8292" t="s">
        <v>20</v>
      </c>
      <c r="E8292" t="s">
        <v>11</v>
      </c>
      <c r="F8292">
        <v>367.4</v>
      </c>
      <c r="G8292">
        <v>18</v>
      </c>
    </row>
    <row r="8293" spans="1:7" x14ac:dyDescent="0.25">
      <c r="A8293" t="s">
        <v>41</v>
      </c>
      <c r="B8293" t="s">
        <v>5034</v>
      </c>
      <c r="C8293" t="s">
        <v>18219</v>
      </c>
      <c r="D8293" t="s">
        <v>20</v>
      </c>
      <c r="E8293" t="s">
        <v>11</v>
      </c>
      <c r="F8293">
        <v>862.4</v>
      </c>
      <c r="G8293">
        <v>18</v>
      </c>
    </row>
    <row r="8294" spans="1:7" x14ac:dyDescent="0.25">
      <c r="A8294" t="s">
        <v>41</v>
      </c>
      <c r="B8294" t="s">
        <v>5037</v>
      </c>
      <c r="C8294" t="s">
        <v>18743</v>
      </c>
      <c r="D8294" t="s">
        <v>20</v>
      </c>
      <c r="E8294" t="s">
        <v>11</v>
      </c>
      <c r="F8294">
        <v>313.5</v>
      </c>
      <c r="G8294">
        <v>18</v>
      </c>
    </row>
    <row r="8295" spans="1:7" x14ac:dyDescent="0.25">
      <c r="A8295" t="s">
        <v>41</v>
      </c>
      <c r="B8295" t="s">
        <v>5040</v>
      </c>
      <c r="C8295" t="s">
        <v>18744</v>
      </c>
      <c r="D8295" t="s">
        <v>20</v>
      </c>
      <c r="E8295" t="s">
        <v>11</v>
      </c>
      <c r="F8295">
        <v>39.6</v>
      </c>
      <c r="G8295">
        <v>18</v>
      </c>
    </row>
    <row r="8296" spans="1:7" x14ac:dyDescent="0.25">
      <c r="A8296" t="s">
        <v>41</v>
      </c>
      <c r="B8296" t="s">
        <v>5043</v>
      </c>
      <c r="C8296" t="s">
        <v>18745</v>
      </c>
      <c r="D8296" t="s">
        <v>20</v>
      </c>
      <c r="E8296" t="s">
        <v>11</v>
      </c>
      <c r="F8296">
        <v>39.6</v>
      </c>
      <c r="G8296">
        <v>18</v>
      </c>
    </row>
    <row r="8297" spans="1:7" x14ac:dyDescent="0.25">
      <c r="A8297" t="s">
        <v>41</v>
      </c>
      <c r="B8297" t="s">
        <v>5046</v>
      </c>
      <c r="C8297" t="s">
        <v>18746</v>
      </c>
      <c r="D8297" t="s">
        <v>20</v>
      </c>
      <c r="E8297" t="s">
        <v>11</v>
      </c>
      <c r="F8297">
        <v>18637.3</v>
      </c>
      <c r="G8297">
        <v>18</v>
      </c>
    </row>
    <row r="8298" spans="1:7" x14ac:dyDescent="0.25">
      <c r="A8298" t="s">
        <v>41</v>
      </c>
      <c r="B8298" t="s">
        <v>5049</v>
      </c>
      <c r="C8298" t="s">
        <v>17710</v>
      </c>
      <c r="D8298" t="s">
        <v>20</v>
      </c>
      <c r="E8298" t="s">
        <v>11</v>
      </c>
      <c r="F8298">
        <v>4420.9</v>
      </c>
      <c r="G8298">
        <v>18</v>
      </c>
    </row>
    <row r="8299" spans="1:7" x14ac:dyDescent="0.25">
      <c r="A8299" t="s">
        <v>41</v>
      </c>
      <c r="B8299" t="s">
        <v>5052</v>
      </c>
      <c r="C8299" t="s">
        <v>18747</v>
      </c>
      <c r="D8299" t="s">
        <v>20</v>
      </c>
      <c r="E8299" t="s">
        <v>11</v>
      </c>
      <c r="F8299">
        <v>9529.3</v>
      </c>
      <c r="G8299">
        <v>18</v>
      </c>
    </row>
    <row r="8300" spans="1:7" x14ac:dyDescent="0.25">
      <c r="A8300" t="s">
        <v>41</v>
      </c>
      <c r="B8300" t="s">
        <v>5055</v>
      </c>
      <c r="C8300" t="s">
        <v>18748</v>
      </c>
      <c r="D8300" t="s">
        <v>20</v>
      </c>
      <c r="E8300" t="s">
        <v>11</v>
      </c>
      <c r="F8300">
        <v>941.6</v>
      </c>
      <c r="G8300">
        <v>18</v>
      </c>
    </row>
    <row r="8301" spans="1:7" x14ac:dyDescent="0.25">
      <c r="A8301" t="s">
        <v>41</v>
      </c>
      <c r="B8301" t="s">
        <v>5058</v>
      </c>
      <c r="C8301" t="s">
        <v>18749</v>
      </c>
      <c r="D8301" t="s">
        <v>20</v>
      </c>
      <c r="E8301" t="s">
        <v>11</v>
      </c>
      <c r="F8301">
        <v>1742.4</v>
      </c>
      <c r="G8301">
        <v>18</v>
      </c>
    </row>
    <row r="8302" spans="1:7" x14ac:dyDescent="0.25">
      <c r="A8302" t="s">
        <v>41</v>
      </c>
      <c r="B8302" t="s">
        <v>5061</v>
      </c>
      <c r="C8302" t="s">
        <v>18750</v>
      </c>
      <c r="D8302" t="s">
        <v>20</v>
      </c>
      <c r="E8302" t="s">
        <v>11</v>
      </c>
      <c r="F8302">
        <v>3489.2</v>
      </c>
      <c r="G8302">
        <v>18</v>
      </c>
    </row>
    <row r="8303" spans="1:7" x14ac:dyDescent="0.25">
      <c r="A8303" t="s">
        <v>41</v>
      </c>
      <c r="B8303" t="s">
        <v>5064</v>
      </c>
      <c r="C8303" t="s">
        <v>17699</v>
      </c>
      <c r="D8303" t="s">
        <v>20</v>
      </c>
      <c r="E8303" t="s">
        <v>11</v>
      </c>
      <c r="F8303">
        <v>990</v>
      </c>
      <c r="G8303">
        <v>18</v>
      </c>
    </row>
    <row r="8304" spans="1:7" x14ac:dyDescent="0.25">
      <c r="A8304" t="s">
        <v>41</v>
      </c>
      <c r="B8304" t="s">
        <v>5067</v>
      </c>
      <c r="C8304" t="s">
        <v>18751</v>
      </c>
      <c r="D8304" t="s">
        <v>20</v>
      </c>
      <c r="E8304" t="s">
        <v>11</v>
      </c>
      <c r="F8304">
        <v>2394.7</v>
      </c>
      <c r="G8304">
        <v>18</v>
      </c>
    </row>
    <row r="8305" spans="1:7" x14ac:dyDescent="0.25">
      <c r="A8305" t="s">
        <v>41</v>
      </c>
      <c r="B8305" t="s">
        <v>5070</v>
      </c>
      <c r="C8305" t="s">
        <v>18752</v>
      </c>
      <c r="D8305" t="s">
        <v>20</v>
      </c>
      <c r="E8305" t="s">
        <v>11</v>
      </c>
      <c r="F8305">
        <v>500.5</v>
      </c>
      <c r="G8305">
        <v>18</v>
      </c>
    </row>
    <row r="8306" spans="1:7" x14ac:dyDescent="0.25">
      <c r="A8306" t="s">
        <v>41</v>
      </c>
      <c r="B8306" t="s">
        <v>5073</v>
      </c>
      <c r="C8306" t="s">
        <v>18086</v>
      </c>
      <c r="D8306" t="s">
        <v>20</v>
      </c>
      <c r="E8306" t="s">
        <v>11</v>
      </c>
      <c r="F8306">
        <v>57.2</v>
      </c>
      <c r="G8306">
        <v>18</v>
      </c>
    </row>
    <row r="8307" spans="1:7" x14ac:dyDescent="0.25">
      <c r="A8307" t="s">
        <v>41</v>
      </c>
      <c r="B8307" t="s">
        <v>5076</v>
      </c>
      <c r="C8307" t="s">
        <v>18753</v>
      </c>
      <c r="D8307" t="s">
        <v>20</v>
      </c>
      <c r="E8307" t="s">
        <v>11</v>
      </c>
      <c r="F8307">
        <v>61.60000000000001</v>
      </c>
      <c r="G8307">
        <v>18</v>
      </c>
    </row>
    <row r="8308" spans="1:7" x14ac:dyDescent="0.25">
      <c r="A8308" t="s">
        <v>41</v>
      </c>
      <c r="B8308" t="s">
        <v>5079</v>
      </c>
      <c r="C8308" t="s">
        <v>18754</v>
      </c>
      <c r="D8308" t="s">
        <v>20</v>
      </c>
      <c r="E8308" t="s">
        <v>11</v>
      </c>
      <c r="F8308">
        <v>669.9</v>
      </c>
      <c r="G8308">
        <v>18</v>
      </c>
    </row>
    <row r="8309" spans="1:7" x14ac:dyDescent="0.25">
      <c r="A8309" t="s">
        <v>41</v>
      </c>
      <c r="B8309" t="s">
        <v>5082</v>
      </c>
      <c r="C8309" t="s">
        <v>18755</v>
      </c>
      <c r="D8309" t="s">
        <v>20</v>
      </c>
      <c r="E8309" t="s">
        <v>11</v>
      </c>
      <c r="F8309">
        <v>928.4</v>
      </c>
      <c r="G8309">
        <v>18</v>
      </c>
    </row>
    <row r="8310" spans="1:7" x14ac:dyDescent="0.25">
      <c r="A8310" t="s">
        <v>41</v>
      </c>
      <c r="B8310" t="s">
        <v>5085</v>
      </c>
      <c r="C8310" t="s">
        <v>17728</v>
      </c>
      <c r="D8310" t="s">
        <v>20</v>
      </c>
      <c r="E8310" t="s">
        <v>11</v>
      </c>
      <c r="F8310">
        <v>107.8</v>
      </c>
      <c r="G8310">
        <v>18</v>
      </c>
    </row>
    <row r="8311" spans="1:7" x14ac:dyDescent="0.25">
      <c r="A8311" t="s">
        <v>41</v>
      </c>
      <c r="B8311" t="s">
        <v>5088</v>
      </c>
      <c r="C8311" t="s">
        <v>18756</v>
      </c>
      <c r="D8311" t="s">
        <v>20</v>
      </c>
      <c r="E8311" t="s">
        <v>11</v>
      </c>
      <c r="F8311">
        <v>457.6</v>
      </c>
      <c r="G8311">
        <v>18</v>
      </c>
    </row>
    <row r="8312" spans="1:7" x14ac:dyDescent="0.25">
      <c r="A8312" t="s">
        <v>41</v>
      </c>
      <c r="B8312" t="s">
        <v>5091</v>
      </c>
      <c r="C8312" t="s">
        <v>18757</v>
      </c>
      <c r="D8312" t="s">
        <v>20</v>
      </c>
      <c r="E8312" t="s">
        <v>11</v>
      </c>
      <c r="F8312">
        <v>415.79999999999995</v>
      </c>
      <c r="G8312">
        <v>18</v>
      </c>
    </row>
    <row r="8313" spans="1:7" x14ac:dyDescent="0.25">
      <c r="A8313" t="s">
        <v>41</v>
      </c>
      <c r="B8313" t="s">
        <v>5094</v>
      </c>
      <c r="C8313" t="s">
        <v>18758</v>
      </c>
      <c r="D8313" t="s">
        <v>20</v>
      </c>
      <c r="E8313" t="s">
        <v>11</v>
      </c>
      <c r="F8313">
        <v>9676.7</v>
      </c>
      <c r="G8313">
        <v>18</v>
      </c>
    </row>
    <row r="8314" spans="1:7" x14ac:dyDescent="0.25">
      <c r="A8314" t="s">
        <v>41</v>
      </c>
      <c r="B8314" t="s">
        <v>5097</v>
      </c>
      <c r="C8314" t="s">
        <v>18759</v>
      </c>
      <c r="D8314" t="s">
        <v>20</v>
      </c>
      <c r="E8314" t="s">
        <v>11</v>
      </c>
      <c r="F8314">
        <v>9676.7</v>
      </c>
      <c r="G8314">
        <v>18</v>
      </c>
    </row>
    <row r="8315" spans="1:7" x14ac:dyDescent="0.25">
      <c r="A8315" t="s">
        <v>41</v>
      </c>
      <c r="B8315" t="s">
        <v>5100</v>
      </c>
      <c r="C8315" t="s">
        <v>18760</v>
      </c>
      <c r="D8315" t="s">
        <v>20</v>
      </c>
      <c r="E8315" t="s">
        <v>11</v>
      </c>
      <c r="F8315">
        <v>6886</v>
      </c>
      <c r="G8315">
        <v>18</v>
      </c>
    </row>
    <row r="8316" spans="1:7" x14ac:dyDescent="0.25">
      <c r="A8316" t="s">
        <v>41</v>
      </c>
      <c r="B8316" t="s">
        <v>5103</v>
      </c>
      <c r="C8316" t="s">
        <v>18761</v>
      </c>
      <c r="D8316" t="s">
        <v>20</v>
      </c>
      <c r="E8316" t="s">
        <v>11</v>
      </c>
      <c r="F8316">
        <v>6886</v>
      </c>
      <c r="G8316">
        <v>18</v>
      </c>
    </row>
    <row r="8317" spans="1:7" x14ac:dyDescent="0.25">
      <c r="A8317" t="s">
        <v>41</v>
      </c>
      <c r="B8317" t="s">
        <v>5106</v>
      </c>
      <c r="C8317" t="s">
        <v>18762</v>
      </c>
      <c r="D8317" t="s">
        <v>20</v>
      </c>
      <c r="E8317" t="s">
        <v>11</v>
      </c>
      <c r="F8317">
        <v>942.7</v>
      </c>
      <c r="G8317">
        <v>18</v>
      </c>
    </row>
    <row r="8318" spans="1:7" x14ac:dyDescent="0.25">
      <c r="A8318" t="s">
        <v>41</v>
      </c>
      <c r="B8318" t="s">
        <v>5109</v>
      </c>
      <c r="C8318" t="s">
        <v>18763</v>
      </c>
      <c r="D8318" t="s">
        <v>20</v>
      </c>
      <c r="E8318" t="s">
        <v>11</v>
      </c>
      <c r="F8318">
        <v>372.90000000000003</v>
      </c>
      <c r="G8318">
        <v>18</v>
      </c>
    </row>
    <row r="8319" spans="1:7" x14ac:dyDescent="0.25">
      <c r="A8319" t="s">
        <v>41</v>
      </c>
      <c r="B8319" t="s">
        <v>5112</v>
      </c>
      <c r="C8319" t="s">
        <v>18764</v>
      </c>
      <c r="D8319" t="s">
        <v>20</v>
      </c>
      <c r="E8319" t="s">
        <v>11</v>
      </c>
      <c r="F8319">
        <v>916.3</v>
      </c>
      <c r="G8319">
        <v>18</v>
      </c>
    </row>
    <row r="8320" spans="1:7" x14ac:dyDescent="0.25">
      <c r="A8320" t="s">
        <v>41</v>
      </c>
      <c r="B8320" t="s">
        <v>5115</v>
      </c>
      <c r="C8320" t="s">
        <v>18765</v>
      </c>
      <c r="D8320" t="s">
        <v>20</v>
      </c>
      <c r="E8320" t="s">
        <v>11</v>
      </c>
      <c r="F8320">
        <v>415.79999999999995</v>
      </c>
      <c r="G8320">
        <v>18</v>
      </c>
    </row>
    <row r="8321" spans="1:7" x14ac:dyDescent="0.25">
      <c r="A8321" t="s">
        <v>41</v>
      </c>
      <c r="B8321" t="s">
        <v>5118</v>
      </c>
      <c r="C8321" t="s">
        <v>18766</v>
      </c>
      <c r="D8321" t="s">
        <v>20</v>
      </c>
      <c r="E8321" t="s">
        <v>11</v>
      </c>
      <c r="F8321">
        <v>233.20000000000002</v>
      </c>
      <c r="G8321">
        <v>18</v>
      </c>
    </row>
    <row r="8322" spans="1:7" x14ac:dyDescent="0.25">
      <c r="A8322" t="s">
        <v>41</v>
      </c>
      <c r="B8322" t="s">
        <v>5121</v>
      </c>
      <c r="C8322" t="s">
        <v>18698</v>
      </c>
      <c r="D8322" t="s">
        <v>20</v>
      </c>
      <c r="E8322" t="s">
        <v>11</v>
      </c>
      <c r="F8322">
        <v>212.29999999999998</v>
      </c>
      <c r="G8322">
        <v>18</v>
      </c>
    </row>
    <row r="8323" spans="1:7" x14ac:dyDescent="0.25">
      <c r="A8323" t="s">
        <v>41</v>
      </c>
      <c r="B8323" t="s">
        <v>5124</v>
      </c>
      <c r="C8323" t="s">
        <v>18767</v>
      </c>
      <c r="D8323" t="s">
        <v>20</v>
      </c>
      <c r="E8323" t="s">
        <v>11</v>
      </c>
      <c r="F8323">
        <v>114.4</v>
      </c>
      <c r="G8323">
        <v>18</v>
      </c>
    </row>
    <row r="8324" spans="1:7" x14ac:dyDescent="0.25">
      <c r="A8324" t="s">
        <v>41</v>
      </c>
      <c r="B8324" t="s">
        <v>5127</v>
      </c>
      <c r="C8324" t="s">
        <v>18217</v>
      </c>
      <c r="D8324" t="s">
        <v>20</v>
      </c>
      <c r="E8324" t="s">
        <v>11</v>
      </c>
      <c r="F8324">
        <v>58.300000000000004</v>
      </c>
      <c r="G8324">
        <v>18</v>
      </c>
    </row>
    <row r="8325" spans="1:7" x14ac:dyDescent="0.25">
      <c r="A8325" t="s">
        <v>41</v>
      </c>
      <c r="B8325" t="s">
        <v>5130</v>
      </c>
      <c r="C8325" t="s">
        <v>18216</v>
      </c>
      <c r="D8325" t="s">
        <v>20</v>
      </c>
      <c r="E8325" t="s">
        <v>11</v>
      </c>
      <c r="F8325">
        <v>58.300000000000004</v>
      </c>
      <c r="G8325">
        <v>18</v>
      </c>
    </row>
    <row r="8326" spans="1:7" x14ac:dyDescent="0.25">
      <c r="A8326" t="s">
        <v>41</v>
      </c>
      <c r="B8326" t="s">
        <v>5133</v>
      </c>
      <c r="C8326" t="s">
        <v>18768</v>
      </c>
      <c r="D8326" t="s">
        <v>20</v>
      </c>
      <c r="E8326" t="s">
        <v>11</v>
      </c>
      <c r="F8326">
        <v>1507</v>
      </c>
      <c r="G8326">
        <v>18</v>
      </c>
    </row>
    <row r="8327" spans="1:7" x14ac:dyDescent="0.25">
      <c r="A8327" t="s">
        <v>41</v>
      </c>
      <c r="B8327" t="s">
        <v>5136</v>
      </c>
      <c r="C8327" t="s">
        <v>18769</v>
      </c>
      <c r="D8327" t="s">
        <v>20</v>
      </c>
      <c r="E8327" t="s">
        <v>11</v>
      </c>
      <c r="F8327">
        <v>2702.7</v>
      </c>
      <c r="G8327">
        <v>18</v>
      </c>
    </row>
    <row r="8328" spans="1:7" x14ac:dyDescent="0.25">
      <c r="A8328" t="s">
        <v>41</v>
      </c>
      <c r="B8328" t="s">
        <v>5139</v>
      </c>
      <c r="C8328" t="s">
        <v>18770</v>
      </c>
      <c r="D8328" t="s">
        <v>20</v>
      </c>
      <c r="E8328" t="s">
        <v>11</v>
      </c>
      <c r="F8328">
        <v>1365.1</v>
      </c>
      <c r="G8328">
        <v>18</v>
      </c>
    </row>
    <row r="8329" spans="1:7" x14ac:dyDescent="0.25">
      <c r="A8329" t="s">
        <v>41</v>
      </c>
      <c r="B8329" t="s">
        <v>5142</v>
      </c>
      <c r="C8329" t="s">
        <v>18771</v>
      </c>
      <c r="D8329" t="s">
        <v>20</v>
      </c>
      <c r="E8329" t="s">
        <v>11</v>
      </c>
      <c r="F8329">
        <v>1109.9</v>
      </c>
      <c r="G8329">
        <v>18</v>
      </c>
    </row>
    <row r="8330" spans="1:7" x14ac:dyDescent="0.25">
      <c r="A8330" t="s">
        <v>41</v>
      </c>
      <c r="B8330" t="s">
        <v>5145</v>
      </c>
      <c r="C8330" t="s">
        <v>18772</v>
      </c>
      <c r="D8330" t="s">
        <v>20</v>
      </c>
      <c r="E8330" t="s">
        <v>11</v>
      </c>
      <c r="F8330">
        <v>1646.7</v>
      </c>
      <c r="G8330">
        <v>18</v>
      </c>
    </row>
    <row r="8331" spans="1:7" x14ac:dyDescent="0.25">
      <c r="A8331" t="s">
        <v>41</v>
      </c>
      <c r="B8331" t="s">
        <v>5148</v>
      </c>
      <c r="C8331" t="s">
        <v>18773</v>
      </c>
      <c r="D8331" t="s">
        <v>20</v>
      </c>
      <c r="E8331" t="s">
        <v>11</v>
      </c>
      <c r="F8331">
        <v>1125.3</v>
      </c>
      <c r="G8331">
        <v>18</v>
      </c>
    </row>
    <row r="8332" spans="1:7" x14ac:dyDescent="0.25">
      <c r="A8332" t="s">
        <v>41</v>
      </c>
      <c r="B8332" t="s">
        <v>5151</v>
      </c>
      <c r="C8332" t="s">
        <v>18774</v>
      </c>
      <c r="D8332" t="s">
        <v>20</v>
      </c>
      <c r="E8332" t="s">
        <v>11</v>
      </c>
      <c r="F8332">
        <v>1021.8999999999999</v>
      </c>
      <c r="G8332">
        <v>18</v>
      </c>
    </row>
    <row r="8333" spans="1:7" x14ac:dyDescent="0.25">
      <c r="A8333" t="s">
        <v>41</v>
      </c>
      <c r="B8333" t="s">
        <v>5154</v>
      </c>
      <c r="C8333" t="s">
        <v>18775</v>
      </c>
      <c r="D8333" t="s">
        <v>20</v>
      </c>
      <c r="E8333" t="s">
        <v>11</v>
      </c>
      <c r="F8333">
        <v>7396.4</v>
      </c>
      <c r="G8333">
        <v>18</v>
      </c>
    </row>
    <row r="8334" spans="1:7" x14ac:dyDescent="0.25">
      <c r="A8334" t="s">
        <v>41</v>
      </c>
      <c r="B8334" t="s">
        <v>5157</v>
      </c>
      <c r="C8334" t="s">
        <v>18776</v>
      </c>
      <c r="D8334" t="s">
        <v>20</v>
      </c>
      <c r="E8334" t="s">
        <v>11</v>
      </c>
      <c r="F8334">
        <v>14639.9</v>
      </c>
      <c r="G8334">
        <v>18</v>
      </c>
    </row>
    <row r="8335" spans="1:7" x14ac:dyDescent="0.25">
      <c r="A8335" t="s">
        <v>41</v>
      </c>
      <c r="B8335" t="s">
        <v>5160</v>
      </c>
      <c r="C8335" t="s">
        <v>18777</v>
      </c>
      <c r="D8335" t="s">
        <v>20</v>
      </c>
      <c r="E8335" t="s">
        <v>11</v>
      </c>
      <c r="F8335">
        <v>2487.1</v>
      </c>
      <c r="G8335">
        <v>18</v>
      </c>
    </row>
    <row r="8336" spans="1:7" x14ac:dyDescent="0.25">
      <c r="A8336" t="s">
        <v>41</v>
      </c>
      <c r="B8336" t="s">
        <v>5163</v>
      </c>
      <c r="C8336" t="s">
        <v>18778</v>
      </c>
      <c r="D8336" t="s">
        <v>20</v>
      </c>
      <c r="E8336" t="s">
        <v>11</v>
      </c>
      <c r="F8336">
        <v>4868.599999999999</v>
      </c>
      <c r="G8336">
        <v>18</v>
      </c>
    </row>
    <row r="8337" spans="1:7" x14ac:dyDescent="0.25">
      <c r="A8337" t="s">
        <v>41</v>
      </c>
      <c r="B8337" t="s">
        <v>5166</v>
      </c>
      <c r="C8337" t="s">
        <v>18779</v>
      </c>
      <c r="D8337" t="s">
        <v>20</v>
      </c>
      <c r="E8337" t="s">
        <v>11</v>
      </c>
      <c r="F8337">
        <v>6723.2</v>
      </c>
      <c r="G8337">
        <v>18</v>
      </c>
    </row>
    <row r="8338" spans="1:7" x14ac:dyDescent="0.25">
      <c r="A8338" t="s">
        <v>41</v>
      </c>
      <c r="B8338" t="s">
        <v>5169</v>
      </c>
      <c r="C8338" t="s">
        <v>18780</v>
      </c>
      <c r="D8338" t="s">
        <v>20</v>
      </c>
      <c r="E8338" t="s">
        <v>11</v>
      </c>
      <c r="F8338">
        <v>8671.3</v>
      </c>
      <c r="G8338">
        <v>18</v>
      </c>
    </row>
    <row r="8339" spans="1:7" x14ac:dyDescent="0.25">
      <c r="A8339" t="s">
        <v>41</v>
      </c>
      <c r="B8339" t="s">
        <v>5172</v>
      </c>
      <c r="C8339" t="s">
        <v>18781</v>
      </c>
      <c r="D8339" t="s">
        <v>20</v>
      </c>
      <c r="E8339" t="s">
        <v>11</v>
      </c>
      <c r="F8339">
        <v>70.4</v>
      </c>
      <c r="G8339">
        <v>18</v>
      </c>
    </row>
    <row r="8340" spans="1:7" x14ac:dyDescent="0.25">
      <c r="A8340" t="s">
        <v>41</v>
      </c>
      <c r="B8340" t="s">
        <v>5175</v>
      </c>
      <c r="C8340" t="s">
        <v>18782</v>
      </c>
      <c r="D8340" t="s">
        <v>20</v>
      </c>
      <c r="E8340" t="s">
        <v>11</v>
      </c>
      <c r="F8340">
        <v>1477.3</v>
      </c>
      <c r="G8340">
        <v>18</v>
      </c>
    </row>
    <row r="8341" spans="1:7" x14ac:dyDescent="0.25">
      <c r="A8341" t="s">
        <v>41</v>
      </c>
      <c r="B8341" t="s">
        <v>5178</v>
      </c>
      <c r="C8341" t="s">
        <v>18480</v>
      </c>
      <c r="D8341" t="s">
        <v>20</v>
      </c>
      <c r="E8341" t="s">
        <v>11</v>
      </c>
      <c r="F8341">
        <v>372.90000000000003</v>
      </c>
      <c r="G8341">
        <v>18</v>
      </c>
    </row>
    <row r="8342" spans="1:7" x14ac:dyDescent="0.25">
      <c r="A8342" t="s">
        <v>41</v>
      </c>
      <c r="B8342" t="s">
        <v>5181</v>
      </c>
      <c r="C8342" t="s">
        <v>17690</v>
      </c>
      <c r="D8342" t="s">
        <v>20</v>
      </c>
      <c r="E8342" t="s">
        <v>11</v>
      </c>
      <c r="F8342">
        <v>57.2</v>
      </c>
      <c r="G8342">
        <v>18</v>
      </c>
    </row>
    <row r="8343" spans="1:7" x14ac:dyDescent="0.25">
      <c r="A8343" t="s">
        <v>41</v>
      </c>
      <c r="B8343" t="s">
        <v>5184</v>
      </c>
      <c r="C8343" t="s">
        <v>18783</v>
      </c>
      <c r="D8343" t="s">
        <v>20</v>
      </c>
      <c r="E8343" t="s">
        <v>11</v>
      </c>
      <c r="F8343">
        <v>212.29999999999998</v>
      </c>
      <c r="G8343">
        <v>18</v>
      </c>
    </row>
    <row r="8344" spans="1:7" x14ac:dyDescent="0.25">
      <c r="A8344" t="s">
        <v>41</v>
      </c>
      <c r="B8344" t="s">
        <v>5187</v>
      </c>
      <c r="C8344" t="s">
        <v>18231</v>
      </c>
      <c r="D8344" t="s">
        <v>20</v>
      </c>
      <c r="E8344" t="s">
        <v>11</v>
      </c>
      <c r="F8344">
        <v>58.300000000000004</v>
      </c>
      <c r="G8344">
        <v>18</v>
      </c>
    </row>
    <row r="8345" spans="1:7" x14ac:dyDescent="0.25">
      <c r="A8345" t="s">
        <v>41</v>
      </c>
      <c r="B8345" t="s">
        <v>5190</v>
      </c>
      <c r="C8345" t="s">
        <v>17654</v>
      </c>
      <c r="D8345" t="s">
        <v>20</v>
      </c>
      <c r="E8345" t="s">
        <v>11</v>
      </c>
      <c r="F8345">
        <v>57.2</v>
      </c>
      <c r="G8345">
        <v>18</v>
      </c>
    </row>
    <row r="8346" spans="1:7" x14ac:dyDescent="0.25">
      <c r="A8346" t="s">
        <v>41</v>
      </c>
      <c r="B8346" t="s">
        <v>5193</v>
      </c>
      <c r="C8346" t="s">
        <v>18784</v>
      </c>
      <c r="D8346" t="s">
        <v>20</v>
      </c>
      <c r="E8346" t="s">
        <v>11</v>
      </c>
      <c r="F8346">
        <v>1651.1</v>
      </c>
      <c r="G8346">
        <v>18</v>
      </c>
    </row>
    <row r="8347" spans="1:7" x14ac:dyDescent="0.25">
      <c r="A8347" t="s">
        <v>41</v>
      </c>
      <c r="B8347" t="s">
        <v>5196</v>
      </c>
      <c r="C8347" t="s">
        <v>18785</v>
      </c>
      <c r="D8347" t="s">
        <v>20</v>
      </c>
      <c r="E8347" t="s">
        <v>11</v>
      </c>
      <c r="F8347">
        <v>57.2</v>
      </c>
      <c r="G8347">
        <v>18</v>
      </c>
    </row>
    <row r="8348" spans="1:7" x14ac:dyDescent="0.25">
      <c r="A8348" t="s">
        <v>41</v>
      </c>
      <c r="B8348" t="s">
        <v>5199</v>
      </c>
      <c r="C8348" t="s">
        <v>17690</v>
      </c>
      <c r="D8348" t="s">
        <v>20</v>
      </c>
      <c r="E8348" t="s">
        <v>11</v>
      </c>
      <c r="F8348">
        <v>57.2</v>
      </c>
      <c r="G8348">
        <v>18</v>
      </c>
    </row>
    <row r="8349" spans="1:7" x14ac:dyDescent="0.25">
      <c r="A8349" t="s">
        <v>41</v>
      </c>
      <c r="B8349" t="s">
        <v>5202</v>
      </c>
      <c r="C8349" t="s">
        <v>18786</v>
      </c>
      <c r="D8349" t="s">
        <v>20</v>
      </c>
      <c r="E8349" t="s">
        <v>11</v>
      </c>
      <c r="F8349">
        <v>1258.3999999999999</v>
      </c>
      <c r="G8349">
        <v>18</v>
      </c>
    </row>
    <row r="8350" spans="1:7" x14ac:dyDescent="0.25">
      <c r="A8350" t="s">
        <v>41</v>
      </c>
      <c r="B8350" t="s">
        <v>5205</v>
      </c>
      <c r="C8350" t="s">
        <v>18787</v>
      </c>
      <c r="D8350" t="s">
        <v>20</v>
      </c>
      <c r="E8350" t="s">
        <v>11</v>
      </c>
      <c r="F8350">
        <v>58038.2</v>
      </c>
      <c r="G8350">
        <v>18</v>
      </c>
    </row>
    <row r="8351" spans="1:7" x14ac:dyDescent="0.25">
      <c r="A8351" t="s">
        <v>41</v>
      </c>
      <c r="B8351" t="s">
        <v>5208</v>
      </c>
      <c r="C8351" t="s">
        <v>18788</v>
      </c>
      <c r="D8351" t="s">
        <v>20</v>
      </c>
      <c r="E8351" t="s">
        <v>11</v>
      </c>
      <c r="F8351">
        <v>58038.2</v>
      </c>
      <c r="G8351">
        <v>18</v>
      </c>
    </row>
    <row r="8352" spans="1:7" x14ac:dyDescent="0.25">
      <c r="A8352" t="s">
        <v>41</v>
      </c>
      <c r="B8352" t="s">
        <v>5211</v>
      </c>
      <c r="C8352" t="s">
        <v>18789</v>
      </c>
      <c r="D8352" t="s">
        <v>20</v>
      </c>
      <c r="E8352" t="s">
        <v>11</v>
      </c>
      <c r="F8352">
        <v>88267.29999999999</v>
      </c>
      <c r="G8352">
        <v>18</v>
      </c>
    </row>
    <row r="8353" spans="1:7" x14ac:dyDescent="0.25">
      <c r="A8353" t="s">
        <v>41</v>
      </c>
      <c r="B8353" t="s">
        <v>5214</v>
      </c>
      <c r="C8353" t="s">
        <v>18790</v>
      </c>
      <c r="D8353" t="s">
        <v>20</v>
      </c>
      <c r="E8353" t="s">
        <v>11</v>
      </c>
      <c r="F8353">
        <v>58038.2</v>
      </c>
      <c r="G8353">
        <v>18</v>
      </c>
    </row>
    <row r="8354" spans="1:7" x14ac:dyDescent="0.25">
      <c r="A8354" t="s">
        <v>41</v>
      </c>
      <c r="B8354" t="s">
        <v>5217</v>
      </c>
      <c r="C8354" t="s">
        <v>18791</v>
      </c>
      <c r="D8354" t="s">
        <v>20</v>
      </c>
      <c r="E8354" t="s">
        <v>11</v>
      </c>
      <c r="F8354">
        <v>88267.29999999999</v>
      </c>
      <c r="G8354">
        <v>18</v>
      </c>
    </row>
    <row r="8355" spans="1:7" x14ac:dyDescent="0.25">
      <c r="A8355" t="s">
        <v>41</v>
      </c>
      <c r="B8355" t="s">
        <v>5220</v>
      </c>
      <c r="C8355" t="s">
        <v>18792</v>
      </c>
      <c r="D8355" t="s">
        <v>20</v>
      </c>
      <c r="E8355" t="s">
        <v>11</v>
      </c>
      <c r="F8355">
        <v>140.8</v>
      </c>
      <c r="G8355">
        <v>18</v>
      </c>
    </row>
    <row r="8356" spans="1:7" x14ac:dyDescent="0.25">
      <c r="A8356" t="s">
        <v>41</v>
      </c>
      <c r="B8356" t="s">
        <v>5223</v>
      </c>
      <c r="C8356" t="s">
        <v>18793</v>
      </c>
      <c r="D8356" t="s">
        <v>20</v>
      </c>
      <c r="E8356" t="s">
        <v>11</v>
      </c>
      <c r="F8356">
        <v>3215.3</v>
      </c>
      <c r="G8356">
        <v>18</v>
      </c>
    </row>
    <row r="8357" spans="1:7" x14ac:dyDescent="0.25">
      <c r="A8357" t="s">
        <v>41</v>
      </c>
      <c r="B8357" t="s">
        <v>5226</v>
      </c>
      <c r="C8357" t="s">
        <v>18794</v>
      </c>
      <c r="D8357" t="s">
        <v>20</v>
      </c>
      <c r="E8357" t="s">
        <v>11</v>
      </c>
      <c r="F8357">
        <v>3089.9</v>
      </c>
      <c r="G8357">
        <v>18</v>
      </c>
    </row>
    <row r="8358" spans="1:7" x14ac:dyDescent="0.25">
      <c r="A8358" t="s">
        <v>41</v>
      </c>
      <c r="B8358" t="s">
        <v>5229</v>
      </c>
      <c r="C8358" t="s">
        <v>18795</v>
      </c>
      <c r="D8358" t="s">
        <v>20</v>
      </c>
      <c r="E8358" t="s">
        <v>11</v>
      </c>
      <c r="F8358">
        <v>48701.4</v>
      </c>
      <c r="G8358">
        <v>18</v>
      </c>
    </row>
    <row r="8359" spans="1:7" x14ac:dyDescent="0.25">
      <c r="A8359" t="s">
        <v>41</v>
      </c>
      <c r="B8359" t="s">
        <v>5232</v>
      </c>
      <c r="C8359" t="s">
        <v>18796</v>
      </c>
      <c r="D8359" t="s">
        <v>20</v>
      </c>
      <c r="E8359" t="s">
        <v>11</v>
      </c>
      <c r="F8359">
        <v>48701.4</v>
      </c>
      <c r="G8359">
        <v>18</v>
      </c>
    </row>
    <row r="8360" spans="1:7" x14ac:dyDescent="0.25">
      <c r="A8360" t="s">
        <v>41</v>
      </c>
      <c r="B8360" t="s">
        <v>5235</v>
      </c>
      <c r="C8360" t="s">
        <v>18797</v>
      </c>
      <c r="D8360" t="s">
        <v>20</v>
      </c>
      <c r="E8360" t="s">
        <v>11</v>
      </c>
      <c r="F8360">
        <v>65721.7</v>
      </c>
      <c r="G8360">
        <v>18</v>
      </c>
    </row>
    <row r="8361" spans="1:7" x14ac:dyDescent="0.25">
      <c r="A8361" t="s">
        <v>41</v>
      </c>
      <c r="B8361" t="s">
        <v>5238</v>
      </c>
      <c r="C8361" t="s">
        <v>18798</v>
      </c>
      <c r="D8361" t="s">
        <v>20</v>
      </c>
      <c r="E8361" t="s">
        <v>11</v>
      </c>
      <c r="F8361">
        <v>5797</v>
      </c>
      <c r="G8361">
        <v>18</v>
      </c>
    </row>
    <row r="8362" spans="1:7" x14ac:dyDescent="0.25">
      <c r="A8362" t="s">
        <v>41</v>
      </c>
      <c r="B8362" t="s">
        <v>5241</v>
      </c>
      <c r="C8362" t="s">
        <v>18799</v>
      </c>
      <c r="D8362" t="s">
        <v>20</v>
      </c>
      <c r="E8362" t="s">
        <v>11</v>
      </c>
      <c r="F8362">
        <v>5797</v>
      </c>
      <c r="G8362">
        <v>18</v>
      </c>
    </row>
    <row r="8363" spans="1:7" x14ac:dyDescent="0.25">
      <c r="A8363" t="s">
        <v>41</v>
      </c>
      <c r="B8363" t="s">
        <v>5244</v>
      </c>
      <c r="C8363" t="s">
        <v>18800</v>
      </c>
      <c r="D8363" t="s">
        <v>20</v>
      </c>
      <c r="E8363" t="s">
        <v>11</v>
      </c>
      <c r="F8363">
        <v>5797</v>
      </c>
      <c r="G8363">
        <v>18</v>
      </c>
    </row>
    <row r="8364" spans="1:7" x14ac:dyDescent="0.25">
      <c r="A8364" t="s">
        <v>41</v>
      </c>
      <c r="B8364" t="s">
        <v>5247</v>
      </c>
      <c r="C8364" t="s">
        <v>18801</v>
      </c>
      <c r="D8364" t="s">
        <v>20</v>
      </c>
      <c r="E8364" t="s">
        <v>11</v>
      </c>
      <c r="F8364">
        <v>40.7</v>
      </c>
      <c r="G8364">
        <v>18</v>
      </c>
    </row>
    <row r="8365" spans="1:7" x14ac:dyDescent="0.25">
      <c r="A8365" t="s">
        <v>41</v>
      </c>
      <c r="B8365" t="s">
        <v>5250</v>
      </c>
      <c r="C8365" t="s">
        <v>18802</v>
      </c>
      <c r="D8365" t="s">
        <v>20</v>
      </c>
      <c r="E8365" t="s">
        <v>11</v>
      </c>
      <c r="F8365">
        <v>1078</v>
      </c>
      <c r="G8365">
        <v>18</v>
      </c>
    </row>
    <row r="8366" spans="1:7" x14ac:dyDescent="0.25">
      <c r="A8366" t="s">
        <v>41</v>
      </c>
      <c r="B8366" t="s">
        <v>5253</v>
      </c>
      <c r="C8366" t="s">
        <v>18803</v>
      </c>
      <c r="D8366" t="s">
        <v>20</v>
      </c>
      <c r="E8366" t="s">
        <v>11</v>
      </c>
      <c r="F8366">
        <v>9676.7</v>
      </c>
      <c r="G8366">
        <v>18</v>
      </c>
    </row>
    <row r="8367" spans="1:7" x14ac:dyDescent="0.25">
      <c r="A8367" t="s">
        <v>41</v>
      </c>
      <c r="B8367" t="s">
        <v>5256</v>
      </c>
      <c r="C8367" t="s">
        <v>17592</v>
      </c>
      <c r="D8367" t="s">
        <v>20</v>
      </c>
      <c r="E8367" t="s">
        <v>11</v>
      </c>
      <c r="F8367">
        <v>473</v>
      </c>
      <c r="G8367">
        <v>18</v>
      </c>
    </row>
    <row r="8368" spans="1:7" x14ac:dyDescent="0.25">
      <c r="A8368" t="s">
        <v>41</v>
      </c>
      <c r="B8368" t="s">
        <v>5259</v>
      </c>
      <c r="C8368" t="s">
        <v>18804</v>
      </c>
      <c r="D8368" t="s">
        <v>20</v>
      </c>
      <c r="E8368" t="s">
        <v>11</v>
      </c>
      <c r="F8368">
        <v>3537.5999999999995</v>
      </c>
      <c r="G8368">
        <v>18</v>
      </c>
    </row>
    <row r="8369" spans="1:7" x14ac:dyDescent="0.25">
      <c r="A8369" t="s">
        <v>41</v>
      </c>
      <c r="B8369" t="s">
        <v>5262</v>
      </c>
      <c r="C8369" t="s">
        <v>18805</v>
      </c>
      <c r="D8369" t="s">
        <v>20</v>
      </c>
      <c r="E8369" t="s">
        <v>11</v>
      </c>
      <c r="F8369">
        <v>70.4</v>
      </c>
      <c r="G8369">
        <v>18</v>
      </c>
    </row>
    <row r="8370" spans="1:7" x14ac:dyDescent="0.25">
      <c r="A8370" t="s">
        <v>41</v>
      </c>
      <c r="B8370" t="s">
        <v>5265</v>
      </c>
      <c r="C8370" t="s">
        <v>18806</v>
      </c>
      <c r="D8370" t="s">
        <v>20</v>
      </c>
      <c r="E8370" t="s">
        <v>11</v>
      </c>
      <c r="F8370">
        <v>535.7</v>
      </c>
      <c r="G8370">
        <v>18</v>
      </c>
    </row>
    <row r="8371" spans="1:7" x14ac:dyDescent="0.25">
      <c r="A8371" t="s">
        <v>41</v>
      </c>
      <c r="B8371" t="s">
        <v>5268</v>
      </c>
      <c r="C8371" t="s">
        <v>17680</v>
      </c>
      <c r="D8371" t="s">
        <v>20</v>
      </c>
      <c r="E8371" t="s">
        <v>11</v>
      </c>
      <c r="F8371">
        <v>2599.2999999999997</v>
      </c>
      <c r="G8371">
        <v>18</v>
      </c>
    </row>
    <row r="8372" spans="1:7" x14ac:dyDescent="0.25">
      <c r="A8372" t="s">
        <v>41</v>
      </c>
      <c r="B8372" t="s">
        <v>5271</v>
      </c>
      <c r="C8372" t="s">
        <v>17545</v>
      </c>
      <c r="D8372" t="s">
        <v>20</v>
      </c>
      <c r="E8372" t="s">
        <v>11</v>
      </c>
      <c r="F8372">
        <v>2516.7999999999997</v>
      </c>
      <c r="G8372">
        <v>18</v>
      </c>
    </row>
    <row r="8373" spans="1:7" x14ac:dyDescent="0.25">
      <c r="A8373" t="s">
        <v>41</v>
      </c>
      <c r="B8373" t="s">
        <v>5274</v>
      </c>
      <c r="C8373" t="s">
        <v>17819</v>
      </c>
      <c r="D8373" t="s">
        <v>20</v>
      </c>
      <c r="E8373" t="s">
        <v>11</v>
      </c>
      <c r="F8373">
        <v>79.2</v>
      </c>
      <c r="G8373">
        <v>18</v>
      </c>
    </row>
    <row r="8374" spans="1:7" x14ac:dyDescent="0.25">
      <c r="A8374" t="s">
        <v>41</v>
      </c>
      <c r="B8374" t="s">
        <v>5277</v>
      </c>
      <c r="C8374" t="s">
        <v>17848</v>
      </c>
      <c r="D8374" t="s">
        <v>20</v>
      </c>
      <c r="E8374" t="s">
        <v>11</v>
      </c>
      <c r="F8374">
        <v>58.300000000000004</v>
      </c>
      <c r="G8374">
        <v>18</v>
      </c>
    </row>
    <row r="8375" spans="1:7" x14ac:dyDescent="0.25">
      <c r="A8375" t="s">
        <v>41</v>
      </c>
      <c r="B8375" t="s">
        <v>5280</v>
      </c>
      <c r="C8375" t="s">
        <v>18807</v>
      </c>
      <c r="D8375" t="s">
        <v>20</v>
      </c>
      <c r="E8375" t="s">
        <v>11</v>
      </c>
      <c r="F8375">
        <v>70.4</v>
      </c>
      <c r="G8375">
        <v>18</v>
      </c>
    </row>
    <row r="8376" spans="1:7" x14ac:dyDescent="0.25">
      <c r="A8376" t="s">
        <v>41</v>
      </c>
      <c r="B8376" t="s">
        <v>5283</v>
      </c>
      <c r="C8376" t="s">
        <v>18808</v>
      </c>
      <c r="D8376" t="s">
        <v>20</v>
      </c>
      <c r="E8376" t="s">
        <v>11</v>
      </c>
      <c r="F8376">
        <v>2050.4</v>
      </c>
      <c r="G8376">
        <v>18</v>
      </c>
    </row>
    <row r="8377" spans="1:7" x14ac:dyDescent="0.25">
      <c r="A8377" t="s">
        <v>41</v>
      </c>
      <c r="B8377" t="s">
        <v>5286</v>
      </c>
      <c r="C8377" t="s">
        <v>18048</v>
      </c>
      <c r="D8377" t="s">
        <v>20</v>
      </c>
      <c r="E8377" t="s">
        <v>11</v>
      </c>
      <c r="F8377">
        <v>58.300000000000004</v>
      </c>
      <c r="G8377">
        <v>18</v>
      </c>
    </row>
    <row r="8378" spans="1:7" x14ac:dyDescent="0.25">
      <c r="A8378" t="s">
        <v>41</v>
      </c>
      <c r="B8378" t="s">
        <v>5289</v>
      </c>
      <c r="C8378" t="s">
        <v>18809</v>
      </c>
      <c r="D8378" t="s">
        <v>20</v>
      </c>
      <c r="E8378" t="s">
        <v>11</v>
      </c>
      <c r="F8378">
        <v>12698.4</v>
      </c>
      <c r="G8378">
        <v>18</v>
      </c>
    </row>
    <row r="8379" spans="1:7" x14ac:dyDescent="0.25">
      <c r="A8379" t="s">
        <v>41</v>
      </c>
      <c r="B8379" t="s">
        <v>5292</v>
      </c>
      <c r="C8379" t="s">
        <v>18810</v>
      </c>
      <c r="D8379" t="s">
        <v>20</v>
      </c>
      <c r="E8379" t="s">
        <v>11</v>
      </c>
      <c r="F8379">
        <v>12698.4</v>
      </c>
      <c r="G8379">
        <v>18</v>
      </c>
    </row>
    <row r="8380" spans="1:7" x14ac:dyDescent="0.25">
      <c r="A8380" t="s">
        <v>41</v>
      </c>
      <c r="B8380" t="s">
        <v>5295</v>
      </c>
      <c r="C8380" t="s">
        <v>18811</v>
      </c>
      <c r="D8380" t="s">
        <v>20</v>
      </c>
      <c r="E8380" t="s">
        <v>11</v>
      </c>
      <c r="F8380">
        <v>18406.300000000003</v>
      </c>
      <c r="G8380">
        <v>18</v>
      </c>
    </row>
    <row r="8381" spans="1:7" x14ac:dyDescent="0.25">
      <c r="A8381" t="s">
        <v>41</v>
      </c>
      <c r="B8381" t="s">
        <v>5298</v>
      </c>
      <c r="C8381" t="s">
        <v>18812</v>
      </c>
      <c r="D8381" t="s">
        <v>20</v>
      </c>
      <c r="E8381" t="s">
        <v>11</v>
      </c>
      <c r="F8381">
        <v>18406.300000000003</v>
      </c>
      <c r="G8381">
        <v>18</v>
      </c>
    </row>
    <row r="8382" spans="1:7" x14ac:dyDescent="0.25">
      <c r="A8382" t="s">
        <v>41</v>
      </c>
      <c r="B8382" t="s">
        <v>5301</v>
      </c>
      <c r="C8382" t="s">
        <v>18813</v>
      </c>
      <c r="D8382" t="s">
        <v>20</v>
      </c>
      <c r="E8382" t="s">
        <v>11</v>
      </c>
      <c r="F8382">
        <v>18406.300000000003</v>
      </c>
      <c r="G8382">
        <v>18</v>
      </c>
    </row>
    <row r="8383" spans="1:7" x14ac:dyDescent="0.25">
      <c r="A8383" t="s">
        <v>41</v>
      </c>
      <c r="B8383" t="s">
        <v>5304</v>
      </c>
      <c r="C8383" t="s">
        <v>18813</v>
      </c>
      <c r="D8383" t="s">
        <v>20</v>
      </c>
      <c r="E8383" t="s">
        <v>11</v>
      </c>
      <c r="F8383">
        <v>18406.300000000003</v>
      </c>
      <c r="G8383">
        <v>18</v>
      </c>
    </row>
    <row r="8384" spans="1:7" x14ac:dyDescent="0.25">
      <c r="A8384" t="s">
        <v>41</v>
      </c>
      <c r="B8384" t="s">
        <v>5307</v>
      </c>
      <c r="C8384" t="s">
        <v>18814</v>
      </c>
      <c r="D8384" t="s">
        <v>20</v>
      </c>
      <c r="E8384" t="s">
        <v>11</v>
      </c>
      <c r="F8384">
        <v>1265</v>
      </c>
      <c r="G8384">
        <v>18</v>
      </c>
    </row>
    <row r="8385" spans="1:7" x14ac:dyDescent="0.25">
      <c r="A8385" t="s">
        <v>41</v>
      </c>
      <c r="B8385" t="s">
        <v>5310</v>
      </c>
      <c r="C8385" t="s">
        <v>18815</v>
      </c>
      <c r="D8385" t="s">
        <v>20</v>
      </c>
      <c r="E8385" t="s">
        <v>11</v>
      </c>
      <c r="F8385">
        <v>3822.5</v>
      </c>
      <c r="G8385">
        <v>18</v>
      </c>
    </row>
    <row r="8386" spans="1:7" x14ac:dyDescent="0.25">
      <c r="A8386" t="s">
        <v>41</v>
      </c>
      <c r="B8386" t="s">
        <v>5313</v>
      </c>
      <c r="C8386" t="s">
        <v>17728</v>
      </c>
      <c r="D8386" t="s">
        <v>20</v>
      </c>
      <c r="E8386" t="s">
        <v>11</v>
      </c>
      <c r="F8386">
        <v>77</v>
      </c>
      <c r="G8386">
        <v>18</v>
      </c>
    </row>
    <row r="8387" spans="1:7" x14ac:dyDescent="0.25">
      <c r="A8387" t="s">
        <v>41</v>
      </c>
      <c r="B8387" t="s">
        <v>5316</v>
      </c>
      <c r="C8387" t="s">
        <v>18816</v>
      </c>
      <c r="D8387" t="s">
        <v>20</v>
      </c>
      <c r="E8387" t="s">
        <v>11</v>
      </c>
      <c r="F8387">
        <v>2789.6</v>
      </c>
      <c r="G8387">
        <v>18</v>
      </c>
    </row>
    <row r="8388" spans="1:7" x14ac:dyDescent="0.25">
      <c r="A8388" t="s">
        <v>41</v>
      </c>
      <c r="B8388" t="s">
        <v>5319</v>
      </c>
      <c r="C8388" t="s">
        <v>18817</v>
      </c>
      <c r="D8388" t="s">
        <v>20</v>
      </c>
      <c r="E8388" t="s">
        <v>11</v>
      </c>
      <c r="F8388">
        <v>996.6</v>
      </c>
      <c r="G8388">
        <v>18</v>
      </c>
    </row>
    <row r="8389" spans="1:7" x14ac:dyDescent="0.25">
      <c r="A8389" t="s">
        <v>41</v>
      </c>
      <c r="B8389" t="s">
        <v>5322</v>
      </c>
      <c r="C8389" t="s">
        <v>18818</v>
      </c>
      <c r="D8389" t="s">
        <v>20</v>
      </c>
      <c r="E8389" t="s">
        <v>11</v>
      </c>
      <c r="F8389">
        <v>33320.100000000006</v>
      </c>
      <c r="G8389">
        <v>18</v>
      </c>
    </row>
    <row r="8390" spans="1:7" x14ac:dyDescent="0.25">
      <c r="A8390" t="s">
        <v>41</v>
      </c>
      <c r="B8390" t="s">
        <v>5325</v>
      </c>
      <c r="C8390" t="s">
        <v>18819</v>
      </c>
      <c r="D8390" t="s">
        <v>20</v>
      </c>
      <c r="E8390" t="s">
        <v>11</v>
      </c>
      <c r="F8390">
        <v>4591.400000000001</v>
      </c>
      <c r="G8390">
        <v>18</v>
      </c>
    </row>
    <row r="8391" spans="1:7" x14ac:dyDescent="0.25">
      <c r="A8391" t="s">
        <v>41</v>
      </c>
      <c r="B8391" t="s">
        <v>5328</v>
      </c>
      <c r="C8391" t="s">
        <v>18820</v>
      </c>
      <c r="D8391" t="s">
        <v>20</v>
      </c>
      <c r="E8391" t="s">
        <v>11</v>
      </c>
      <c r="F8391">
        <v>2575.1</v>
      </c>
      <c r="G8391">
        <v>18</v>
      </c>
    </row>
    <row r="8392" spans="1:7" x14ac:dyDescent="0.25">
      <c r="A8392" t="s">
        <v>41</v>
      </c>
      <c r="B8392" t="s">
        <v>5331</v>
      </c>
      <c r="C8392" t="s">
        <v>18821</v>
      </c>
      <c r="D8392" t="s">
        <v>20</v>
      </c>
      <c r="E8392" t="s">
        <v>11</v>
      </c>
      <c r="F8392">
        <v>573.1</v>
      </c>
      <c r="G8392">
        <v>18</v>
      </c>
    </row>
    <row r="8393" spans="1:7" x14ac:dyDescent="0.25">
      <c r="A8393" t="s">
        <v>41</v>
      </c>
      <c r="B8393" t="s">
        <v>5334</v>
      </c>
      <c r="C8393" t="s">
        <v>18822</v>
      </c>
      <c r="D8393" t="s">
        <v>20</v>
      </c>
      <c r="E8393" t="s">
        <v>11</v>
      </c>
      <c r="F8393">
        <v>1586.2</v>
      </c>
      <c r="G8393">
        <v>18</v>
      </c>
    </row>
    <row r="8394" spans="1:7" x14ac:dyDescent="0.25">
      <c r="A8394" t="s">
        <v>41</v>
      </c>
      <c r="B8394" t="s">
        <v>5337</v>
      </c>
      <c r="C8394" t="s">
        <v>17774</v>
      </c>
      <c r="D8394" t="s">
        <v>20</v>
      </c>
      <c r="E8394" t="s">
        <v>11</v>
      </c>
      <c r="F8394">
        <v>3935.8</v>
      </c>
      <c r="G8394">
        <v>18</v>
      </c>
    </row>
    <row r="8395" spans="1:7" x14ac:dyDescent="0.25">
      <c r="A8395" t="s">
        <v>41</v>
      </c>
      <c r="B8395" t="s">
        <v>5340</v>
      </c>
      <c r="C8395" t="s">
        <v>18823</v>
      </c>
      <c r="D8395" t="s">
        <v>20</v>
      </c>
      <c r="E8395" t="s">
        <v>11</v>
      </c>
      <c r="F8395">
        <v>7537.2</v>
      </c>
      <c r="G8395">
        <v>18</v>
      </c>
    </row>
    <row r="8396" spans="1:7" x14ac:dyDescent="0.25">
      <c r="A8396" t="s">
        <v>41</v>
      </c>
      <c r="B8396" t="s">
        <v>5343</v>
      </c>
      <c r="C8396" t="s">
        <v>18824</v>
      </c>
      <c r="D8396" t="s">
        <v>20</v>
      </c>
      <c r="E8396" t="s">
        <v>11</v>
      </c>
      <c r="F8396">
        <v>5165.6</v>
      </c>
      <c r="G8396">
        <v>18</v>
      </c>
    </row>
    <row r="8397" spans="1:7" x14ac:dyDescent="0.25">
      <c r="A8397" t="s">
        <v>41</v>
      </c>
      <c r="B8397" t="s">
        <v>5346</v>
      </c>
      <c r="C8397" t="s">
        <v>18825</v>
      </c>
      <c r="D8397" t="s">
        <v>20</v>
      </c>
      <c r="E8397" t="s">
        <v>11</v>
      </c>
      <c r="F8397">
        <v>2599.2999999999997</v>
      </c>
      <c r="G8397">
        <v>18</v>
      </c>
    </row>
    <row r="8398" spans="1:7" x14ac:dyDescent="0.25">
      <c r="A8398" t="s">
        <v>41</v>
      </c>
      <c r="B8398" t="s">
        <v>5349</v>
      </c>
      <c r="C8398" t="s">
        <v>18826</v>
      </c>
      <c r="D8398" t="s">
        <v>20</v>
      </c>
      <c r="E8398" t="s">
        <v>11</v>
      </c>
      <c r="F8398">
        <v>29780.300000000003</v>
      </c>
      <c r="G8398">
        <v>18</v>
      </c>
    </row>
    <row r="8399" spans="1:7" x14ac:dyDescent="0.25">
      <c r="A8399" t="s">
        <v>41</v>
      </c>
      <c r="B8399" t="s">
        <v>5352</v>
      </c>
      <c r="C8399" t="s">
        <v>18827</v>
      </c>
      <c r="D8399" t="s">
        <v>20</v>
      </c>
      <c r="E8399" t="s">
        <v>11</v>
      </c>
      <c r="F8399">
        <v>2025.1</v>
      </c>
      <c r="G8399">
        <v>18</v>
      </c>
    </row>
    <row r="8400" spans="1:7" x14ac:dyDescent="0.25">
      <c r="A8400" t="s">
        <v>41</v>
      </c>
      <c r="B8400" t="s">
        <v>5355</v>
      </c>
      <c r="C8400" t="s">
        <v>18828</v>
      </c>
      <c r="D8400" t="s">
        <v>20</v>
      </c>
      <c r="E8400" t="s">
        <v>11</v>
      </c>
      <c r="F8400">
        <v>1376.1</v>
      </c>
      <c r="G8400">
        <v>18</v>
      </c>
    </row>
    <row r="8401" spans="1:7" x14ac:dyDescent="0.25">
      <c r="A8401" t="s">
        <v>41</v>
      </c>
      <c r="B8401" t="s">
        <v>5358</v>
      </c>
      <c r="C8401" t="s">
        <v>18829</v>
      </c>
      <c r="D8401" t="s">
        <v>20</v>
      </c>
      <c r="E8401" t="s">
        <v>11</v>
      </c>
      <c r="F8401">
        <v>5914.700000000001</v>
      </c>
      <c r="G8401">
        <v>18</v>
      </c>
    </row>
    <row r="8402" spans="1:7" x14ac:dyDescent="0.25">
      <c r="A8402" t="s">
        <v>41</v>
      </c>
      <c r="B8402" t="s">
        <v>5361</v>
      </c>
      <c r="C8402" t="s">
        <v>18830</v>
      </c>
      <c r="D8402" t="s">
        <v>20</v>
      </c>
      <c r="E8402" t="s">
        <v>11</v>
      </c>
      <c r="F8402">
        <v>3038.2000000000003</v>
      </c>
      <c r="G8402">
        <v>18</v>
      </c>
    </row>
    <row r="8403" spans="1:7" x14ac:dyDescent="0.25">
      <c r="A8403" t="s">
        <v>41</v>
      </c>
      <c r="B8403" t="s">
        <v>5364</v>
      </c>
      <c r="C8403" t="s">
        <v>18831</v>
      </c>
      <c r="D8403" t="s">
        <v>20</v>
      </c>
      <c r="E8403" t="s">
        <v>11</v>
      </c>
      <c r="F8403">
        <v>2416.7</v>
      </c>
      <c r="G8403">
        <v>18</v>
      </c>
    </row>
    <row r="8404" spans="1:7" x14ac:dyDescent="0.25">
      <c r="A8404" t="s">
        <v>41</v>
      </c>
      <c r="B8404" t="s">
        <v>5367</v>
      </c>
      <c r="C8404" t="s">
        <v>18832</v>
      </c>
      <c r="D8404" t="s">
        <v>20</v>
      </c>
      <c r="E8404" t="s">
        <v>11</v>
      </c>
      <c r="F8404">
        <v>979</v>
      </c>
      <c r="G8404">
        <v>18</v>
      </c>
    </row>
    <row r="8405" spans="1:7" x14ac:dyDescent="0.25">
      <c r="A8405" t="s">
        <v>41</v>
      </c>
      <c r="B8405" t="s">
        <v>5370</v>
      </c>
      <c r="C8405" t="s">
        <v>18833</v>
      </c>
      <c r="D8405" t="s">
        <v>20</v>
      </c>
      <c r="E8405" t="s">
        <v>11</v>
      </c>
      <c r="F8405">
        <v>4021.6000000000004</v>
      </c>
      <c r="G8405">
        <v>18</v>
      </c>
    </row>
    <row r="8406" spans="1:7" x14ac:dyDescent="0.25">
      <c r="A8406" t="s">
        <v>41</v>
      </c>
      <c r="B8406" t="s">
        <v>5373</v>
      </c>
      <c r="C8406" t="s">
        <v>18834</v>
      </c>
      <c r="D8406" t="s">
        <v>20</v>
      </c>
      <c r="E8406" t="s">
        <v>11</v>
      </c>
      <c r="F8406">
        <v>464.2</v>
      </c>
      <c r="G8406">
        <v>18</v>
      </c>
    </row>
    <row r="8407" spans="1:7" x14ac:dyDescent="0.25">
      <c r="A8407" t="s">
        <v>41</v>
      </c>
      <c r="B8407" t="s">
        <v>5376</v>
      </c>
      <c r="C8407" t="s">
        <v>18835</v>
      </c>
      <c r="D8407" t="s">
        <v>20</v>
      </c>
      <c r="E8407" t="s">
        <v>11</v>
      </c>
      <c r="F8407">
        <v>16500</v>
      </c>
      <c r="G8407">
        <v>18</v>
      </c>
    </row>
    <row r="8408" spans="1:7" x14ac:dyDescent="0.25">
      <c r="A8408" t="s">
        <v>41</v>
      </c>
      <c r="B8408" t="s">
        <v>5379</v>
      </c>
      <c r="C8408" t="s">
        <v>18836</v>
      </c>
      <c r="D8408" t="s">
        <v>20</v>
      </c>
      <c r="E8408" t="s">
        <v>11</v>
      </c>
      <c r="F8408">
        <v>730.4</v>
      </c>
      <c r="G8408">
        <v>18</v>
      </c>
    </row>
    <row r="8409" spans="1:7" x14ac:dyDescent="0.25">
      <c r="A8409" t="s">
        <v>41</v>
      </c>
      <c r="B8409" t="s">
        <v>5382</v>
      </c>
      <c r="C8409" t="s">
        <v>18837</v>
      </c>
      <c r="D8409" t="s">
        <v>20</v>
      </c>
      <c r="E8409" t="s">
        <v>11</v>
      </c>
      <c r="F8409">
        <v>739.1999999999999</v>
      </c>
      <c r="G8409">
        <v>18</v>
      </c>
    </row>
    <row r="8410" spans="1:7" x14ac:dyDescent="0.25">
      <c r="A8410" t="s">
        <v>41</v>
      </c>
      <c r="B8410" t="s">
        <v>5385</v>
      </c>
      <c r="C8410" t="s">
        <v>18515</v>
      </c>
      <c r="D8410" t="s">
        <v>20</v>
      </c>
      <c r="E8410" t="s">
        <v>11</v>
      </c>
      <c r="F8410">
        <v>71.5</v>
      </c>
      <c r="G8410">
        <v>18</v>
      </c>
    </row>
    <row r="8411" spans="1:7" x14ac:dyDescent="0.25">
      <c r="A8411" t="s">
        <v>41</v>
      </c>
      <c r="B8411" t="s">
        <v>5388</v>
      </c>
      <c r="C8411" t="s">
        <v>18349</v>
      </c>
      <c r="D8411" t="s">
        <v>20</v>
      </c>
      <c r="E8411" t="s">
        <v>11</v>
      </c>
      <c r="F8411">
        <v>94.6</v>
      </c>
      <c r="G8411">
        <v>18</v>
      </c>
    </row>
    <row r="8412" spans="1:7" x14ac:dyDescent="0.25">
      <c r="A8412" t="s">
        <v>41</v>
      </c>
      <c r="B8412" t="s">
        <v>5391</v>
      </c>
      <c r="C8412" t="s">
        <v>18838</v>
      </c>
      <c r="D8412" t="s">
        <v>20</v>
      </c>
      <c r="E8412" t="s">
        <v>11</v>
      </c>
      <c r="F8412">
        <v>7410.700000000001</v>
      </c>
      <c r="G8412">
        <v>18</v>
      </c>
    </row>
    <row r="8413" spans="1:7" x14ac:dyDescent="0.25">
      <c r="A8413" t="s">
        <v>41</v>
      </c>
      <c r="B8413" t="s">
        <v>5394</v>
      </c>
      <c r="C8413" t="s">
        <v>18839</v>
      </c>
      <c r="D8413" t="s">
        <v>20</v>
      </c>
      <c r="E8413" t="s">
        <v>11</v>
      </c>
      <c r="F8413">
        <v>57.2</v>
      </c>
      <c r="G8413">
        <v>18</v>
      </c>
    </row>
    <row r="8414" spans="1:7" x14ac:dyDescent="0.25">
      <c r="A8414" t="s">
        <v>41</v>
      </c>
      <c r="B8414" t="s">
        <v>5397</v>
      </c>
      <c r="C8414" t="s">
        <v>18840</v>
      </c>
      <c r="D8414" t="s">
        <v>20</v>
      </c>
      <c r="E8414" t="s">
        <v>11</v>
      </c>
      <c r="F8414">
        <v>1563.1000000000001</v>
      </c>
      <c r="G8414">
        <v>18</v>
      </c>
    </row>
    <row r="8415" spans="1:7" x14ac:dyDescent="0.25">
      <c r="A8415" t="s">
        <v>41</v>
      </c>
      <c r="B8415" t="s">
        <v>5400</v>
      </c>
      <c r="C8415" t="s">
        <v>18841</v>
      </c>
      <c r="D8415" t="s">
        <v>20</v>
      </c>
      <c r="E8415" t="s">
        <v>11</v>
      </c>
      <c r="F8415">
        <v>117.7</v>
      </c>
      <c r="G8415">
        <v>18</v>
      </c>
    </row>
    <row r="8416" spans="1:7" x14ac:dyDescent="0.25">
      <c r="A8416" t="s">
        <v>41</v>
      </c>
      <c r="B8416" t="s">
        <v>5403</v>
      </c>
      <c r="C8416" t="s">
        <v>18842</v>
      </c>
      <c r="D8416" t="s">
        <v>20</v>
      </c>
      <c r="E8416" t="s">
        <v>11</v>
      </c>
      <c r="F8416">
        <v>1563.1000000000001</v>
      </c>
      <c r="G8416">
        <v>18</v>
      </c>
    </row>
    <row r="8417" spans="1:7" x14ac:dyDescent="0.25">
      <c r="A8417" t="s">
        <v>41</v>
      </c>
      <c r="B8417" t="s">
        <v>5406</v>
      </c>
      <c r="C8417" t="s">
        <v>18843</v>
      </c>
      <c r="D8417" t="s">
        <v>20</v>
      </c>
      <c r="E8417" t="s">
        <v>11</v>
      </c>
      <c r="F8417">
        <v>1383.8</v>
      </c>
      <c r="G8417">
        <v>18</v>
      </c>
    </row>
    <row r="8418" spans="1:7" x14ac:dyDescent="0.25">
      <c r="A8418" t="s">
        <v>41</v>
      </c>
      <c r="B8418" t="s">
        <v>5409</v>
      </c>
      <c r="C8418" t="s">
        <v>18844</v>
      </c>
      <c r="D8418" t="s">
        <v>20</v>
      </c>
      <c r="E8418" t="s">
        <v>11</v>
      </c>
      <c r="F8418">
        <v>956.9999999999999</v>
      </c>
      <c r="G8418">
        <v>18</v>
      </c>
    </row>
    <row r="8419" spans="1:7" x14ac:dyDescent="0.25">
      <c r="A8419" t="s">
        <v>41</v>
      </c>
      <c r="B8419" t="s">
        <v>5412</v>
      </c>
      <c r="C8419" t="s">
        <v>18845</v>
      </c>
      <c r="D8419" t="s">
        <v>20</v>
      </c>
      <c r="E8419" t="s">
        <v>11</v>
      </c>
      <c r="F8419">
        <v>501.59999999999997</v>
      </c>
      <c r="G8419">
        <v>18</v>
      </c>
    </row>
    <row r="8420" spans="1:7" x14ac:dyDescent="0.25">
      <c r="A8420" t="s">
        <v>41</v>
      </c>
      <c r="B8420" t="s">
        <v>5415</v>
      </c>
      <c r="C8420" t="s">
        <v>18846</v>
      </c>
      <c r="D8420" t="s">
        <v>20</v>
      </c>
      <c r="E8420" t="s">
        <v>11</v>
      </c>
      <c r="F8420">
        <v>58.300000000000004</v>
      </c>
      <c r="G8420">
        <v>18</v>
      </c>
    </row>
    <row r="8421" spans="1:7" x14ac:dyDescent="0.25">
      <c r="A8421" t="s">
        <v>41</v>
      </c>
      <c r="B8421" t="s">
        <v>5418</v>
      </c>
      <c r="C8421" t="s">
        <v>18847</v>
      </c>
      <c r="D8421" t="s">
        <v>20</v>
      </c>
      <c r="E8421" t="s">
        <v>11</v>
      </c>
      <c r="F8421">
        <v>3957.7999999999997</v>
      </c>
      <c r="G8421">
        <v>18</v>
      </c>
    </row>
    <row r="8422" spans="1:7" x14ac:dyDescent="0.25">
      <c r="A8422" t="s">
        <v>41</v>
      </c>
      <c r="B8422" t="s">
        <v>5421</v>
      </c>
      <c r="C8422" t="s">
        <v>17736</v>
      </c>
      <c r="D8422" t="s">
        <v>20</v>
      </c>
      <c r="E8422" t="s">
        <v>11</v>
      </c>
      <c r="F8422">
        <v>57.2</v>
      </c>
      <c r="G8422">
        <v>18</v>
      </c>
    </row>
    <row r="8423" spans="1:7" x14ac:dyDescent="0.25">
      <c r="A8423" t="s">
        <v>41</v>
      </c>
      <c r="B8423" t="s">
        <v>5424</v>
      </c>
      <c r="C8423" t="s">
        <v>18848</v>
      </c>
      <c r="D8423" t="s">
        <v>20</v>
      </c>
      <c r="E8423" t="s">
        <v>11</v>
      </c>
      <c r="F8423">
        <v>70.4</v>
      </c>
      <c r="G8423">
        <v>18</v>
      </c>
    </row>
    <row r="8424" spans="1:7" x14ac:dyDescent="0.25">
      <c r="A8424" t="s">
        <v>41</v>
      </c>
      <c r="B8424" t="s">
        <v>5427</v>
      </c>
      <c r="C8424" t="s">
        <v>17838</v>
      </c>
      <c r="D8424" t="s">
        <v>20</v>
      </c>
      <c r="E8424" t="s">
        <v>11</v>
      </c>
      <c r="F8424">
        <v>40.7</v>
      </c>
      <c r="G8424">
        <v>18</v>
      </c>
    </row>
    <row r="8425" spans="1:7" x14ac:dyDescent="0.25">
      <c r="A8425" t="s">
        <v>41</v>
      </c>
      <c r="B8425" t="s">
        <v>5430</v>
      </c>
      <c r="C8425" t="s">
        <v>18849</v>
      </c>
      <c r="D8425" t="s">
        <v>20</v>
      </c>
      <c r="E8425" t="s">
        <v>11</v>
      </c>
      <c r="F8425">
        <v>58.300000000000004</v>
      </c>
      <c r="G8425">
        <v>18</v>
      </c>
    </row>
    <row r="8426" spans="1:7" x14ac:dyDescent="0.25">
      <c r="A8426" t="s">
        <v>41</v>
      </c>
      <c r="B8426" t="s">
        <v>5433</v>
      </c>
      <c r="C8426" t="s">
        <v>18850</v>
      </c>
      <c r="D8426" t="s">
        <v>20</v>
      </c>
      <c r="E8426" t="s">
        <v>11</v>
      </c>
      <c r="F8426">
        <v>30.800000000000004</v>
      </c>
      <c r="G8426">
        <v>18</v>
      </c>
    </row>
    <row r="8427" spans="1:7" x14ac:dyDescent="0.25">
      <c r="A8427" t="s">
        <v>41</v>
      </c>
      <c r="B8427" t="s">
        <v>5436</v>
      </c>
      <c r="C8427" t="s">
        <v>18851</v>
      </c>
      <c r="D8427" t="s">
        <v>20</v>
      </c>
      <c r="E8427" t="s">
        <v>11</v>
      </c>
      <c r="F8427">
        <v>229.89999999999998</v>
      </c>
      <c r="G8427">
        <v>18</v>
      </c>
    </row>
    <row r="8428" spans="1:7" x14ac:dyDescent="0.25">
      <c r="A8428" t="s">
        <v>41</v>
      </c>
      <c r="B8428" t="s">
        <v>5439</v>
      </c>
      <c r="C8428" t="s">
        <v>18852</v>
      </c>
      <c r="D8428" t="s">
        <v>20</v>
      </c>
      <c r="E8428" t="s">
        <v>11</v>
      </c>
      <c r="F8428">
        <v>58.300000000000004</v>
      </c>
      <c r="G8428">
        <v>18</v>
      </c>
    </row>
    <row r="8429" spans="1:7" x14ac:dyDescent="0.25">
      <c r="A8429" t="s">
        <v>41</v>
      </c>
      <c r="B8429" t="s">
        <v>5442</v>
      </c>
      <c r="C8429" t="s">
        <v>17680</v>
      </c>
      <c r="D8429" t="s">
        <v>20</v>
      </c>
      <c r="E8429" t="s">
        <v>11</v>
      </c>
      <c r="F8429">
        <v>2599.2999999999997</v>
      </c>
      <c r="G8429">
        <v>18</v>
      </c>
    </row>
    <row r="8430" spans="1:7" x14ac:dyDescent="0.25">
      <c r="A8430" t="s">
        <v>41</v>
      </c>
      <c r="B8430" t="s">
        <v>5445</v>
      </c>
      <c r="C8430" t="s">
        <v>17545</v>
      </c>
      <c r="D8430" t="s">
        <v>20</v>
      </c>
      <c r="E8430" t="s">
        <v>11</v>
      </c>
      <c r="F8430">
        <v>2516.7999999999997</v>
      </c>
      <c r="G8430">
        <v>18</v>
      </c>
    </row>
    <row r="8431" spans="1:7" x14ac:dyDescent="0.25">
      <c r="A8431" t="s">
        <v>41</v>
      </c>
      <c r="B8431" t="s">
        <v>5448</v>
      </c>
      <c r="C8431" t="s">
        <v>18853</v>
      </c>
      <c r="D8431" t="s">
        <v>20</v>
      </c>
      <c r="E8431" t="s">
        <v>11</v>
      </c>
      <c r="F8431">
        <v>2742.3</v>
      </c>
      <c r="G8431">
        <v>18</v>
      </c>
    </row>
    <row r="8432" spans="1:7" x14ac:dyDescent="0.25">
      <c r="A8432" t="s">
        <v>41</v>
      </c>
      <c r="B8432" t="s">
        <v>5451</v>
      </c>
      <c r="C8432" t="s">
        <v>18854</v>
      </c>
      <c r="D8432" t="s">
        <v>20</v>
      </c>
      <c r="E8432" t="s">
        <v>11</v>
      </c>
      <c r="F8432">
        <v>6573.599999999999</v>
      </c>
      <c r="G8432">
        <v>18</v>
      </c>
    </row>
    <row r="8433" spans="1:7" x14ac:dyDescent="0.25">
      <c r="A8433" t="s">
        <v>41</v>
      </c>
      <c r="B8433" t="s">
        <v>5454</v>
      </c>
      <c r="C8433" t="s">
        <v>18855</v>
      </c>
      <c r="D8433" t="s">
        <v>20</v>
      </c>
      <c r="E8433" t="s">
        <v>11</v>
      </c>
      <c r="F8433">
        <v>6573.599999999999</v>
      </c>
      <c r="G8433">
        <v>18</v>
      </c>
    </row>
    <row r="8434" spans="1:7" x14ac:dyDescent="0.25">
      <c r="A8434" t="s">
        <v>41</v>
      </c>
      <c r="B8434" t="s">
        <v>5457</v>
      </c>
      <c r="C8434" t="s">
        <v>18856</v>
      </c>
      <c r="D8434" t="s">
        <v>20</v>
      </c>
      <c r="E8434" t="s">
        <v>11</v>
      </c>
      <c r="F8434">
        <v>564.3</v>
      </c>
      <c r="G8434">
        <v>18</v>
      </c>
    </row>
    <row r="8435" spans="1:7" x14ac:dyDescent="0.25">
      <c r="A8435" t="s">
        <v>41</v>
      </c>
      <c r="B8435" t="s">
        <v>5460</v>
      </c>
      <c r="C8435" t="s">
        <v>18857</v>
      </c>
      <c r="D8435" t="s">
        <v>20</v>
      </c>
      <c r="E8435" t="s">
        <v>11</v>
      </c>
      <c r="F8435">
        <v>6573.599999999999</v>
      </c>
      <c r="G8435">
        <v>18</v>
      </c>
    </row>
    <row r="8436" spans="1:7" x14ac:dyDescent="0.25">
      <c r="A8436" t="s">
        <v>41</v>
      </c>
      <c r="B8436" t="s">
        <v>5463</v>
      </c>
      <c r="C8436" t="s">
        <v>18858</v>
      </c>
      <c r="D8436" t="s">
        <v>20</v>
      </c>
      <c r="E8436" t="s">
        <v>11</v>
      </c>
      <c r="F8436">
        <v>70.4</v>
      </c>
      <c r="G8436">
        <v>18</v>
      </c>
    </row>
    <row r="8437" spans="1:7" x14ac:dyDescent="0.25">
      <c r="A8437" t="s">
        <v>41</v>
      </c>
      <c r="B8437" t="s">
        <v>5466</v>
      </c>
      <c r="C8437" t="s">
        <v>18859</v>
      </c>
      <c r="D8437" t="s">
        <v>20</v>
      </c>
      <c r="E8437" t="s">
        <v>11</v>
      </c>
      <c r="F8437">
        <v>57.2</v>
      </c>
      <c r="G8437">
        <v>18</v>
      </c>
    </row>
    <row r="8438" spans="1:7" x14ac:dyDescent="0.25">
      <c r="A8438" t="s">
        <v>41</v>
      </c>
      <c r="B8438" t="s">
        <v>5469</v>
      </c>
      <c r="C8438" t="s">
        <v>18860</v>
      </c>
      <c r="D8438" t="s">
        <v>20</v>
      </c>
      <c r="E8438" t="s">
        <v>11</v>
      </c>
      <c r="F8438">
        <v>17503.2</v>
      </c>
      <c r="G8438">
        <v>18</v>
      </c>
    </row>
    <row r="8439" spans="1:7" x14ac:dyDescent="0.25">
      <c r="A8439" t="s">
        <v>41</v>
      </c>
      <c r="B8439" t="s">
        <v>5472</v>
      </c>
      <c r="C8439" t="s">
        <v>18861</v>
      </c>
      <c r="D8439" t="s">
        <v>20</v>
      </c>
      <c r="E8439" t="s">
        <v>11</v>
      </c>
      <c r="F8439">
        <v>17503.2</v>
      </c>
      <c r="G8439">
        <v>18</v>
      </c>
    </row>
    <row r="8440" spans="1:7" x14ac:dyDescent="0.25">
      <c r="A8440" t="s">
        <v>41</v>
      </c>
      <c r="B8440" t="s">
        <v>5475</v>
      </c>
      <c r="C8440" t="s">
        <v>18862</v>
      </c>
      <c r="D8440" t="s">
        <v>20</v>
      </c>
      <c r="E8440" t="s">
        <v>11</v>
      </c>
      <c r="F8440">
        <v>1203.3999999999999</v>
      </c>
      <c r="G8440">
        <v>18</v>
      </c>
    </row>
    <row r="8441" spans="1:7" x14ac:dyDescent="0.25">
      <c r="A8441" t="s">
        <v>41</v>
      </c>
      <c r="B8441" t="s">
        <v>5478</v>
      </c>
      <c r="C8441" t="s">
        <v>18863</v>
      </c>
      <c r="D8441" t="s">
        <v>20</v>
      </c>
      <c r="E8441" t="s">
        <v>11</v>
      </c>
      <c r="F8441">
        <v>57.2</v>
      </c>
      <c r="G8441">
        <v>18</v>
      </c>
    </row>
    <row r="8442" spans="1:7" x14ac:dyDescent="0.25">
      <c r="A8442" t="s">
        <v>41</v>
      </c>
      <c r="B8442" t="s">
        <v>5481</v>
      </c>
      <c r="C8442" t="s">
        <v>18864</v>
      </c>
      <c r="D8442" t="s">
        <v>20</v>
      </c>
      <c r="E8442" t="s">
        <v>11</v>
      </c>
      <c r="F8442">
        <v>70.4</v>
      </c>
      <c r="G8442">
        <v>18</v>
      </c>
    </row>
    <row r="8443" spans="1:7" x14ac:dyDescent="0.25">
      <c r="A8443" t="s">
        <v>41</v>
      </c>
      <c r="B8443" t="s">
        <v>5484</v>
      </c>
      <c r="C8443" t="s">
        <v>18865</v>
      </c>
      <c r="D8443" t="s">
        <v>20</v>
      </c>
      <c r="E8443" t="s">
        <v>11</v>
      </c>
      <c r="F8443">
        <v>2976.6</v>
      </c>
      <c r="G8443">
        <v>18</v>
      </c>
    </row>
    <row r="8444" spans="1:7" x14ac:dyDescent="0.25">
      <c r="A8444" t="s">
        <v>41</v>
      </c>
      <c r="B8444" t="s">
        <v>5487</v>
      </c>
      <c r="C8444" t="s">
        <v>18866</v>
      </c>
      <c r="D8444" t="s">
        <v>20</v>
      </c>
      <c r="E8444" t="s">
        <v>11</v>
      </c>
      <c r="F8444">
        <v>2742.3</v>
      </c>
      <c r="G8444">
        <v>18</v>
      </c>
    </row>
    <row r="8445" spans="1:7" x14ac:dyDescent="0.25">
      <c r="A8445" t="s">
        <v>41</v>
      </c>
      <c r="B8445" t="s">
        <v>5490</v>
      </c>
      <c r="C8445" t="s">
        <v>18867</v>
      </c>
      <c r="D8445" t="s">
        <v>20</v>
      </c>
      <c r="E8445" t="s">
        <v>11</v>
      </c>
      <c r="F8445">
        <v>1127.5</v>
      </c>
      <c r="G8445">
        <v>18</v>
      </c>
    </row>
    <row r="8446" spans="1:7" x14ac:dyDescent="0.25">
      <c r="A8446" t="s">
        <v>41</v>
      </c>
      <c r="B8446" t="s">
        <v>5493</v>
      </c>
      <c r="C8446" t="s">
        <v>18845</v>
      </c>
      <c r="D8446" t="s">
        <v>20</v>
      </c>
      <c r="E8446" t="s">
        <v>11</v>
      </c>
      <c r="F8446">
        <v>376.2</v>
      </c>
      <c r="G8446">
        <v>18</v>
      </c>
    </row>
    <row r="8447" spans="1:7" x14ac:dyDescent="0.25">
      <c r="A8447" t="s">
        <v>41</v>
      </c>
      <c r="B8447" t="s">
        <v>5496</v>
      </c>
      <c r="C8447" t="s">
        <v>18868</v>
      </c>
      <c r="D8447" t="s">
        <v>20</v>
      </c>
      <c r="E8447" t="s">
        <v>11</v>
      </c>
      <c r="F8447">
        <v>80.3</v>
      </c>
      <c r="G8447">
        <v>18</v>
      </c>
    </row>
    <row r="8448" spans="1:7" x14ac:dyDescent="0.25">
      <c r="A8448" t="s">
        <v>41</v>
      </c>
      <c r="B8448" t="s">
        <v>5499</v>
      </c>
      <c r="C8448" t="s">
        <v>18869</v>
      </c>
      <c r="D8448" t="s">
        <v>20</v>
      </c>
      <c r="E8448" t="s">
        <v>11</v>
      </c>
      <c r="F8448">
        <v>23274.9</v>
      </c>
      <c r="G8448">
        <v>18</v>
      </c>
    </row>
    <row r="8449" spans="1:7" x14ac:dyDescent="0.25">
      <c r="A8449" t="s">
        <v>41</v>
      </c>
      <c r="B8449" t="s">
        <v>5502</v>
      </c>
      <c r="C8449" t="s">
        <v>18870</v>
      </c>
      <c r="D8449" t="s">
        <v>20</v>
      </c>
      <c r="E8449" t="s">
        <v>11</v>
      </c>
      <c r="F8449">
        <v>11833.8</v>
      </c>
      <c r="G8449">
        <v>18</v>
      </c>
    </row>
    <row r="8450" spans="1:7" x14ac:dyDescent="0.25">
      <c r="A8450" t="s">
        <v>41</v>
      </c>
      <c r="B8450" t="s">
        <v>5505</v>
      </c>
      <c r="C8450" t="s">
        <v>18871</v>
      </c>
      <c r="D8450" t="s">
        <v>20</v>
      </c>
      <c r="E8450" t="s">
        <v>11</v>
      </c>
      <c r="F8450">
        <v>2347.4</v>
      </c>
      <c r="G8450">
        <v>18</v>
      </c>
    </row>
    <row r="8451" spans="1:7" x14ac:dyDescent="0.25">
      <c r="A8451" t="s">
        <v>41</v>
      </c>
      <c r="B8451" t="s">
        <v>5508</v>
      </c>
      <c r="C8451" t="s">
        <v>18872</v>
      </c>
      <c r="D8451" t="s">
        <v>20</v>
      </c>
      <c r="E8451" t="s">
        <v>11</v>
      </c>
      <c r="F8451">
        <v>6842</v>
      </c>
      <c r="G8451">
        <v>18</v>
      </c>
    </row>
    <row r="8452" spans="1:7" x14ac:dyDescent="0.25">
      <c r="A8452" t="s">
        <v>41</v>
      </c>
      <c r="B8452" t="s">
        <v>5511</v>
      </c>
      <c r="C8452" t="s">
        <v>18873</v>
      </c>
      <c r="D8452" t="s">
        <v>20</v>
      </c>
      <c r="E8452" t="s">
        <v>11</v>
      </c>
      <c r="F8452">
        <v>955.9</v>
      </c>
      <c r="G8452">
        <v>18</v>
      </c>
    </row>
    <row r="8453" spans="1:7" x14ac:dyDescent="0.25">
      <c r="A8453" t="s">
        <v>41</v>
      </c>
      <c r="B8453" t="s">
        <v>5514</v>
      </c>
      <c r="C8453" t="s">
        <v>18874</v>
      </c>
      <c r="D8453" t="s">
        <v>20</v>
      </c>
      <c r="E8453" t="s">
        <v>11</v>
      </c>
      <c r="F8453">
        <v>77</v>
      </c>
      <c r="G8453">
        <v>18</v>
      </c>
    </row>
    <row r="8454" spans="1:7" x14ac:dyDescent="0.25">
      <c r="A8454" t="s">
        <v>41</v>
      </c>
      <c r="B8454" t="s">
        <v>5517</v>
      </c>
      <c r="C8454" t="s">
        <v>18875</v>
      </c>
      <c r="D8454" t="s">
        <v>20</v>
      </c>
      <c r="E8454" t="s">
        <v>11</v>
      </c>
      <c r="F8454">
        <v>1552.1</v>
      </c>
      <c r="G8454">
        <v>18</v>
      </c>
    </row>
    <row r="8455" spans="1:7" x14ac:dyDescent="0.25">
      <c r="A8455" t="s">
        <v>41</v>
      </c>
      <c r="B8455" t="s">
        <v>5520</v>
      </c>
      <c r="C8455" t="s">
        <v>18876</v>
      </c>
      <c r="D8455" t="s">
        <v>20</v>
      </c>
      <c r="E8455" t="s">
        <v>11</v>
      </c>
      <c r="F8455">
        <v>749.0999999999999</v>
      </c>
      <c r="G8455">
        <v>18</v>
      </c>
    </row>
    <row r="8456" spans="1:7" x14ac:dyDescent="0.25">
      <c r="A8456" t="s">
        <v>41</v>
      </c>
      <c r="B8456" t="s">
        <v>5523</v>
      </c>
      <c r="C8456" t="s">
        <v>18877</v>
      </c>
      <c r="D8456" t="s">
        <v>20</v>
      </c>
      <c r="E8456" t="s">
        <v>11</v>
      </c>
      <c r="F8456">
        <v>1101.1</v>
      </c>
      <c r="G8456">
        <v>18</v>
      </c>
    </row>
    <row r="8457" spans="1:7" x14ac:dyDescent="0.25">
      <c r="A8457" t="s">
        <v>41</v>
      </c>
      <c r="B8457" t="s">
        <v>5526</v>
      </c>
      <c r="C8457" t="s">
        <v>18878</v>
      </c>
      <c r="D8457" t="s">
        <v>20</v>
      </c>
      <c r="E8457" t="s">
        <v>11</v>
      </c>
      <c r="F8457">
        <v>58.300000000000004</v>
      </c>
      <c r="G8457">
        <v>18</v>
      </c>
    </row>
    <row r="8458" spans="1:7" x14ac:dyDescent="0.25">
      <c r="A8458" t="s">
        <v>41</v>
      </c>
      <c r="B8458" t="s">
        <v>5529</v>
      </c>
      <c r="C8458" t="s">
        <v>18879</v>
      </c>
      <c r="D8458" t="s">
        <v>20</v>
      </c>
      <c r="E8458" t="s">
        <v>11</v>
      </c>
      <c r="F8458">
        <v>1716</v>
      </c>
      <c r="G8458">
        <v>18</v>
      </c>
    </row>
    <row r="8459" spans="1:7" x14ac:dyDescent="0.25">
      <c r="A8459" t="s">
        <v>41</v>
      </c>
      <c r="B8459" t="s">
        <v>5532</v>
      </c>
      <c r="C8459" t="s">
        <v>18880</v>
      </c>
      <c r="D8459" t="s">
        <v>20</v>
      </c>
      <c r="E8459" t="s">
        <v>11</v>
      </c>
      <c r="F8459">
        <v>58.300000000000004</v>
      </c>
      <c r="G8459">
        <v>18</v>
      </c>
    </row>
    <row r="8460" spans="1:7" x14ac:dyDescent="0.25">
      <c r="A8460" t="s">
        <v>41</v>
      </c>
      <c r="B8460" t="s">
        <v>5535</v>
      </c>
      <c r="C8460" t="s">
        <v>18881</v>
      </c>
      <c r="D8460" t="s">
        <v>20</v>
      </c>
      <c r="E8460" t="s">
        <v>11</v>
      </c>
      <c r="F8460">
        <v>4062.3</v>
      </c>
      <c r="G8460">
        <v>18</v>
      </c>
    </row>
    <row r="8461" spans="1:7" x14ac:dyDescent="0.25">
      <c r="A8461" t="s">
        <v>41</v>
      </c>
      <c r="B8461" t="s">
        <v>5538</v>
      </c>
      <c r="C8461" t="s">
        <v>18882</v>
      </c>
      <c r="D8461" t="s">
        <v>20</v>
      </c>
      <c r="E8461" t="s">
        <v>11</v>
      </c>
      <c r="F8461">
        <v>70.4</v>
      </c>
      <c r="G8461">
        <v>18</v>
      </c>
    </row>
    <row r="8462" spans="1:7" x14ac:dyDescent="0.25">
      <c r="A8462" t="s">
        <v>41</v>
      </c>
      <c r="B8462" t="s">
        <v>5541</v>
      </c>
      <c r="C8462" t="s">
        <v>18883</v>
      </c>
      <c r="D8462" t="s">
        <v>20</v>
      </c>
      <c r="E8462" t="s">
        <v>11</v>
      </c>
      <c r="F8462">
        <v>686.4</v>
      </c>
      <c r="G8462">
        <v>18</v>
      </c>
    </row>
    <row r="8463" spans="1:7" x14ac:dyDescent="0.25">
      <c r="A8463" t="s">
        <v>41</v>
      </c>
      <c r="B8463" t="s">
        <v>5544</v>
      </c>
      <c r="C8463" t="s">
        <v>18884</v>
      </c>
      <c r="D8463" t="s">
        <v>20</v>
      </c>
      <c r="E8463" t="s">
        <v>11</v>
      </c>
      <c r="F8463">
        <v>3934.7000000000003</v>
      </c>
      <c r="G8463">
        <v>18</v>
      </c>
    </row>
    <row r="8464" spans="1:7" x14ac:dyDescent="0.25">
      <c r="A8464" t="s">
        <v>41</v>
      </c>
      <c r="B8464" t="s">
        <v>5547</v>
      </c>
      <c r="C8464" t="s">
        <v>18885</v>
      </c>
      <c r="D8464" t="s">
        <v>20</v>
      </c>
      <c r="E8464" t="s">
        <v>11</v>
      </c>
      <c r="F8464">
        <v>271.70000000000005</v>
      </c>
      <c r="G8464">
        <v>18</v>
      </c>
    </row>
    <row r="8465" spans="1:7" x14ac:dyDescent="0.25">
      <c r="A8465" t="s">
        <v>41</v>
      </c>
      <c r="B8465" t="s">
        <v>5550</v>
      </c>
      <c r="C8465" t="s">
        <v>18886</v>
      </c>
      <c r="D8465" t="s">
        <v>20</v>
      </c>
      <c r="E8465" t="s">
        <v>11</v>
      </c>
      <c r="F8465">
        <v>57.2</v>
      </c>
      <c r="G8465">
        <v>18</v>
      </c>
    </row>
    <row r="8466" spans="1:7" x14ac:dyDescent="0.25">
      <c r="A8466" t="s">
        <v>41</v>
      </c>
      <c r="B8466" t="s">
        <v>5553</v>
      </c>
      <c r="C8466" t="s">
        <v>18887</v>
      </c>
      <c r="D8466" t="s">
        <v>20</v>
      </c>
      <c r="E8466" t="s">
        <v>11</v>
      </c>
      <c r="F8466">
        <v>474.09999999999997</v>
      </c>
      <c r="G8466">
        <v>18</v>
      </c>
    </row>
    <row r="8467" spans="1:7" x14ac:dyDescent="0.25">
      <c r="A8467" t="s">
        <v>41</v>
      </c>
      <c r="B8467" t="s">
        <v>5556</v>
      </c>
      <c r="C8467" t="s">
        <v>18888</v>
      </c>
      <c r="D8467" t="s">
        <v>20</v>
      </c>
      <c r="E8467" t="s">
        <v>11</v>
      </c>
      <c r="F8467">
        <v>2076.7999999999997</v>
      </c>
      <c r="G8467">
        <v>18</v>
      </c>
    </row>
    <row r="8468" spans="1:7" x14ac:dyDescent="0.25">
      <c r="A8468" t="s">
        <v>41</v>
      </c>
      <c r="B8468" t="s">
        <v>5559</v>
      </c>
      <c r="C8468" t="s">
        <v>18889</v>
      </c>
      <c r="D8468" t="s">
        <v>20</v>
      </c>
      <c r="E8468" t="s">
        <v>11</v>
      </c>
      <c r="F8468">
        <v>1180.3</v>
      </c>
      <c r="G8468">
        <v>18</v>
      </c>
    </row>
    <row r="8469" spans="1:7" x14ac:dyDescent="0.25">
      <c r="A8469" t="s">
        <v>41</v>
      </c>
      <c r="B8469" t="s">
        <v>5562</v>
      </c>
      <c r="C8469" t="s">
        <v>18890</v>
      </c>
      <c r="D8469" t="s">
        <v>20</v>
      </c>
      <c r="E8469" t="s">
        <v>11</v>
      </c>
      <c r="F8469">
        <v>8274.2</v>
      </c>
      <c r="G8469">
        <v>18</v>
      </c>
    </row>
    <row r="8470" spans="1:7" x14ac:dyDescent="0.25">
      <c r="A8470" t="s">
        <v>41</v>
      </c>
      <c r="B8470" t="s">
        <v>5565</v>
      </c>
      <c r="C8470" t="s">
        <v>18891</v>
      </c>
      <c r="D8470" t="s">
        <v>20</v>
      </c>
      <c r="E8470" t="s">
        <v>11</v>
      </c>
      <c r="F8470">
        <v>3565.0999999999995</v>
      </c>
      <c r="G8470">
        <v>18</v>
      </c>
    </row>
    <row r="8471" spans="1:7" x14ac:dyDescent="0.25">
      <c r="A8471" t="s">
        <v>41</v>
      </c>
      <c r="B8471" t="s">
        <v>5568</v>
      </c>
      <c r="C8471" t="s">
        <v>18892</v>
      </c>
      <c r="D8471" t="s">
        <v>20</v>
      </c>
      <c r="E8471" t="s">
        <v>11</v>
      </c>
      <c r="F8471">
        <v>271.70000000000005</v>
      </c>
      <c r="G8471">
        <v>18</v>
      </c>
    </row>
    <row r="8472" spans="1:7" x14ac:dyDescent="0.25">
      <c r="A8472" t="s">
        <v>41</v>
      </c>
      <c r="B8472" t="s">
        <v>5571</v>
      </c>
      <c r="C8472" t="s">
        <v>18893</v>
      </c>
      <c r="D8472" t="s">
        <v>20</v>
      </c>
      <c r="E8472" t="s">
        <v>11</v>
      </c>
      <c r="F8472">
        <v>229.89999999999998</v>
      </c>
      <c r="G8472">
        <v>18</v>
      </c>
    </row>
    <row r="8473" spans="1:7" x14ac:dyDescent="0.25">
      <c r="A8473" t="s">
        <v>41</v>
      </c>
      <c r="B8473" t="s">
        <v>5574</v>
      </c>
      <c r="C8473" t="s">
        <v>17677</v>
      </c>
      <c r="D8473" t="s">
        <v>20</v>
      </c>
      <c r="E8473" t="s">
        <v>11</v>
      </c>
      <c r="F8473">
        <v>125.39999999999999</v>
      </c>
      <c r="G8473">
        <v>18</v>
      </c>
    </row>
    <row r="8474" spans="1:7" x14ac:dyDescent="0.25">
      <c r="A8474" t="s">
        <v>41</v>
      </c>
      <c r="B8474" t="s">
        <v>5577</v>
      </c>
      <c r="C8474" t="s">
        <v>18894</v>
      </c>
      <c r="D8474" t="s">
        <v>20</v>
      </c>
      <c r="E8474" t="s">
        <v>11</v>
      </c>
      <c r="F8474">
        <v>194.7</v>
      </c>
      <c r="G8474">
        <v>18</v>
      </c>
    </row>
    <row r="8475" spans="1:7" x14ac:dyDescent="0.25">
      <c r="A8475" t="s">
        <v>41</v>
      </c>
      <c r="B8475" t="s">
        <v>5580</v>
      </c>
      <c r="C8475" t="s">
        <v>17864</v>
      </c>
      <c r="D8475" t="s">
        <v>20</v>
      </c>
      <c r="E8475" t="s">
        <v>11</v>
      </c>
      <c r="F8475">
        <v>955.9</v>
      </c>
      <c r="G8475">
        <v>18</v>
      </c>
    </row>
    <row r="8476" spans="1:7" x14ac:dyDescent="0.25">
      <c r="A8476" t="s">
        <v>41</v>
      </c>
      <c r="B8476" t="s">
        <v>5583</v>
      </c>
      <c r="C8476" t="s">
        <v>18895</v>
      </c>
      <c r="D8476" t="s">
        <v>20</v>
      </c>
      <c r="E8476" t="s">
        <v>11</v>
      </c>
      <c r="F8476">
        <v>1118.7</v>
      </c>
      <c r="G8476">
        <v>18</v>
      </c>
    </row>
    <row r="8477" spans="1:7" x14ac:dyDescent="0.25">
      <c r="A8477" t="s">
        <v>41</v>
      </c>
      <c r="B8477" t="s">
        <v>5586</v>
      </c>
      <c r="C8477" t="s">
        <v>18896</v>
      </c>
      <c r="D8477" t="s">
        <v>20</v>
      </c>
      <c r="E8477" t="s">
        <v>11</v>
      </c>
      <c r="F8477">
        <v>616</v>
      </c>
      <c r="G8477">
        <v>18</v>
      </c>
    </row>
    <row r="8478" spans="1:7" x14ac:dyDescent="0.25">
      <c r="A8478" t="s">
        <v>41</v>
      </c>
      <c r="B8478" t="s">
        <v>5589</v>
      </c>
      <c r="C8478" t="s">
        <v>18897</v>
      </c>
      <c r="D8478" t="s">
        <v>20</v>
      </c>
      <c r="E8478" t="s">
        <v>11</v>
      </c>
      <c r="F8478">
        <v>2882</v>
      </c>
      <c r="G8478">
        <v>18</v>
      </c>
    </row>
    <row r="8479" spans="1:7" x14ac:dyDescent="0.25">
      <c r="A8479" t="s">
        <v>41</v>
      </c>
      <c r="B8479" t="s">
        <v>5592</v>
      </c>
      <c r="C8479" t="s">
        <v>18126</v>
      </c>
      <c r="D8479" t="s">
        <v>20</v>
      </c>
      <c r="E8479" t="s">
        <v>11</v>
      </c>
      <c r="F8479">
        <v>2651</v>
      </c>
      <c r="G8479">
        <v>18</v>
      </c>
    </row>
    <row r="8480" spans="1:7" x14ac:dyDescent="0.25">
      <c r="A8480" t="s">
        <v>41</v>
      </c>
      <c r="B8480" t="s">
        <v>5595</v>
      </c>
      <c r="C8480" t="s">
        <v>18898</v>
      </c>
      <c r="D8480" t="s">
        <v>20</v>
      </c>
      <c r="E8480" t="s">
        <v>11</v>
      </c>
      <c r="F8480">
        <v>151.79999999999998</v>
      </c>
      <c r="G8480">
        <v>18</v>
      </c>
    </row>
    <row r="8481" spans="1:7" x14ac:dyDescent="0.25">
      <c r="A8481" t="s">
        <v>41</v>
      </c>
      <c r="B8481" t="s">
        <v>5598</v>
      </c>
      <c r="C8481" t="s">
        <v>18899</v>
      </c>
      <c r="D8481" t="s">
        <v>20</v>
      </c>
      <c r="E8481" t="s">
        <v>11</v>
      </c>
      <c r="F8481">
        <v>2366.1000000000004</v>
      </c>
      <c r="G8481">
        <v>18</v>
      </c>
    </row>
    <row r="8482" spans="1:7" x14ac:dyDescent="0.25">
      <c r="A8482" t="s">
        <v>41</v>
      </c>
      <c r="B8482" t="s">
        <v>5601</v>
      </c>
      <c r="C8482" t="s">
        <v>18900</v>
      </c>
      <c r="D8482" t="s">
        <v>20</v>
      </c>
      <c r="E8482" t="s">
        <v>11</v>
      </c>
      <c r="F8482">
        <v>61.60000000000001</v>
      </c>
      <c r="G8482">
        <v>18</v>
      </c>
    </row>
    <row r="8483" spans="1:7" x14ac:dyDescent="0.25">
      <c r="A8483" t="s">
        <v>41</v>
      </c>
      <c r="B8483" t="s">
        <v>5604</v>
      </c>
      <c r="C8483" t="s">
        <v>18901</v>
      </c>
      <c r="D8483" t="s">
        <v>20</v>
      </c>
      <c r="E8483" t="s">
        <v>11</v>
      </c>
      <c r="F8483">
        <v>5638.599999999999</v>
      </c>
      <c r="G8483">
        <v>18</v>
      </c>
    </row>
    <row r="8484" spans="1:7" x14ac:dyDescent="0.25">
      <c r="A8484" t="s">
        <v>41</v>
      </c>
      <c r="B8484" t="s">
        <v>5607</v>
      </c>
      <c r="C8484" t="s">
        <v>18902</v>
      </c>
      <c r="D8484" t="s">
        <v>20</v>
      </c>
      <c r="E8484" t="s">
        <v>11</v>
      </c>
      <c r="F8484">
        <v>14991.9</v>
      </c>
      <c r="G8484">
        <v>18</v>
      </c>
    </row>
    <row r="8485" spans="1:7" x14ac:dyDescent="0.25">
      <c r="A8485" t="s">
        <v>41</v>
      </c>
      <c r="B8485" t="s">
        <v>5610</v>
      </c>
      <c r="C8485" t="s">
        <v>18806</v>
      </c>
      <c r="D8485" t="s">
        <v>20</v>
      </c>
      <c r="E8485" t="s">
        <v>11</v>
      </c>
      <c r="F8485">
        <v>578.6</v>
      </c>
      <c r="G8485">
        <v>18</v>
      </c>
    </row>
    <row r="8486" spans="1:7" x14ac:dyDescent="0.25">
      <c r="A8486" t="s">
        <v>41</v>
      </c>
      <c r="B8486" t="s">
        <v>5613</v>
      </c>
      <c r="C8486" t="s">
        <v>18903</v>
      </c>
      <c r="D8486" t="s">
        <v>20</v>
      </c>
      <c r="E8486" t="s">
        <v>11</v>
      </c>
      <c r="F8486">
        <v>2022.9</v>
      </c>
      <c r="G8486">
        <v>18</v>
      </c>
    </row>
    <row r="8487" spans="1:7" x14ac:dyDescent="0.25">
      <c r="A8487" t="s">
        <v>41</v>
      </c>
      <c r="B8487" t="s">
        <v>5616</v>
      </c>
      <c r="C8487" t="s">
        <v>18904</v>
      </c>
      <c r="D8487" t="s">
        <v>20</v>
      </c>
      <c r="E8487" t="s">
        <v>11</v>
      </c>
      <c r="F8487">
        <v>1931.6</v>
      </c>
      <c r="G8487">
        <v>18</v>
      </c>
    </row>
    <row r="8488" spans="1:7" x14ac:dyDescent="0.25">
      <c r="A8488" t="s">
        <v>41</v>
      </c>
      <c r="B8488" t="s">
        <v>5619</v>
      </c>
      <c r="C8488" t="s">
        <v>18905</v>
      </c>
      <c r="D8488" t="s">
        <v>20</v>
      </c>
      <c r="E8488" t="s">
        <v>11</v>
      </c>
      <c r="F8488">
        <v>184.79999999999998</v>
      </c>
      <c r="G8488">
        <v>18</v>
      </c>
    </row>
    <row r="8489" spans="1:7" x14ac:dyDescent="0.25">
      <c r="A8489" t="s">
        <v>41</v>
      </c>
      <c r="B8489" t="s">
        <v>5622</v>
      </c>
      <c r="C8489" t="s">
        <v>18906</v>
      </c>
      <c r="D8489" t="s">
        <v>20</v>
      </c>
      <c r="E8489" t="s">
        <v>11</v>
      </c>
      <c r="F8489">
        <v>2742.3</v>
      </c>
      <c r="G8489">
        <v>18</v>
      </c>
    </row>
    <row r="8490" spans="1:7" x14ac:dyDescent="0.25">
      <c r="A8490" t="s">
        <v>41</v>
      </c>
      <c r="B8490" t="s">
        <v>5625</v>
      </c>
      <c r="C8490" t="s">
        <v>18219</v>
      </c>
      <c r="D8490" t="s">
        <v>20</v>
      </c>
      <c r="E8490" t="s">
        <v>11</v>
      </c>
      <c r="F8490">
        <v>1485</v>
      </c>
      <c r="G8490">
        <v>18</v>
      </c>
    </row>
    <row r="8491" spans="1:7" x14ac:dyDescent="0.25">
      <c r="A8491" t="s">
        <v>41</v>
      </c>
      <c r="B8491" t="s">
        <v>5628</v>
      </c>
      <c r="C8491" t="s">
        <v>18907</v>
      </c>
      <c r="D8491" t="s">
        <v>20</v>
      </c>
      <c r="E8491" t="s">
        <v>11</v>
      </c>
      <c r="F8491">
        <v>45393.700000000004</v>
      </c>
      <c r="G8491">
        <v>18</v>
      </c>
    </row>
    <row r="8492" spans="1:7" x14ac:dyDescent="0.25">
      <c r="A8492" t="s">
        <v>41</v>
      </c>
      <c r="B8492" t="s">
        <v>5631</v>
      </c>
      <c r="C8492" t="s">
        <v>18908</v>
      </c>
      <c r="D8492" t="s">
        <v>20</v>
      </c>
      <c r="E8492" t="s">
        <v>11</v>
      </c>
      <c r="F8492">
        <v>443.3</v>
      </c>
      <c r="G8492">
        <v>18</v>
      </c>
    </row>
    <row r="8493" spans="1:7" x14ac:dyDescent="0.25">
      <c r="A8493" t="s">
        <v>41</v>
      </c>
      <c r="B8493" t="s">
        <v>5634</v>
      </c>
      <c r="C8493" t="s">
        <v>18909</v>
      </c>
      <c r="D8493" t="s">
        <v>20</v>
      </c>
      <c r="E8493" t="s">
        <v>11</v>
      </c>
      <c r="F8493">
        <v>125.39999999999999</v>
      </c>
      <c r="G8493">
        <v>18</v>
      </c>
    </row>
    <row r="8494" spans="1:7" x14ac:dyDescent="0.25">
      <c r="A8494" t="s">
        <v>41</v>
      </c>
      <c r="B8494" t="s">
        <v>5637</v>
      </c>
      <c r="C8494" t="s">
        <v>18910</v>
      </c>
      <c r="D8494" t="s">
        <v>20</v>
      </c>
      <c r="E8494" t="s">
        <v>11</v>
      </c>
      <c r="F8494">
        <v>3929.2</v>
      </c>
      <c r="G8494">
        <v>18</v>
      </c>
    </row>
    <row r="8495" spans="1:7" x14ac:dyDescent="0.25">
      <c r="A8495" t="s">
        <v>41</v>
      </c>
      <c r="B8495" t="s">
        <v>5640</v>
      </c>
      <c r="C8495" t="s">
        <v>18911</v>
      </c>
      <c r="D8495" t="s">
        <v>20</v>
      </c>
      <c r="E8495" t="s">
        <v>11</v>
      </c>
      <c r="F8495">
        <v>352</v>
      </c>
      <c r="G8495">
        <v>18</v>
      </c>
    </row>
    <row r="8496" spans="1:7" x14ac:dyDescent="0.25">
      <c r="A8496" t="s">
        <v>41</v>
      </c>
      <c r="B8496" t="s">
        <v>5643</v>
      </c>
      <c r="C8496" t="s">
        <v>17727</v>
      </c>
      <c r="D8496" t="s">
        <v>20</v>
      </c>
      <c r="E8496" t="s">
        <v>11</v>
      </c>
      <c r="F8496">
        <v>217.8</v>
      </c>
      <c r="G8496">
        <v>18</v>
      </c>
    </row>
    <row r="8497" spans="1:7" x14ac:dyDescent="0.25">
      <c r="A8497" t="s">
        <v>41</v>
      </c>
      <c r="B8497" t="s">
        <v>5646</v>
      </c>
      <c r="C8497" t="s">
        <v>17663</v>
      </c>
      <c r="D8497" t="s">
        <v>20</v>
      </c>
      <c r="E8497" t="s">
        <v>11</v>
      </c>
      <c r="F8497">
        <v>223.29999999999998</v>
      </c>
      <c r="G8497">
        <v>18</v>
      </c>
    </row>
    <row r="8498" spans="1:7" x14ac:dyDescent="0.25">
      <c r="A8498" t="s">
        <v>41</v>
      </c>
      <c r="B8498" t="s">
        <v>5649</v>
      </c>
      <c r="C8498" t="s">
        <v>18912</v>
      </c>
      <c r="D8498" t="s">
        <v>20</v>
      </c>
      <c r="E8498" t="s">
        <v>11</v>
      </c>
      <c r="F8498">
        <v>403.7</v>
      </c>
      <c r="G8498">
        <v>18</v>
      </c>
    </row>
    <row r="8499" spans="1:7" x14ac:dyDescent="0.25">
      <c r="A8499" t="s">
        <v>41</v>
      </c>
      <c r="B8499" t="s">
        <v>5652</v>
      </c>
      <c r="C8499" t="s">
        <v>18913</v>
      </c>
      <c r="D8499" t="s">
        <v>20</v>
      </c>
      <c r="E8499" t="s">
        <v>11</v>
      </c>
      <c r="F8499">
        <v>733.7</v>
      </c>
      <c r="G8499">
        <v>18</v>
      </c>
    </row>
    <row r="8500" spans="1:7" x14ac:dyDescent="0.25">
      <c r="A8500" t="s">
        <v>41</v>
      </c>
      <c r="B8500" t="s">
        <v>5655</v>
      </c>
      <c r="C8500" t="s">
        <v>18914</v>
      </c>
      <c r="D8500" t="s">
        <v>20</v>
      </c>
      <c r="E8500" t="s">
        <v>11</v>
      </c>
      <c r="F8500">
        <v>58.300000000000004</v>
      </c>
      <c r="G8500">
        <v>18</v>
      </c>
    </row>
    <row r="8501" spans="1:7" x14ac:dyDescent="0.25">
      <c r="A8501" t="s">
        <v>41</v>
      </c>
      <c r="B8501" t="s">
        <v>5658</v>
      </c>
      <c r="C8501" t="s">
        <v>18915</v>
      </c>
      <c r="D8501" t="s">
        <v>20</v>
      </c>
      <c r="E8501" t="s">
        <v>11</v>
      </c>
      <c r="F8501">
        <v>2608.1</v>
      </c>
      <c r="G8501">
        <v>18</v>
      </c>
    </row>
    <row r="8502" spans="1:7" x14ac:dyDescent="0.25">
      <c r="A8502" t="s">
        <v>41</v>
      </c>
      <c r="B8502" t="s">
        <v>5661</v>
      </c>
      <c r="C8502" t="s">
        <v>18916</v>
      </c>
      <c r="D8502" t="s">
        <v>20</v>
      </c>
      <c r="E8502" t="s">
        <v>11</v>
      </c>
      <c r="F8502">
        <v>388.29999999999995</v>
      </c>
      <c r="G8502">
        <v>18</v>
      </c>
    </row>
    <row r="8503" spans="1:7" x14ac:dyDescent="0.25">
      <c r="A8503" t="s">
        <v>41</v>
      </c>
      <c r="B8503" t="s">
        <v>5664</v>
      </c>
      <c r="C8503" t="s">
        <v>18917</v>
      </c>
      <c r="D8503" t="s">
        <v>20</v>
      </c>
      <c r="E8503" t="s">
        <v>11</v>
      </c>
      <c r="F8503">
        <v>33</v>
      </c>
      <c r="G8503">
        <v>18</v>
      </c>
    </row>
    <row r="8504" spans="1:7" x14ac:dyDescent="0.25">
      <c r="A8504" t="s">
        <v>41</v>
      </c>
      <c r="B8504" t="s">
        <v>5667</v>
      </c>
      <c r="C8504" t="s">
        <v>18918</v>
      </c>
      <c r="D8504" t="s">
        <v>20</v>
      </c>
      <c r="E8504" t="s">
        <v>11</v>
      </c>
      <c r="F8504">
        <v>1651.1</v>
      </c>
      <c r="G8504">
        <v>18</v>
      </c>
    </row>
    <row r="8505" spans="1:7" x14ac:dyDescent="0.25">
      <c r="A8505" t="s">
        <v>41</v>
      </c>
      <c r="B8505" t="s">
        <v>5670</v>
      </c>
      <c r="C8505" t="s">
        <v>18919</v>
      </c>
      <c r="D8505" t="s">
        <v>20</v>
      </c>
      <c r="E8505" t="s">
        <v>11</v>
      </c>
      <c r="F8505">
        <v>30.800000000000004</v>
      </c>
      <c r="G8505">
        <v>18</v>
      </c>
    </row>
    <row r="8506" spans="1:7" x14ac:dyDescent="0.25">
      <c r="A8506" t="s">
        <v>41</v>
      </c>
      <c r="B8506" t="s">
        <v>5673</v>
      </c>
      <c r="C8506" t="s">
        <v>18920</v>
      </c>
      <c r="D8506" t="s">
        <v>20</v>
      </c>
      <c r="E8506" t="s">
        <v>11</v>
      </c>
      <c r="F8506">
        <v>163.9</v>
      </c>
      <c r="G8506">
        <v>18</v>
      </c>
    </row>
    <row r="8507" spans="1:7" x14ac:dyDescent="0.25">
      <c r="A8507" t="s">
        <v>41</v>
      </c>
      <c r="B8507" t="s">
        <v>5676</v>
      </c>
      <c r="C8507" t="s">
        <v>18921</v>
      </c>
      <c r="D8507" t="s">
        <v>20</v>
      </c>
      <c r="E8507" t="s">
        <v>11</v>
      </c>
      <c r="F8507">
        <v>61.60000000000001</v>
      </c>
      <c r="G8507">
        <v>18</v>
      </c>
    </row>
    <row r="8508" spans="1:7" x14ac:dyDescent="0.25">
      <c r="A8508" t="s">
        <v>41</v>
      </c>
      <c r="B8508" t="s">
        <v>5679</v>
      </c>
      <c r="C8508" t="s">
        <v>18922</v>
      </c>
      <c r="D8508" t="s">
        <v>20</v>
      </c>
      <c r="E8508" t="s">
        <v>11</v>
      </c>
      <c r="F8508">
        <v>941.6</v>
      </c>
      <c r="G8508">
        <v>18</v>
      </c>
    </row>
    <row r="8509" spans="1:7" x14ac:dyDescent="0.25">
      <c r="A8509" t="s">
        <v>41</v>
      </c>
      <c r="B8509" t="s">
        <v>5682</v>
      </c>
      <c r="C8509" t="s">
        <v>18923</v>
      </c>
      <c r="D8509" t="s">
        <v>20</v>
      </c>
      <c r="E8509" t="s">
        <v>11</v>
      </c>
      <c r="F8509">
        <v>118.80000000000001</v>
      </c>
      <c r="G8509">
        <v>18</v>
      </c>
    </row>
    <row r="8510" spans="1:7" x14ac:dyDescent="0.25">
      <c r="A8510" t="s">
        <v>41</v>
      </c>
      <c r="B8510" t="s">
        <v>5685</v>
      </c>
      <c r="C8510" t="s">
        <v>18924</v>
      </c>
      <c r="D8510" t="s">
        <v>20</v>
      </c>
      <c r="E8510" t="s">
        <v>11</v>
      </c>
      <c r="F8510">
        <v>570.9000000000001</v>
      </c>
      <c r="G8510">
        <v>18</v>
      </c>
    </row>
    <row r="8511" spans="1:7" x14ac:dyDescent="0.25">
      <c r="A8511" t="s">
        <v>41</v>
      </c>
      <c r="B8511" t="s">
        <v>5688</v>
      </c>
      <c r="C8511" t="s">
        <v>18925</v>
      </c>
      <c r="D8511" t="s">
        <v>20</v>
      </c>
      <c r="E8511" t="s">
        <v>11</v>
      </c>
      <c r="F8511">
        <v>229.89999999999998</v>
      </c>
      <c r="G8511">
        <v>18</v>
      </c>
    </row>
    <row r="8512" spans="1:7" x14ac:dyDescent="0.25">
      <c r="A8512" t="s">
        <v>41</v>
      </c>
      <c r="B8512" t="s">
        <v>5691</v>
      </c>
      <c r="C8512" t="s">
        <v>18926</v>
      </c>
      <c r="D8512" t="s">
        <v>20</v>
      </c>
      <c r="E8512" t="s">
        <v>11</v>
      </c>
      <c r="F8512">
        <v>271.70000000000005</v>
      </c>
      <c r="G8512">
        <v>18</v>
      </c>
    </row>
    <row r="8513" spans="1:7" x14ac:dyDescent="0.25">
      <c r="A8513" t="s">
        <v>41</v>
      </c>
      <c r="B8513" t="s">
        <v>5694</v>
      </c>
      <c r="C8513" t="s">
        <v>18927</v>
      </c>
      <c r="D8513" t="s">
        <v>20</v>
      </c>
      <c r="E8513" t="s">
        <v>11</v>
      </c>
      <c r="F8513">
        <v>220</v>
      </c>
      <c r="G8513">
        <v>18</v>
      </c>
    </row>
    <row r="8514" spans="1:7" x14ac:dyDescent="0.25">
      <c r="A8514" t="s">
        <v>41</v>
      </c>
      <c r="B8514" t="s">
        <v>5697</v>
      </c>
      <c r="C8514" t="s">
        <v>18928</v>
      </c>
      <c r="D8514" t="s">
        <v>20</v>
      </c>
      <c r="E8514" t="s">
        <v>11</v>
      </c>
      <c r="F8514">
        <v>826.1</v>
      </c>
      <c r="G8514">
        <v>18</v>
      </c>
    </row>
    <row r="8515" spans="1:7" x14ac:dyDescent="0.25">
      <c r="A8515" t="s">
        <v>41</v>
      </c>
      <c r="B8515" t="s">
        <v>5700</v>
      </c>
      <c r="C8515" t="s">
        <v>18319</v>
      </c>
      <c r="D8515" t="s">
        <v>20</v>
      </c>
      <c r="E8515" t="s">
        <v>11</v>
      </c>
      <c r="F8515">
        <v>1965.7</v>
      </c>
      <c r="G8515">
        <v>18</v>
      </c>
    </row>
    <row r="8516" spans="1:7" x14ac:dyDescent="0.25">
      <c r="A8516" t="s">
        <v>41</v>
      </c>
      <c r="B8516" t="s">
        <v>5703</v>
      </c>
      <c r="C8516" t="s">
        <v>18929</v>
      </c>
      <c r="D8516" t="s">
        <v>20</v>
      </c>
      <c r="E8516" t="s">
        <v>11</v>
      </c>
      <c r="F8516">
        <v>749.0999999999999</v>
      </c>
      <c r="G8516">
        <v>18</v>
      </c>
    </row>
    <row r="8517" spans="1:7" x14ac:dyDescent="0.25">
      <c r="A8517" t="s">
        <v>41</v>
      </c>
      <c r="B8517" t="s">
        <v>5706</v>
      </c>
      <c r="C8517" t="s">
        <v>18319</v>
      </c>
      <c r="D8517" t="s">
        <v>20</v>
      </c>
      <c r="E8517" t="s">
        <v>11</v>
      </c>
      <c r="F8517">
        <v>555.5</v>
      </c>
      <c r="G8517">
        <v>18</v>
      </c>
    </row>
    <row r="8518" spans="1:7" x14ac:dyDescent="0.25">
      <c r="A8518" t="s">
        <v>41</v>
      </c>
      <c r="B8518" t="s">
        <v>5709</v>
      </c>
      <c r="C8518" t="s">
        <v>18930</v>
      </c>
      <c r="D8518" t="s">
        <v>20</v>
      </c>
      <c r="E8518" t="s">
        <v>11</v>
      </c>
      <c r="F8518">
        <v>61.60000000000001</v>
      </c>
      <c r="G8518">
        <v>18</v>
      </c>
    </row>
    <row r="8519" spans="1:7" x14ac:dyDescent="0.25">
      <c r="A8519" t="s">
        <v>41</v>
      </c>
      <c r="B8519" t="s">
        <v>5712</v>
      </c>
      <c r="C8519" t="s">
        <v>18931</v>
      </c>
      <c r="D8519" t="s">
        <v>20</v>
      </c>
      <c r="E8519" t="s">
        <v>11</v>
      </c>
      <c r="F8519">
        <v>886.6</v>
      </c>
      <c r="G8519">
        <v>18</v>
      </c>
    </row>
    <row r="8520" spans="1:7" x14ac:dyDescent="0.25">
      <c r="A8520" t="s">
        <v>41</v>
      </c>
      <c r="B8520" t="s">
        <v>5715</v>
      </c>
      <c r="C8520" t="s">
        <v>18932</v>
      </c>
      <c r="D8520" t="s">
        <v>20</v>
      </c>
      <c r="E8520" t="s">
        <v>11</v>
      </c>
      <c r="F8520">
        <v>70.4</v>
      </c>
      <c r="G8520">
        <v>18</v>
      </c>
    </row>
    <row r="8521" spans="1:7" x14ac:dyDescent="0.25">
      <c r="A8521" t="s">
        <v>41</v>
      </c>
      <c r="B8521" t="s">
        <v>5718</v>
      </c>
      <c r="C8521" t="s">
        <v>18933</v>
      </c>
      <c r="D8521" t="s">
        <v>20</v>
      </c>
      <c r="E8521" t="s">
        <v>11</v>
      </c>
      <c r="F8521">
        <v>333.29999999999995</v>
      </c>
      <c r="G8521">
        <v>18</v>
      </c>
    </row>
    <row r="8522" spans="1:7" x14ac:dyDescent="0.25">
      <c r="A8522" t="s">
        <v>41</v>
      </c>
      <c r="B8522" t="s">
        <v>5721</v>
      </c>
      <c r="C8522" t="s">
        <v>18934</v>
      </c>
      <c r="D8522" t="s">
        <v>20</v>
      </c>
      <c r="E8522" t="s">
        <v>11</v>
      </c>
      <c r="F8522">
        <v>83.6</v>
      </c>
      <c r="G8522">
        <v>18</v>
      </c>
    </row>
    <row r="8523" spans="1:7" x14ac:dyDescent="0.25">
      <c r="A8523" t="s">
        <v>41</v>
      </c>
      <c r="B8523" t="s">
        <v>5724</v>
      </c>
      <c r="C8523" t="s">
        <v>18935</v>
      </c>
      <c r="D8523" t="s">
        <v>20</v>
      </c>
      <c r="E8523" t="s">
        <v>11</v>
      </c>
      <c r="F8523">
        <v>61.60000000000001</v>
      </c>
      <c r="G8523">
        <v>18</v>
      </c>
    </row>
    <row r="8524" spans="1:7" x14ac:dyDescent="0.25">
      <c r="A8524" t="s">
        <v>41</v>
      </c>
      <c r="B8524" t="s">
        <v>5727</v>
      </c>
      <c r="C8524" t="s">
        <v>18936</v>
      </c>
      <c r="D8524" t="s">
        <v>20</v>
      </c>
      <c r="E8524" t="s">
        <v>11</v>
      </c>
      <c r="F8524">
        <v>45.099999999999994</v>
      </c>
      <c r="G8524">
        <v>18</v>
      </c>
    </row>
    <row r="8525" spans="1:7" x14ac:dyDescent="0.25">
      <c r="A8525" t="s">
        <v>41</v>
      </c>
      <c r="B8525" t="s">
        <v>5730</v>
      </c>
      <c r="C8525" t="s">
        <v>18937</v>
      </c>
      <c r="D8525" t="s">
        <v>20</v>
      </c>
      <c r="E8525" t="s">
        <v>11</v>
      </c>
      <c r="F8525">
        <v>61.60000000000001</v>
      </c>
      <c r="G8525">
        <v>18</v>
      </c>
    </row>
    <row r="8526" spans="1:7" x14ac:dyDescent="0.25">
      <c r="A8526" t="s">
        <v>41</v>
      </c>
      <c r="B8526" t="s">
        <v>5733</v>
      </c>
      <c r="C8526" t="s">
        <v>18399</v>
      </c>
      <c r="D8526" t="s">
        <v>20</v>
      </c>
      <c r="E8526" t="s">
        <v>11</v>
      </c>
      <c r="F8526">
        <v>355.3</v>
      </c>
      <c r="G8526">
        <v>18</v>
      </c>
    </row>
    <row r="8527" spans="1:7" x14ac:dyDescent="0.25">
      <c r="A8527" t="s">
        <v>41</v>
      </c>
      <c r="B8527" t="s">
        <v>5736</v>
      </c>
      <c r="C8527" t="s">
        <v>17673</v>
      </c>
      <c r="D8527" t="s">
        <v>20</v>
      </c>
      <c r="E8527" t="s">
        <v>11</v>
      </c>
      <c r="F8527">
        <v>1753.3999999999999</v>
      </c>
      <c r="G8527">
        <v>18</v>
      </c>
    </row>
    <row r="8528" spans="1:7" x14ac:dyDescent="0.25">
      <c r="A8528" t="s">
        <v>41</v>
      </c>
      <c r="B8528" t="s">
        <v>5739</v>
      </c>
      <c r="C8528" t="s">
        <v>18938</v>
      </c>
      <c r="D8528" t="s">
        <v>20</v>
      </c>
      <c r="E8528" t="s">
        <v>11</v>
      </c>
      <c r="F8528">
        <v>18487.7</v>
      </c>
      <c r="G8528">
        <v>18</v>
      </c>
    </row>
    <row r="8529" spans="1:7" x14ac:dyDescent="0.25">
      <c r="A8529" t="s">
        <v>41</v>
      </c>
      <c r="B8529" t="s">
        <v>5742</v>
      </c>
      <c r="C8529" t="s">
        <v>18939</v>
      </c>
      <c r="D8529" t="s">
        <v>20</v>
      </c>
      <c r="E8529" t="s">
        <v>11</v>
      </c>
      <c r="F8529">
        <v>17462.5</v>
      </c>
      <c r="G8529">
        <v>18</v>
      </c>
    </row>
    <row r="8530" spans="1:7" x14ac:dyDescent="0.25">
      <c r="A8530" t="s">
        <v>41</v>
      </c>
      <c r="B8530" t="s">
        <v>5745</v>
      </c>
      <c r="C8530" t="s">
        <v>18733</v>
      </c>
      <c r="D8530" t="s">
        <v>20</v>
      </c>
      <c r="E8530" t="s">
        <v>11</v>
      </c>
      <c r="F8530">
        <v>21159.600000000002</v>
      </c>
      <c r="G8530">
        <v>18</v>
      </c>
    </row>
    <row r="8531" spans="1:7" x14ac:dyDescent="0.25">
      <c r="A8531" t="s">
        <v>41</v>
      </c>
      <c r="B8531" t="s">
        <v>5748</v>
      </c>
      <c r="C8531" t="s">
        <v>18940</v>
      </c>
      <c r="D8531" t="s">
        <v>20</v>
      </c>
      <c r="E8531" t="s">
        <v>11</v>
      </c>
      <c r="F8531">
        <v>14991.9</v>
      </c>
      <c r="G8531">
        <v>18</v>
      </c>
    </row>
    <row r="8532" spans="1:7" x14ac:dyDescent="0.25">
      <c r="A8532" t="s">
        <v>41</v>
      </c>
      <c r="B8532" t="s">
        <v>5751</v>
      </c>
      <c r="C8532" t="s">
        <v>18941</v>
      </c>
      <c r="D8532" t="s">
        <v>20</v>
      </c>
      <c r="E8532" t="s">
        <v>11</v>
      </c>
      <c r="F8532">
        <v>267.3</v>
      </c>
      <c r="G8532">
        <v>18</v>
      </c>
    </row>
    <row r="8533" spans="1:7" x14ac:dyDescent="0.25">
      <c r="A8533" t="s">
        <v>41</v>
      </c>
      <c r="B8533" t="s">
        <v>5754</v>
      </c>
      <c r="C8533" t="s">
        <v>18942</v>
      </c>
      <c r="D8533" t="s">
        <v>20</v>
      </c>
      <c r="E8533" t="s">
        <v>11</v>
      </c>
      <c r="F8533">
        <v>61.60000000000001</v>
      </c>
      <c r="G8533">
        <v>18</v>
      </c>
    </row>
    <row r="8534" spans="1:7" x14ac:dyDescent="0.25">
      <c r="A8534" t="s">
        <v>41</v>
      </c>
      <c r="B8534" t="s">
        <v>5757</v>
      </c>
      <c r="C8534" t="s">
        <v>18943</v>
      </c>
      <c r="D8534" t="s">
        <v>20</v>
      </c>
      <c r="E8534" t="s">
        <v>11</v>
      </c>
      <c r="F8534">
        <v>45393.700000000004</v>
      </c>
      <c r="G8534">
        <v>18</v>
      </c>
    </row>
    <row r="8535" spans="1:7" x14ac:dyDescent="0.25">
      <c r="A8535" t="s">
        <v>41</v>
      </c>
      <c r="B8535" t="s">
        <v>5760</v>
      </c>
      <c r="C8535" t="s">
        <v>18918</v>
      </c>
      <c r="D8535" t="s">
        <v>20</v>
      </c>
      <c r="E8535" t="s">
        <v>11</v>
      </c>
      <c r="F8535">
        <v>1651.1</v>
      </c>
      <c r="G8535">
        <v>18</v>
      </c>
    </row>
    <row r="8536" spans="1:7" x14ac:dyDescent="0.25">
      <c r="A8536" t="s">
        <v>41</v>
      </c>
      <c r="B8536" t="s">
        <v>5763</v>
      </c>
      <c r="C8536" t="s">
        <v>18319</v>
      </c>
      <c r="D8536" t="s">
        <v>20</v>
      </c>
      <c r="E8536" t="s">
        <v>11</v>
      </c>
      <c r="F8536">
        <v>1965.7</v>
      </c>
      <c r="G8536">
        <v>18</v>
      </c>
    </row>
    <row r="8537" spans="1:7" x14ac:dyDescent="0.25">
      <c r="A8537" t="s">
        <v>41</v>
      </c>
      <c r="B8537" t="s">
        <v>5766</v>
      </c>
      <c r="C8537" t="s">
        <v>18944</v>
      </c>
      <c r="D8537" t="s">
        <v>20</v>
      </c>
      <c r="E8537" t="s">
        <v>11</v>
      </c>
      <c r="F8537">
        <v>1210</v>
      </c>
      <c r="G8537">
        <v>18</v>
      </c>
    </row>
    <row r="8538" spans="1:7" x14ac:dyDescent="0.25">
      <c r="A8538" t="s">
        <v>41</v>
      </c>
      <c r="B8538" t="s">
        <v>5769</v>
      </c>
      <c r="C8538" t="s">
        <v>18945</v>
      </c>
      <c r="D8538" t="s">
        <v>20</v>
      </c>
      <c r="E8538" t="s">
        <v>11</v>
      </c>
      <c r="F8538">
        <v>1210</v>
      </c>
      <c r="G8538">
        <v>18</v>
      </c>
    </row>
    <row r="8539" spans="1:7" x14ac:dyDescent="0.25">
      <c r="A8539" t="s">
        <v>41</v>
      </c>
      <c r="B8539" t="s">
        <v>5772</v>
      </c>
      <c r="C8539" t="s">
        <v>18946</v>
      </c>
      <c r="D8539" t="s">
        <v>20</v>
      </c>
      <c r="E8539" t="s">
        <v>11</v>
      </c>
      <c r="F8539">
        <v>1210</v>
      </c>
      <c r="G8539">
        <v>18</v>
      </c>
    </row>
    <row r="8540" spans="1:7" x14ac:dyDescent="0.25">
      <c r="A8540" t="s">
        <v>41</v>
      </c>
      <c r="B8540" t="s">
        <v>5775</v>
      </c>
      <c r="C8540" t="s">
        <v>17710</v>
      </c>
      <c r="D8540" t="s">
        <v>20</v>
      </c>
      <c r="E8540" t="s">
        <v>11</v>
      </c>
      <c r="F8540">
        <v>289.3</v>
      </c>
      <c r="G8540">
        <v>18</v>
      </c>
    </row>
    <row r="8541" spans="1:7" x14ac:dyDescent="0.25">
      <c r="A8541" t="s">
        <v>41</v>
      </c>
      <c r="B8541" t="s">
        <v>5778</v>
      </c>
      <c r="C8541" t="s">
        <v>17711</v>
      </c>
      <c r="D8541" t="s">
        <v>20</v>
      </c>
      <c r="E8541" t="s">
        <v>11</v>
      </c>
      <c r="F8541">
        <v>7841.900000000001</v>
      </c>
      <c r="G8541">
        <v>18</v>
      </c>
    </row>
    <row r="8542" spans="1:7" x14ac:dyDescent="0.25">
      <c r="A8542" t="s">
        <v>41</v>
      </c>
      <c r="B8542" t="s">
        <v>5781</v>
      </c>
      <c r="C8542" t="s">
        <v>17713</v>
      </c>
      <c r="D8542" t="s">
        <v>20</v>
      </c>
      <c r="E8542" t="s">
        <v>11</v>
      </c>
      <c r="F8542">
        <v>990</v>
      </c>
      <c r="G8542">
        <v>18</v>
      </c>
    </row>
    <row r="8543" spans="1:7" x14ac:dyDescent="0.25">
      <c r="A8543" t="s">
        <v>41</v>
      </c>
      <c r="B8543" t="s">
        <v>5784</v>
      </c>
      <c r="C8543" t="s">
        <v>17714</v>
      </c>
      <c r="D8543" t="s">
        <v>20</v>
      </c>
      <c r="E8543" t="s">
        <v>11</v>
      </c>
      <c r="F8543">
        <v>1791.8999999999999</v>
      </c>
      <c r="G8543">
        <v>18</v>
      </c>
    </row>
    <row r="8544" spans="1:7" x14ac:dyDescent="0.25">
      <c r="A8544" t="s">
        <v>41</v>
      </c>
      <c r="B8544" t="s">
        <v>5787</v>
      </c>
      <c r="C8544" t="s">
        <v>17715</v>
      </c>
      <c r="D8544" t="s">
        <v>20</v>
      </c>
      <c r="E8544" t="s">
        <v>11</v>
      </c>
      <c r="F8544">
        <v>3279.1</v>
      </c>
      <c r="G8544">
        <v>18</v>
      </c>
    </row>
    <row r="8545" spans="1:7" x14ac:dyDescent="0.25">
      <c r="A8545" t="s">
        <v>41</v>
      </c>
      <c r="B8545" t="s">
        <v>5790</v>
      </c>
      <c r="C8545" t="s">
        <v>18947</v>
      </c>
      <c r="D8545" t="s">
        <v>20</v>
      </c>
      <c r="E8545" t="s">
        <v>11</v>
      </c>
      <c r="F8545">
        <v>36389.1</v>
      </c>
      <c r="G8545">
        <v>18</v>
      </c>
    </row>
    <row r="8546" spans="1:7" x14ac:dyDescent="0.25">
      <c r="A8546" t="s">
        <v>41</v>
      </c>
      <c r="B8546" t="s">
        <v>5793</v>
      </c>
      <c r="C8546" t="s">
        <v>17718</v>
      </c>
      <c r="D8546" t="s">
        <v>20</v>
      </c>
      <c r="E8546" t="s">
        <v>11</v>
      </c>
      <c r="F8546">
        <v>36389.1</v>
      </c>
      <c r="G8546">
        <v>18</v>
      </c>
    </row>
    <row r="8547" spans="1:7" x14ac:dyDescent="0.25">
      <c r="A8547" t="s">
        <v>41</v>
      </c>
      <c r="B8547" t="s">
        <v>5796</v>
      </c>
      <c r="C8547" t="s">
        <v>17660</v>
      </c>
      <c r="D8547" t="s">
        <v>20</v>
      </c>
      <c r="E8547" t="s">
        <v>11</v>
      </c>
      <c r="F8547">
        <v>4944.5</v>
      </c>
      <c r="G8547">
        <v>18</v>
      </c>
    </row>
    <row r="8548" spans="1:7" x14ac:dyDescent="0.25">
      <c r="A8548" t="s">
        <v>41</v>
      </c>
      <c r="B8548" t="s">
        <v>5799</v>
      </c>
      <c r="C8548" t="s">
        <v>18948</v>
      </c>
      <c r="D8548" t="s">
        <v>20</v>
      </c>
      <c r="E8548" t="s">
        <v>11</v>
      </c>
      <c r="F8548">
        <v>1025.2</v>
      </c>
      <c r="G8548">
        <v>18</v>
      </c>
    </row>
    <row r="8549" spans="1:7" x14ac:dyDescent="0.25">
      <c r="A8549" t="s">
        <v>41</v>
      </c>
      <c r="B8549" t="s">
        <v>5802</v>
      </c>
      <c r="C8549" t="s">
        <v>17740</v>
      </c>
      <c r="D8549" t="s">
        <v>20</v>
      </c>
      <c r="E8549" t="s">
        <v>11</v>
      </c>
      <c r="F8549">
        <v>20634.9</v>
      </c>
      <c r="G8549">
        <v>18</v>
      </c>
    </row>
    <row r="8550" spans="1:7" x14ac:dyDescent="0.25">
      <c r="A8550" t="s">
        <v>41</v>
      </c>
      <c r="B8550" t="s">
        <v>5805</v>
      </c>
      <c r="C8550" t="s">
        <v>18231</v>
      </c>
      <c r="D8550" t="s">
        <v>20</v>
      </c>
      <c r="E8550" t="s">
        <v>11</v>
      </c>
      <c r="F8550">
        <v>58.300000000000004</v>
      </c>
      <c r="G8550">
        <v>18</v>
      </c>
    </row>
    <row r="8551" spans="1:7" x14ac:dyDescent="0.25">
      <c r="A8551" t="s">
        <v>41</v>
      </c>
      <c r="B8551" t="s">
        <v>5808</v>
      </c>
      <c r="C8551" t="s">
        <v>17733</v>
      </c>
      <c r="D8551" t="s">
        <v>20</v>
      </c>
      <c r="E8551" t="s">
        <v>11</v>
      </c>
      <c r="F8551">
        <v>611.5999999999999</v>
      </c>
      <c r="G8551">
        <v>18</v>
      </c>
    </row>
    <row r="8552" spans="1:7" x14ac:dyDescent="0.25">
      <c r="A8552" t="s">
        <v>41</v>
      </c>
      <c r="B8552" t="s">
        <v>5811</v>
      </c>
      <c r="C8552" t="s">
        <v>17734</v>
      </c>
      <c r="D8552" t="s">
        <v>20</v>
      </c>
      <c r="E8552" t="s">
        <v>11</v>
      </c>
      <c r="F8552">
        <v>255.2</v>
      </c>
      <c r="G8552">
        <v>18</v>
      </c>
    </row>
    <row r="8553" spans="1:7" x14ac:dyDescent="0.25">
      <c r="A8553" t="s">
        <v>41</v>
      </c>
      <c r="B8553" t="s">
        <v>5814</v>
      </c>
      <c r="C8553" t="s">
        <v>17737</v>
      </c>
      <c r="D8553" t="s">
        <v>20</v>
      </c>
      <c r="E8553" t="s">
        <v>11</v>
      </c>
      <c r="F8553">
        <v>57.2</v>
      </c>
      <c r="G8553">
        <v>18</v>
      </c>
    </row>
    <row r="8554" spans="1:7" x14ac:dyDescent="0.25">
      <c r="A8554" t="s">
        <v>41</v>
      </c>
      <c r="B8554" t="s">
        <v>5817</v>
      </c>
      <c r="C8554" t="s">
        <v>17838</v>
      </c>
      <c r="D8554" t="s">
        <v>20</v>
      </c>
      <c r="E8554" t="s">
        <v>11</v>
      </c>
      <c r="F8554">
        <v>40.7</v>
      </c>
      <c r="G8554">
        <v>18</v>
      </c>
    </row>
    <row r="8555" spans="1:7" x14ac:dyDescent="0.25">
      <c r="A8555" t="s">
        <v>41</v>
      </c>
      <c r="B8555" t="s">
        <v>5820</v>
      </c>
      <c r="C8555" t="s">
        <v>18949</v>
      </c>
      <c r="D8555" t="s">
        <v>20</v>
      </c>
      <c r="E8555" t="s">
        <v>11</v>
      </c>
      <c r="F8555">
        <v>94.6</v>
      </c>
      <c r="G8555">
        <v>18</v>
      </c>
    </row>
    <row r="8556" spans="1:7" x14ac:dyDescent="0.25">
      <c r="A8556" t="s">
        <v>41</v>
      </c>
      <c r="B8556" t="s">
        <v>5823</v>
      </c>
      <c r="C8556" t="s">
        <v>18839</v>
      </c>
      <c r="D8556" t="s">
        <v>20</v>
      </c>
      <c r="E8556" t="s">
        <v>11</v>
      </c>
      <c r="F8556">
        <v>57.2</v>
      </c>
      <c r="G8556">
        <v>18</v>
      </c>
    </row>
    <row r="8557" spans="1:7" x14ac:dyDescent="0.25">
      <c r="A8557" t="s">
        <v>41</v>
      </c>
      <c r="B8557" t="s">
        <v>5826</v>
      </c>
      <c r="C8557" t="s">
        <v>17688</v>
      </c>
      <c r="D8557" t="s">
        <v>20</v>
      </c>
      <c r="E8557" t="s">
        <v>11</v>
      </c>
      <c r="F8557">
        <v>70.4</v>
      </c>
      <c r="G8557">
        <v>18</v>
      </c>
    </row>
    <row r="8558" spans="1:7" x14ac:dyDescent="0.25">
      <c r="A8558" t="s">
        <v>41</v>
      </c>
      <c r="B8558" t="s">
        <v>5829</v>
      </c>
      <c r="C8558" t="s">
        <v>18077</v>
      </c>
      <c r="D8558" t="s">
        <v>20</v>
      </c>
      <c r="E8558" t="s">
        <v>11</v>
      </c>
      <c r="F8558">
        <v>70.4</v>
      </c>
      <c r="G8558">
        <v>18</v>
      </c>
    </row>
    <row r="8559" spans="1:7" x14ac:dyDescent="0.25">
      <c r="A8559" t="s">
        <v>41</v>
      </c>
      <c r="B8559" t="s">
        <v>5832</v>
      </c>
      <c r="C8559" t="s">
        <v>17720</v>
      </c>
      <c r="D8559" t="s">
        <v>20</v>
      </c>
      <c r="E8559" t="s">
        <v>11</v>
      </c>
      <c r="F8559">
        <v>70.4</v>
      </c>
      <c r="G8559">
        <v>18</v>
      </c>
    </row>
    <row r="8560" spans="1:7" x14ac:dyDescent="0.25">
      <c r="A8560" t="s">
        <v>41</v>
      </c>
      <c r="B8560" t="s">
        <v>5835</v>
      </c>
      <c r="C8560" t="s">
        <v>17643</v>
      </c>
      <c r="D8560" t="s">
        <v>20</v>
      </c>
      <c r="E8560" t="s">
        <v>11</v>
      </c>
      <c r="F8560">
        <v>4207.5</v>
      </c>
      <c r="G8560">
        <v>18</v>
      </c>
    </row>
    <row r="8561" spans="1:7" x14ac:dyDescent="0.25">
      <c r="A8561" t="s">
        <v>41</v>
      </c>
      <c r="B8561" t="s">
        <v>5838</v>
      </c>
      <c r="C8561" t="s">
        <v>17731</v>
      </c>
      <c r="D8561" t="s">
        <v>20</v>
      </c>
      <c r="E8561" t="s">
        <v>11</v>
      </c>
      <c r="F8561">
        <v>173.8</v>
      </c>
      <c r="G8561">
        <v>18</v>
      </c>
    </row>
    <row r="8562" spans="1:7" x14ac:dyDescent="0.25">
      <c r="A8562" t="s">
        <v>41</v>
      </c>
      <c r="B8562" t="s">
        <v>5841</v>
      </c>
      <c r="C8562" t="s">
        <v>17660</v>
      </c>
      <c r="D8562" t="s">
        <v>20</v>
      </c>
      <c r="E8562" t="s">
        <v>11</v>
      </c>
      <c r="F8562">
        <v>4935.7</v>
      </c>
      <c r="G8562">
        <v>18</v>
      </c>
    </row>
    <row r="8563" spans="1:7" x14ac:dyDescent="0.25">
      <c r="A8563" t="s">
        <v>41</v>
      </c>
      <c r="B8563" t="s">
        <v>5844</v>
      </c>
      <c r="C8563" t="s">
        <v>17739</v>
      </c>
      <c r="D8563" t="s">
        <v>20</v>
      </c>
      <c r="E8563" t="s">
        <v>11</v>
      </c>
      <c r="F8563">
        <v>9749.3</v>
      </c>
      <c r="G8563">
        <v>18</v>
      </c>
    </row>
    <row r="8564" spans="1:7" x14ac:dyDescent="0.25">
      <c r="A8564" t="s">
        <v>41</v>
      </c>
      <c r="B8564" t="s">
        <v>5847</v>
      </c>
      <c r="C8564" t="s">
        <v>17732</v>
      </c>
      <c r="D8564" t="s">
        <v>20</v>
      </c>
      <c r="E8564" t="s">
        <v>11</v>
      </c>
      <c r="F8564">
        <v>2018.5000000000002</v>
      </c>
      <c r="G8564">
        <v>18</v>
      </c>
    </row>
    <row r="8565" spans="1:7" x14ac:dyDescent="0.25">
      <c r="A8565" t="s">
        <v>41</v>
      </c>
      <c r="B8565" t="s">
        <v>5850</v>
      </c>
      <c r="C8565" t="s">
        <v>17741</v>
      </c>
      <c r="D8565" t="s">
        <v>20</v>
      </c>
      <c r="E8565" t="s">
        <v>11</v>
      </c>
      <c r="F8565">
        <v>2205.5</v>
      </c>
      <c r="G8565">
        <v>18</v>
      </c>
    </row>
    <row r="8566" spans="1:7" x14ac:dyDescent="0.25">
      <c r="A8566" t="s">
        <v>41</v>
      </c>
      <c r="B8566" t="s">
        <v>5853</v>
      </c>
      <c r="C8566" t="s">
        <v>17511</v>
      </c>
      <c r="D8566" t="s">
        <v>20</v>
      </c>
      <c r="E8566" t="s">
        <v>11</v>
      </c>
      <c r="F8566">
        <v>201.3</v>
      </c>
      <c r="G8566">
        <v>18</v>
      </c>
    </row>
    <row r="8567" spans="1:7" x14ac:dyDescent="0.25">
      <c r="A8567" t="s">
        <v>41</v>
      </c>
      <c r="B8567" t="s">
        <v>5856</v>
      </c>
      <c r="C8567" t="s">
        <v>18950</v>
      </c>
      <c r="D8567" t="s">
        <v>20</v>
      </c>
      <c r="E8567" t="s">
        <v>11</v>
      </c>
      <c r="F8567">
        <v>15749.800000000001</v>
      </c>
      <c r="G8567">
        <v>18</v>
      </c>
    </row>
    <row r="8568" spans="1:7" x14ac:dyDescent="0.25">
      <c r="A8568" t="s">
        <v>41</v>
      </c>
      <c r="B8568" t="s">
        <v>5859</v>
      </c>
      <c r="C8568" t="s">
        <v>18951</v>
      </c>
      <c r="D8568" t="s">
        <v>20</v>
      </c>
      <c r="E8568" t="s">
        <v>11</v>
      </c>
      <c r="F8568">
        <v>25390.2</v>
      </c>
      <c r="G8568">
        <v>18</v>
      </c>
    </row>
    <row r="8569" spans="1:7" x14ac:dyDescent="0.25">
      <c r="A8569" t="s">
        <v>41</v>
      </c>
      <c r="B8569" t="s">
        <v>5862</v>
      </c>
      <c r="C8569" t="s">
        <v>18952</v>
      </c>
      <c r="D8569" t="s">
        <v>20</v>
      </c>
      <c r="E8569" t="s">
        <v>11</v>
      </c>
      <c r="F8569">
        <v>981.2</v>
      </c>
      <c r="G8569">
        <v>18</v>
      </c>
    </row>
    <row r="8570" spans="1:7" x14ac:dyDescent="0.25">
      <c r="A8570" t="s">
        <v>41</v>
      </c>
      <c r="B8570" t="s">
        <v>5865</v>
      </c>
      <c r="C8570" t="s">
        <v>18953</v>
      </c>
      <c r="D8570" t="s">
        <v>20</v>
      </c>
      <c r="E8570" t="s">
        <v>11</v>
      </c>
      <c r="F8570">
        <v>58.300000000000004</v>
      </c>
      <c r="G8570">
        <v>18</v>
      </c>
    </row>
    <row r="8571" spans="1:7" x14ac:dyDescent="0.25">
      <c r="A8571" t="s">
        <v>41</v>
      </c>
      <c r="B8571" t="s">
        <v>5868</v>
      </c>
      <c r="C8571" t="s">
        <v>18954</v>
      </c>
      <c r="D8571" t="s">
        <v>20</v>
      </c>
      <c r="E8571" t="s">
        <v>11</v>
      </c>
      <c r="F8571">
        <v>602.8000000000001</v>
      </c>
      <c r="G8571">
        <v>18</v>
      </c>
    </row>
    <row r="8572" spans="1:7" x14ac:dyDescent="0.25">
      <c r="A8572" t="s">
        <v>41</v>
      </c>
      <c r="B8572" t="s">
        <v>5871</v>
      </c>
      <c r="C8572" t="s">
        <v>17722</v>
      </c>
      <c r="D8572" t="s">
        <v>20</v>
      </c>
      <c r="E8572" t="s">
        <v>11</v>
      </c>
      <c r="F8572">
        <v>574.1999999999999</v>
      </c>
      <c r="G8572">
        <v>18</v>
      </c>
    </row>
    <row r="8573" spans="1:7" x14ac:dyDescent="0.25">
      <c r="A8573" t="s">
        <v>41</v>
      </c>
      <c r="B8573" t="s">
        <v>5874</v>
      </c>
      <c r="C8573" t="s">
        <v>18955</v>
      </c>
      <c r="D8573" t="s">
        <v>20</v>
      </c>
      <c r="E8573" t="s">
        <v>11</v>
      </c>
      <c r="F8573">
        <v>2102.1</v>
      </c>
      <c r="G8573">
        <v>18</v>
      </c>
    </row>
    <row r="8574" spans="1:7" x14ac:dyDescent="0.25">
      <c r="A8574" t="s">
        <v>41</v>
      </c>
      <c r="B8574" t="s">
        <v>5877</v>
      </c>
      <c r="C8574" t="s">
        <v>17592</v>
      </c>
      <c r="D8574" t="s">
        <v>20</v>
      </c>
      <c r="E8574" t="s">
        <v>11</v>
      </c>
      <c r="F8574">
        <v>645.7</v>
      </c>
      <c r="G8574">
        <v>18</v>
      </c>
    </row>
    <row r="8575" spans="1:7" x14ac:dyDescent="0.25">
      <c r="A8575" t="s">
        <v>41</v>
      </c>
      <c r="B8575" t="s">
        <v>5880</v>
      </c>
      <c r="C8575" t="s">
        <v>18956</v>
      </c>
      <c r="D8575" t="s">
        <v>20</v>
      </c>
      <c r="E8575" t="s">
        <v>11</v>
      </c>
      <c r="F8575">
        <v>602.8000000000001</v>
      </c>
      <c r="G8575">
        <v>18</v>
      </c>
    </row>
    <row r="8576" spans="1:7" x14ac:dyDescent="0.25">
      <c r="A8576" t="s">
        <v>41</v>
      </c>
      <c r="B8576" t="s">
        <v>5883</v>
      </c>
      <c r="C8576" t="s">
        <v>17673</v>
      </c>
      <c r="D8576" t="s">
        <v>20</v>
      </c>
      <c r="E8576" t="s">
        <v>11</v>
      </c>
      <c r="F8576">
        <v>4225.099999999999</v>
      </c>
      <c r="G8576">
        <v>18</v>
      </c>
    </row>
    <row r="8577" spans="1:7" x14ac:dyDescent="0.25">
      <c r="A8577" t="s">
        <v>41</v>
      </c>
      <c r="B8577" t="s">
        <v>5886</v>
      </c>
      <c r="C8577" t="s">
        <v>17680</v>
      </c>
      <c r="D8577" t="s">
        <v>20</v>
      </c>
      <c r="E8577" t="s">
        <v>11</v>
      </c>
      <c r="F8577">
        <v>2599.2999999999997</v>
      </c>
      <c r="G8577">
        <v>18</v>
      </c>
    </row>
    <row r="8578" spans="1:7" x14ac:dyDescent="0.25">
      <c r="A8578" t="s">
        <v>41</v>
      </c>
      <c r="B8578" t="s">
        <v>5889</v>
      </c>
      <c r="C8578" t="s">
        <v>17545</v>
      </c>
      <c r="D8578" t="s">
        <v>20</v>
      </c>
      <c r="E8578" t="s">
        <v>11</v>
      </c>
      <c r="F8578">
        <v>2516.7999999999997</v>
      </c>
      <c r="G8578">
        <v>18</v>
      </c>
    </row>
    <row r="8579" spans="1:7" x14ac:dyDescent="0.25">
      <c r="A8579" t="s">
        <v>41</v>
      </c>
      <c r="B8579" t="s">
        <v>5892</v>
      </c>
      <c r="C8579" t="s">
        <v>18957</v>
      </c>
      <c r="D8579" t="s">
        <v>20</v>
      </c>
      <c r="E8579" t="s">
        <v>11</v>
      </c>
      <c r="F8579">
        <v>94.6</v>
      </c>
      <c r="G8579">
        <v>18</v>
      </c>
    </row>
    <row r="8580" spans="1:7" x14ac:dyDescent="0.25">
      <c r="A8580" t="s">
        <v>41</v>
      </c>
      <c r="B8580" t="s">
        <v>5895</v>
      </c>
      <c r="C8580" t="s">
        <v>18839</v>
      </c>
      <c r="D8580" t="s">
        <v>20</v>
      </c>
      <c r="E8580" t="s">
        <v>11</v>
      </c>
      <c r="F8580">
        <v>57.2</v>
      </c>
      <c r="G8580">
        <v>18</v>
      </c>
    </row>
    <row r="8581" spans="1:7" x14ac:dyDescent="0.25">
      <c r="A8581" t="s">
        <v>41</v>
      </c>
      <c r="B8581" t="s">
        <v>5898</v>
      </c>
      <c r="C8581" t="s">
        <v>18077</v>
      </c>
      <c r="D8581" t="s">
        <v>20</v>
      </c>
      <c r="E8581" t="s">
        <v>11</v>
      </c>
      <c r="F8581">
        <v>70.4</v>
      </c>
      <c r="G8581">
        <v>18</v>
      </c>
    </row>
    <row r="8582" spans="1:7" x14ac:dyDescent="0.25">
      <c r="A8582" t="s">
        <v>41</v>
      </c>
      <c r="B8582" t="s">
        <v>5901</v>
      </c>
      <c r="C8582" t="s">
        <v>18958</v>
      </c>
      <c r="D8582" t="s">
        <v>20</v>
      </c>
      <c r="E8582" t="s">
        <v>11</v>
      </c>
      <c r="F8582">
        <v>499.4</v>
      </c>
      <c r="G8582">
        <v>18</v>
      </c>
    </row>
    <row r="8583" spans="1:7" x14ac:dyDescent="0.25">
      <c r="A8583" t="s">
        <v>41</v>
      </c>
      <c r="B8583" t="s">
        <v>5904</v>
      </c>
      <c r="C8583" t="s">
        <v>18959</v>
      </c>
      <c r="D8583" t="s">
        <v>20</v>
      </c>
      <c r="E8583" t="s">
        <v>11</v>
      </c>
      <c r="F8583">
        <v>509.3</v>
      </c>
      <c r="G8583">
        <v>18</v>
      </c>
    </row>
    <row r="8584" spans="1:7" x14ac:dyDescent="0.25">
      <c r="A8584" t="s">
        <v>41</v>
      </c>
      <c r="B8584" t="s">
        <v>5907</v>
      </c>
      <c r="C8584" t="s">
        <v>17689</v>
      </c>
      <c r="D8584" t="s">
        <v>20</v>
      </c>
      <c r="E8584" t="s">
        <v>11</v>
      </c>
      <c r="F8584">
        <v>57.2</v>
      </c>
      <c r="G8584">
        <v>18</v>
      </c>
    </row>
    <row r="8585" spans="1:7" x14ac:dyDescent="0.25">
      <c r="A8585" t="s">
        <v>41</v>
      </c>
      <c r="B8585" t="s">
        <v>5910</v>
      </c>
      <c r="C8585" t="s">
        <v>17690</v>
      </c>
      <c r="D8585" t="s">
        <v>20</v>
      </c>
      <c r="E8585" t="s">
        <v>11</v>
      </c>
      <c r="F8585">
        <v>57.2</v>
      </c>
      <c r="G8585">
        <v>18</v>
      </c>
    </row>
    <row r="8586" spans="1:7" x14ac:dyDescent="0.25">
      <c r="A8586" t="s">
        <v>41</v>
      </c>
      <c r="B8586" t="s">
        <v>5913</v>
      </c>
      <c r="C8586" t="s">
        <v>17676</v>
      </c>
      <c r="D8586" t="s">
        <v>20</v>
      </c>
      <c r="E8586" t="s">
        <v>11</v>
      </c>
      <c r="F8586">
        <v>157.29999999999998</v>
      </c>
      <c r="G8586">
        <v>18</v>
      </c>
    </row>
    <row r="8587" spans="1:7" x14ac:dyDescent="0.25">
      <c r="A8587" t="s">
        <v>41</v>
      </c>
      <c r="B8587" t="s">
        <v>5916</v>
      </c>
      <c r="C8587" t="s">
        <v>17646</v>
      </c>
      <c r="D8587" t="s">
        <v>20</v>
      </c>
      <c r="E8587" t="s">
        <v>11</v>
      </c>
      <c r="F8587">
        <v>70.4</v>
      </c>
      <c r="G8587">
        <v>18</v>
      </c>
    </row>
    <row r="8588" spans="1:7" x14ac:dyDescent="0.25">
      <c r="A8588" t="s">
        <v>41</v>
      </c>
      <c r="B8588" t="s">
        <v>5919</v>
      </c>
      <c r="C8588" t="s">
        <v>17778</v>
      </c>
      <c r="D8588" t="s">
        <v>20</v>
      </c>
      <c r="E8588" t="s">
        <v>11</v>
      </c>
      <c r="F8588">
        <v>61.60000000000001</v>
      </c>
      <c r="G8588">
        <v>18</v>
      </c>
    </row>
    <row r="8589" spans="1:7" x14ac:dyDescent="0.25">
      <c r="A8589" t="s">
        <v>41</v>
      </c>
      <c r="B8589" t="s">
        <v>5922</v>
      </c>
      <c r="C8589" t="s">
        <v>17728</v>
      </c>
      <c r="D8589" t="s">
        <v>20</v>
      </c>
      <c r="E8589" t="s">
        <v>11</v>
      </c>
      <c r="F8589">
        <v>514.8</v>
      </c>
      <c r="G8589">
        <v>18</v>
      </c>
    </row>
    <row r="8590" spans="1:7" x14ac:dyDescent="0.25">
      <c r="A8590" t="s">
        <v>41</v>
      </c>
      <c r="B8590" t="s">
        <v>5925</v>
      </c>
      <c r="C8590" t="s">
        <v>18960</v>
      </c>
      <c r="D8590" t="s">
        <v>20</v>
      </c>
      <c r="E8590" t="s">
        <v>11</v>
      </c>
      <c r="F8590">
        <v>58.300000000000004</v>
      </c>
      <c r="G8590">
        <v>18</v>
      </c>
    </row>
    <row r="8591" spans="1:7" x14ac:dyDescent="0.25">
      <c r="A8591" t="s">
        <v>41</v>
      </c>
      <c r="B8591" t="s">
        <v>5928</v>
      </c>
      <c r="C8591" t="s">
        <v>18086</v>
      </c>
      <c r="D8591" t="s">
        <v>20</v>
      </c>
      <c r="E8591" t="s">
        <v>11</v>
      </c>
      <c r="F8591">
        <v>57.2</v>
      </c>
      <c r="G8591">
        <v>18</v>
      </c>
    </row>
    <row r="8592" spans="1:7" x14ac:dyDescent="0.25">
      <c r="A8592" t="s">
        <v>41</v>
      </c>
      <c r="B8592" t="s">
        <v>5931</v>
      </c>
      <c r="C8592" t="s">
        <v>17737</v>
      </c>
      <c r="D8592" t="s">
        <v>20</v>
      </c>
      <c r="E8592" t="s">
        <v>11</v>
      </c>
      <c r="F8592">
        <v>57.2</v>
      </c>
      <c r="G8592">
        <v>18</v>
      </c>
    </row>
    <row r="8593" spans="1:7" x14ac:dyDescent="0.25">
      <c r="A8593" t="s">
        <v>41</v>
      </c>
      <c r="B8593" t="s">
        <v>5934</v>
      </c>
      <c r="C8593" t="s">
        <v>17838</v>
      </c>
      <c r="D8593" t="s">
        <v>20</v>
      </c>
      <c r="E8593" t="s">
        <v>11</v>
      </c>
      <c r="F8593">
        <v>40.7</v>
      </c>
      <c r="G8593">
        <v>18</v>
      </c>
    </row>
    <row r="8594" spans="1:7" x14ac:dyDescent="0.25">
      <c r="A8594" t="s">
        <v>41</v>
      </c>
      <c r="B8594" t="s">
        <v>5937</v>
      </c>
      <c r="C8594" t="s">
        <v>18961</v>
      </c>
      <c r="D8594" t="s">
        <v>20</v>
      </c>
      <c r="E8594" t="s">
        <v>11</v>
      </c>
      <c r="F8594">
        <v>6150.099999999999</v>
      </c>
      <c r="G8594">
        <v>18</v>
      </c>
    </row>
    <row r="8595" spans="1:7" x14ac:dyDescent="0.25">
      <c r="A8595" t="s">
        <v>41</v>
      </c>
      <c r="B8595" t="s">
        <v>5940</v>
      </c>
      <c r="C8595" t="s">
        <v>18961</v>
      </c>
      <c r="D8595" t="s">
        <v>20</v>
      </c>
      <c r="E8595" t="s">
        <v>11</v>
      </c>
      <c r="F8595">
        <v>6432.799999999999</v>
      </c>
      <c r="G8595">
        <v>18</v>
      </c>
    </row>
    <row r="8596" spans="1:7" x14ac:dyDescent="0.25">
      <c r="A8596" t="s">
        <v>41</v>
      </c>
      <c r="B8596" t="s">
        <v>5943</v>
      </c>
      <c r="C8596" t="s">
        <v>17697</v>
      </c>
      <c r="D8596" t="s">
        <v>20</v>
      </c>
      <c r="E8596" t="s">
        <v>11</v>
      </c>
      <c r="F8596">
        <v>1146.2</v>
      </c>
      <c r="G8596">
        <v>18</v>
      </c>
    </row>
    <row r="8597" spans="1:7" x14ac:dyDescent="0.25">
      <c r="A8597" t="s">
        <v>41</v>
      </c>
      <c r="B8597" t="s">
        <v>5946</v>
      </c>
      <c r="C8597" t="s">
        <v>18962</v>
      </c>
      <c r="D8597" t="s">
        <v>20</v>
      </c>
      <c r="E8597" t="s">
        <v>11</v>
      </c>
      <c r="F8597">
        <v>3128.4</v>
      </c>
      <c r="G8597">
        <v>18</v>
      </c>
    </row>
    <row r="8598" spans="1:7" x14ac:dyDescent="0.25">
      <c r="A8598" t="s">
        <v>41</v>
      </c>
      <c r="B8598" t="s">
        <v>5949</v>
      </c>
      <c r="C8598" t="s">
        <v>18963</v>
      </c>
      <c r="D8598" t="s">
        <v>20</v>
      </c>
      <c r="E8598" t="s">
        <v>11</v>
      </c>
      <c r="F8598">
        <v>3410</v>
      </c>
      <c r="G8598">
        <v>18</v>
      </c>
    </row>
    <row r="8599" spans="1:7" x14ac:dyDescent="0.25">
      <c r="A8599" t="s">
        <v>41</v>
      </c>
      <c r="B8599" t="s">
        <v>5952</v>
      </c>
      <c r="C8599" t="s">
        <v>18964</v>
      </c>
      <c r="D8599" t="s">
        <v>20</v>
      </c>
      <c r="E8599" t="s">
        <v>11</v>
      </c>
      <c r="F8599">
        <v>749.0999999999999</v>
      </c>
      <c r="G8599">
        <v>18</v>
      </c>
    </row>
    <row r="8600" spans="1:7" x14ac:dyDescent="0.25">
      <c r="A8600" t="s">
        <v>41</v>
      </c>
      <c r="B8600" t="s">
        <v>5955</v>
      </c>
      <c r="C8600" t="s">
        <v>18965</v>
      </c>
      <c r="D8600" t="s">
        <v>20</v>
      </c>
      <c r="E8600" t="s">
        <v>11</v>
      </c>
      <c r="F8600">
        <v>8999.1</v>
      </c>
      <c r="G8600">
        <v>18</v>
      </c>
    </row>
    <row r="8601" spans="1:7" x14ac:dyDescent="0.25">
      <c r="A8601" t="s">
        <v>41</v>
      </c>
      <c r="B8601" t="s">
        <v>5958</v>
      </c>
      <c r="C8601" t="s">
        <v>17700</v>
      </c>
      <c r="D8601" t="s">
        <v>20</v>
      </c>
      <c r="E8601" t="s">
        <v>11</v>
      </c>
      <c r="F8601">
        <v>782.1</v>
      </c>
      <c r="G8601">
        <v>18</v>
      </c>
    </row>
    <row r="8602" spans="1:7" x14ac:dyDescent="0.25">
      <c r="A8602" t="s">
        <v>41</v>
      </c>
      <c r="B8602" t="s">
        <v>5961</v>
      </c>
      <c r="C8602" t="s">
        <v>17909</v>
      </c>
      <c r="D8602" t="s">
        <v>20</v>
      </c>
      <c r="E8602" t="s">
        <v>11</v>
      </c>
      <c r="F8602">
        <v>58.300000000000004</v>
      </c>
      <c r="G8602">
        <v>18</v>
      </c>
    </row>
    <row r="8603" spans="1:7" x14ac:dyDescent="0.25">
      <c r="A8603" t="s">
        <v>41</v>
      </c>
      <c r="B8603" t="s">
        <v>5964</v>
      </c>
      <c r="C8603" t="s">
        <v>17677</v>
      </c>
      <c r="D8603" t="s">
        <v>20</v>
      </c>
      <c r="E8603" t="s">
        <v>11</v>
      </c>
      <c r="F8603">
        <v>57.2</v>
      </c>
      <c r="G8603">
        <v>18</v>
      </c>
    </row>
    <row r="8604" spans="1:7" x14ac:dyDescent="0.25">
      <c r="A8604" t="s">
        <v>41</v>
      </c>
      <c r="B8604" t="s">
        <v>5967</v>
      </c>
      <c r="C8604" t="s">
        <v>18966</v>
      </c>
      <c r="D8604" t="s">
        <v>20</v>
      </c>
      <c r="E8604" t="s">
        <v>11</v>
      </c>
      <c r="F8604">
        <v>103.39999999999999</v>
      </c>
      <c r="G8604">
        <v>18</v>
      </c>
    </row>
    <row r="8605" spans="1:7" x14ac:dyDescent="0.25">
      <c r="A8605" t="s">
        <v>41</v>
      </c>
      <c r="B8605" t="s">
        <v>5970</v>
      </c>
      <c r="C8605" t="s">
        <v>18967</v>
      </c>
      <c r="D8605" t="s">
        <v>20</v>
      </c>
      <c r="E8605" t="s">
        <v>11</v>
      </c>
      <c r="F8605">
        <v>56.1</v>
      </c>
      <c r="G8605">
        <v>18</v>
      </c>
    </row>
    <row r="8606" spans="1:7" x14ac:dyDescent="0.25">
      <c r="A8606" t="s">
        <v>41</v>
      </c>
      <c r="B8606" t="s">
        <v>5973</v>
      </c>
      <c r="C8606" t="s">
        <v>18968</v>
      </c>
      <c r="D8606" t="s">
        <v>20</v>
      </c>
      <c r="E8606" t="s">
        <v>11</v>
      </c>
      <c r="F8606">
        <v>5006.099999999999</v>
      </c>
      <c r="G8606">
        <v>18</v>
      </c>
    </row>
    <row r="8607" spans="1:7" x14ac:dyDescent="0.25">
      <c r="A8607" t="s">
        <v>41</v>
      </c>
      <c r="B8607" t="s">
        <v>5976</v>
      </c>
      <c r="C8607" t="s">
        <v>18969</v>
      </c>
      <c r="D8607" t="s">
        <v>20</v>
      </c>
      <c r="E8607" t="s">
        <v>11</v>
      </c>
      <c r="F8607">
        <v>5287.7</v>
      </c>
      <c r="G8607">
        <v>18</v>
      </c>
    </row>
    <row r="8608" spans="1:7" x14ac:dyDescent="0.25">
      <c r="A8608" t="s">
        <v>41</v>
      </c>
      <c r="B8608" t="s">
        <v>5979</v>
      </c>
      <c r="C8608" t="s">
        <v>18970</v>
      </c>
      <c r="D8608" t="s">
        <v>20</v>
      </c>
      <c r="E8608" t="s">
        <v>11</v>
      </c>
      <c r="F8608">
        <v>14031.6</v>
      </c>
      <c r="G8608">
        <v>18</v>
      </c>
    </row>
    <row r="8609" spans="1:7" x14ac:dyDescent="0.25">
      <c r="A8609" t="s">
        <v>41</v>
      </c>
      <c r="B8609" t="s">
        <v>5982</v>
      </c>
      <c r="C8609" t="s">
        <v>18971</v>
      </c>
      <c r="D8609" t="s">
        <v>20</v>
      </c>
      <c r="E8609" t="s">
        <v>11</v>
      </c>
      <c r="F8609">
        <v>8791.2</v>
      </c>
      <c r="G8609">
        <v>18</v>
      </c>
    </row>
    <row r="8610" spans="1:7" x14ac:dyDescent="0.25">
      <c r="A8610" t="s">
        <v>41</v>
      </c>
      <c r="B8610" t="s">
        <v>5985</v>
      </c>
      <c r="C8610" t="s">
        <v>18972</v>
      </c>
      <c r="D8610" t="s">
        <v>20</v>
      </c>
      <c r="E8610" t="s">
        <v>11</v>
      </c>
      <c r="F8610">
        <v>8053.099999999999</v>
      </c>
      <c r="G8610">
        <v>18</v>
      </c>
    </row>
    <row r="8611" spans="1:7" x14ac:dyDescent="0.25">
      <c r="A8611" t="s">
        <v>41</v>
      </c>
      <c r="B8611" t="s">
        <v>5988</v>
      </c>
      <c r="C8611" t="s">
        <v>18973</v>
      </c>
      <c r="D8611" t="s">
        <v>20</v>
      </c>
      <c r="E8611" t="s">
        <v>11</v>
      </c>
      <c r="F8611">
        <v>61.60000000000001</v>
      </c>
      <c r="G8611">
        <v>18</v>
      </c>
    </row>
    <row r="8612" spans="1:7" x14ac:dyDescent="0.25">
      <c r="A8612" t="s">
        <v>41</v>
      </c>
      <c r="B8612" t="s">
        <v>5991</v>
      </c>
      <c r="C8612" t="s">
        <v>18974</v>
      </c>
      <c r="D8612" t="s">
        <v>20</v>
      </c>
      <c r="E8612" t="s">
        <v>11</v>
      </c>
      <c r="F8612">
        <v>1361.8000000000002</v>
      </c>
      <c r="G8612">
        <v>18</v>
      </c>
    </row>
    <row r="8613" spans="1:7" x14ac:dyDescent="0.25">
      <c r="A8613" t="s">
        <v>41</v>
      </c>
      <c r="B8613" t="s">
        <v>5994</v>
      </c>
      <c r="C8613" t="s">
        <v>18975</v>
      </c>
      <c r="D8613" t="s">
        <v>20</v>
      </c>
      <c r="E8613" t="s">
        <v>11</v>
      </c>
      <c r="F8613">
        <v>137.5</v>
      </c>
      <c r="G8613">
        <v>18</v>
      </c>
    </row>
    <row r="8614" spans="1:7" x14ac:dyDescent="0.25">
      <c r="A8614" t="s">
        <v>41</v>
      </c>
      <c r="B8614" t="s">
        <v>5997</v>
      </c>
      <c r="C8614" t="s">
        <v>18976</v>
      </c>
      <c r="D8614" t="s">
        <v>20</v>
      </c>
      <c r="E8614" t="s">
        <v>11</v>
      </c>
      <c r="F8614">
        <v>12153.9</v>
      </c>
      <c r="G8614">
        <v>18</v>
      </c>
    </row>
    <row r="8615" spans="1:7" x14ac:dyDescent="0.25">
      <c r="A8615" t="s">
        <v>41</v>
      </c>
      <c r="B8615" t="s">
        <v>6000</v>
      </c>
      <c r="C8615" t="s">
        <v>18977</v>
      </c>
      <c r="D8615" t="s">
        <v>20</v>
      </c>
      <c r="E8615" t="s">
        <v>11</v>
      </c>
      <c r="F8615">
        <v>4238.3</v>
      </c>
      <c r="G8615">
        <v>18</v>
      </c>
    </row>
    <row r="8616" spans="1:7" x14ac:dyDescent="0.25">
      <c r="A8616" t="s">
        <v>41</v>
      </c>
      <c r="B8616" t="s">
        <v>6003</v>
      </c>
      <c r="C8616" t="s">
        <v>18978</v>
      </c>
      <c r="D8616" t="s">
        <v>20</v>
      </c>
      <c r="E8616" t="s">
        <v>11</v>
      </c>
      <c r="F8616">
        <v>801.9</v>
      </c>
      <c r="G8616">
        <v>18</v>
      </c>
    </row>
    <row r="8617" spans="1:7" x14ac:dyDescent="0.25">
      <c r="A8617" t="s">
        <v>41</v>
      </c>
      <c r="B8617" t="s">
        <v>6006</v>
      </c>
      <c r="C8617" t="s">
        <v>18030</v>
      </c>
      <c r="D8617" t="s">
        <v>20</v>
      </c>
      <c r="E8617" t="s">
        <v>11</v>
      </c>
      <c r="F8617">
        <v>57.2</v>
      </c>
      <c r="G8617">
        <v>18</v>
      </c>
    </row>
    <row r="8618" spans="1:7" x14ac:dyDescent="0.25">
      <c r="A8618" t="s">
        <v>41</v>
      </c>
      <c r="B8618" t="s">
        <v>6009</v>
      </c>
      <c r="C8618" t="s">
        <v>17800</v>
      </c>
      <c r="D8618" t="s">
        <v>20</v>
      </c>
      <c r="E8618" t="s">
        <v>11</v>
      </c>
      <c r="F8618">
        <v>286</v>
      </c>
      <c r="G8618">
        <v>18</v>
      </c>
    </row>
    <row r="8619" spans="1:7" x14ac:dyDescent="0.25">
      <c r="A8619" t="s">
        <v>41</v>
      </c>
      <c r="B8619" t="s">
        <v>6012</v>
      </c>
      <c r="C8619" t="s">
        <v>17904</v>
      </c>
      <c r="D8619" t="s">
        <v>20</v>
      </c>
      <c r="E8619" t="s">
        <v>11</v>
      </c>
      <c r="F8619">
        <v>137.5</v>
      </c>
      <c r="G8619">
        <v>18</v>
      </c>
    </row>
    <row r="8620" spans="1:7" x14ac:dyDescent="0.25">
      <c r="A8620" t="s">
        <v>41</v>
      </c>
      <c r="B8620" t="s">
        <v>6015</v>
      </c>
      <c r="C8620" t="s">
        <v>17727</v>
      </c>
      <c r="D8620" t="s">
        <v>20</v>
      </c>
      <c r="E8620" t="s">
        <v>11</v>
      </c>
      <c r="F8620">
        <v>217.8</v>
      </c>
      <c r="G8620">
        <v>18</v>
      </c>
    </row>
    <row r="8621" spans="1:7" x14ac:dyDescent="0.25">
      <c r="A8621" t="s">
        <v>41</v>
      </c>
      <c r="B8621" t="s">
        <v>6018</v>
      </c>
      <c r="C8621" t="s">
        <v>18979</v>
      </c>
      <c r="D8621" t="s">
        <v>20</v>
      </c>
      <c r="E8621" t="s">
        <v>11</v>
      </c>
      <c r="F8621">
        <v>58.300000000000004</v>
      </c>
      <c r="G8621">
        <v>18</v>
      </c>
    </row>
    <row r="8622" spans="1:7" x14ac:dyDescent="0.25">
      <c r="A8622" t="s">
        <v>41</v>
      </c>
      <c r="B8622" t="s">
        <v>6021</v>
      </c>
      <c r="C8622" t="s">
        <v>18980</v>
      </c>
      <c r="D8622" t="s">
        <v>20</v>
      </c>
      <c r="E8622" t="s">
        <v>11</v>
      </c>
      <c r="F8622">
        <v>1953.6000000000001</v>
      </c>
      <c r="G8622">
        <v>18</v>
      </c>
    </row>
    <row r="8623" spans="1:7" x14ac:dyDescent="0.25">
      <c r="A8623" t="s">
        <v>41</v>
      </c>
      <c r="B8623" t="s">
        <v>6024</v>
      </c>
      <c r="C8623" t="s">
        <v>18981</v>
      </c>
      <c r="D8623" t="s">
        <v>20</v>
      </c>
      <c r="E8623" t="s">
        <v>11</v>
      </c>
      <c r="F8623">
        <v>1711.6000000000001</v>
      </c>
      <c r="G8623">
        <v>18</v>
      </c>
    </row>
    <row r="8624" spans="1:7" x14ac:dyDescent="0.25">
      <c r="A8624" t="s">
        <v>41</v>
      </c>
      <c r="B8624" t="s">
        <v>6027</v>
      </c>
      <c r="C8624" t="s">
        <v>18982</v>
      </c>
      <c r="D8624" t="s">
        <v>20</v>
      </c>
      <c r="E8624" t="s">
        <v>11</v>
      </c>
      <c r="F8624">
        <v>217.8</v>
      </c>
      <c r="G8624">
        <v>18</v>
      </c>
    </row>
    <row r="8625" spans="1:7" x14ac:dyDescent="0.25">
      <c r="A8625" t="s">
        <v>41</v>
      </c>
      <c r="B8625" t="s">
        <v>6030</v>
      </c>
      <c r="C8625" t="s">
        <v>18983</v>
      </c>
      <c r="D8625" t="s">
        <v>20</v>
      </c>
      <c r="E8625" t="s">
        <v>11</v>
      </c>
      <c r="F8625">
        <v>54067.2</v>
      </c>
      <c r="G8625">
        <v>18</v>
      </c>
    </row>
    <row r="8626" spans="1:7" x14ac:dyDescent="0.25">
      <c r="A8626" t="s">
        <v>41</v>
      </c>
      <c r="B8626" t="s">
        <v>6033</v>
      </c>
      <c r="C8626" t="s">
        <v>18984</v>
      </c>
      <c r="D8626" t="s">
        <v>20</v>
      </c>
      <c r="E8626" t="s">
        <v>11</v>
      </c>
      <c r="F8626">
        <v>54067.2</v>
      </c>
      <c r="G8626">
        <v>18</v>
      </c>
    </row>
    <row r="8627" spans="1:7" x14ac:dyDescent="0.25">
      <c r="A8627" t="s">
        <v>41</v>
      </c>
      <c r="B8627" t="s">
        <v>6036</v>
      </c>
      <c r="C8627" t="s">
        <v>17642</v>
      </c>
      <c r="D8627" t="s">
        <v>20</v>
      </c>
      <c r="E8627" t="s">
        <v>11</v>
      </c>
      <c r="F8627">
        <v>10984.6</v>
      </c>
      <c r="G8627">
        <v>18</v>
      </c>
    </row>
    <row r="8628" spans="1:7" x14ac:dyDescent="0.25">
      <c r="A8628" t="s">
        <v>41</v>
      </c>
      <c r="B8628" t="s">
        <v>6039</v>
      </c>
      <c r="C8628" t="s">
        <v>17643</v>
      </c>
      <c r="D8628" t="s">
        <v>20</v>
      </c>
      <c r="E8628" t="s">
        <v>11</v>
      </c>
      <c r="F8628">
        <v>9287.300000000001</v>
      </c>
      <c r="G8628">
        <v>18</v>
      </c>
    </row>
    <row r="8629" spans="1:7" x14ac:dyDescent="0.25">
      <c r="A8629" t="s">
        <v>41</v>
      </c>
      <c r="B8629" t="s">
        <v>6042</v>
      </c>
      <c r="C8629" t="s">
        <v>17645</v>
      </c>
      <c r="D8629" t="s">
        <v>20</v>
      </c>
      <c r="E8629" t="s">
        <v>11</v>
      </c>
      <c r="F8629">
        <v>304.7</v>
      </c>
      <c r="G8629">
        <v>18</v>
      </c>
    </row>
    <row r="8630" spans="1:7" x14ac:dyDescent="0.25">
      <c r="A8630" t="s">
        <v>41</v>
      </c>
      <c r="B8630" t="s">
        <v>6045</v>
      </c>
      <c r="C8630" t="s">
        <v>17645</v>
      </c>
      <c r="D8630" t="s">
        <v>20</v>
      </c>
      <c r="E8630" t="s">
        <v>11</v>
      </c>
      <c r="F8630">
        <v>167.2</v>
      </c>
      <c r="G8630">
        <v>18</v>
      </c>
    </row>
    <row r="8631" spans="1:7" x14ac:dyDescent="0.25">
      <c r="A8631" t="s">
        <v>41</v>
      </c>
      <c r="B8631" t="s">
        <v>6048</v>
      </c>
      <c r="C8631" t="s">
        <v>17644</v>
      </c>
      <c r="D8631" t="s">
        <v>20</v>
      </c>
      <c r="E8631" t="s">
        <v>11</v>
      </c>
      <c r="F8631">
        <v>874.5</v>
      </c>
      <c r="G8631">
        <v>18</v>
      </c>
    </row>
    <row r="8632" spans="1:7" x14ac:dyDescent="0.25">
      <c r="A8632" t="s">
        <v>41</v>
      </c>
      <c r="B8632" t="s">
        <v>6051</v>
      </c>
      <c r="C8632" t="s">
        <v>18985</v>
      </c>
      <c r="D8632" t="s">
        <v>20</v>
      </c>
      <c r="E8632" t="s">
        <v>11</v>
      </c>
      <c r="F8632">
        <v>70.4</v>
      </c>
      <c r="G8632">
        <v>18</v>
      </c>
    </row>
    <row r="8633" spans="1:7" x14ac:dyDescent="0.25">
      <c r="A8633" t="s">
        <v>41</v>
      </c>
      <c r="B8633" t="s">
        <v>6054</v>
      </c>
      <c r="C8633" t="s">
        <v>18986</v>
      </c>
      <c r="D8633" t="s">
        <v>20</v>
      </c>
      <c r="E8633" t="s">
        <v>11</v>
      </c>
      <c r="F8633">
        <v>70.4</v>
      </c>
      <c r="G8633">
        <v>18</v>
      </c>
    </row>
    <row r="8634" spans="1:7" x14ac:dyDescent="0.25">
      <c r="A8634" t="s">
        <v>41</v>
      </c>
      <c r="B8634" t="s">
        <v>6057</v>
      </c>
      <c r="C8634" t="s">
        <v>18987</v>
      </c>
      <c r="D8634" t="s">
        <v>20</v>
      </c>
      <c r="E8634" t="s">
        <v>11</v>
      </c>
      <c r="F8634">
        <v>9972.6</v>
      </c>
      <c r="G8634">
        <v>18</v>
      </c>
    </row>
    <row r="8635" spans="1:7" x14ac:dyDescent="0.25">
      <c r="A8635" t="s">
        <v>41</v>
      </c>
      <c r="B8635" t="s">
        <v>6060</v>
      </c>
      <c r="C8635" t="s">
        <v>18988</v>
      </c>
      <c r="D8635" t="s">
        <v>20</v>
      </c>
      <c r="E8635" t="s">
        <v>11</v>
      </c>
      <c r="F8635">
        <v>15071.099999999999</v>
      </c>
      <c r="G8635">
        <v>18</v>
      </c>
    </row>
    <row r="8636" spans="1:7" x14ac:dyDescent="0.25">
      <c r="A8636" t="s">
        <v>41</v>
      </c>
      <c r="B8636" t="s">
        <v>6063</v>
      </c>
      <c r="C8636" t="s">
        <v>18036</v>
      </c>
      <c r="D8636" t="s">
        <v>20</v>
      </c>
      <c r="E8636" t="s">
        <v>11</v>
      </c>
      <c r="F8636">
        <v>25126.199999999997</v>
      </c>
      <c r="G8636">
        <v>18</v>
      </c>
    </row>
    <row r="8637" spans="1:7" x14ac:dyDescent="0.25">
      <c r="A8637" t="s">
        <v>41</v>
      </c>
      <c r="B8637" t="s">
        <v>6066</v>
      </c>
      <c r="C8637" t="s">
        <v>18989</v>
      </c>
      <c r="D8637" t="s">
        <v>20</v>
      </c>
      <c r="E8637" t="s">
        <v>11</v>
      </c>
      <c r="F8637">
        <v>25126.199999999997</v>
      </c>
      <c r="G8637">
        <v>18</v>
      </c>
    </row>
    <row r="8638" spans="1:7" x14ac:dyDescent="0.25">
      <c r="A8638" t="s">
        <v>41</v>
      </c>
      <c r="B8638" t="s">
        <v>6069</v>
      </c>
      <c r="C8638" t="s">
        <v>18990</v>
      </c>
      <c r="D8638" t="s">
        <v>20</v>
      </c>
      <c r="E8638" t="s">
        <v>11</v>
      </c>
      <c r="F8638">
        <v>5245.9</v>
      </c>
      <c r="G8638">
        <v>18</v>
      </c>
    </row>
    <row r="8639" spans="1:7" x14ac:dyDescent="0.25">
      <c r="A8639" t="s">
        <v>41</v>
      </c>
      <c r="B8639" t="s">
        <v>6072</v>
      </c>
      <c r="C8639" t="s">
        <v>18121</v>
      </c>
      <c r="D8639" t="s">
        <v>20</v>
      </c>
      <c r="E8639" t="s">
        <v>11</v>
      </c>
      <c r="F8639">
        <v>2952.4</v>
      </c>
      <c r="G8639">
        <v>18</v>
      </c>
    </row>
    <row r="8640" spans="1:7" x14ac:dyDescent="0.25">
      <c r="A8640" t="s">
        <v>41</v>
      </c>
      <c r="B8640" t="s">
        <v>6075</v>
      </c>
      <c r="C8640" t="s">
        <v>17757</v>
      </c>
      <c r="D8640" t="s">
        <v>20</v>
      </c>
      <c r="E8640" t="s">
        <v>11</v>
      </c>
      <c r="F8640">
        <v>1856.8</v>
      </c>
      <c r="G8640">
        <v>18</v>
      </c>
    </row>
    <row r="8641" spans="1:7" x14ac:dyDescent="0.25">
      <c r="A8641" t="s">
        <v>41</v>
      </c>
      <c r="B8641" t="s">
        <v>6078</v>
      </c>
      <c r="C8641" t="s">
        <v>18991</v>
      </c>
      <c r="D8641" t="s">
        <v>20</v>
      </c>
      <c r="E8641" t="s">
        <v>11</v>
      </c>
      <c r="F8641">
        <v>61.60000000000001</v>
      </c>
      <c r="G8641">
        <v>18</v>
      </c>
    </row>
    <row r="8642" spans="1:7" x14ac:dyDescent="0.25">
      <c r="A8642" t="s">
        <v>41</v>
      </c>
      <c r="B8642" t="s">
        <v>6081</v>
      </c>
      <c r="C8642" t="s">
        <v>18992</v>
      </c>
      <c r="D8642" t="s">
        <v>20</v>
      </c>
      <c r="E8642" t="s">
        <v>11</v>
      </c>
      <c r="F8642">
        <v>71.5</v>
      </c>
      <c r="G8642">
        <v>18</v>
      </c>
    </row>
    <row r="8643" spans="1:7" x14ac:dyDescent="0.25">
      <c r="A8643" t="s">
        <v>41</v>
      </c>
      <c r="B8643" t="s">
        <v>6084</v>
      </c>
      <c r="C8643" t="s">
        <v>18993</v>
      </c>
      <c r="D8643" t="s">
        <v>20</v>
      </c>
      <c r="E8643" t="s">
        <v>11</v>
      </c>
      <c r="F8643">
        <v>291.5</v>
      </c>
      <c r="G8643">
        <v>18</v>
      </c>
    </row>
    <row r="8644" spans="1:7" x14ac:dyDescent="0.25">
      <c r="A8644" t="s">
        <v>41</v>
      </c>
      <c r="B8644" t="s">
        <v>6087</v>
      </c>
      <c r="C8644" t="s">
        <v>18994</v>
      </c>
      <c r="D8644" t="s">
        <v>20</v>
      </c>
      <c r="E8644" t="s">
        <v>11</v>
      </c>
      <c r="F8644">
        <v>58.300000000000004</v>
      </c>
      <c r="G8644">
        <v>18</v>
      </c>
    </row>
    <row r="8645" spans="1:7" x14ac:dyDescent="0.25">
      <c r="A8645" t="s">
        <v>41</v>
      </c>
      <c r="B8645" t="s">
        <v>6090</v>
      </c>
      <c r="C8645" t="s">
        <v>18995</v>
      </c>
      <c r="D8645" t="s">
        <v>20</v>
      </c>
      <c r="E8645" t="s">
        <v>11</v>
      </c>
      <c r="F8645">
        <v>260.7</v>
      </c>
      <c r="G8645">
        <v>18</v>
      </c>
    </row>
    <row r="8646" spans="1:7" x14ac:dyDescent="0.25">
      <c r="A8646" t="s">
        <v>41</v>
      </c>
      <c r="B8646" t="s">
        <v>6093</v>
      </c>
      <c r="C8646" t="s">
        <v>18996</v>
      </c>
      <c r="D8646" t="s">
        <v>20</v>
      </c>
      <c r="E8646" t="s">
        <v>11</v>
      </c>
      <c r="F8646">
        <v>242.00000000000003</v>
      </c>
      <c r="G8646">
        <v>18</v>
      </c>
    </row>
    <row r="8647" spans="1:7" x14ac:dyDescent="0.25">
      <c r="A8647" t="s">
        <v>41</v>
      </c>
      <c r="B8647" t="s">
        <v>6096</v>
      </c>
      <c r="C8647" t="s">
        <v>18806</v>
      </c>
      <c r="D8647" t="s">
        <v>20</v>
      </c>
      <c r="E8647" t="s">
        <v>11</v>
      </c>
      <c r="F8647">
        <v>535.7</v>
      </c>
      <c r="G8647">
        <v>18</v>
      </c>
    </row>
    <row r="8648" spans="1:7" x14ac:dyDescent="0.25">
      <c r="A8648" t="s">
        <v>41</v>
      </c>
      <c r="B8648" t="s">
        <v>6099</v>
      </c>
      <c r="C8648" t="s">
        <v>18997</v>
      </c>
      <c r="D8648" t="s">
        <v>20</v>
      </c>
      <c r="E8648" t="s">
        <v>11</v>
      </c>
      <c r="F8648">
        <v>952.6</v>
      </c>
      <c r="G8648">
        <v>18</v>
      </c>
    </row>
    <row r="8649" spans="1:7" x14ac:dyDescent="0.25">
      <c r="A8649" t="s">
        <v>41</v>
      </c>
      <c r="B8649" t="s">
        <v>6102</v>
      </c>
      <c r="C8649" t="s">
        <v>18231</v>
      </c>
      <c r="D8649" t="s">
        <v>20</v>
      </c>
      <c r="E8649" t="s">
        <v>11</v>
      </c>
      <c r="F8649">
        <v>58.300000000000004</v>
      </c>
      <c r="G8649">
        <v>18</v>
      </c>
    </row>
    <row r="8650" spans="1:7" x14ac:dyDescent="0.25">
      <c r="A8650" t="s">
        <v>41</v>
      </c>
      <c r="B8650" t="s">
        <v>6105</v>
      </c>
      <c r="C8650" t="s">
        <v>17654</v>
      </c>
      <c r="D8650" t="s">
        <v>20</v>
      </c>
      <c r="E8650" t="s">
        <v>11</v>
      </c>
      <c r="F8650">
        <v>57.2</v>
      </c>
      <c r="G8650">
        <v>18</v>
      </c>
    </row>
    <row r="8651" spans="1:7" x14ac:dyDescent="0.25">
      <c r="A8651" t="s">
        <v>41</v>
      </c>
      <c r="B8651" t="s">
        <v>6108</v>
      </c>
      <c r="C8651" t="s">
        <v>18998</v>
      </c>
      <c r="D8651" t="s">
        <v>20</v>
      </c>
      <c r="E8651" t="s">
        <v>11</v>
      </c>
      <c r="F8651">
        <v>523.6</v>
      </c>
      <c r="G8651">
        <v>18</v>
      </c>
    </row>
    <row r="8652" spans="1:7" x14ac:dyDescent="0.25">
      <c r="A8652" t="s">
        <v>41</v>
      </c>
      <c r="B8652" t="s">
        <v>6111</v>
      </c>
      <c r="C8652" t="s">
        <v>17673</v>
      </c>
      <c r="D8652" t="s">
        <v>20</v>
      </c>
      <c r="E8652" t="s">
        <v>11</v>
      </c>
      <c r="F8652">
        <v>1803.9999999999998</v>
      </c>
      <c r="G8652">
        <v>18</v>
      </c>
    </row>
    <row r="8653" spans="1:7" x14ac:dyDescent="0.25">
      <c r="A8653" t="s">
        <v>41</v>
      </c>
      <c r="B8653" t="s">
        <v>6114</v>
      </c>
      <c r="C8653" t="s">
        <v>18999</v>
      </c>
      <c r="D8653" t="s">
        <v>20</v>
      </c>
      <c r="E8653" t="s">
        <v>11</v>
      </c>
      <c r="F8653">
        <v>399.3</v>
      </c>
      <c r="G8653">
        <v>18</v>
      </c>
    </row>
    <row r="8654" spans="1:7" x14ac:dyDescent="0.25">
      <c r="A8654" t="s">
        <v>41</v>
      </c>
      <c r="B8654" t="s">
        <v>6117</v>
      </c>
      <c r="C8654" t="s">
        <v>19000</v>
      </c>
      <c r="D8654" t="s">
        <v>20</v>
      </c>
      <c r="E8654" t="s">
        <v>11</v>
      </c>
      <c r="F8654">
        <v>6177.599999999999</v>
      </c>
      <c r="G8654">
        <v>18</v>
      </c>
    </row>
    <row r="8655" spans="1:7" x14ac:dyDescent="0.25">
      <c r="A8655" t="s">
        <v>41</v>
      </c>
      <c r="B8655" t="s">
        <v>6120</v>
      </c>
      <c r="C8655" t="s">
        <v>19001</v>
      </c>
      <c r="D8655" t="s">
        <v>20</v>
      </c>
      <c r="E8655" t="s">
        <v>11</v>
      </c>
      <c r="F8655">
        <v>9972.6</v>
      </c>
      <c r="G8655">
        <v>18</v>
      </c>
    </row>
    <row r="8656" spans="1:7" x14ac:dyDescent="0.25">
      <c r="A8656" t="s">
        <v>41</v>
      </c>
      <c r="B8656" t="s">
        <v>6123</v>
      </c>
      <c r="C8656" t="s">
        <v>19002</v>
      </c>
      <c r="D8656" t="s">
        <v>20</v>
      </c>
      <c r="E8656" t="s">
        <v>11</v>
      </c>
      <c r="F8656">
        <v>25126.199999999997</v>
      </c>
      <c r="G8656">
        <v>18</v>
      </c>
    </row>
    <row r="8657" spans="1:7" x14ac:dyDescent="0.25">
      <c r="A8657" t="s">
        <v>41</v>
      </c>
      <c r="B8657" t="s">
        <v>6126</v>
      </c>
      <c r="C8657" t="s">
        <v>19003</v>
      </c>
      <c r="D8657" t="s">
        <v>20</v>
      </c>
      <c r="E8657" t="s">
        <v>11</v>
      </c>
      <c r="F8657">
        <v>997.7</v>
      </c>
      <c r="G8657">
        <v>18</v>
      </c>
    </row>
    <row r="8658" spans="1:7" x14ac:dyDescent="0.25">
      <c r="A8658" t="s">
        <v>41</v>
      </c>
      <c r="B8658" t="s">
        <v>6129</v>
      </c>
      <c r="C8658" t="s">
        <v>18430</v>
      </c>
      <c r="D8658" t="s">
        <v>20</v>
      </c>
      <c r="E8658" t="s">
        <v>11</v>
      </c>
      <c r="F8658">
        <v>58.300000000000004</v>
      </c>
      <c r="G8658">
        <v>18</v>
      </c>
    </row>
    <row r="8659" spans="1:7" x14ac:dyDescent="0.25">
      <c r="A8659" t="s">
        <v>41</v>
      </c>
      <c r="B8659" t="s">
        <v>6132</v>
      </c>
      <c r="C8659" t="s">
        <v>17686</v>
      </c>
      <c r="D8659" t="s">
        <v>20</v>
      </c>
      <c r="E8659" t="s">
        <v>11</v>
      </c>
      <c r="F8659">
        <v>58.300000000000004</v>
      </c>
      <c r="G8659">
        <v>18</v>
      </c>
    </row>
    <row r="8660" spans="1:7" x14ac:dyDescent="0.25">
      <c r="A8660" t="s">
        <v>41</v>
      </c>
      <c r="B8660" t="s">
        <v>6135</v>
      </c>
      <c r="C8660" t="s">
        <v>19004</v>
      </c>
      <c r="D8660" t="s">
        <v>20</v>
      </c>
      <c r="E8660" t="s">
        <v>11</v>
      </c>
      <c r="F8660">
        <v>143</v>
      </c>
      <c r="G8660">
        <v>18</v>
      </c>
    </row>
    <row r="8661" spans="1:7" x14ac:dyDescent="0.25">
      <c r="A8661" t="s">
        <v>41</v>
      </c>
      <c r="B8661" t="s">
        <v>6138</v>
      </c>
      <c r="C8661" t="s">
        <v>19005</v>
      </c>
      <c r="D8661" t="s">
        <v>20</v>
      </c>
      <c r="E8661" t="s">
        <v>11</v>
      </c>
      <c r="F8661">
        <v>3308.7999999999997</v>
      </c>
      <c r="G8661">
        <v>18</v>
      </c>
    </row>
    <row r="8662" spans="1:7" x14ac:dyDescent="0.25">
      <c r="A8662" t="s">
        <v>41</v>
      </c>
      <c r="B8662" t="s">
        <v>6141</v>
      </c>
      <c r="C8662" t="s">
        <v>17749</v>
      </c>
      <c r="D8662" t="s">
        <v>20</v>
      </c>
      <c r="E8662" t="s">
        <v>11</v>
      </c>
      <c r="F8662">
        <v>58.300000000000004</v>
      </c>
      <c r="G8662">
        <v>18</v>
      </c>
    </row>
    <row r="8663" spans="1:7" x14ac:dyDescent="0.25">
      <c r="A8663" t="s">
        <v>41</v>
      </c>
      <c r="B8663" t="s">
        <v>6144</v>
      </c>
      <c r="C8663" t="s">
        <v>19006</v>
      </c>
      <c r="D8663" t="s">
        <v>20</v>
      </c>
      <c r="E8663" t="s">
        <v>11</v>
      </c>
      <c r="F8663">
        <v>1967.9</v>
      </c>
      <c r="G8663">
        <v>18</v>
      </c>
    </row>
    <row r="8664" spans="1:7" x14ac:dyDescent="0.25">
      <c r="A8664" t="s">
        <v>41</v>
      </c>
      <c r="B8664" t="s">
        <v>6147</v>
      </c>
      <c r="C8664" t="s">
        <v>18143</v>
      </c>
      <c r="D8664" t="s">
        <v>20</v>
      </c>
      <c r="E8664" t="s">
        <v>11</v>
      </c>
      <c r="F8664">
        <v>546.6999999999999</v>
      </c>
      <c r="G8664">
        <v>18</v>
      </c>
    </row>
    <row r="8665" spans="1:7" x14ac:dyDescent="0.25">
      <c r="A8665" t="s">
        <v>41</v>
      </c>
      <c r="B8665" t="s">
        <v>6150</v>
      </c>
      <c r="C8665" t="s">
        <v>17909</v>
      </c>
      <c r="D8665" t="s">
        <v>20</v>
      </c>
      <c r="E8665" t="s">
        <v>11</v>
      </c>
      <c r="F8665">
        <v>58.300000000000004</v>
      </c>
      <c r="G8665">
        <v>18</v>
      </c>
    </row>
    <row r="8666" spans="1:7" x14ac:dyDescent="0.25">
      <c r="A8666" t="s">
        <v>41</v>
      </c>
      <c r="B8666" t="s">
        <v>6153</v>
      </c>
      <c r="C8666" t="s">
        <v>17838</v>
      </c>
      <c r="D8666" t="s">
        <v>20</v>
      </c>
      <c r="E8666" t="s">
        <v>11</v>
      </c>
      <c r="F8666">
        <v>40.7</v>
      </c>
      <c r="G8666">
        <v>18</v>
      </c>
    </row>
    <row r="8667" spans="1:7" x14ac:dyDescent="0.25">
      <c r="A8667" t="s">
        <v>41</v>
      </c>
      <c r="B8667" t="s">
        <v>6156</v>
      </c>
      <c r="C8667" t="s">
        <v>17736</v>
      </c>
      <c r="D8667" t="s">
        <v>20</v>
      </c>
      <c r="E8667" t="s">
        <v>11</v>
      </c>
      <c r="F8667">
        <v>57.2</v>
      </c>
      <c r="G8667">
        <v>18</v>
      </c>
    </row>
    <row r="8668" spans="1:7" x14ac:dyDescent="0.25">
      <c r="A8668" t="s">
        <v>41</v>
      </c>
      <c r="B8668" t="s">
        <v>6159</v>
      </c>
      <c r="C8668" t="s">
        <v>18932</v>
      </c>
      <c r="D8668" t="s">
        <v>20</v>
      </c>
      <c r="E8668" t="s">
        <v>11</v>
      </c>
      <c r="F8668">
        <v>70.4</v>
      </c>
      <c r="G8668">
        <v>18</v>
      </c>
    </row>
    <row r="8669" spans="1:7" x14ac:dyDescent="0.25">
      <c r="A8669" t="s">
        <v>41</v>
      </c>
      <c r="B8669" t="s">
        <v>6162</v>
      </c>
      <c r="C8669" t="s">
        <v>19007</v>
      </c>
      <c r="D8669" t="s">
        <v>20</v>
      </c>
      <c r="E8669" t="s">
        <v>11</v>
      </c>
      <c r="F8669">
        <v>143</v>
      </c>
      <c r="G8669">
        <v>18</v>
      </c>
    </row>
    <row r="8670" spans="1:7" x14ac:dyDescent="0.25">
      <c r="A8670" t="s">
        <v>41</v>
      </c>
      <c r="B8670" t="s">
        <v>6165</v>
      </c>
      <c r="C8670" t="s">
        <v>19008</v>
      </c>
      <c r="D8670" t="s">
        <v>20</v>
      </c>
      <c r="E8670" t="s">
        <v>11</v>
      </c>
      <c r="F8670">
        <v>2409</v>
      </c>
      <c r="G8670">
        <v>18</v>
      </c>
    </row>
    <row r="8671" spans="1:7" x14ac:dyDescent="0.25">
      <c r="A8671" t="s">
        <v>41</v>
      </c>
      <c r="B8671" t="s">
        <v>6168</v>
      </c>
      <c r="C8671" t="s">
        <v>19009</v>
      </c>
      <c r="D8671" t="s">
        <v>20</v>
      </c>
      <c r="E8671" t="s">
        <v>11</v>
      </c>
      <c r="F8671">
        <v>214.5</v>
      </c>
      <c r="G8671">
        <v>18</v>
      </c>
    </row>
    <row r="8672" spans="1:7" x14ac:dyDescent="0.25">
      <c r="A8672" t="s">
        <v>41</v>
      </c>
      <c r="B8672" t="s">
        <v>6171</v>
      </c>
      <c r="C8672" t="s">
        <v>17845</v>
      </c>
      <c r="D8672" t="s">
        <v>20</v>
      </c>
      <c r="E8672" t="s">
        <v>11</v>
      </c>
      <c r="F8672">
        <v>269.5</v>
      </c>
      <c r="G8672">
        <v>18</v>
      </c>
    </row>
    <row r="8673" spans="1:7" x14ac:dyDescent="0.25">
      <c r="A8673" t="s">
        <v>41</v>
      </c>
      <c r="B8673" t="s">
        <v>6174</v>
      </c>
      <c r="C8673" t="s">
        <v>17831</v>
      </c>
      <c r="D8673" t="s">
        <v>20</v>
      </c>
      <c r="E8673" t="s">
        <v>11</v>
      </c>
      <c r="F8673">
        <v>229.89999999999998</v>
      </c>
      <c r="G8673">
        <v>18</v>
      </c>
    </row>
    <row r="8674" spans="1:7" x14ac:dyDescent="0.25">
      <c r="A8674" t="s">
        <v>41</v>
      </c>
      <c r="B8674" t="s">
        <v>6177</v>
      </c>
      <c r="C8674" t="s">
        <v>17832</v>
      </c>
      <c r="D8674" t="s">
        <v>20</v>
      </c>
      <c r="E8674" t="s">
        <v>11</v>
      </c>
      <c r="F8674">
        <v>30.800000000000004</v>
      </c>
      <c r="G8674">
        <v>18</v>
      </c>
    </row>
    <row r="8675" spans="1:7" x14ac:dyDescent="0.25">
      <c r="A8675" t="s">
        <v>41</v>
      </c>
      <c r="B8675" t="s">
        <v>6180</v>
      </c>
      <c r="C8675" t="s">
        <v>18041</v>
      </c>
      <c r="D8675" t="s">
        <v>20</v>
      </c>
      <c r="E8675" t="s">
        <v>11</v>
      </c>
      <c r="F8675">
        <v>70.4</v>
      </c>
      <c r="G8675">
        <v>18</v>
      </c>
    </row>
    <row r="8676" spans="1:7" x14ac:dyDescent="0.25">
      <c r="A8676" t="s">
        <v>41</v>
      </c>
      <c r="B8676" t="s">
        <v>6183</v>
      </c>
      <c r="C8676" t="s">
        <v>17680</v>
      </c>
      <c r="D8676" t="s">
        <v>20</v>
      </c>
      <c r="E8676" t="s">
        <v>11</v>
      </c>
      <c r="F8676">
        <v>2599.2999999999997</v>
      </c>
      <c r="G8676">
        <v>18</v>
      </c>
    </row>
    <row r="8677" spans="1:7" x14ac:dyDescent="0.25">
      <c r="A8677" t="s">
        <v>41</v>
      </c>
      <c r="B8677" t="s">
        <v>6186</v>
      </c>
      <c r="C8677" t="s">
        <v>17545</v>
      </c>
      <c r="D8677" t="s">
        <v>20</v>
      </c>
      <c r="E8677" t="s">
        <v>11</v>
      </c>
      <c r="F8677">
        <v>2516.7999999999997</v>
      </c>
      <c r="G8677">
        <v>18</v>
      </c>
    </row>
    <row r="8678" spans="1:7" x14ac:dyDescent="0.25">
      <c r="A8678" t="s">
        <v>41</v>
      </c>
      <c r="B8678" t="s">
        <v>6189</v>
      </c>
      <c r="C8678" t="s">
        <v>17778</v>
      </c>
      <c r="D8678" t="s">
        <v>20</v>
      </c>
      <c r="E8678" t="s">
        <v>11</v>
      </c>
      <c r="F8678">
        <v>61.60000000000001</v>
      </c>
      <c r="G8678">
        <v>18</v>
      </c>
    </row>
    <row r="8679" spans="1:7" x14ac:dyDescent="0.25">
      <c r="A8679" t="s">
        <v>41</v>
      </c>
      <c r="B8679" t="s">
        <v>6192</v>
      </c>
      <c r="C8679" t="s">
        <v>19010</v>
      </c>
      <c r="D8679" t="s">
        <v>20</v>
      </c>
      <c r="E8679" t="s">
        <v>11</v>
      </c>
      <c r="F8679">
        <v>7708.8</v>
      </c>
      <c r="G8679">
        <v>18</v>
      </c>
    </row>
    <row r="8680" spans="1:7" x14ac:dyDescent="0.25">
      <c r="A8680" t="s">
        <v>41</v>
      </c>
      <c r="B8680" t="s">
        <v>6195</v>
      </c>
      <c r="C8680" t="s">
        <v>19011</v>
      </c>
      <c r="D8680" t="s">
        <v>20</v>
      </c>
      <c r="E8680" t="s">
        <v>11</v>
      </c>
      <c r="F8680">
        <v>8090.5</v>
      </c>
      <c r="G8680">
        <v>18</v>
      </c>
    </row>
    <row r="8681" spans="1:7" x14ac:dyDescent="0.25">
      <c r="A8681" t="s">
        <v>41</v>
      </c>
      <c r="B8681" t="s">
        <v>6198</v>
      </c>
      <c r="C8681" t="s">
        <v>19012</v>
      </c>
      <c r="D8681" t="s">
        <v>20</v>
      </c>
      <c r="E8681" t="s">
        <v>11</v>
      </c>
      <c r="F8681">
        <v>24999.7</v>
      </c>
      <c r="G8681">
        <v>18</v>
      </c>
    </row>
    <row r="8682" spans="1:7" x14ac:dyDescent="0.25">
      <c r="A8682" t="s">
        <v>41</v>
      </c>
      <c r="B8682" t="s">
        <v>6201</v>
      </c>
      <c r="C8682" t="s">
        <v>19013</v>
      </c>
      <c r="D8682" t="s">
        <v>20</v>
      </c>
      <c r="E8682" t="s">
        <v>11</v>
      </c>
      <c r="F8682">
        <v>24999.7</v>
      </c>
      <c r="G8682">
        <v>18</v>
      </c>
    </row>
    <row r="8683" spans="1:7" x14ac:dyDescent="0.25">
      <c r="A8683" t="s">
        <v>41</v>
      </c>
      <c r="B8683" t="s">
        <v>6204</v>
      </c>
      <c r="C8683" t="s">
        <v>19014</v>
      </c>
      <c r="D8683" t="s">
        <v>20</v>
      </c>
      <c r="E8683" t="s">
        <v>11</v>
      </c>
      <c r="F8683">
        <v>103.39999999999999</v>
      </c>
      <c r="G8683">
        <v>18</v>
      </c>
    </row>
    <row r="8684" spans="1:7" x14ac:dyDescent="0.25">
      <c r="A8684" t="s">
        <v>41</v>
      </c>
      <c r="B8684" t="s">
        <v>6207</v>
      </c>
      <c r="C8684" t="s">
        <v>17677</v>
      </c>
      <c r="D8684" t="s">
        <v>20</v>
      </c>
      <c r="E8684" t="s">
        <v>11</v>
      </c>
      <c r="F8684">
        <v>140.8</v>
      </c>
      <c r="G8684">
        <v>18</v>
      </c>
    </row>
    <row r="8685" spans="1:7" x14ac:dyDescent="0.25">
      <c r="A8685" t="s">
        <v>41</v>
      </c>
      <c r="B8685" t="s">
        <v>6210</v>
      </c>
      <c r="C8685" t="s">
        <v>18157</v>
      </c>
      <c r="D8685" t="s">
        <v>20</v>
      </c>
      <c r="E8685" t="s">
        <v>11</v>
      </c>
      <c r="F8685">
        <v>4303.2</v>
      </c>
      <c r="G8685">
        <v>18</v>
      </c>
    </row>
    <row r="8686" spans="1:7" x14ac:dyDescent="0.25">
      <c r="A8686" t="s">
        <v>41</v>
      </c>
      <c r="B8686" t="s">
        <v>6213</v>
      </c>
      <c r="C8686" t="s">
        <v>19015</v>
      </c>
      <c r="D8686" t="s">
        <v>20</v>
      </c>
      <c r="E8686" t="s">
        <v>11</v>
      </c>
      <c r="F8686">
        <v>133.1</v>
      </c>
      <c r="G8686">
        <v>18</v>
      </c>
    </row>
    <row r="8687" spans="1:7" x14ac:dyDescent="0.25">
      <c r="A8687" t="s">
        <v>41</v>
      </c>
      <c r="B8687" t="s">
        <v>6216</v>
      </c>
      <c r="C8687" t="s">
        <v>19016</v>
      </c>
      <c r="D8687" t="s">
        <v>20</v>
      </c>
      <c r="E8687" t="s">
        <v>11</v>
      </c>
      <c r="F8687">
        <v>1756.7</v>
      </c>
      <c r="G8687">
        <v>18</v>
      </c>
    </row>
    <row r="8688" spans="1:7" x14ac:dyDescent="0.25">
      <c r="A8688" t="s">
        <v>41</v>
      </c>
      <c r="B8688" t="s">
        <v>6219</v>
      </c>
      <c r="C8688" t="s">
        <v>19017</v>
      </c>
      <c r="D8688" t="s">
        <v>20</v>
      </c>
      <c r="E8688" t="s">
        <v>11</v>
      </c>
      <c r="F8688">
        <v>184.79999999999998</v>
      </c>
      <c r="G8688">
        <v>18</v>
      </c>
    </row>
    <row r="8689" spans="1:7" x14ac:dyDescent="0.25">
      <c r="A8689" t="s">
        <v>41</v>
      </c>
      <c r="B8689" t="s">
        <v>6222</v>
      </c>
      <c r="C8689" t="s">
        <v>19018</v>
      </c>
      <c r="D8689" t="s">
        <v>20</v>
      </c>
      <c r="E8689" t="s">
        <v>11</v>
      </c>
      <c r="F8689">
        <v>1182.5</v>
      </c>
      <c r="G8689">
        <v>18</v>
      </c>
    </row>
    <row r="8690" spans="1:7" x14ac:dyDescent="0.25">
      <c r="A8690" t="s">
        <v>41</v>
      </c>
      <c r="B8690" t="s">
        <v>6225</v>
      </c>
      <c r="C8690" t="s">
        <v>19019</v>
      </c>
      <c r="D8690" t="s">
        <v>20</v>
      </c>
      <c r="E8690" t="s">
        <v>11</v>
      </c>
      <c r="F8690">
        <v>457.6</v>
      </c>
      <c r="G8690">
        <v>18</v>
      </c>
    </row>
    <row r="8691" spans="1:7" x14ac:dyDescent="0.25">
      <c r="A8691" t="s">
        <v>41</v>
      </c>
      <c r="B8691" t="s">
        <v>6228</v>
      </c>
      <c r="C8691" t="s">
        <v>19020</v>
      </c>
      <c r="D8691" t="s">
        <v>20</v>
      </c>
      <c r="E8691" t="s">
        <v>11</v>
      </c>
      <c r="F8691">
        <v>843.7</v>
      </c>
      <c r="G8691">
        <v>18</v>
      </c>
    </row>
    <row r="8692" spans="1:7" x14ac:dyDescent="0.25">
      <c r="A8692" t="s">
        <v>41</v>
      </c>
      <c r="B8692" t="s">
        <v>6231</v>
      </c>
      <c r="C8692" t="s">
        <v>19021</v>
      </c>
      <c r="D8692" t="s">
        <v>20</v>
      </c>
      <c r="E8692" t="s">
        <v>11</v>
      </c>
      <c r="F8692">
        <v>1437.7</v>
      </c>
      <c r="G8692">
        <v>18</v>
      </c>
    </row>
    <row r="8693" spans="1:7" x14ac:dyDescent="0.25">
      <c r="A8693" t="s">
        <v>41</v>
      </c>
      <c r="B8693" t="s">
        <v>6234</v>
      </c>
      <c r="C8693" t="s">
        <v>19022</v>
      </c>
      <c r="D8693" t="s">
        <v>20</v>
      </c>
      <c r="E8693" t="s">
        <v>11</v>
      </c>
      <c r="F8693">
        <v>57.2</v>
      </c>
      <c r="G8693">
        <v>18</v>
      </c>
    </row>
    <row r="8694" spans="1:7" x14ac:dyDescent="0.25">
      <c r="A8694" t="s">
        <v>41</v>
      </c>
      <c r="B8694" t="s">
        <v>6237</v>
      </c>
      <c r="C8694" t="s">
        <v>19023</v>
      </c>
      <c r="D8694" t="s">
        <v>20</v>
      </c>
      <c r="E8694" t="s">
        <v>11</v>
      </c>
      <c r="F8694">
        <v>3316.5</v>
      </c>
      <c r="G8694">
        <v>18</v>
      </c>
    </row>
    <row r="8695" spans="1:7" x14ac:dyDescent="0.25">
      <c r="A8695" t="s">
        <v>41</v>
      </c>
      <c r="B8695" t="s">
        <v>6240</v>
      </c>
      <c r="C8695" t="s">
        <v>17592</v>
      </c>
      <c r="D8695" t="s">
        <v>20</v>
      </c>
      <c r="E8695" t="s">
        <v>11</v>
      </c>
      <c r="F8695">
        <v>661.1</v>
      </c>
      <c r="G8695">
        <v>18</v>
      </c>
    </row>
    <row r="8696" spans="1:7" x14ac:dyDescent="0.25">
      <c r="A8696" t="s">
        <v>41</v>
      </c>
      <c r="B8696" t="s">
        <v>6243</v>
      </c>
      <c r="C8696" t="s">
        <v>19024</v>
      </c>
      <c r="D8696" t="s">
        <v>20</v>
      </c>
      <c r="E8696" t="s">
        <v>11</v>
      </c>
      <c r="F8696">
        <v>35821.5</v>
      </c>
      <c r="G8696">
        <v>18</v>
      </c>
    </row>
    <row r="8697" spans="1:7" x14ac:dyDescent="0.25">
      <c r="A8697" t="s">
        <v>41</v>
      </c>
      <c r="B8697" t="s">
        <v>6246</v>
      </c>
      <c r="C8697" t="s">
        <v>19025</v>
      </c>
      <c r="D8697" t="s">
        <v>20</v>
      </c>
      <c r="E8697" t="s">
        <v>11</v>
      </c>
      <c r="F8697">
        <v>1105.5</v>
      </c>
      <c r="G8697">
        <v>18</v>
      </c>
    </row>
    <row r="8698" spans="1:7" x14ac:dyDescent="0.25">
      <c r="A8698" t="s">
        <v>41</v>
      </c>
      <c r="B8698" t="s">
        <v>6249</v>
      </c>
      <c r="C8698" t="s">
        <v>18159</v>
      </c>
      <c r="D8698" t="s">
        <v>20</v>
      </c>
      <c r="E8698" t="s">
        <v>11</v>
      </c>
      <c r="F8698">
        <v>660</v>
      </c>
      <c r="G8698">
        <v>18</v>
      </c>
    </row>
    <row r="8699" spans="1:7" x14ac:dyDescent="0.25">
      <c r="A8699" t="s">
        <v>41</v>
      </c>
      <c r="B8699" t="s">
        <v>6252</v>
      </c>
      <c r="C8699" t="s">
        <v>18160</v>
      </c>
      <c r="D8699" t="s">
        <v>20</v>
      </c>
      <c r="E8699" t="s">
        <v>11</v>
      </c>
      <c r="F8699">
        <v>4552.9</v>
      </c>
      <c r="G8699">
        <v>18</v>
      </c>
    </row>
    <row r="8700" spans="1:7" x14ac:dyDescent="0.25">
      <c r="A8700" t="s">
        <v>41</v>
      </c>
      <c r="B8700" t="s">
        <v>6255</v>
      </c>
      <c r="C8700" t="s">
        <v>18074</v>
      </c>
      <c r="D8700" t="s">
        <v>20</v>
      </c>
      <c r="E8700" t="s">
        <v>11</v>
      </c>
      <c r="F8700">
        <v>70.4</v>
      </c>
      <c r="G8700">
        <v>18</v>
      </c>
    </row>
    <row r="8701" spans="1:7" x14ac:dyDescent="0.25">
      <c r="A8701" t="s">
        <v>41</v>
      </c>
      <c r="B8701" t="s">
        <v>6258</v>
      </c>
      <c r="C8701" t="s">
        <v>18161</v>
      </c>
      <c r="D8701" t="s">
        <v>20</v>
      </c>
      <c r="E8701" t="s">
        <v>11</v>
      </c>
      <c r="F8701">
        <v>3998.5</v>
      </c>
      <c r="G8701">
        <v>18</v>
      </c>
    </row>
    <row r="8702" spans="1:7" x14ac:dyDescent="0.25">
      <c r="A8702" t="s">
        <v>41</v>
      </c>
      <c r="B8702" t="s">
        <v>6261</v>
      </c>
      <c r="C8702" t="s">
        <v>18164</v>
      </c>
      <c r="D8702" t="s">
        <v>20</v>
      </c>
      <c r="E8702" t="s">
        <v>11</v>
      </c>
      <c r="F8702">
        <v>2703.7999999999997</v>
      </c>
      <c r="G8702">
        <v>18</v>
      </c>
    </row>
    <row r="8703" spans="1:7" x14ac:dyDescent="0.25">
      <c r="A8703" t="s">
        <v>41</v>
      </c>
      <c r="B8703" t="s">
        <v>6264</v>
      </c>
      <c r="C8703" t="s">
        <v>18165</v>
      </c>
      <c r="D8703" t="s">
        <v>20</v>
      </c>
      <c r="E8703" t="s">
        <v>11</v>
      </c>
      <c r="F8703">
        <v>958.1000000000001</v>
      </c>
      <c r="G8703">
        <v>18</v>
      </c>
    </row>
    <row r="8704" spans="1:7" x14ac:dyDescent="0.25">
      <c r="A8704" t="s">
        <v>41</v>
      </c>
      <c r="B8704" t="s">
        <v>6267</v>
      </c>
      <c r="C8704" t="s">
        <v>18166</v>
      </c>
      <c r="D8704" t="s">
        <v>20</v>
      </c>
      <c r="E8704" t="s">
        <v>11</v>
      </c>
      <c r="F8704">
        <v>958.1000000000001</v>
      </c>
      <c r="G8704">
        <v>18</v>
      </c>
    </row>
    <row r="8705" spans="1:7" x14ac:dyDescent="0.25">
      <c r="A8705" t="s">
        <v>41</v>
      </c>
      <c r="B8705" t="s">
        <v>6270</v>
      </c>
      <c r="C8705" t="s">
        <v>18167</v>
      </c>
      <c r="D8705" t="s">
        <v>20</v>
      </c>
      <c r="E8705" t="s">
        <v>11</v>
      </c>
      <c r="F8705">
        <v>958.1000000000001</v>
      </c>
      <c r="G8705">
        <v>18</v>
      </c>
    </row>
    <row r="8706" spans="1:7" x14ac:dyDescent="0.25">
      <c r="A8706" t="s">
        <v>41</v>
      </c>
      <c r="B8706" t="s">
        <v>6273</v>
      </c>
      <c r="C8706" t="s">
        <v>18168</v>
      </c>
      <c r="D8706" t="s">
        <v>20</v>
      </c>
      <c r="E8706" t="s">
        <v>11</v>
      </c>
      <c r="F8706">
        <v>152.89999999999998</v>
      </c>
      <c r="G8706">
        <v>18</v>
      </c>
    </row>
    <row r="8707" spans="1:7" x14ac:dyDescent="0.25">
      <c r="A8707" t="s">
        <v>41</v>
      </c>
      <c r="B8707" t="s">
        <v>6276</v>
      </c>
      <c r="C8707" t="s">
        <v>18170</v>
      </c>
      <c r="D8707" t="s">
        <v>20</v>
      </c>
      <c r="E8707" t="s">
        <v>11</v>
      </c>
      <c r="F8707">
        <v>94.6</v>
      </c>
      <c r="G8707">
        <v>18</v>
      </c>
    </row>
    <row r="8708" spans="1:7" x14ac:dyDescent="0.25">
      <c r="A8708" t="s">
        <v>41</v>
      </c>
      <c r="B8708" t="s">
        <v>6279</v>
      </c>
      <c r="C8708" t="s">
        <v>18171</v>
      </c>
      <c r="D8708" t="s">
        <v>20</v>
      </c>
      <c r="E8708" t="s">
        <v>11</v>
      </c>
      <c r="F8708">
        <v>899.8</v>
      </c>
      <c r="G8708">
        <v>18</v>
      </c>
    </row>
    <row r="8709" spans="1:7" x14ac:dyDescent="0.25">
      <c r="A8709" t="s">
        <v>41</v>
      </c>
      <c r="B8709" t="s">
        <v>6282</v>
      </c>
      <c r="C8709" t="s">
        <v>18172</v>
      </c>
      <c r="D8709" t="s">
        <v>20</v>
      </c>
      <c r="E8709" t="s">
        <v>11</v>
      </c>
      <c r="F8709">
        <v>628.1</v>
      </c>
      <c r="G8709">
        <v>18</v>
      </c>
    </row>
    <row r="8710" spans="1:7" x14ac:dyDescent="0.25">
      <c r="A8710" t="s">
        <v>41</v>
      </c>
      <c r="B8710" t="s">
        <v>6285</v>
      </c>
      <c r="C8710" t="s">
        <v>18173</v>
      </c>
      <c r="D8710" t="s">
        <v>20</v>
      </c>
      <c r="E8710" t="s">
        <v>11</v>
      </c>
      <c r="F8710">
        <v>628.1</v>
      </c>
      <c r="G8710">
        <v>18</v>
      </c>
    </row>
    <row r="8711" spans="1:7" x14ac:dyDescent="0.25">
      <c r="A8711" t="s">
        <v>41</v>
      </c>
      <c r="B8711" t="s">
        <v>6288</v>
      </c>
      <c r="C8711" t="s">
        <v>18174</v>
      </c>
      <c r="D8711" t="s">
        <v>20</v>
      </c>
      <c r="E8711" t="s">
        <v>11</v>
      </c>
      <c r="F8711">
        <v>2491.5</v>
      </c>
      <c r="G8711">
        <v>18</v>
      </c>
    </row>
    <row r="8712" spans="1:7" x14ac:dyDescent="0.25">
      <c r="A8712" t="s">
        <v>41</v>
      </c>
      <c r="B8712" t="s">
        <v>6291</v>
      </c>
      <c r="C8712" t="s">
        <v>18175</v>
      </c>
      <c r="D8712" t="s">
        <v>20</v>
      </c>
      <c r="E8712" t="s">
        <v>11</v>
      </c>
      <c r="F8712">
        <v>2098.7999999999997</v>
      </c>
      <c r="G8712">
        <v>18</v>
      </c>
    </row>
    <row r="8713" spans="1:7" x14ac:dyDescent="0.25">
      <c r="A8713" t="s">
        <v>41</v>
      </c>
      <c r="B8713" t="s">
        <v>6294</v>
      </c>
      <c r="C8713" t="s">
        <v>18176</v>
      </c>
      <c r="D8713" t="s">
        <v>20</v>
      </c>
      <c r="E8713" t="s">
        <v>11</v>
      </c>
      <c r="F8713">
        <v>1338.7</v>
      </c>
      <c r="G8713">
        <v>18</v>
      </c>
    </row>
    <row r="8714" spans="1:7" x14ac:dyDescent="0.25">
      <c r="A8714" t="s">
        <v>41</v>
      </c>
      <c r="B8714" t="s">
        <v>6297</v>
      </c>
      <c r="C8714" t="s">
        <v>18177</v>
      </c>
      <c r="D8714" t="s">
        <v>20</v>
      </c>
      <c r="E8714" t="s">
        <v>11</v>
      </c>
      <c r="F8714">
        <v>1760</v>
      </c>
      <c r="G8714">
        <v>18</v>
      </c>
    </row>
    <row r="8715" spans="1:7" x14ac:dyDescent="0.25">
      <c r="A8715" t="s">
        <v>41</v>
      </c>
      <c r="B8715" t="s">
        <v>6300</v>
      </c>
      <c r="C8715" t="s">
        <v>18178</v>
      </c>
      <c r="D8715" t="s">
        <v>20</v>
      </c>
      <c r="E8715" t="s">
        <v>11</v>
      </c>
      <c r="F8715">
        <v>405.9</v>
      </c>
      <c r="G8715">
        <v>18</v>
      </c>
    </row>
    <row r="8716" spans="1:7" x14ac:dyDescent="0.25">
      <c r="A8716" t="s">
        <v>41</v>
      </c>
      <c r="B8716" t="s">
        <v>6303</v>
      </c>
      <c r="C8716" t="s">
        <v>18179</v>
      </c>
      <c r="D8716" t="s">
        <v>20</v>
      </c>
      <c r="E8716" t="s">
        <v>11</v>
      </c>
      <c r="F8716">
        <v>63.8</v>
      </c>
      <c r="G8716">
        <v>18</v>
      </c>
    </row>
    <row r="8717" spans="1:7" x14ac:dyDescent="0.25">
      <c r="A8717" t="s">
        <v>41</v>
      </c>
      <c r="B8717" t="s">
        <v>6306</v>
      </c>
      <c r="C8717" t="s">
        <v>18180</v>
      </c>
      <c r="D8717" t="s">
        <v>20</v>
      </c>
      <c r="E8717" t="s">
        <v>11</v>
      </c>
      <c r="F8717">
        <v>2148.3</v>
      </c>
      <c r="G8717">
        <v>18</v>
      </c>
    </row>
    <row r="8718" spans="1:7" x14ac:dyDescent="0.25">
      <c r="A8718" t="s">
        <v>41</v>
      </c>
      <c r="B8718" t="s">
        <v>6309</v>
      </c>
      <c r="C8718" t="s">
        <v>19026</v>
      </c>
      <c r="D8718" t="s">
        <v>20</v>
      </c>
      <c r="E8718" t="s">
        <v>11</v>
      </c>
      <c r="F8718">
        <v>1788.6000000000001</v>
      </c>
      <c r="G8718">
        <v>18</v>
      </c>
    </row>
    <row r="8719" spans="1:7" x14ac:dyDescent="0.25">
      <c r="A8719" t="s">
        <v>41</v>
      </c>
      <c r="B8719" t="s">
        <v>6312</v>
      </c>
      <c r="C8719" t="s">
        <v>19027</v>
      </c>
      <c r="D8719" t="s">
        <v>20</v>
      </c>
      <c r="E8719" t="s">
        <v>11</v>
      </c>
      <c r="F8719">
        <v>185.9</v>
      </c>
      <c r="G8719">
        <v>18</v>
      </c>
    </row>
    <row r="8720" spans="1:7" x14ac:dyDescent="0.25">
      <c r="A8720" t="s">
        <v>41</v>
      </c>
      <c r="B8720" t="s">
        <v>6315</v>
      </c>
      <c r="C8720" t="s">
        <v>19028</v>
      </c>
      <c r="D8720" t="s">
        <v>20</v>
      </c>
      <c r="E8720" t="s">
        <v>11</v>
      </c>
      <c r="F8720">
        <v>1788.6000000000001</v>
      </c>
      <c r="G8720">
        <v>18</v>
      </c>
    </row>
    <row r="8721" spans="1:7" x14ac:dyDescent="0.25">
      <c r="A8721" t="s">
        <v>41</v>
      </c>
      <c r="B8721" t="s">
        <v>6318</v>
      </c>
      <c r="C8721" t="s">
        <v>19029</v>
      </c>
      <c r="D8721" t="s">
        <v>20</v>
      </c>
      <c r="E8721" t="s">
        <v>11</v>
      </c>
      <c r="F8721">
        <v>756.8</v>
      </c>
      <c r="G8721">
        <v>18</v>
      </c>
    </row>
    <row r="8722" spans="1:7" x14ac:dyDescent="0.25">
      <c r="A8722" t="s">
        <v>41</v>
      </c>
      <c r="B8722" t="s">
        <v>6321</v>
      </c>
      <c r="C8722" t="s">
        <v>19030</v>
      </c>
      <c r="D8722" t="s">
        <v>20</v>
      </c>
      <c r="E8722" t="s">
        <v>11</v>
      </c>
      <c r="F8722">
        <v>126.49999999999999</v>
      </c>
      <c r="G8722">
        <v>18</v>
      </c>
    </row>
    <row r="8723" spans="1:7" x14ac:dyDescent="0.25">
      <c r="A8723" t="s">
        <v>41</v>
      </c>
      <c r="B8723" t="s">
        <v>6324</v>
      </c>
      <c r="C8723" t="s">
        <v>19031</v>
      </c>
      <c r="D8723" t="s">
        <v>20</v>
      </c>
      <c r="E8723" t="s">
        <v>11</v>
      </c>
      <c r="F8723">
        <v>836</v>
      </c>
      <c r="G8723">
        <v>18</v>
      </c>
    </row>
    <row r="8724" spans="1:7" x14ac:dyDescent="0.25">
      <c r="A8724" t="s">
        <v>41</v>
      </c>
      <c r="B8724" t="s">
        <v>6327</v>
      </c>
      <c r="C8724" t="s">
        <v>18182</v>
      </c>
      <c r="D8724" t="s">
        <v>20</v>
      </c>
      <c r="E8724" t="s">
        <v>11</v>
      </c>
      <c r="F8724">
        <v>836</v>
      </c>
      <c r="G8724">
        <v>18</v>
      </c>
    </row>
    <row r="8725" spans="1:7" x14ac:dyDescent="0.25">
      <c r="A8725" t="s">
        <v>41</v>
      </c>
      <c r="B8725" t="s">
        <v>6330</v>
      </c>
      <c r="C8725" t="s">
        <v>19032</v>
      </c>
      <c r="D8725" t="s">
        <v>20</v>
      </c>
      <c r="E8725" t="s">
        <v>11</v>
      </c>
      <c r="F8725">
        <v>1457.5</v>
      </c>
      <c r="G8725">
        <v>18</v>
      </c>
    </row>
    <row r="8726" spans="1:7" x14ac:dyDescent="0.25">
      <c r="A8726" t="s">
        <v>41</v>
      </c>
      <c r="B8726" t="s">
        <v>6333</v>
      </c>
      <c r="C8726" t="s">
        <v>17865</v>
      </c>
      <c r="D8726" t="s">
        <v>20</v>
      </c>
      <c r="E8726" t="s">
        <v>11</v>
      </c>
      <c r="F8726">
        <v>183.7</v>
      </c>
      <c r="G8726">
        <v>18</v>
      </c>
    </row>
    <row r="8727" spans="1:7" x14ac:dyDescent="0.25">
      <c r="A8727" t="s">
        <v>41</v>
      </c>
      <c r="B8727" t="s">
        <v>6336</v>
      </c>
      <c r="C8727" t="s">
        <v>18183</v>
      </c>
      <c r="D8727" t="s">
        <v>20</v>
      </c>
      <c r="E8727" t="s">
        <v>11</v>
      </c>
      <c r="F8727">
        <v>136.4</v>
      </c>
      <c r="G8727">
        <v>18</v>
      </c>
    </row>
    <row r="8728" spans="1:7" x14ac:dyDescent="0.25">
      <c r="A8728" t="s">
        <v>41</v>
      </c>
      <c r="B8728" t="s">
        <v>6339</v>
      </c>
      <c r="C8728" t="s">
        <v>19033</v>
      </c>
      <c r="D8728" t="s">
        <v>20</v>
      </c>
      <c r="E8728" t="s">
        <v>11</v>
      </c>
      <c r="F8728">
        <v>639.0999999999999</v>
      </c>
      <c r="G8728">
        <v>18</v>
      </c>
    </row>
    <row r="8729" spans="1:7" x14ac:dyDescent="0.25">
      <c r="A8729" t="s">
        <v>41</v>
      </c>
      <c r="B8729" t="s">
        <v>6342</v>
      </c>
      <c r="C8729" t="s">
        <v>19034</v>
      </c>
      <c r="D8729" t="s">
        <v>20</v>
      </c>
      <c r="E8729" t="s">
        <v>11</v>
      </c>
      <c r="F8729">
        <v>555.5</v>
      </c>
      <c r="G8729">
        <v>18</v>
      </c>
    </row>
    <row r="8730" spans="1:7" x14ac:dyDescent="0.25">
      <c r="A8730" t="s">
        <v>41</v>
      </c>
      <c r="B8730" t="s">
        <v>6345</v>
      </c>
      <c r="C8730" t="s">
        <v>19035</v>
      </c>
      <c r="D8730" t="s">
        <v>20</v>
      </c>
      <c r="E8730" t="s">
        <v>11</v>
      </c>
      <c r="F8730">
        <v>486.2</v>
      </c>
      <c r="G8730">
        <v>18</v>
      </c>
    </row>
    <row r="8731" spans="1:7" x14ac:dyDescent="0.25">
      <c r="A8731" t="s">
        <v>41</v>
      </c>
      <c r="B8731" t="s">
        <v>6348</v>
      </c>
      <c r="C8731" t="s">
        <v>19036</v>
      </c>
      <c r="D8731" t="s">
        <v>20</v>
      </c>
      <c r="E8731" t="s">
        <v>11</v>
      </c>
      <c r="F8731">
        <v>486.2</v>
      </c>
      <c r="G8731">
        <v>18</v>
      </c>
    </row>
    <row r="8732" spans="1:7" x14ac:dyDescent="0.25">
      <c r="A8732" t="s">
        <v>41</v>
      </c>
      <c r="B8732" t="s">
        <v>6351</v>
      </c>
      <c r="C8732" t="s">
        <v>18767</v>
      </c>
      <c r="D8732" t="s">
        <v>20</v>
      </c>
      <c r="E8732" t="s">
        <v>11</v>
      </c>
      <c r="F8732">
        <v>114.4</v>
      </c>
      <c r="G8732">
        <v>18</v>
      </c>
    </row>
    <row r="8733" spans="1:7" x14ac:dyDescent="0.25">
      <c r="A8733" t="s">
        <v>41</v>
      </c>
      <c r="B8733" t="s">
        <v>6354</v>
      </c>
      <c r="C8733" t="s">
        <v>18218</v>
      </c>
      <c r="D8733" t="s">
        <v>20</v>
      </c>
      <c r="E8733" t="s">
        <v>11</v>
      </c>
      <c r="F8733">
        <v>56.1</v>
      </c>
      <c r="G8733">
        <v>18</v>
      </c>
    </row>
    <row r="8734" spans="1:7" x14ac:dyDescent="0.25">
      <c r="A8734" t="s">
        <v>41</v>
      </c>
      <c r="B8734" t="s">
        <v>6357</v>
      </c>
      <c r="C8734" t="s">
        <v>18216</v>
      </c>
      <c r="D8734" t="s">
        <v>20</v>
      </c>
      <c r="E8734" t="s">
        <v>11</v>
      </c>
      <c r="F8734">
        <v>58.300000000000004</v>
      </c>
      <c r="G8734">
        <v>18</v>
      </c>
    </row>
    <row r="8735" spans="1:7" x14ac:dyDescent="0.25">
      <c r="A8735" t="s">
        <v>41</v>
      </c>
      <c r="B8735" t="s">
        <v>6360</v>
      </c>
      <c r="C8735" t="s">
        <v>19037</v>
      </c>
      <c r="D8735" t="s">
        <v>20</v>
      </c>
      <c r="E8735" t="s">
        <v>11</v>
      </c>
      <c r="F8735">
        <v>1687.4</v>
      </c>
      <c r="G8735">
        <v>18</v>
      </c>
    </row>
    <row r="8736" spans="1:7" x14ac:dyDescent="0.25">
      <c r="A8736" t="s">
        <v>41</v>
      </c>
      <c r="B8736" t="s">
        <v>6363</v>
      </c>
      <c r="C8736" t="s">
        <v>19038</v>
      </c>
      <c r="D8736" t="s">
        <v>20</v>
      </c>
      <c r="E8736" t="s">
        <v>11</v>
      </c>
      <c r="F8736">
        <v>58.300000000000004</v>
      </c>
      <c r="G8736">
        <v>18</v>
      </c>
    </row>
    <row r="8737" spans="1:7" x14ac:dyDescent="0.25">
      <c r="A8737" t="s">
        <v>41</v>
      </c>
      <c r="B8737" t="s">
        <v>6366</v>
      </c>
      <c r="C8737" t="s">
        <v>19039</v>
      </c>
      <c r="D8737" t="s">
        <v>20</v>
      </c>
      <c r="E8737" t="s">
        <v>11</v>
      </c>
      <c r="F8737">
        <v>58.300000000000004</v>
      </c>
      <c r="G8737">
        <v>18</v>
      </c>
    </row>
    <row r="8738" spans="1:7" x14ac:dyDescent="0.25">
      <c r="A8738" t="s">
        <v>41</v>
      </c>
      <c r="B8738" t="s">
        <v>6369</v>
      </c>
      <c r="C8738" t="s">
        <v>19040</v>
      </c>
      <c r="D8738" t="s">
        <v>20</v>
      </c>
      <c r="E8738" t="s">
        <v>11</v>
      </c>
      <c r="F8738">
        <v>58.300000000000004</v>
      </c>
      <c r="G8738">
        <v>18</v>
      </c>
    </row>
    <row r="8739" spans="1:7" x14ac:dyDescent="0.25">
      <c r="A8739" t="s">
        <v>41</v>
      </c>
      <c r="B8739" t="s">
        <v>6372</v>
      </c>
      <c r="C8739" t="s">
        <v>18515</v>
      </c>
      <c r="D8739" t="s">
        <v>20</v>
      </c>
      <c r="E8739" t="s">
        <v>11</v>
      </c>
      <c r="F8739">
        <v>57.2</v>
      </c>
      <c r="G8739">
        <v>18</v>
      </c>
    </row>
    <row r="8740" spans="1:7" x14ac:dyDescent="0.25">
      <c r="A8740" t="s">
        <v>41</v>
      </c>
      <c r="B8740" t="s">
        <v>6375</v>
      </c>
      <c r="C8740" t="s">
        <v>18216</v>
      </c>
      <c r="D8740" t="s">
        <v>20</v>
      </c>
      <c r="E8740" t="s">
        <v>11</v>
      </c>
      <c r="F8740">
        <v>58.300000000000004</v>
      </c>
      <c r="G8740">
        <v>18</v>
      </c>
    </row>
    <row r="8741" spans="1:7" x14ac:dyDescent="0.25">
      <c r="A8741" t="s">
        <v>41</v>
      </c>
      <c r="B8741" t="s">
        <v>6378</v>
      </c>
      <c r="C8741" t="s">
        <v>19041</v>
      </c>
      <c r="D8741" t="s">
        <v>20</v>
      </c>
      <c r="E8741" t="s">
        <v>11</v>
      </c>
      <c r="F8741">
        <v>57.2</v>
      </c>
      <c r="G8741">
        <v>18</v>
      </c>
    </row>
    <row r="8742" spans="1:7" x14ac:dyDescent="0.25">
      <c r="A8742" t="s">
        <v>41</v>
      </c>
      <c r="B8742" t="s">
        <v>6381</v>
      </c>
      <c r="C8742" t="s">
        <v>18260</v>
      </c>
      <c r="D8742" t="s">
        <v>20</v>
      </c>
      <c r="E8742" t="s">
        <v>11</v>
      </c>
      <c r="F8742">
        <v>136.4</v>
      </c>
      <c r="G8742">
        <v>18</v>
      </c>
    </row>
    <row r="8743" spans="1:7" x14ac:dyDescent="0.25">
      <c r="A8743" t="s">
        <v>41</v>
      </c>
      <c r="B8743" t="s">
        <v>6384</v>
      </c>
      <c r="C8743" t="s">
        <v>19042</v>
      </c>
      <c r="D8743" t="s">
        <v>20</v>
      </c>
      <c r="E8743" t="s">
        <v>11</v>
      </c>
      <c r="F8743">
        <v>133.1</v>
      </c>
      <c r="G8743">
        <v>18</v>
      </c>
    </row>
    <row r="8744" spans="1:7" x14ac:dyDescent="0.25">
      <c r="A8744" t="s">
        <v>41</v>
      </c>
      <c r="B8744" t="s">
        <v>6387</v>
      </c>
      <c r="C8744" t="s">
        <v>19043</v>
      </c>
      <c r="D8744" t="s">
        <v>20</v>
      </c>
      <c r="E8744" t="s">
        <v>11</v>
      </c>
      <c r="F8744">
        <v>180.39999999999998</v>
      </c>
      <c r="G8744">
        <v>18</v>
      </c>
    </row>
    <row r="8745" spans="1:7" x14ac:dyDescent="0.25">
      <c r="A8745" t="s">
        <v>41</v>
      </c>
      <c r="B8745" t="s">
        <v>6390</v>
      </c>
      <c r="C8745" t="s">
        <v>18184</v>
      </c>
      <c r="D8745" t="s">
        <v>20</v>
      </c>
      <c r="E8745" t="s">
        <v>11</v>
      </c>
      <c r="F8745">
        <v>2241.7999999999997</v>
      </c>
      <c r="G8745">
        <v>18</v>
      </c>
    </row>
    <row r="8746" spans="1:7" x14ac:dyDescent="0.25">
      <c r="A8746" t="s">
        <v>41</v>
      </c>
      <c r="B8746" t="s">
        <v>6393</v>
      </c>
      <c r="C8746" t="s">
        <v>18185</v>
      </c>
      <c r="D8746" t="s">
        <v>20</v>
      </c>
      <c r="E8746" t="s">
        <v>11</v>
      </c>
      <c r="F8746">
        <v>2505.8</v>
      </c>
      <c r="G8746">
        <v>18</v>
      </c>
    </row>
    <row r="8747" spans="1:7" x14ac:dyDescent="0.25">
      <c r="A8747" t="s">
        <v>41</v>
      </c>
      <c r="B8747" t="s">
        <v>6396</v>
      </c>
      <c r="C8747" t="s">
        <v>18186</v>
      </c>
      <c r="D8747" t="s">
        <v>20</v>
      </c>
      <c r="E8747" t="s">
        <v>11</v>
      </c>
      <c r="F8747">
        <v>628.1</v>
      </c>
      <c r="G8747">
        <v>18</v>
      </c>
    </row>
    <row r="8748" spans="1:7" x14ac:dyDescent="0.25">
      <c r="A8748" t="s">
        <v>41</v>
      </c>
      <c r="B8748" t="s">
        <v>6399</v>
      </c>
      <c r="C8748" t="s">
        <v>18187</v>
      </c>
      <c r="D8748" t="s">
        <v>20</v>
      </c>
      <c r="E8748" t="s">
        <v>11</v>
      </c>
      <c r="F8748">
        <v>345.40000000000003</v>
      </c>
      <c r="G8748">
        <v>18</v>
      </c>
    </row>
    <row r="8749" spans="1:7" x14ac:dyDescent="0.25">
      <c r="A8749" t="s">
        <v>41</v>
      </c>
      <c r="B8749" t="s">
        <v>6402</v>
      </c>
      <c r="C8749" t="s">
        <v>18188</v>
      </c>
      <c r="D8749" t="s">
        <v>20</v>
      </c>
      <c r="E8749" t="s">
        <v>11</v>
      </c>
      <c r="F8749">
        <v>63.8</v>
      </c>
      <c r="G8749">
        <v>18</v>
      </c>
    </row>
    <row r="8750" spans="1:7" x14ac:dyDescent="0.25">
      <c r="A8750" t="s">
        <v>41</v>
      </c>
      <c r="B8750" t="s">
        <v>6405</v>
      </c>
      <c r="C8750" t="s">
        <v>18189</v>
      </c>
      <c r="D8750" t="s">
        <v>20</v>
      </c>
      <c r="E8750" t="s">
        <v>11</v>
      </c>
      <c r="F8750">
        <v>1457.5</v>
      </c>
      <c r="G8750">
        <v>18</v>
      </c>
    </row>
    <row r="8751" spans="1:7" x14ac:dyDescent="0.25">
      <c r="A8751" t="s">
        <v>41</v>
      </c>
      <c r="B8751" t="s">
        <v>6408</v>
      </c>
      <c r="C8751" t="s">
        <v>18190</v>
      </c>
      <c r="D8751" t="s">
        <v>20</v>
      </c>
      <c r="E8751" t="s">
        <v>11</v>
      </c>
      <c r="F8751">
        <v>61.60000000000001</v>
      </c>
      <c r="G8751">
        <v>18</v>
      </c>
    </row>
    <row r="8752" spans="1:7" x14ac:dyDescent="0.25">
      <c r="A8752" t="s">
        <v>41</v>
      </c>
      <c r="B8752" t="s">
        <v>6411</v>
      </c>
      <c r="C8752" t="s">
        <v>17819</v>
      </c>
      <c r="D8752" t="s">
        <v>20</v>
      </c>
      <c r="E8752" t="s">
        <v>11</v>
      </c>
      <c r="F8752">
        <v>79.2</v>
      </c>
      <c r="G8752">
        <v>18</v>
      </c>
    </row>
    <row r="8753" spans="1:7" x14ac:dyDescent="0.25">
      <c r="A8753" t="s">
        <v>41</v>
      </c>
      <c r="B8753" t="s">
        <v>6414</v>
      </c>
      <c r="C8753" t="s">
        <v>18191</v>
      </c>
      <c r="D8753" t="s">
        <v>20</v>
      </c>
      <c r="E8753" t="s">
        <v>11</v>
      </c>
      <c r="F8753">
        <v>79.2</v>
      </c>
      <c r="G8753">
        <v>18</v>
      </c>
    </row>
    <row r="8754" spans="1:7" x14ac:dyDescent="0.25">
      <c r="A8754" t="s">
        <v>41</v>
      </c>
      <c r="B8754" t="s">
        <v>6417</v>
      </c>
      <c r="C8754" t="s">
        <v>18192</v>
      </c>
      <c r="D8754" t="s">
        <v>20</v>
      </c>
      <c r="E8754" t="s">
        <v>11</v>
      </c>
      <c r="F8754">
        <v>1788.6000000000001</v>
      </c>
      <c r="G8754">
        <v>18</v>
      </c>
    </row>
    <row r="8755" spans="1:7" x14ac:dyDescent="0.25">
      <c r="A8755" t="s">
        <v>41</v>
      </c>
      <c r="B8755" t="s">
        <v>6420</v>
      </c>
      <c r="C8755" t="s">
        <v>18193</v>
      </c>
      <c r="D8755" t="s">
        <v>20</v>
      </c>
      <c r="E8755" t="s">
        <v>11</v>
      </c>
      <c r="F8755">
        <v>645.7</v>
      </c>
      <c r="G8755">
        <v>18</v>
      </c>
    </row>
    <row r="8756" spans="1:7" x14ac:dyDescent="0.25">
      <c r="A8756" t="s">
        <v>41</v>
      </c>
      <c r="B8756" t="s">
        <v>6423</v>
      </c>
      <c r="C8756" t="s">
        <v>18194</v>
      </c>
      <c r="D8756" t="s">
        <v>20</v>
      </c>
      <c r="E8756" t="s">
        <v>11</v>
      </c>
      <c r="F8756">
        <v>1788.6000000000001</v>
      </c>
      <c r="G8756">
        <v>18</v>
      </c>
    </row>
    <row r="8757" spans="1:7" x14ac:dyDescent="0.25">
      <c r="A8757" t="s">
        <v>41</v>
      </c>
      <c r="B8757" t="s">
        <v>6426</v>
      </c>
      <c r="C8757" t="s">
        <v>18195</v>
      </c>
      <c r="D8757" t="s">
        <v>20</v>
      </c>
      <c r="E8757" t="s">
        <v>11</v>
      </c>
      <c r="F8757">
        <v>1788.6000000000001</v>
      </c>
      <c r="G8757">
        <v>18</v>
      </c>
    </row>
    <row r="8758" spans="1:7" x14ac:dyDescent="0.25">
      <c r="A8758" t="s">
        <v>41</v>
      </c>
      <c r="B8758" t="s">
        <v>6429</v>
      </c>
      <c r="C8758" t="s">
        <v>18196</v>
      </c>
      <c r="D8758" t="s">
        <v>20</v>
      </c>
      <c r="E8758" t="s">
        <v>11</v>
      </c>
      <c r="F8758">
        <v>1408</v>
      </c>
      <c r="G8758">
        <v>18</v>
      </c>
    </row>
    <row r="8759" spans="1:7" x14ac:dyDescent="0.25">
      <c r="A8759" t="s">
        <v>41</v>
      </c>
      <c r="B8759" t="s">
        <v>6432</v>
      </c>
      <c r="C8759" t="s">
        <v>18197</v>
      </c>
      <c r="D8759" t="s">
        <v>20</v>
      </c>
      <c r="E8759" t="s">
        <v>11</v>
      </c>
      <c r="F8759">
        <v>240.9</v>
      </c>
      <c r="G8759">
        <v>18</v>
      </c>
    </row>
    <row r="8760" spans="1:7" x14ac:dyDescent="0.25">
      <c r="A8760" t="s">
        <v>41</v>
      </c>
      <c r="B8760" t="s">
        <v>6435</v>
      </c>
      <c r="C8760" t="s">
        <v>19044</v>
      </c>
      <c r="D8760" t="s">
        <v>20</v>
      </c>
      <c r="E8760" t="s">
        <v>11</v>
      </c>
      <c r="F8760">
        <v>847</v>
      </c>
      <c r="G8760">
        <v>18</v>
      </c>
    </row>
    <row r="8761" spans="1:7" x14ac:dyDescent="0.25">
      <c r="A8761" t="s">
        <v>41</v>
      </c>
      <c r="B8761" t="s">
        <v>6438</v>
      </c>
      <c r="C8761" t="s">
        <v>17731</v>
      </c>
      <c r="D8761" t="s">
        <v>20</v>
      </c>
      <c r="E8761" t="s">
        <v>11</v>
      </c>
      <c r="F8761">
        <v>194.7</v>
      </c>
      <c r="G8761">
        <v>18</v>
      </c>
    </row>
    <row r="8762" spans="1:7" x14ac:dyDescent="0.25">
      <c r="A8762" t="s">
        <v>41</v>
      </c>
      <c r="B8762" t="s">
        <v>6441</v>
      </c>
      <c r="C8762" t="s">
        <v>19045</v>
      </c>
      <c r="D8762" t="s">
        <v>20</v>
      </c>
      <c r="E8762" t="s">
        <v>11</v>
      </c>
      <c r="F8762">
        <v>257.4</v>
      </c>
      <c r="G8762">
        <v>18</v>
      </c>
    </row>
    <row r="8763" spans="1:7" x14ac:dyDescent="0.25">
      <c r="A8763" t="s">
        <v>41</v>
      </c>
      <c r="B8763" t="s">
        <v>6444</v>
      </c>
      <c r="C8763" t="s">
        <v>19046</v>
      </c>
      <c r="D8763" t="s">
        <v>20</v>
      </c>
      <c r="E8763" t="s">
        <v>11</v>
      </c>
      <c r="F8763">
        <v>1848</v>
      </c>
      <c r="G8763">
        <v>18</v>
      </c>
    </row>
    <row r="8764" spans="1:7" x14ac:dyDescent="0.25">
      <c r="A8764" t="s">
        <v>41</v>
      </c>
      <c r="B8764" t="s">
        <v>6447</v>
      </c>
      <c r="C8764" t="s">
        <v>18198</v>
      </c>
      <c r="D8764" t="s">
        <v>20</v>
      </c>
      <c r="E8764" t="s">
        <v>11</v>
      </c>
      <c r="F8764">
        <v>49127.1</v>
      </c>
      <c r="G8764">
        <v>18</v>
      </c>
    </row>
    <row r="8765" spans="1:7" x14ac:dyDescent="0.25">
      <c r="A8765" t="s">
        <v>41</v>
      </c>
      <c r="B8765" t="s">
        <v>6450</v>
      </c>
      <c r="C8765" t="s">
        <v>18199</v>
      </c>
      <c r="D8765" t="s">
        <v>20</v>
      </c>
      <c r="E8765" t="s">
        <v>11</v>
      </c>
      <c r="F8765">
        <v>38294.3</v>
      </c>
      <c r="G8765">
        <v>18</v>
      </c>
    </row>
    <row r="8766" spans="1:7" x14ac:dyDescent="0.25">
      <c r="A8766" t="s">
        <v>41</v>
      </c>
      <c r="B8766" t="s">
        <v>6453</v>
      </c>
      <c r="C8766" t="s">
        <v>18169</v>
      </c>
      <c r="D8766" t="s">
        <v>20</v>
      </c>
      <c r="E8766" t="s">
        <v>11</v>
      </c>
      <c r="F8766">
        <v>9762.5</v>
      </c>
      <c r="G8766">
        <v>18</v>
      </c>
    </row>
    <row r="8767" spans="1:7" x14ac:dyDescent="0.25">
      <c r="A8767" t="s">
        <v>41</v>
      </c>
      <c r="B8767" t="s">
        <v>6456</v>
      </c>
      <c r="C8767" t="s">
        <v>19047</v>
      </c>
      <c r="D8767" t="s">
        <v>20</v>
      </c>
      <c r="E8767" t="s">
        <v>11</v>
      </c>
      <c r="F8767">
        <v>8897.9</v>
      </c>
      <c r="G8767">
        <v>18</v>
      </c>
    </row>
    <row r="8768" spans="1:7" x14ac:dyDescent="0.25">
      <c r="A8768" t="s">
        <v>41</v>
      </c>
      <c r="B8768" t="s">
        <v>6459</v>
      </c>
      <c r="C8768" t="s">
        <v>19048</v>
      </c>
      <c r="D8768" t="s">
        <v>20</v>
      </c>
      <c r="E8768" t="s">
        <v>11</v>
      </c>
      <c r="F8768">
        <v>754.6</v>
      </c>
      <c r="G8768">
        <v>18</v>
      </c>
    </row>
    <row r="8769" spans="1:7" x14ac:dyDescent="0.25">
      <c r="A8769" t="s">
        <v>41</v>
      </c>
      <c r="B8769" t="s">
        <v>6462</v>
      </c>
      <c r="C8769" t="s">
        <v>19049</v>
      </c>
      <c r="D8769" t="s">
        <v>20</v>
      </c>
      <c r="E8769" t="s">
        <v>11</v>
      </c>
      <c r="F8769">
        <v>442.19999999999993</v>
      </c>
      <c r="G8769">
        <v>18</v>
      </c>
    </row>
    <row r="8770" spans="1:7" x14ac:dyDescent="0.25">
      <c r="A8770" t="s">
        <v>41</v>
      </c>
      <c r="B8770" t="s">
        <v>6465</v>
      </c>
      <c r="C8770" t="s">
        <v>19050</v>
      </c>
      <c r="D8770" t="s">
        <v>20</v>
      </c>
      <c r="E8770" t="s">
        <v>11</v>
      </c>
      <c r="F8770">
        <v>3269.2</v>
      </c>
      <c r="G8770">
        <v>18</v>
      </c>
    </row>
    <row r="8771" spans="1:7" x14ac:dyDescent="0.25">
      <c r="A8771" t="s">
        <v>41</v>
      </c>
      <c r="B8771" t="s">
        <v>6468</v>
      </c>
      <c r="C8771" t="s">
        <v>19051</v>
      </c>
      <c r="D8771" t="s">
        <v>20</v>
      </c>
      <c r="E8771" t="s">
        <v>11</v>
      </c>
      <c r="F8771">
        <v>2737.9</v>
      </c>
      <c r="G8771">
        <v>18</v>
      </c>
    </row>
    <row r="8772" spans="1:7" x14ac:dyDescent="0.25">
      <c r="A8772" t="s">
        <v>41</v>
      </c>
      <c r="B8772" t="s">
        <v>6471</v>
      </c>
      <c r="C8772" t="s">
        <v>19052</v>
      </c>
      <c r="D8772" t="s">
        <v>20</v>
      </c>
      <c r="E8772" t="s">
        <v>11</v>
      </c>
      <c r="F8772">
        <v>2740.1</v>
      </c>
      <c r="G8772">
        <v>18</v>
      </c>
    </row>
    <row r="8773" spans="1:7" x14ac:dyDescent="0.25">
      <c r="A8773" t="s">
        <v>41</v>
      </c>
      <c r="B8773" t="s">
        <v>6474</v>
      </c>
      <c r="C8773" t="s">
        <v>19053</v>
      </c>
      <c r="D8773" t="s">
        <v>20</v>
      </c>
      <c r="E8773" t="s">
        <v>11</v>
      </c>
      <c r="F8773">
        <v>43450</v>
      </c>
      <c r="G8773">
        <v>18</v>
      </c>
    </row>
    <row r="8774" spans="1:7" x14ac:dyDescent="0.25">
      <c r="A8774" t="s">
        <v>41</v>
      </c>
      <c r="B8774" t="s">
        <v>6477</v>
      </c>
      <c r="C8774" t="s">
        <v>19054</v>
      </c>
      <c r="D8774" t="s">
        <v>20</v>
      </c>
      <c r="E8774" t="s">
        <v>11</v>
      </c>
      <c r="F8774">
        <v>36850</v>
      </c>
      <c r="G8774">
        <v>18</v>
      </c>
    </row>
    <row r="8775" spans="1:7" x14ac:dyDescent="0.25">
      <c r="A8775" t="s">
        <v>41</v>
      </c>
      <c r="B8775" t="s">
        <v>6480</v>
      </c>
      <c r="C8775" t="s">
        <v>19055</v>
      </c>
      <c r="D8775" t="s">
        <v>20</v>
      </c>
      <c r="E8775" t="s">
        <v>11</v>
      </c>
      <c r="F8775">
        <v>4722.3</v>
      </c>
      <c r="G8775">
        <v>18</v>
      </c>
    </row>
    <row r="8776" spans="1:7" x14ac:dyDescent="0.25">
      <c r="A8776" t="s">
        <v>41</v>
      </c>
      <c r="B8776" t="s">
        <v>6483</v>
      </c>
      <c r="C8776" t="s">
        <v>17697</v>
      </c>
      <c r="D8776" t="s">
        <v>20</v>
      </c>
      <c r="E8776" t="s">
        <v>11</v>
      </c>
      <c r="F8776">
        <v>965.8</v>
      </c>
      <c r="G8776">
        <v>18</v>
      </c>
    </row>
    <row r="8777" spans="1:7" x14ac:dyDescent="0.25">
      <c r="A8777" t="s">
        <v>41</v>
      </c>
      <c r="B8777" t="s">
        <v>6486</v>
      </c>
      <c r="C8777" t="s">
        <v>19056</v>
      </c>
      <c r="D8777" t="s">
        <v>20</v>
      </c>
      <c r="E8777" t="s">
        <v>11</v>
      </c>
      <c r="F8777">
        <v>1967.9</v>
      </c>
      <c r="G8777">
        <v>18</v>
      </c>
    </row>
    <row r="8778" spans="1:7" x14ac:dyDescent="0.25">
      <c r="A8778" t="s">
        <v>41</v>
      </c>
      <c r="B8778" t="s">
        <v>6489</v>
      </c>
      <c r="C8778" t="s">
        <v>17699</v>
      </c>
      <c r="D8778" t="s">
        <v>20</v>
      </c>
      <c r="E8778" t="s">
        <v>11</v>
      </c>
      <c r="F8778">
        <v>1487.2</v>
      </c>
      <c r="G8778">
        <v>18</v>
      </c>
    </row>
    <row r="8779" spans="1:7" x14ac:dyDescent="0.25">
      <c r="A8779" t="s">
        <v>41</v>
      </c>
      <c r="B8779" t="s">
        <v>6492</v>
      </c>
      <c r="C8779" t="s">
        <v>17700</v>
      </c>
      <c r="D8779" t="s">
        <v>20</v>
      </c>
      <c r="E8779" t="s">
        <v>11</v>
      </c>
      <c r="F8779">
        <v>727.1</v>
      </c>
      <c r="G8779">
        <v>18</v>
      </c>
    </row>
    <row r="8780" spans="1:7" x14ac:dyDescent="0.25">
      <c r="A8780" t="s">
        <v>41</v>
      </c>
      <c r="B8780" t="s">
        <v>6495</v>
      </c>
      <c r="C8780" t="s">
        <v>17511</v>
      </c>
      <c r="D8780" t="s">
        <v>20</v>
      </c>
      <c r="E8780" t="s">
        <v>11</v>
      </c>
      <c r="F8780">
        <v>201.3</v>
      </c>
      <c r="G8780">
        <v>18</v>
      </c>
    </row>
    <row r="8781" spans="1:7" x14ac:dyDescent="0.25">
      <c r="A8781" t="s">
        <v>41</v>
      </c>
      <c r="B8781" t="s">
        <v>6498</v>
      </c>
      <c r="C8781" t="s">
        <v>19057</v>
      </c>
      <c r="D8781" t="s">
        <v>20</v>
      </c>
      <c r="E8781" t="s">
        <v>11</v>
      </c>
      <c r="F8781">
        <v>58.300000000000004</v>
      </c>
      <c r="G8781">
        <v>18</v>
      </c>
    </row>
    <row r="8782" spans="1:7" x14ac:dyDescent="0.25">
      <c r="A8782" t="s">
        <v>41</v>
      </c>
      <c r="B8782" t="s">
        <v>6501</v>
      </c>
      <c r="C8782" t="s">
        <v>18040</v>
      </c>
      <c r="D8782" t="s">
        <v>20</v>
      </c>
      <c r="E8782" t="s">
        <v>11</v>
      </c>
      <c r="F8782">
        <v>103.39999999999999</v>
      </c>
      <c r="G8782">
        <v>18</v>
      </c>
    </row>
    <row r="8783" spans="1:7" x14ac:dyDescent="0.25">
      <c r="A8783" t="s">
        <v>41</v>
      </c>
      <c r="B8783" t="s">
        <v>6504</v>
      </c>
      <c r="C8783" t="s">
        <v>17703</v>
      </c>
      <c r="D8783" t="s">
        <v>20</v>
      </c>
      <c r="E8783" t="s">
        <v>11</v>
      </c>
      <c r="F8783">
        <v>334.4</v>
      </c>
      <c r="G8783">
        <v>18</v>
      </c>
    </row>
    <row r="8784" spans="1:7" x14ac:dyDescent="0.25">
      <c r="A8784" t="s">
        <v>41</v>
      </c>
      <c r="B8784" t="s">
        <v>6507</v>
      </c>
      <c r="C8784" t="s">
        <v>17752</v>
      </c>
      <c r="D8784" t="s">
        <v>20</v>
      </c>
      <c r="E8784" t="s">
        <v>11</v>
      </c>
      <c r="F8784">
        <v>55376.200000000004</v>
      </c>
      <c r="G8784">
        <v>18</v>
      </c>
    </row>
    <row r="8785" spans="1:7" x14ac:dyDescent="0.25">
      <c r="A8785" t="s">
        <v>41</v>
      </c>
      <c r="B8785" t="s">
        <v>6510</v>
      </c>
      <c r="C8785" t="s">
        <v>17753</v>
      </c>
      <c r="D8785" t="s">
        <v>20</v>
      </c>
      <c r="E8785" t="s">
        <v>11</v>
      </c>
      <c r="F8785">
        <v>23392.6</v>
      </c>
      <c r="G8785">
        <v>18</v>
      </c>
    </row>
    <row r="8786" spans="1:7" x14ac:dyDescent="0.25">
      <c r="A8786" t="s">
        <v>41</v>
      </c>
      <c r="B8786" t="s">
        <v>6513</v>
      </c>
      <c r="C8786" t="s">
        <v>17754</v>
      </c>
      <c r="D8786" t="s">
        <v>20</v>
      </c>
      <c r="E8786" t="s">
        <v>11</v>
      </c>
      <c r="F8786">
        <v>2458.5</v>
      </c>
      <c r="G8786">
        <v>18</v>
      </c>
    </row>
    <row r="8787" spans="1:7" x14ac:dyDescent="0.25">
      <c r="A8787" t="s">
        <v>41</v>
      </c>
      <c r="B8787" t="s">
        <v>6516</v>
      </c>
      <c r="C8787" t="s">
        <v>17755</v>
      </c>
      <c r="D8787" t="s">
        <v>20</v>
      </c>
      <c r="E8787" t="s">
        <v>11</v>
      </c>
      <c r="F8787">
        <v>1147.3</v>
      </c>
      <c r="G8787">
        <v>18</v>
      </c>
    </row>
    <row r="8788" spans="1:7" x14ac:dyDescent="0.25">
      <c r="A8788" t="s">
        <v>41</v>
      </c>
      <c r="B8788" t="s">
        <v>6519</v>
      </c>
      <c r="C8788" t="s">
        <v>17756</v>
      </c>
      <c r="D8788" t="s">
        <v>20</v>
      </c>
      <c r="E8788" t="s">
        <v>11</v>
      </c>
      <c r="F8788">
        <v>669.9</v>
      </c>
      <c r="G8788">
        <v>18</v>
      </c>
    </row>
    <row r="8789" spans="1:7" x14ac:dyDescent="0.25">
      <c r="A8789" t="s">
        <v>41</v>
      </c>
      <c r="B8789" t="s">
        <v>6522</v>
      </c>
      <c r="C8789" t="s">
        <v>17645</v>
      </c>
      <c r="D8789" t="s">
        <v>20</v>
      </c>
      <c r="E8789" t="s">
        <v>11</v>
      </c>
      <c r="F8789">
        <v>207.89999999999998</v>
      </c>
      <c r="G8789">
        <v>18</v>
      </c>
    </row>
    <row r="8790" spans="1:7" x14ac:dyDescent="0.25">
      <c r="A8790" t="s">
        <v>41</v>
      </c>
      <c r="B8790" t="s">
        <v>6525</v>
      </c>
      <c r="C8790" t="s">
        <v>17757</v>
      </c>
      <c r="D8790" t="s">
        <v>20</v>
      </c>
      <c r="E8790" t="s">
        <v>11</v>
      </c>
      <c r="F8790">
        <v>1856.8</v>
      </c>
      <c r="G8790">
        <v>18</v>
      </c>
    </row>
    <row r="8791" spans="1:7" x14ac:dyDescent="0.25">
      <c r="A8791" t="s">
        <v>41</v>
      </c>
      <c r="B8791" t="s">
        <v>6528</v>
      </c>
      <c r="C8791" t="s">
        <v>17636</v>
      </c>
      <c r="D8791" t="s">
        <v>20</v>
      </c>
      <c r="E8791" t="s">
        <v>11</v>
      </c>
      <c r="F8791">
        <v>183.7</v>
      </c>
      <c r="G8791">
        <v>18</v>
      </c>
    </row>
    <row r="8792" spans="1:7" x14ac:dyDescent="0.25">
      <c r="A8792" t="s">
        <v>41</v>
      </c>
      <c r="B8792" t="s">
        <v>6531</v>
      </c>
      <c r="C8792" t="s">
        <v>17758</v>
      </c>
      <c r="D8792" t="s">
        <v>20</v>
      </c>
      <c r="E8792" t="s">
        <v>11</v>
      </c>
      <c r="F8792">
        <v>289.3</v>
      </c>
      <c r="G8792">
        <v>18</v>
      </c>
    </row>
    <row r="8793" spans="1:7" x14ac:dyDescent="0.25">
      <c r="A8793" t="s">
        <v>41</v>
      </c>
      <c r="B8793" t="s">
        <v>6534</v>
      </c>
      <c r="C8793" t="s">
        <v>19058</v>
      </c>
      <c r="D8793" t="s">
        <v>20</v>
      </c>
      <c r="E8793" t="s">
        <v>11</v>
      </c>
      <c r="F8793">
        <v>61.60000000000001</v>
      </c>
      <c r="G8793">
        <v>18</v>
      </c>
    </row>
    <row r="8794" spans="1:7" x14ac:dyDescent="0.25">
      <c r="A8794" t="s">
        <v>41</v>
      </c>
      <c r="B8794" t="s">
        <v>6537</v>
      </c>
      <c r="C8794" t="s">
        <v>17646</v>
      </c>
      <c r="D8794" t="s">
        <v>20</v>
      </c>
      <c r="E8794" t="s">
        <v>11</v>
      </c>
      <c r="F8794">
        <v>70.4</v>
      </c>
      <c r="G8794">
        <v>18</v>
      </c>
    </row>
    <row r="8795" spans="1:7" x14ac:dyDescent="0.25">
      <c r="A8795" t="s">
        <v>41</v>
      </c>
      <c r="B8795" t="s">
        <v>6540</v>
      </c>
      <c r="C8795" t="s">
        <v>19059</v>
      </c>
      <c r="D8795" t="s">
        <v>20</v>
      </c>
      <c r="E8795" t="s">
        <v>11</v>
      </c>
      <c r="F8795">
        <v>61.60000000000001</v>
      </c>
      <c r="G8795">
        <v>18</v>
      </c>
    </row>
    <row r="8796" spans="1:7" x14ac:dyDescent="0.25">
      <c r="A8796" t="s">
        <v>41</v>
      </c>
      <c r="B8796" t="s">
        <v>6543</v>
      </c>
      <c r="C8796" t="s">
        <v>17775</v>
      </c>
      <c r="D8796" t="s">
        <v>20</v>
      </c>
      <c r="E8796" t="s">
        <v>11</v>
      </c>
      <c r="F8796">
        <v>61.60000000000001</v>
      </c>
      <c r="G8796">
        <v>18</v>
      </c>
    </row>
    <row r="8797" spans="1:7" x14ac:dyDescent="0.25">
      <c r="A8797" t="s">
        <v>41</v>
      </c>
      <c r="B8797" t="s">
        <v>6546</v>
      </c>
      <c r="C8797" t="s">
        <v>17776</v>
      </c>
      <c r="D8797" t="s">
        <v>20</v>
      </c>
      <c r="E8797" t="s">
        <v>11</v>
      </c>
      <c r="F8797">
        <v>1512.5</v>
      </c>
      <c r="G8797">
        <v>18</v>
      </c>
    </row>
    <row r="8798" spans="1:7" x14ac:dyDescent="0.25">
      <c r="A8798" t="s">
        <v>41</v>
      </c>
      <c r="B8798" t="s">
        <v>6549</v>
      </c>
      <c r="C8798" t="s">
        <v>17777</v>
      </c>
      <c r="D8798" t="s">
        <v>20</v>
      </c>
      <c r="E8798" t="s">
        <v>11</v>
      </c>
      <c r="F8798">
        <v>14781.8</v>
      </c>
      <c r="G8798">
        <v>18</v>
      </c>
    </row>
    <row r="8799" spans="1:7" x14ac:dyDescent="0.25">
      <c r="A8799" t="s">
        <v>41</v>
      </c>
      <c r="B8799" t="s">
        <v>6552</v>
      </c>
      <c r="C8799" t="s">
        <v>17656</v>
      </c>
      <c r="D8799" t="s">
        <v>20</v>
      </c>
      <c r="E8799" t="s">
        <v>11</v>
      </c>
      <c r="F8799">
        <v>58.300000000000004</v>
      </c>
      <c r="G8799">
        <v>18</v>
      </c>
    </row>
    <row r="8800" spans="1:7" x14ac:dyDescent="0.25">
      <c r="A8800" t="s">
        <v>41</v>
      </c>
      <c r="B8800" t="s">
        <v>6555</v>
      </c>
      <c r="C8800" t="s">
        <v>19060</v>
      </c>
      <c r="D8800" t="s">
        <v>20</v>
      </c>
      <c r="E8800" t="s">
        <v>11</v>
      </c>
      <c r="F8800">
        <v>61.60000000000001</v>
      </c>
      <c r="G8800">
        <v>18</v>
      </c>
    </row>
    <row r="8801" spans="1:7" x14ac:dyDescent="0.25">
      <c r="A8801" t="s">
        <v>41</v>
      </c>
      <c r="B8801" t="s">
        <v>6558</v>
      </c>
      <c r="C8801" t="s">
        <v>17779</v>
      </c>
      <c r="D8801" t="s">
        <v>20</v>
      </c>
      <c r="E8801" t="s">
        <v>11</v>
      </c>
      <c r="F8801">
        <v>58.300000000000004</v>
      </c>
      <c r="G8801">
        <v>18</v>
      </c>
    </row>
    <row r="8802" spans="1:7" x14ac:dyDescent="0.25">
      <c r="A8802" t="s">
        <v>41</v>
      </c>
      <c r="B8802" t="s">
        <v>6561</v>
      </c>
      <c r="C8802" t="s">
        <v>17779</v>
      </c>
      <c r="D8802" t="s">
        <v>20</v>
      </c>
      <c r="E8802" t="s">
        <v>11</v>
      </c>
      <c r="F8802">
        <v>61.60000000000001</v>
      </c>
      <c r="G8802">
        <v>18</v>
      </c>
    </row>
    <row r="8803" spans="1:7" x14ac:dyDescent="0.25">
      <c r="A8803" t="s">
        <v>41</v>
      </c>
      <c r="B8803" t="s">
        <v>6564</v>
      </c>
      <c r="C8803" t="s">
        <v>19061</v>
      </c>
      <c r="D8803" t="s">
        <v>20</v>
      </c>
      <c r="E8803" t="s">
        <v>11</v>
      </c>
      <c r="F8803">
        <v>15818.000000000002</v>
      </c>
      <c r="G8803">
        <v>18</v>
      </c>
    </row>
    <row r="8804" spans="1:7" x14ac:dyDescent="0.25">
      <c r="A8804" t="s">
        <v>41</v>
      </c>
      <c r="B8804" t="s">
        <v>6567</v>
      </c>
      <c r="C8804" t="s">
        <v>17799</v>
      </c>
      <c r="D8804" t="s">
        <v>20</v>
      </c>
      <c r="E8804" t="s">
        <v>11</v>
      </c>
      <c r="F8804">
        <v>10473.099999999999</v>
      </c>
      <c r="G8804">
        <v>18</v>
      </c>
    </row>
    <row r="8805" spans="1:7" x14ac:dyDescent="0.25">
      <c r="A8805" t="s">
        <v>41</v>
      </c>
      <c r="B8805" t="s">
        <v>6570</v>
      </c>
      <c r="C8805" t="s">
        <v>17800</v>
      </c>
      <c r="D8805" t="s">
        <v>20</v>
      </c>
      <c r="E8805" t="s">
        <v>11</v>
      </c>
      <c r="F8805">
        <v>286</v>
      </c>
      <c r="G8805">
        <v>18</v>
      </c>
    </row>
    <row r="8806" spans="1:7" x14ac:dyDescent="0.25">
      <c r="A8806" t="s">
        <v>41</v>
      </c>
      <c r="B8806" t="s">
        <v>6573</v>
      </c>
      <c r="C8806" t="s">
        <v>17677</v>
      </c>
      <c r="D8806" t="s">
        <v>20</v>
      </c>
      <c r="E8806" t="s">
        <v>11</v>
      </c>
      <c r="F8806">
        <v>58.300000000000004</v>
      </c>
      <c r="G8806">
        <v>18</v>
      </c>
    </row>
    <row r="8807" spans="1:7" x14ac:dyDescent="0.25">
      <c r="A8807" t="s">
        <v>41</v>
      </c>
      <c r="B8807" t="s">
        <v>6576</v>
      </c>
      <c r="C8807" t="s">
        <v>17802</v>
      </c>
      <c r="D8807" t="s">
        <v>20</v>
      </c>
      <c r="E8807" t="s">
        <v>11</v>
      </c>
      <c r="F8807">
        <v>70.4</v>
      </c>
      <c r="G8807">
        <v>18</v>
      </c>
    </row>
    <row r="8808" spans="1:7" x14ac:dyDescent="0.25">
      <c r="A8808" t="s">
        <v>41</v>
      </c>
      <c r="B8808" t="s">
        <v>6579</v>
      </c>
      <c r="C8808" t="s">
        <v>17813</v>
      </c>
      <c r="D8808" t="s">
        <v>20</v>
      </c>
      <c r="E8808" t="s">
        <v>11</v>
      </c>
      <c r="F8808">
        <v>58.300000000000004</v>
      </c>
      <c r="G8808">
        <v>18</v>
      </c>
    </row>
    <row r="8809" spans="1:7" x14ac:dyDescent="0.25">
      <c r="A8809" t="s">
        <v>41</v>
      </c>
      <c r="B8809" t="s">
        <v>6582</v>
      </c>
      <c r="C8809" t="s">
        <v>17827</v>
      </c>
      <c r="D8809" t="s">
        <v>20</v>
      </c>
      <c r="E8809" t="s">
        <v>11</v>
      </c>
      <c r="F8809">
        <v>11190.300000000001</v>
      </c>
      <c r="G8809">
        <v>18</v>
      </c>
    </row>
    <row r="8810" spans="1:7" x14ac:dyDescent="0.25">
      <c r="A8810" t="s">
        <v>41</v>
      </c>
      <c r="B8810" t="s">
        <v>6585</v>
      </c>
      <c r="C8810" t="s">
        <v>17828</v>
      </c>
      <c r="D8810" t="s">
        <v>20</v>
      </c>
      <c r="E8810" t="s">
        <v>11</v>
      </c>
      <c r="F8810">
        <v>15782.8</v>
      </c>
      <c r="G8810">
        <v>18</v>
      </c>
    </row>
    <row r="8811" spans="1:7" x14ac:dyDescent="0.25">
      <c r="A8811" t="s">
        <v>41</v>
      </c>
      <c r="B8811" t="s">
        <v>6588</v>
      </c>
      <c r="C8811" t="s">
        <v>17872</v>
      </c>
      <c r="D8811" t="s">
        <v>20</v>
      </c>
      <c r="E8811" t="s">
        <v>11</v>
      </c>
      <c r="F8811">
        <v>178.20000000000002</v>
      </c>
      <c r="G8811">
        <v>18</v>
      </c>
    </row>
    <row r="8812" spans="1:7" x14ac:dyDescent="0.25">
      <c r="A8812" t="s">
        <v>41</v>
      </c>
      <c r="B8812" t="s">
        <v>6591</v>
      </c>
      <c r="C8812" t="s">
        <v>19062</v>
      </c>
      <c r="D8812" t="s">
        <v>20</v>
      </c>
      <c r="E8812" t="s">
        <v>11</v>
      </c>
      <c r="F8812">
        <v>80175.7</v>
      </c>
      <c r="G8812">
        <v>18</v>
      </c>
    </row>
    <row r="8813" spans="1:7" x14ac:dyDescent="0.25">
      <c r="A8813" t="s">
        <v>41</v>
      </c>
      <c r="B8813" t="s">
        <v>6594</v>
      </c>
      <c r="C8813" t="s">
        <v>17805</v>
      </c>
      <c r="D8813" t="s">
        <v>20</v>
      </c>
      <c r="E8813" t="s">
        <v>11</v>
      </c>
      <c r="F8813">
        <v>8336.900000000001</v>
      </c>
      <c r="G8813">
        <v>18</v>
      </c>
    </row>
    <row r="8814" spans="1:7" x14ac:dyDescent="0.25">
      <c r="A8814" t="s">
        <v>41</v>
      </c>
      <c r="B8814" t="s">
        <v>6597</v>
      </c>
      <c r="C8814" t="s">
        <v>17806</v>
      </c>
      <c r="D8814" t="s">
        <v>20</v>
      </c>
      <c r="E8814" t="s">
        <v>11</v>
      </c>
      <c r="F8814">
        <v>4594.700000000001</v>
      </c>
      <c r="G8814">
        <v>18</v>
      </c>
    </row>
    <row r="8815" spans="1:7" x14ac:dyDescent="0.25">
      <c r="A8815" t="s">
        <v>41</v>
      </c>
      <c r="B8815" t="s">
        <v>6600</v>
      </c>
      <c r="C8815" t="s">
        <v>17757</v>
      </c>
      <c r="D8815" t="s">
        <v>20</v>
      </c>
      <c r="E8815" t="s">
        <v>11</v>
      </c>
      <c r="F8815">
        <v>1856.8</v>
      </c>
      <c r="G8815">
        <v>18</v>
      </c>
    </row>
    <row r="8816" spans="1:7" x14ac:dyDescent="0.25">
      <c r="A8816" t="s">
        <v>41</v>
      </c>
      <c r="B8816" t="s">
        <v>6603</v>
      </c>
      <c r="C8816" t="s">
        <v>17645</v>
      </c>
      <c r="D8816" t="s">
        <v>20</v>
      </c>
      <c r="E8816" t="s">
        <v>11</v>
      </c>
      <c r="F8816">
        <v>167.2</v>
      </c>
      <c r="G8816">
        <v>18</v>
      </c>
    </row>
    <row r="8817" spans="1:7" x14ac:dyDescent="0.25">
      <c r="A8817" t="s">
        <v>41</v>
      </c>
      <c r="B8817" t="s">
        <v>6606</v>
      </c>
      <c r="C8817" t="s">
        <v>19063</v>
      </c>
      <c r="D8817" t="s">
        <v>20</v>
      </c>
      <c r="E8817" t="s">
        <v>11</v>
      </c>
      <c r="F8817">
        <v>58.300000000000004</v>
      </c>
      <c r="G8817">
        <v>18</v>
      </c>
    </row>
    <row r="8818" spans="1:7" x14ac:dyDescent="0.25">
      <c r="A8818" t="s">
        <v>41</v>
      </c>
      <c r="B8818" t="s">
        <v>6609</v>
      </c>
      <c r="C8818" t="s">
        <v>17808</v>
      </c>
      <c r="D8818" t="s">
        <v>20</v>
      </c>
      <c r="E8818" t="s">
        <v>11</v>
      </c>
      <c r="F8818">
        <v>70.4</v>
      </c>
      <c r="G8818">
        <v>18</v>
      </c>
    </row>
    <row r="8819" spans="1:7" x14ac:dyDescent="0.25">
      <c r="A8819" t="s">
        <v>41</v>
      </c>
      <c r="B8819" t="s">
        <v>6612</v>
      </c>
      <c r="C8819" t="s">
        <v>17810</v>
      </c>
      <c r="D8819" t="s">
        <v>20</v>
      </c>
      <c r="E8819" t="s">
        <v>11</v>
      </c>
      <c r="F8819">
        <v>7504.2</v>
      </c>
      <c r="G8819">
        <v>18</v>
      </c>
    </row>
    <row r="8820" spans="1:7" x14ac:dyDescent="0.25">
      <c r="A8820" t="s">
        <v>41</v>
      </c>
      <c r="B8820" t="s">
        <v>6615</v>
      </c>
      <c r="C8820" t="s">
        <v>18961</v>
      </c>
      <c r="D8820" t="s">
        <v>20</v>
      </c>
      <c r="E8820" t="s">
        <v>11</v>
      </c>
      <c r="F8820">
        <v>15362.6</v>
      </c>
      <c r="G8820">
        <v>18</v>
      </c>
    </row>
    <row r="8821" spans="1:7" x14ac:dyDescent="0.25">
      <c r="A8821" t="s">
        <v>41</v>
      </c>
      <c r="B8821" t="s">
        <v>6618</v>
      </c>
      <c r="C8821" t="s">
        <v>17697</v>
      </c>
      <c r="D8821" t="s">
        <v>20</v>
      </c>
      <c r="E8821" t="s">
        <v>11</v>
      </c>
      <c r="F8821">
        <v>4721.2</v>
      </c>
      <c r="G8821">
        <v>18</v>
      </c>
    </row>
    <row r="8822" spans="1:7" x14ac:dyDescent="0.25">
      <c r="A8822" t="s">
        <v>41</v>
      </c>
      <c r="B8822" t="s">
        <v>6621</v>
      </c>
      <c r="C8822" t="s">
        <v>18962</v>
      </c>
      <c r="D8822" t="s">
        <v>20</v>
      </c>
      <c r="E8822" t="s">
        <v>11</v>
      </c>
      <c r="F8822">
        <v>10219</v>
      </c>
      <c r="G8822">
        <v>18</v>
      </c>
    </row>
    <row r="8823" spans="1:7" x14ac:dyDescent="0.25">
      <c r="A8823" t="s">
        <v>41</v>
      </c>
      <c r="B8823" t="s">
        <v>6624</v>
      </c>
      <c r="C8823" t="s">
        <v>19064</v>
      </c>
      <c r="D8823" t="s">
        <v>20</v>
      </c>
      <c r="E8823" t="s">
        <v>11</v>
      </c>
      <c r="F8823">
        <v>1829.3</v>
      </c>
      <c r="G8823">
        <v>18</v>
      </c>
    </row>
    <row r="8824" spans="1:7" x14ac:dyDescent="0.25">
      <c r="A8824" t="s">
        <v>41</v>
      </c>
      <c r="B8824" t="s">
        <v>6627</v>
      </c>
      <c r="C8824" t="s">
        <v>19065</v>
      </c>
      <c r="D8824" t="s">
        <v>20</v>
      </c>
      <c r="E8824" t="s">
        <v>11</v>
      </c>
      <c r="F8824">
        <v>82.5</v>
      </c>
      <c r="G8824">
        <v>18</v>
      </c>
    </row>
    <row r="8825" spans="1:7" x14ac:dyDescent="0.25">
      <c r="A8825" t="s">
        <v>41</v>
      </c>
      <c r="B8825" t="s">
        <v>6630</v>
      </c>
      <c r="C8825" t="s">
        <v>19066</v>
      </c>
      <c r="D8825" t="s">
        <v>20</v>
      </c>
      <c r="E8825" t="s">
        <v>11</v>
      </c>
      <c r="F8825">
        <v>1709.3999999999999</v>
      </c>
      <c r="G8825">
        <v>18</v>
      </c>
    </row>
    <row r="8826" spans="1:7" x14ac:dyDescent="0.25">
      <c r="A8826" t="s">
        <v>41</v>
      </c>
      <c r="B8826" t="s">
        <v>6633</v>
      </c>
      <c r="C8826" t="s">
        <v>17811</v>
      </c>
      <c r="D8826" t="s">
        <v>20</v>
      </c>
      <c r="E8826" t="s">
        <v>11</v>
      </c>
      <c r="F8826">
        <v>4594.700000000001</v>
      </c>
      <c r="G8826">
        <v>18</v>
      </c>
    </row>
    <row r="8827" spans="1:7" x14ac:dyDescent="0.25">
      <c r="A8827" t="s">
        <v>41</v>
      </c>
      <c r="B8827" t="s">
        <v>6636</v>
      </c>
      <c r="C8827" t="s">
        <v>17900</v>
      </c>
      <c r="D8827" t="s">
        <v>20</v>
      </c>
      <c r="E8827" t="s">
        <v>11</v>
      </c>
      <c r="F8827">
        <v>473</v>
      </c>
      <c r="G8827">
        <v>18</v>
      </c>
    </row>
    <row r="8828" spans="1:7" x14ac:dyDescent="0.25">
      <c r="A8828" t="s">
        <v>41</v>
      </c>
      <c r="B8828" t="s">
        <v>6639</v>
      </c>
      <c r="C8828" t="s">
        <v>17901</v>
      </c>
      <c r="D8828" t="s">
        <v>20</v>
      </c>
      <c r="E8828" t="s">
        <v>11</v>
      </c>
      <c r="F8828">
        <v>70.4</v>
      </c>
      <c r="G8828">
        <v>18</v>
      </c>
    </row>
    <row r="8829" spans="1:7" x14ac:dyDescent="0.25">
      <c r="A8829" t="s">
        <v>41</v>
      </c>
      <c r="B8829" t="s">
        <v>6642</v>
      </c>
      <c r="C8829" t="s">
        <v>17757</v>
      </c>
      <c r="D8829" t="s">
        <v>20</v>
      </c>
      <c r="E8829" t="s">
        <v>11</v>
      </c>
      <c r="F8829">
        <v>1856.8</v>
      </c>
      <c r="G8829">
        <v>18</v>
      </c>
    </row>
    <row r="8830" spans="1:7" x14ac:dyDescent="0.25">
      <c r="A8830" t="s">
        <v>41</v>
      </c>
      <c r="B8830" t="s">
        <v>6645</v>
      </c>
      <c r="C8830" t="s">
        <v>19067</v>
      </c>
      <c r="D8830" t="s">
        <v>20</v>
      </c>
      <c r="E8830" t="s">
        <v>11</v>
      </c>
      <c r="F8830">
        <v>1169.3000000000002</v>
      </c>
      <c r="G8830">
        <v>18</v>
      </c>
    </row>
    <row r="8831" spans="1:7" x14ac:dyDescent="0.25">
      <c r="A8831" t="s">
        <v>41</v>
      </c>
      <c r="B8831" t="s">
        <v>6648</v>
      </c>
      <c r="C8831" t="s">
        <v>19068</v>
      </c>
      <c r="D8831" t="s">
        <v>20</v>
      </c>
      <c r="E8831" t="s">
        <v>11</v>
      </c>
      <c r="F8831">
        <v>1109.9</v>
      </c>
      <c r="G8831">
        <v>18</v>
      </c>
    </row>
    <row r="8832" spans="1:7" x14ac:dyDescent="0.25">
      <c r="A8832" t="s">
        <v>41</v>
      </c>
      <c r="B8832" t="s">
        <v>6651</v>
      </c>
      <c r="C8832" t="s">
        <v>19069</v>
      </c>
      <c r="D8832" t="s">
        <v>20</v>
      </c>
      <c r="E8832" t="s">
        <v>11</v>
      </c>
      <c r="F8832">
        <v>418</v>
      </c>
      <c r="G8832">
        <v>18</v>
      </c>
    </row>
    <row r="8833" spans="1:7" x14ac:dyDescent="0.25">
      <c r="A8833" t="s">
        <v>41</v>
      </c>
      <c r="B8833" t="s">
        <v>6654</v>
      </c>
      <c r="C8833" t="s">
        <v>19070</v>
      </c>
      <c r="D8833" t="s">
        <v>20</v>
      </c>
      <c r="E8833" t="s">
        <v>11</v>
      </c>
      <c r="F8833">
        <v>1068.1000000000001</v>
      </c>
      <c r="G8833">
        <v>18</v>
      </c>
    </row>
    <row r="8834" spans="1:7" x14ac:dyDescent="0.25">
      <c r="A8834" t="s">
        <v>41</v>
      </c>
      <c r="B8834" t="s">
        <v>6657</v>
      </c>
      <c r="C8834" t="s">
        <v>17902</v>
      </c>
      <c r="D8834" t="s">
        <v>20</v>
      </c>
      <c r="E8834" t="s">
        <v>11</v>
      </c>
      <c r="F8834">
        <v>114.4</v>
      </c>
      <c r="G8834">
        <v>18</v>
      </c>
    </row>
    <row r="8835" spans="1:7" x14ac:dyDescent="0.25">
      <c r="A8835" t="s">
        <v>41</v>
      </c>
      <c r="B8835" t="s">
        <v>6660</v>
      </c>
      <c r="C8835" t="s">
        <v>17819</v>
      </c>
      <c r="D8835" t="s">
        <v>20</v>
      </c>
      <c r="E8835" t="s">
        <v>11</v>
      </c>
      <c r="F8835">
        <v>79.2</v>
      </c>
      <c r="G8835">
        <v>18</v>
      </c>
    </row>
    <row r="8836" spans="1:7" x14ac:dyDescent="0.25">
      <c r="A8836" t="s">
        <v>41</v>
      </c>
      <c r="B8836" t="s">
        <v>6663</v>
      </c>
      <c r="C8836" t="s">
        <v>17903</v>
      </c>
      <c r="D8836" t="s">
        <v>20</v>
      </c>
      <c r="E8836" t="s">
        <v>11</v>
      </c>
      <c r="F8836">
        <v>58.300000000000004</v>
      </c>
      <c r="G8836">
        <v>18</v>
      </c>
    </row>
    <row r="8837" spans="1:7" x14ac:dyDescent="0.25">
      <c r="A8837" t="s">
        <v>41</v>
      </c>
      <c r="B8837" t="s">
        <v>6666</v>
      </c>
      <c r="C8837" t="s">
        <v>19071</v>
      </c>
      <c r="D8837" t="s">
        <v>20</v>
      </c>
      <c r="E8837" t="s">
        <v>11</v>
      </c>
      <c r="F8837">
        <v>55376.200000000004</v>
      </c>
      <c r="G8837">
        <v>18</v>
      </c>
    </row>
    <row r="8838" spans="1:7" x14ac:dyDescent="0.25">
      <c r="A8838" t="s">
        <v>41</v>
      </c>
      <c r="B8838" t="s">
        <v>6669</v>
      </c>
      <c r="C8838" t="s">
        <v>19072</v>
      </c>
      <c r="D8838" t="s">
        <v>20</v>
      </c>
      <c r="E8838" t="s">
        <v>11</v>
      </c>
      <c r="F8838">
        <v>55376.200000000004</v>
      </c>
      <c r="G8838">
        <v>18</v>
      </c>
    </row>
    <row r="8839" spans="1:7" x14ac:dyDescent="0.25">
      <c r="A8839" t="s">
        <v>41</v>
      </c>
      <c r="B8839" t="s">
        <v>6672</v>
      </c>
      <c r="C8839" t="s">
        <v>17754</v>
      </c>
      <c r="D8839" t="s">
        <v>20</v>
      </c>
      <c r="E8839" t="s">
        <v>11</v>
      </c>
      <c r="F8839">
        <v>2458.5</v>
      </c>
      <c r="G8839">
        <v>18</v>
      </c>
    </row>
    <row r="8840" spans="1:7" x14ac:dyDescent="0.25">
      <c r="A8840" t="s">
        <v>41</v>
      </c>
      <c r="B8840" t="s">
        <v>6675</v>
      </c>
      <c r="C8840" t="s">
        <v>17755</v>
      </c>
      <c r="D8840" t="s">
        <v>20</v>
      </c>
      <c r="E8840" t="s">
        <v>11</v>
      </c>
      <c r="F8840">
        <v>1147.3</v>
      </c>
      <c r="G8840">
        <v>18</v>
      </c>
    </row>
    <row r="8841" spans="1:7" x14ac:dyDescent="0.25">
      <c r="A8841" t="s">
        <v>41</v>
      </c>
      <c r="B8841" t="s">
        <v>6678</v>
      </c>
      <c r="C8841" t="s">
        <v>17645</v>
      </c>
      <c r="D8841" t="s">
        <v>20</v>
      </c>
      <c r="E8841" t="s">
        <v>11</v>
      </c>
      <c r="F8841">
        <v>207.89999999999998</v>
      </c>
      <c r="G8841">
        <v>18</v>
      </c>
    </row>
    <row r="8842" spans="1:7" x14ac:dyDescent="0.25">
      <c r="A8842" t="s">
        <v>41</v>
      </c>
      <c r="B8842" t="s">
        <v>6681</v>
      </c>
      <c r="C8842" t="s">
        <v>17757</v>
      </c>
      <c r="D8842" t="s">
        <v>20</v>
      </c>
      <c r="E8842" t="s">
        <v>11</v>
      </c>
      <c r="F8842">
        <v>1856.8</v>
      </c>
      <c r="G8842">
        <v>18</v>
      </c>
    </row>
    <row r="8843" spans="1:7" x14ac:dyDescent="0.25">
      <c r="A8843" t="s">
        <v>41</v>
      </c>
      <c r="B8843" t="s">
        <v>6684</v>
      </c>
      <c r="C8843" t="s">
        <v>19073</v>
      </c>
      <c r="D8843" t="s">
        <v>20</v>
      </c>
      <c r="E8843" t="s">
        <v>11</v>
      </c>
      <c r="F8843">
        <v>956.9999999999999</v>
      </c>
      <c r="G8843">
        <v>18</v>
      </c>
    </row>
    <row r="8844" spans="1:7" x14ac:dyDescent="0.25">
      <c r="A8844" t="s">
        <v>41</v>
      </c>
      <c r="B8844" t="s">
        <v>6687</v>
      </c>
      <c r="C8844" t="s">
        <v>17758</v>
      </c>
      <c r="D8844" t="s">
        <v>20</v>
      </c>
      <c r="E8844" t="s">
        <v>11</v>
      </c>
      <c r="F8844">
        <v>289.3</v>
      </c>
      <c r="G8844">
        <v>18</v>
      </c>
    </row>
    <row r="8845" spans="1:7" x14ac:dyDescent="0.25">
      <c r="A8845" t="s">
        <v>41</v>
      </c>
      <c r="B8845" t="s">
        <v>6690</v>
      </c>
      <c r="C8845" t="s">
        <v>17759</v>
      </c>
      <c r="D8845" t="s">
        <v>20</v>
      </c>
      <c r="E8845" t="s">
        <v>11</v>
      </c>
      <c r="F8845">
        <v>61.60000000000001</v>
      </c>
      <c r="G8845">
        <v>18</v>
      </c>
    </row>
    <row r="8846" spans="1:7" x14ac:dyDescent="0.25">
      <c r="A8846" t="s">
        <v>41</v>
      </c>
      <c r="B8846" t="s">
        <v>6693</v>
      </c>
      <c r="C8846" t="s">
        <v>19074</v>
      </c>
      <c r="D8846" t="s">
        <v>20</v>
      </c>
      <c r="E8846" t="s">
        <v>11</v>
      </c>
      <c r="F8846">
        <v>61.60000000000001</v>
      </c>
      <c r="G8846">
        <v>18</v>
      </c>
    </row>
    <row r="8847" spans="1:7" x14ac:dyDescent="0.25">
      <c r="A8847" t="s">
        <v>41</v>
      </c>
      <c r="B8847" t="s">
        <v>6696</v>
      </c>
      <c r="C8847" t="s">
        <v>17775</v>
      </c>
      <c r="D8847" t="s">
        <v>20</v>
      </c>
      <c r="E8847" t="s">
        <v>11</v>
      </c>
      <c r="F8847">
        <v>61.60000000000001</v>
      </c>
      <c r="G8847">
        <v>18</v>
      </c>
    </row>
    <row r="8848" spans="1:7" x14ac:dyDescent="0.25">
      <c r="A8848" t="s">
        <v>41</v>
      </c>
      <c r="B8848" t="s">
        <v>6699</v>
      </c>
      <c r="C8848" t="s">
        <v>17776</v>
      </c>
      <c r="D8848" t="s">
        <v>20</v>
      </c>
      <c r="E8848" t="s">
        <v>11</v>
      </c>
      <c r="F8848">
        <v>1512.5</v>
      </c>
      <c r="G8848">
        <v>18</v>
      </c>
    </row>
    <row r="8849" spans="1:7" x14ac:dyDescent="0.25">
      <c r="A8849" t="s">
        <v>41</v>
      </c>
      <c r="B8849" t="s">
        <v>6702</v>
      </c>
      <c r="C8849" t="s">
        <v>17777</v>
      </c>
      <c r="D8849" t="s">
        <v>20</v>
      </c>
      <c r="E8849" t="s">
        <v>11</v>
      </c>
      <c r="F8849">
        <v>14781.8</v>
      </c>
      <c r="G8849">
        <v>18</v>
      </c>
    </row>
    <row r="8850" spans="1:7" x14ac:dyDescent="0.25">
      <c r="A8850" t="s">
        <v>41</v>
      </c>
      <c r="B8850" t="s">
        <v>6705</v>
      </c>
      <c r="C8850" t="s">
        <v>17656</v>
      </c>
      <c r="D8850" t="s">
        <v>20</v>
      </c>
      <c r="E8850" t="s">
        <v>11</v>
      </c>
      <c r="F8850">
        <v>61.60000000000001</v>
      </c>
      <c r="G8850">
        <v>18</v>
      </c>
    </row>
    <row r="8851" spans="1:7" x14ac:dyDescent="0.25">
      <c r="A8851" t="s">
        <v>41</v>
      </c>
      <c r="B8851" t="s">
        <v>6708</v>
      </c>
      <c r="C8851" t="s">
        <v>17778</v>
      </c>
      <c r="D8851" t="s">
        <v>20</v>
      </c>
      <c r="E8851" t="s">
        <v>11</v>
      </c>
      <c r="F8851">
        <v>61.60000000000001</v>
      </c>
      <c r="G8851">
        <v>18</v>
      </c>
    </row>
    <row r="8852" spans="1:7" x14ac:dyDescent="0.25">
      <c r="A8852" t="s">
        <v>41</v>
      </c>
      <c r="B8852" t="s">
        <v>6711</v>
      </c>
      <c r="C8852" t="s">
        <v>17797</v>
      </c>
      <c r="D8852" t="s">
        <v>20</v>
      </c>
      <c r="E8852" t="s">
        <v>11</v>
      </c>
      <c r="F8852">
        <v>61.60000000000001</v>
      </c>
      <c r="G8852">
        <v>18</v>
      </c>
    </row>
    <row r="8853" spans="1:7" x14ac:dyDescent="0.25">
      <c r="A8853" t="s">
        <v>41</v>
      </c>
      <c r="B8853" t="s">
        <v>6714</v>
      </c>
      <c r="C8853" t="s">
        <v>19061</v>
      </c>
      <c r="D8853" t="s">
        <v>20</v>
      </c>
      <c r="E8853" t="s">
        <v>11</v>
      </c>
      <c r="F8853">
        <v>15818.000000000002</v>
      </c>
      <c r="G8853">
        <v>18</v>
      </c>
    </row>
    <row r="8854" spans="1:7" x14ac:dyDescent="0.25">
      <c r="A8854" t="s">
        <v>41</v>
      </c>
      <c r="B8854" t="s">
        <v>6717</v>
      </c>
      <c r="C8854" t="s">
        <v>17578</v>
      </c>
      <c r="D8854" t="s">
        <v>20</v>
      </c>
      <c r="E8854" t="s">
        <v>11</v>
      </c>
      <c r="F8854">
        <v>15818.000000000002</v>
      </c>
      <c r="G8854">
        <v>18</v>
      </c>
    </row>
    <row r="8855" spans="1:7" x14ac:dyDescent="0.25">
      <c r="A8855" t="s">
        <v>41</v>
      </c>
      <c r="B8855" t="s">
        <v>6720</v>
      </c>
      <c r="C8855" t="s">
        <v>17799</v>
      </c>
      <c r="D8855" t="s">
        <v>20</v>
      </c>
      <c r="E8855" t="s">
        <v>11</v>
      </c>
      <c r="F8855">
        <v>10473.099999999999</v>
      </c>
      <c r="G8855">
        <v>18</v>
      </c>
    </row>
    <row r="8856" spans="1:7" x14ac:dyDescent="0.25">
      <c r="A8856" t="s">
        <v>41</v>
      </c>
      <c r="B8856" t="s">
        <v>6723</v>
      </c>
      <c r="C8856" t="s">
        <v>17800</v>
      </c>
      <c r="D8856" t="s">
        <v>20</v>
      </c>
      <c r="E8856" t="s">
        <v>11</v>
      </c>
      <c r="F8856">
        <v>286</v>
      </c>
      <c r="G8856">
        <v>18</v>
      </c>
    </row>
    <row r="8857" spans="1:7" x14ac:dyDescent="0.25">
      <c r="A8857" t="s">
        <v>41</v>
      </c>
      <c r="B8857" t="s">
        <v>6726</v>
      </c>
      <c r="C8857" t="s">
        <v>17801</v>
      </c>
      <c r="D8857" t="s">
        <v>20</v>
      </c>
      <c r="E8857" t="s">
        <v>11</v>
      </c>
      <c r="F8857">
        <v>58.300000000000004</v>
      </c>
      <c r="G8857">
        <v>18</v>
      </c>
    </row>
    <row r="8858" spans="1:7" x14ac:dyDescent="0.25">
      <c r="A8858" t="s">
        <v>41</v>
      </c>
      <c r="B8858" t="s">
        <v>6729</v>
      </c>
      <c r="C8858" t="s">
        <v>17904</v>
      </c>
      <c r="D8858" t="s">
        <v>20</v>
      </c>
      <c r="E8858" t="s">
        <v>11</v>
      </c>
      <c r="F8858">
        <v>137.5</v>
      </c>
      <c r="G8858">
        <v>18</v>
      </c>
    </row>
    <row r="8859" spans="1:7" x14ac:dyDescent="0.25">
      <c r="A8859" t="s">
        <v>41</v>
      </c>
      <c r="B8859" t="s">
        <v>6732</v>
      </c>
      <c r="C8859" t="s">
        <v>17802</v>
      </c>
      <c r="D8859" t="s">
        <v>20</v>
      </c>
      <c r="E8859" t="s">
        <v>11</v>
      </c>
      <c r="F8859">
        <v>70.4</v>
      </c>
      <c r="G8859">
        <v>18</v>
      </c>
    </row>
    <row r="8860" spans="1:7" x14ac:dyDescent="0.25">
      <c r="A8860" t="s">
        <v>41</v>
      </c>
      <c r="B8860" t="s">
        <v>6735</v>
      </c>
      <c r="C8860" t="s">
        <v>18005</v>
      </c>
      <c r="D8860" t="s">
        <v>20</v>
      </c>
      <c r="E8860" t="s">
        <v>11</v>
      </c>
      <c r="F8860">
        <v>140.8</v>
      </c>
      <c r="G8860">
        <v>18</v>
      </c>
    </row>
    <row r="8861" spans="1:7" x14ac:dyDescent="0.25">
      <c r="A8861" t="s">
        <v>41</v>
      </c>
      <c r="B8861" t="s">
        <v>6738</v>
      </c>
      <c r="C8861" t="s">
        <v>17813</v>
      </c>
      <c r="D8861" t="s">
        <v>20</v>
      </c>
      <c r="E8861" t="s">
        <v>11</v>
      </c>
      <c r="F8861">
        <v>58.300000000000004</v>
      </c>
      <c r="G8861">
        <v>18</v>
      </c>
    </row>
    <row r="8862" spans="1:7" x14ac:dyDescent="0.25">
      <c r="A8862" t="s">
        <v>41</v>
      </c>
      <c r="B8862" t="s">
        <v>6741</v>
      </c>
      <c r="C8862" t="s">
        <v>17827</v>
      </c>
      <c r="D8862" t="s">
        <v>20</v>
      </c>
      <c r="E8862" t="s">
        <v>11</v>
      </c>
      <c r="F8862">
        <v>11190.300000000001</v>
      </c>
      <c r="G8862">
        <v>18</v>
      </c>
    </row>
    <row r="8863" spans="1:7" x14ac:dyDescent="0.25">
      <c r="A8863" t="s">
        <v>41</v>
      </c>
      <c r="B8863" t="s">
        <v>6744</v>
      </c>
      <c r="C8863" t="s">
        <v>17828</v>
      </c>
      <c r="D8863" t="s">
        <v>20</v>
      </c>
      <c r="E8863" t="s">
        <v>11</v>
      </c>
      <c r="F8863">
        <v>15782.8</v>
      </c>
      <c r="G8863">
        <v>18</v>
      </c>
    </row>
    <row r="8864" spans="1:7" x14ac:dyDescent="0.25">
      <c r="A8864" t="s">
        <v>41</v>
      </c>
      <c r="B8864" t="s">
        <v>6747</v>
      </c>
      <c r="C8864" t="s">
        <v>17523</v>
      </c>
      <c r="D8864" t="s">
        <v>20</v>
      </c>
      <c r="E8864" t="s">
        <v>11</v>
      </c>
      <c r="F8864">
        <v>15782.8</v>
      </c>
      <c r="G8864">
        <v>18</v>
      </c>
    </row>
    <row r="8865" spans="1:7" x14ac:dyDescent="0.25">
      <c r="A8865" t="s">
        <v>41</v>
      </c>
      <c r="B8865" t="s">
        <v>6750</v>
      </c>
      <c r="C8865" t="s">
        <v>17872</v>
      </c>
      <c r="D8865" t="s">
        <v>20</v>
      </c>
      <c r="E8865" t="s">
        <v>11</v>
      </c>
      <c r="F8865">
        <v>178.20000000000002</v>
      </c>
      <c r="G8865">
        <v>18</v>
      </c>
    </row>
    <row r="8866" spans="1:7" x14ac:dyDescent="0.25">
      <c r="A8866" t="s">
        <v>41</v>
      </c>
      <c r="B8866" t="s">
        <v>6753</v>
      </c>
      <c r="C8866" t="s">
        <v>17872</v>
      </c>
      <c r="D8866" t="s">
        <v>20</v>
      </c>
      <c r="E8866" t="s">
        <v>11</v>
      </c>
      <c r="F8866">
        <v>178.20000000000002</v>
      </c>
      <c r="G8866">
        <v>18</v>
      </c>
    </row>
    <row r="8867" spans="1:7" x14ac:dyDescent="0.25">
      <c r="A8867" t="s">
        <v>41</v>
      </c>
      <c r="B8867" t="s">
        <v>6756</v>
      </c>
      <c r="C8867" t="s">
        <v>19075</v>
      </c>
      <c r="D8867" t="s">
        <v>20</v>
      </c>
      <c r="E8867" t="s">
        <v>11</v>
      </c>
      <c r="F8867">
        <v>58180.1</v>
      </c>
      <c r="G8867">
        <v>18</v>
      </c>
    </row>
    <row r="8868" spans="1:7" x14ac:dyDescent="0.25">
      <c r="A8868" t="s">
        <v>41</v>
      </c>
      <c r="B8868" t="s">
        <v>6759</v>
      </c>
      <c r="C8868" t="s">
        <v>17805</v>
      </c>
      <c r="D8868" t="s">
        <v>20</v>
      </c>
      <c r="E8868" t="s">
        <v>11</v>
      </c>
      <c r="F8868">
        <v>8336.900000000001</v>
      </c>
      <c r="G8868">
        <v>18</v>
      </c>
    </row>
    <row r="8869" spans="1:7" x14ac:dyDescent="0.25">
      <c r="A8869" t="s">
        <v>41</v>
      </c>
      <c r="B8869" t="s">
        <v>6762</v>
      </c>
      <c r="C8869" t="s">
        <v>17806</v>
      </c>
      <c r="D8869" t="s">
        <v>20</v>
      </c>
      <c r="E8869" t="s">
        <v>11</v>
      </c>
      <c r="F8869">
        <v>4594.700000000001</v>
      </c>
      <c r="G8869">
        <v>18</v>
      </c>
    </row>
    <row r="8870" spans="1:7" x14ac:dyDescent="0.25">
      <c r="A8870" t="s">
        <v>41</v>
      </c>
      <c r="B8870" t="s">
        <v>6765</v>
      </c>
      <c r="C8870" t="s">
        <v>17757</v>
      </c>
      <c r="D8870" t="s">
        <v>20</v>
      </c>
      <c r="E8870" t="s">
        <v>11</v>
      </c>
      <c r="F8870">
        <v>1856.8</v>
      </c>
      <c r="G8870">
        <v>18</v>
      </c>
    </row>
    <row r="8871" spans="1:7" x14ac:dyDescent="0.25">
      <c r="A8871" t="s">
        <v>41</v>
      </c>
      <c r="B8871" t="s">
        <v>6768</v>
      </c>
      <c r="C8871" t="s">
        <v>17645</v>
      </c>
      <c r="D8871" t="s">
        <v>20</v>
      </c>
      <c r="E8871" t="s">
        <v>11</v>
      </c>
      <c r="F8871">
        <v>167.2</v>
      </c>
      <c r="G8871">
        <v>18</v>
      </c>
    </row>
    <row r="8872" spans="1:7" x14ac:dyDescent="0.25">
      <c r="A8872" t="s">
        <v>41</v>
      </c>
      <c r="B8872" t="s">
        <v>6771</v>
      </c>
      <c r="C8872" t="s">
        <v>18089</v>
      </c>
      <c r="D8872" t="s">
        <v>20</v>
      </c>
      <c r="E8872" t="s">
        <v>11</v>
      </c>
      <c r="F8872">
        <v>58.300000000000004</v>
      </c>
      <c r="G8872">
        <v>18</v>
      </c>
    </row>
    <row r="8873" spans="1:7" x14ac:dyDescent="0.25">
      <c r="A8873" t="s">
        <v>41</v>
      </c>
      <c r="B8873" t="s">
        <v>6774</v>
      </c>
      <c r="C8873" t="s">
        <v>17808</v>
      </c>
      <c r="D8873" t="s">
        <v>20</v>
      </c>
      <c r="E8873" t="s">
        <v>11</v>
      </c>
      <c r="F8873">
        <v>70.4</v>
      </c>
      <c r="G8873">
        <v>18</v>
      </c>
    </row>
    <row r="8874" spans="1:7" x14ac:dyDescent="0.25">
      <c r="A8874" t="s">
        <v>41</v>
      </c>
      <c r="B8874" t="s">
        <v>6777</v>
      </c>
      <c r="C8874" t="s">
        <v>18028</v>
      </c>
      <c r="D8874" t="s">
        <v>20</v>
      </c>
      <c r="E8874" t="s">
        <v>11</v>
      </c>
      <c r="F8874">
        <v>94.6</v>
      </c>
      <c r="G8874">
        <v>18</v>
      </c>
    </row>
    <row r="8875" spans="1:7" x14ac:dyDescent="0.25">
      <c r="A8875" t="s">
        <v>41</v>
      </c>
      <c r="B8875" t="s">
        <v>6780</v>
      </c>
      <c r="C8875" t="s">
        <v>17810</v>
      </c>
      <c r="D8875" t="s">
        <v>20</v>
      </c>
      <c r="E8875" t="s">
        <v>11</v>
      </c>
      <c r="F8875">
        <v>7504.2</v>
      </c>
      <c r="G8875">
        <v>18</v>
      </c>
    </row>
    <row r="8876" spans="1:7" x14ac:dyDescent="0.25">
      <c r="A8876" t="s">
        <v>41</v>
      </c>
      <c r="B8876" t="s">
        <v>6783</v>
      </c>
      <c r="C8876" t="s">
        <v>17811</v>
      </c>
      <c r="D8876" t="s">
        <v>20</v>
      </c>
      <c r="E8876" t="s">
        <v>11</v>
      </c>
      <c r="F8876">
        <v>4594.700000000001</v>
      </c>
      <c r="G8876">
        <v>18</v>
      </c>
    </row>
    <row r="8877" spans="1:7" x14ac:dyDescent="0.25">
      <c r="A8877" t="s">
        <v>41</v>
      </c>
      <c r="B8877" t="s">
        <v>6786</v>
      </c>
      <c r="C8877" t="s">
        <v>17900</v>
      </c>
      <c r="D8877" t="s">
        <v>20</v>
      </c>
      <c r="E8877" t="s">
        <v>11</v>
      </c>
      <c r="F8877">
        <v>473</v>
      </c>
      <c r="G8877">
        <v>18</v>
      </c>
    </row>
    <row r="8878" spans="1:7" x14ac:dyDescent="0.25">
      <c r="A8878" t="s">
        <v>41</v>
      </c>
      <c r="B8878" t="s">
        <v>6789</v>
      </c>
      <c r="C8878" t="s">
        <v>17901</v>
      </c>
      <c r="D8878" t="s">
        <v>20</v>
      </c>
      <c r="E8878" t="s">
        <v>11</v>
      </c>
      <c r="F8878">
        <v>70.4</v>
      </c>
      <c r="G8878">
        <v>18</v>
      </c>
    </row>
    <row r="8879" spans="1:7" x14ac:dyDescent="0.25">
      <c r="A8879" t="s">
        <v>41</v>
      </c>
      <c r="B8879" t="s">
        <v>6792</v>
      </c>
      <c r="C8879" t="s">
        <v>17757</v>
      </c>
      <c r="D8879" t="s">
        <v>20</v>
      </c>
      <c r="E8879" t="s">
        <v>11</v>
      </c>
      <c r="F8879">
        <v>1856.8</v>
      </c>
      <c r="G8879">
        <v>18</v>
      </c>
    </row>
    <row r="8880" spans="1:7" x14ac:dyDescent="0.25">
      <c r="A8880" t="s">
        <v>41</v>
      </c>
      <c r="B8880" t="s">
        <v>6795</v>
      </c>
      <c r="C8880" t="s">
        <v>17902</v>
      </c>
      <c r="D8880" t="s">
        <v>20</v>
      </c>
      <c r="E8880" t="s">
        <v>11</v>
      </c>
      <c r="F8880">
        <v>114.4</v>
      </c>
      <c r="G8880">
        <v>18</v>
      </c>
    </row>
    <row r="8881" spans="1:7" x14ac:dyDescent="0.25">
      <c r="A8881" t="s">
        <v>41</v>
      </c>
      <c r="B8881" t="s">
        <v>6798</v>
      </c>
      <c r="C8881" t="s">
        <v>17819</v>
      </c>
      <c r="D8881" t="s">
        <v>20</v>
      </c>
      <c r="E8881" t="s">
        <v>11</v>
      </c>
      <c r="F8881">
        <v>79.2</v>
      </c>
      <c r="G8881">
        <v>18</v>
      </c>
    </row>
    <row r="8882" spans="1:7" x14ac:dyDescent="0.25">
      <c r="A8882" t="s">
        <v>41</v>
      </c>
      <c r="B8882" t="s">
        <v>6801</v>
      </c>
      <c r="C8882" t="s">
        <v>17848</v>
      </c>
      <c r="D8882" t="s">
        <v>20</v>
      </c>
      <c r="E8882" t="s">
        <v>11</v>
      </c>
      <c r="F8882">
        <v>58.300000000000004</v>
      </c>
      <c r="G8882">
        <v>18</v>
      </c>
    </row>
    <row r="8883" spans="1:7" x14ac:dyDescent="0.25">
      <c r="A8883" t="s">
        <v>41</v>
      </c>
      <c r="B8883" t="s">
        <v>6804</v>
      </c>
      <c r="C8883" t="s">
        <v>18648</v>
      </c>
      <c r="D8883" t="s">
        <v>20</v>
      </c>
      <c r="E8883" t="s">
        <v>11</v>
      </c>
      <c r="F8883">
        <v>137.5</v>
      </c>
      <c r="G8883">
        <v>18</v>
      </c>
    </row>
    <row r="8884" spans="1:7" x14ac:dyDescent="0.25">
      <c r="A8884" t="s">
        <v>41</v>
      </c>
      <c r="B8884" t="s">
        <v>6807</v>
      </c>
      <c r="C8884" t="s">
        <v>17872</v>
      </c>
      <c r="D8884" t="s">
        <v>20</v>
      </c>
      <c r="E8884" t="s">
        <v>11</v>
      </c>
      <c r="F8884">
        <v>178.20000000000002</v>
      </c>
      <c r="G8884">
        <v>18</v>
      </c>
    </row>
    <row r="8885" spans="1:7" x14ac:dyDescent="0.25">
      <c r="A8885" t="s">
        <v>41</v>
      </c>
      <c r="B8885" t="s">
        <v>6810</v>
      </c>
      <c r="C8885" t="s">
        <v>17905</v>
      </c>
      <c r="D8885" t="s">
        <v>20</v>
      </c>
      <c r="E8885" t="s">
        <v>11</v>
      </c>
      <c r="F8885">
        <v>214.5</v>
      </c>
      <c r="G8885">
        <v>18</v>
      </c>
    </row>
    <row r="8886" spans="1:7" x14ac:dyDescent="0.25">
      <c r="A8886" t="s">
        <v>41</v>
      </c>
      <c r="B8886" t="s">
        <v>6813</v>
      </c>
      <c r="C8886" t="s">
        <v>18028</v>
      </c>
      <c r="D8886" t="s">
        <v>20</v>
      </c>
      <c r="E8886" t="s">
        <v>11</v>
      </c>
      <c r="F8886">
        <v>94.6</v>
      </c>
      <c r="G8886">
        <v>18</v>
      </c>
    </row>
    <row r="8887" spans="1:7" x14ac:dyDescent="0.25">
      <c r="A8887" t="s">
        <v>41</v>
      </c>
      <c r="B8887" t="s">
        <v>6816</v>
      </c>
      <c r="C8887" t="s">
        <v>19076</v>
      </c>
      <c r="D8887" t="s">
        <v>20</v>
      </c>
      <c r="E8887" t="s">
        <v>11</v>
      </c>
      <c r="F8887">
        <v>2730.2</v>
      </c>
      <c r="G8887">
        <v>18</v>
      </c>
    </row>
    <row r="8888" spans="1:7" x14ac:dyDescent="0.25">
      <c r="A8888" t="s">
        <v>41</v>
      </c>
      <c r="B8888" t="s">
        <v>6819</v>
      </c>
      <c r="C8888" t="s">
        <v>19077</v>
      </c>
      <c r="D8888" t="s">
        <v>20</v>
      </c>
      <c r="E8888" t="s">
        <v>11</v>
      </c>
      <c r="F8888">
        <v>2226.3999999999996</v>
      </c>
      <c r="G8888">
        <v>18</v>
      </c>
    </row>
    <row r="8889" spans="1:7" x14ac:dyDescent="0.25">
      <c r="A8889" t="s">
        <v>41</v>
      </c>
      <c r="B8889" t="s">
        <v>6822</v>
      </c>
      <c r="C8889" t="s">
        <v>18806</v>
      </c>
      <c r="D8889" t="s">
        <v>20</v>
      </c>
      <c r="E8889" t="s">
        <v>11</v>
      </c>
      <c r="F8889">
        <v>1450.8999999999999</v>
      </c>
      <c r="G8889">
        <v>18</v>
      </c>
    </row>
    <row r="8890" spans="1:7" x14ac:dyDescent="0.25">
      <c r="A8890" t="s">
        <v>41</v>
      </c>
      <c r="B8890" t="s">
        <v>6825</v>
      </c>
      <c r="C8890" t="s">
        <v>18364</v>
      </c>
      <c r="D8890" t="s">
        <v>20</v>
      </c>
      <c r="E8890" t="s">
        <v>11</v>
      </c>
      <c r="F8890">
        <v>58.300000000000004</v>
      </c>
      <c r="G8890">
        <v>18</v>
      </c>
    </row>
    <row r="8891" spans="1:7" x14ac:dyDescent="0.25">
      <c r="A8891" t="s">
        <v>41</v>
      </c>
      <c r="B8891" t="s">
        <v>6828</v>
      </c>
      <c r="C8891" t="s">
        <v>17848</v>
      </c>
      <c r="D8891" t="s">
        <v>20</v>
      </c>
      <c r="E8891" t="s">
        <v>11</v>
      </c>
      <c r="F8891">
        <v>58.300000000000004</v>
      </c>
      <c r="G8891">
        <v>18</v>
      </c>
    </row>
    <row r="8892" spans="1:7" x14ac:dyDescent="0.25">
      <c r="A8892" t="s">
        <v>41</v>
      </c>
      <c r="B8892" t="s">
        <v>6831</v>
      </c>
      <c r="C8892" t="s">
        <v>19078</v>
      </c>
      <c r="D8892" t="s">
        <v>20</v>
      </c>
      <c r="E8892" t="s">
        <v>11</v>
      </c>
      <c r="F8892">
        <v>70.4</v>
      </c>
      <c r="G8892">
        <v>18</v>
      </c>
    </row>
    <row r="8893" spans="1:7" x14ac:dyDescent="0.25">
      <c r="A8893" t="s">
        <v>41</v>
      </c>
      <c r="B8893" t="s">
        <v>6834</v>
      </c>
      <c r="C8893" t="s">
        <v>19079</v>
      </c>
      <c r="D8893" t="s">
        <v>20</v>
      </c>
      <c r="E8893" t="s">
        <v>11</v>
      </c>
      <c r="F8893">
        <v>80.3</v>
      </c>
      <c r="G8893">
        <v>18</v>
      </c>
    </row>
    <row r="8894" spans="1:7" x14ac:dyDescent="0.25">
      <c r="A8894" t="s">
        <v>41</v>
      </c>
      <c r="B8894" t="s">
        <v>6837</v>
      </c>
      <c r="C8894" t="s">
        <v>18028</v>
      </c>
      <c r="D8894" t="s">
        <v>20</v>
      </c>
      <c r="E8894" t="s">
        <v>11</v>
      </c>
      <c r="F8894">
        <v>94.6</v>
      </c>
      <c r="G8894">
        <v>18</v>
      </c>
    </row>
    <row r="8895" spans="1:7" x14ac:dyDescent="0.25">
      <c r="A8895" t="s">
        <v>41</v>
      </c>
      <c r="B8895" t="s">
        <v>6840</v>
      </c>
      <c r="C8895" t="s">
        <v>17823</v>
      </c>
      <c r="D8895" t="s">
        <v>20</v>
      </c>
      <c r="E8895" t="s">
        <v>11</v>
      </c>
      <c r="F8895">
        <v>10612.800000000001</v>
      </c>
      <c r="G8895">
        <v>18</v>
      </c>
    </row>
    <row r="8896" spans="1:7" x14ac:dyDescent="0.25">
      <c r="A8896" t="s">
        <v>41</v>
      </c>
      <c r="B8896" t="s">
        <v>6843</v>
      </c>
      <c r="C8896" t="s">
        <v>17823</v>
      </c>
      <c r="D8896" t="s">
        <v>20</v>
      </c>
      <c r="E8896" t="s">
        <v>11</v>
      </c>
      <c r="F8896">
        <v>10612.800000000001</v>
      </c>
      <c r="G8896">
        <v>18</v>
      </c>
    </row>
    <row r="8897" spans="1:7" x14ac:dyDescent="0.25">
      <c r="A8897" t="s">
        <v>41</v>
      </c>
      <c r="B8897" t="s">
        <v>6846</v>
      </c>
      <c r="C8897" t="s">
        <v>17733</v>
      </c>
      <c r="D8897" t="s">
        <v>20</v>
      </c>
      <c r="E8897" t="s">
        <v>11</v>
      </c>
      <c r="F8897">
        <v>405.9</v>
      </c>
      <c r="G8897">
        <v>18</v>
      </c>
    </row>
    <row r="8898" spans="1:7" x14ac:dyDescent="0.25">
      <c r="A8898" t="s">
        <v>41</v>
      </c>
      <c r="B8898" t="s">
        <v>6849</v>
      </c>
      <c r="C8898" t="s">
        <v>19080</v>
      </c>
      <c r="D8898" t="s">
        <v>20</v>
      </c>
      <c r="E8898" t="s">
        <v>11</v>
      </c>
      <c r="F8898">
        <v>46333.1</v>
      </c>
      <c r="G8898">
        <v>18</v>
      </c>
    </row>
    <row r="8899" spans="1:7" x14ac:dyDescent="0.25">
      <c r="A8899" t="s">
        <v>41</v>
      </c>
      <c r="B8899" t="s">
        <v>6852</v>
      </c>
      <c r="C8899" t="s">
        <v>19081</v>
      </c>
      <c r="D8899" t="s">
        <v>20</v>
      </c>
      <c r="E8899" t="s">
        <v>11</v>
      </c>
      <c r="F8899">
        <v>46333.1</v>
      </c>
      <c r="G8899">
        <v>18</v>
      </c>
    </row>
    <row r="8900" spans="1:7" x14ac:dyDescent="0.25">
      <c r="A8900" t="s">
        <v>41</v>
      </c>
      <c r="B8900" t="s">
        <v>6855</v>
      </c>
      <c r="C8900" t="s">
        <v>19082</v>
      </c>
      <c r="D8900" t="s">
        <v>20</v>
      </c>
      <c r="E8900" t="s">
        <v>11</v>
      </c>
      <c r="F8900">
        <v>45378.299999999996</v>
      </c>
      <c r="G8900">
        <v>18</v>
      </c>
    </row>
    <row r="8901" spans="1:7" x14ac:dyDescent="0.25">
      <c r="A8901" t="s">
        <v>41</v>
      </c>
      <c r="B8901" t="s">
        <v>6858</v>
      </c>
      <c r="C8901" t="s">
        <v>19083</v>
      </c>
      <c r="D8901" t="s">
        <v>20</v>
      </c>
      <c r="E8901" t="s">
        <v>11</v>
      </c>
      <c r="F8901">
        <v>45378.299999999996</v>
      </c>
      <c r="G8901">
        <v>18</v>
      </c>
    </row>
    <row r="8902" spans="1:7" x14ac:dyDescent="0.25">
      <c r="A8902" t="s">
        <v>41</v>
      </c>
      <c r="B8902" t="s">
        <v>6861</v>
      </c>
      <c r="C8902" t="s">
        <v>17660</v>
      </c>
      <c r="D8902" t="s">
        <v>20</v>
      </c>
      <c r="E8902" t="s">
        <v>11</v>
      </c>
      <c r="F8902">
        <v>10612.800000000001</v>
      </c>
      <c r="G8902">
        <v>18</v>
      </c>
    </row>
    <row r="8903" spans="1:7" x14ac:dyDescent="0.25">
      <c r="A8903" t="s">
        <v>41</v>
      </c>
      <c r="B8903" t="s">
        <v>6864</v>
      </c>
      <c r="C8903" t="s">
        <v>17660</v>
      </c>
      <c r="D8903" t="s">
        <v>20</v>
      </c>
      <c r="E8903" t="s">
        <v>11</v>
      </c>
      <c r="F8903">
        <v>10612.800000000001</v>
      </c>
      <c r="G8903">
        <v>18</v>
      </c>
    </row>
    <row r="8904" spans="1:7" x14ac:dyDescent="0.25">
      <c r="A8904" t="s">
        <v>41</v>
      </c>
      <c r="B8904" t="s">
        <v>6867</v>
      </c>
      <c r="C8904" t="s">
        <v>19084</v>
      </c>
      <c r="D8904" t="s">
        <v>20</v>
      </c>
      <c r="E8904" t="s">
        <v>11</v>
      </c>
      <c r="F8904">
        <v>46333.1</v>
      </c>
      <c r="G8904">
        <v>18</v>
      </c>
    </row>
    <row r="8905" spans="1:7" x14ac:dyDescent="0.25">
      <c r="A8905" t="s">
        <v>41</v>
      </c>
      <c r="B8905" t="s">
        <v>6870</v>
      </c>
      <c r="C8905" t="s">
        <v>19085</v>
      </c>
      <c r="D8905" t="s">
        <v>20</v>
      </c>
      <c r="E8905" t="s">
        <v>11</v>
      </c>
      <c r="F8905">
        <v>45378.299999999996</v>
      </c>
      <c r="G8905">
        <v>18</v>
      </c>
    </row>
    <row r="8906" spans="1:7" x14ac:dyDescent="0.25">
      <c r="A8906" t="s">
        <v>41</v>
      </c>
      <c r="B8906" t="s">
        <v>6873</v>
      </c>
      <c r="C8906" t="s">
        <v>19086</v>
      </c>
      <c r="D8906" t="s">
        <v>20</v>
      </c>
      <c r="E8906" t="s">
        <v>11</v>
      </c>
      <c r="F8906">
        <v>58180.1</v>
      </c>
      <c r="G8906">
        <v>18</v>
      </c>
    </row>
    <row r="8907" spans="1:7" x14ac:dyDescent="0.25">
      <c r="A8907" t="s">
        <v>41</v>
      </c>
      <c r="B8907" t="s">
        <v>6876</v>
      </c>
      <c r="C8907" t="s">
        <v>19087</v>
      </c>
      <c r="D8907" t="s">
        <v>20</v>
      </c>
      <c r="E8907" t="s">
        <v>11</v>
      </c>
      <c r="F8907">
        <v>221.09999999999997</v>
      </c>
      <c r="G8907">
        <v>18</v>
      </c>
    </row>
    <row r="8908" spans="1:7" x14ac:dyDescent="0.25">
      <c r="A8908" t="s">
        <v>41</v>
      </c>
      <c r="B8908" t="s">
        <v>6879</v>
      </c>
      <c r="C8908" t="s">
        <v>19088</v>
      </c>
      <c r="D8908" t="s">
        <v>20</v>
      </c>
      <c r="E8908" t="s">
        <v>11</v>
      </c>
      <c r="F8908">
        <v>57.2</v>
      </c>
      <c r="G8908">
        <v>18</v>
      </c>
    </row>
    <row r="8909" spans="1:7" x14ac:dyDescent="0.25">
      <c r="A8909" t="s">
        <v>41</v>
      </c>
      <c r="B8909" t="s">
        <v>6882</v>
      </c>
      <c r="C8909" t="s">
        <v>18342</v>
      </c>
      <c r="D8909" t="s">
        <v>20</v>
      </c>
      <c r="E8909" t="s">
        <v>11</v>
      </c>
      <c r="F8909">
        <v>4764.1</v>
      </c>
      <c r="G8909">
        <v>18</v>
      </c>
    </row>
    <row r="8910" spans="1:7" x14ac:dyDescent="0.25">
      <c r="A8910" t="s">
        <v>41</v>
      </c>
      <c r="B8910" t="s">
        <v>6885</v>
      </c>
      <c r="C8910" t="s">
        <v>19089</v>
      </c>
      <c r="D8910" t="s">
        <v>20</v>
      </c>
      <c r="E8910" t="s">
        <v>11</v>
      </c>
      <c r="F8910">
        <v>229.89999999999998</v>
      </c>
      <c r="G8910">
        <v>18</v>
      </c>
    </row>
    <row r="8911" spans="1:7" x14ac:dyDescent="0.25">
      <c r="A8911" t="s">
        <v>41</v>
      </c>
      <c r="B8911" t="s">
        <v>6888</v>
      </c>
      <c r="C8911" t="s">
        <v>17832</v>
      </c>
      <c r="D8911" t="s">
        <v>20</v>
      </c>
      <c r="E8911" t="s">
        <v>11</v>
      </c>
      <c r="F8911">
        <v>30.800000000000004</v>
      </c>
      <c r="G8911">
        <v>18</v>
      </c>
    </row>
    <row r="8912" spans="1:7" x14ac:dyDescent="0.25">
      <c r="A8912" t="s">
        <v>41</v>
      </c>
      <c r="B8912" t="s">
        <v>6891</v>
      </c>
      <c r="C8912" t="s">
        <v>18233</v>
      </c>
      <c r="D8912" t="s">
        <v>20</v>
      </c>
      <c r="E8912" t="s">
        <v>11</v>
      </c>
      <c r="F8912">
        <v>70.4</v>
      </c>
      <c r="G8912">
        <v>18</v>
      </c>
    </row>
    <row r="8913" spans="1:7" x14ac:dyDescent="0.25">
      <c r="A8913" t="s">
        <v>41</v>
      </c>
      <c r="B8913" t="s">
        <v>6894</v>
      </c>
      <c r="C8913" t="s">
        <v>19090</v>
      </c>
      <c r="D8913" t="s">
        <v>20</v>
      </c>
      <c r="E8913" t="s">
        <v>11</v>
      </c>
      <c r="F8913">
        <v>61.60000000000001</v>
      </c>
      <c r="G8913">
        <v>18</v>
      </c>
    </row>
    <row r="8914" spans="1:7" x14ac:dyDescent="0.25">
      <c r="A8914" t="s">
        <v>41</v>
      </c>
      <c r="B8914" t="s">
        <v>6897</v>
      </c>
      <c r="C8914" t="s">
        <v>17656</v>
      </c>
      <c r="D8914" t="s">
        <v>20</v>
      </c>
      <c r="E8914" t="s">
        <v>11</v>
      </c>
      <c r="F8914">
        <v>58.300000000000004</v>
      </c>
      <c r="G8914">
        <v>18</v>
      </c>
    </row>
    <row r="8915" spans="1:7" x14ac:dyDescent="0.25">
      <c r="A8915" t="s">
        <v>41</v>
      </c>
      <c r="B8915" t="s">
        <v>6900</v>
      </c>
      <c r="C8915" t="s">
        <v>19091</v>
      </c>
      <c r="D8915" t="s">
        <v>20</v>
      </c>
      <c r="E8915" t="s">
        <v>11</v>
      </c>
      <c r="F8915">
        <v>17733.100000000002</v>
      </c>
      <c r="G8915">
        <v>18</v>
      </c>
    </row>
    <row r="8916" spans="1:7" x14ac:dyDescent="0.25">
      <c r="A8916" t="s">
        <v>41</v>
      </c>
      <c r="B8916" t="s">
        <v>6903</v>
      </c>
      <c r="C8916" t="s">
        <v>19092</v>
      </c>
      <c r="D8916" t="s">
        <v>20</v>
      </c>
      <c r="E8916" t="s">
        <v>11</v>
      </c>
      <c r="F8916">
        <v>17733.100000000002</v>
      </c>
      <c r="G8916">
        <v>18</v>
      </c>
    </row>
    <row r="8917" spans="1:7" x14ac:dyDescent="0.25">
      <c r="A8917" t="s">
        <v>41</v>
      </c>
      <c r="B8917" t="s">
        <v>6906</v>
      </c>
      <c r="C8917" t="s">
        <v>19093</v>
      </c>
      <c r="D8917" t="s">
        <v>20</v>
      </c>
      <c r="E8917" t="s">
        <v>11</v>
      </c>
      <c r="F8917">
        <v>17733.100000000002</v>
      </c>
      <c r="G8917">
        <v>18</v>
      </c>
    </row>
    <row r="8918" spans="1:7" x14ac:dyDescent="0.25">
      <c r="A8918" t="s">
        <v>41</v>
      </c>
      <c r="B8918" t="s">
        <v>6909</v>
      </c>
      <c r="C8918" t="s">
        <v>19094</v>
      </c>
      <c r="D8918" t="s">
        <v>20</v>
      </c>
      <c r="E8918" t="s">
        <v>11</v>
      </c>
      <c r="F8918">
        <v>1811.6999999999998</v>
      </c>
      <c r="G8918">
        <v>18</v>
      </c>
    </row>
    <row r="8919" spans="1:7" x14ac:dyDescent="0.25">
      <c r="A8919" t="s">
        <v>41</v>
      </c>
      <c r="B8919" t="s">
        <v>6912</v>
      </c>
      <c r="C8919" t="s">
        <v>17841</v>
      </c>
      <c r="D8919" t="s">
        <v>20</v>
      </c>
      <c r="E8919" t="s">
        <v>11</v>
      </c>
      <c r="F8919">
        <v>2054.8</v>
      </c>
      <c r="G8919">
        <v>18</v>
      </c>
    </row>
    <row r="8920" spans="1:7" x14ac:dyDescent="0.25">
      <c r="A8920" t="s">
        <v>41</v>
      </c>
      <c r="B8920" t="s">
        <v>6915</v>
      </c>
      <c r="C8920" t="s">
        <v>17552</v>
      </c>
      <c r="D8920" t="s">
        <v>20</v>
      </c>
      <c r="E8920" t="s">
        <v>11</v>
      </c>
      <c r="F8920">
        <v>2054.8</v>
      </c>
      <c r="G8920">
        <v>18</v>
      </c>
    </row>
    <row r="8921" spans="1:7" x14ac:dyDescent="0.25">
      <c r="A8921" t="s">
        <v>41</v>
      </c>
      <c r="B8921" t="s">
        <v>6918</v>
      </c>
      <c r="C8921" t="s">
        <v>19095</v>
      </c>
      <c r="D8921" t="s">
        <v>20</v>
      </c>
      <c r="E8921" t="s">
        <v>11</v>
      </c>
      <c r="F8921">
        <v>2098.7999999999997</v>
      </c>
      <c r="G8921">
        <v>18</v>
      </c>
    </row>
    <row r="8922" spans="1:7" x14ac:dyDescent="0.25">
      <c r="A8922" t="s">
        <v>41</v>
      </c>
      <c r="B8922" t="s">
        <v>6921</v>
      </c>
      <c r="C8922" t="s">
        <v>17544</v>
      </c>
      <c r="D8922" t="s">
        <v>20</v>
      </c>
      <c r="E8922" t="s">
        <v>11</v>
      </c>
      <c r="F8922">
        <v>2098.7999999999997</v>
      </c>
      <c r="G8922">
        <v>18</v>
      </c>
    </row>
    <row r="8923" spans="1:7" x14ac:dyDescent="0.25">
      <c r="A8923" t="s">
        <v>41</v>
      </c>
      <c r="B8923" t="s">
        <v>6924</v>
      </c>
      <c r="C8923" t="s">
        <v>17837</v>
      </c>
      <c r="D8923" t="s">
        <v>20</v>
      </c>
      <c r="E8923" t="s">
        <v>11</v>
      </c>
      <c r="F8923">
        <v>564.3</v>
      </c>
      <c r="G8923">
        <v>18</v>
      </c>
    </row>
    <row r="8924" spans="1:7" x14ac:dyDescent="0.25">
      <c r="A8924" t="s">
        <v>41</v>
      </c>
      <c r="B8924" t="s">
        <v>6927</v>
      </c>
      <c r="C8924" t="s">
        <v>19096</v>
      </c>
      <c r="D8924" t="s">
        <v>20</v>
      </c>
      <c r="E8924" t="s">
        <v>11</v>
      </c>
      <c r="F8924">
        <v>58.300000000000004</v>
      </c>
      <c r="G8924">
        <v>18</v>
      </c>
    </row>
    <row r="8925" spans="1:7" x14ac:dyDescent="0.25">
      <c r="A8925" t="s">
        <v>41</v>
      </c>
      <c r="B8925" t="s">
        <v>6930</v>
      </c>
      <c r="C8925" t="s">
        <v>17838</v>
      </c>
      <c r="D8925" t="s">
        <v>20</v>
      </c>
      <c r="E8925" t="s">
        <v>11</v>
      </c>
      <c r="F8925">
        <v>40.7</v>
      </c>
      <c r="G8925">
        <v>18</v>
      </c>
    </row>
    <row r="8926" spans="1:7" x14ac:dyDescent="0.25">
      <c r="A8926" t="s">
        <v>41</v>
      </c>
      <c r="B8926" t="s">
        <v>6933</v>
      </c>
      <c r="C8926" t="s">
        <v>17845</v>
      </c>
      <c r="D8926" t="s">
        <v>20</v>
      </c>
      <c r="E8926" t="s">
        <v>11</v>
      </c>
      <c r="F8926">
        <v>58.300000000000004</v>
      </c>
      <c r="G8926">
        <v>18</v>
      </c>
    </row>
    <row r="8927" spans="1:7" x14ac:dyDescent="0.25">
      <c r="A8927" t="s">
        <v>41</v>
      </c>
      <c r="B8927" t="s">
        <v>6936</v>
      </c>
      <c r="C8927" t="s">
        <v>17819</v>
      </c>
      <c r="D8927" t="s">
        <v>20</v>
      </c>
      <c r="E8927" t="s">
        <v>11</v>
      </c>
      <c r="F8927">
        <v>79.2</v>
      </c>
      <c r="G8927">
        <v>18</v>
      </c>
    </row>
    <row r="8928" spans="1:7" x14ac:dyDescent="0.25">
      <c r="A8928" t="s">
        <v>41</v>
      </c>
      <c r="B8928" t="s">
        <v>6939</v>
      </c>
      <c r="C8928" t="s">
        <v>17680</v>
      </c>
      <c r="D8928" t="s">
        <v>20</v>
      </c>
      <c r="E8928" t="s">
        <v>11</v>
      </c>
      <c r="F8928">
        <v>2599.2999999999997</v>
      </c>
      <c r="G8928">
        <v>18</v>
      </c>
    </row>
    <row r="8929" spans="1:7" x14ac:dyDescent="0.25">
      <c r="A8929" t="s">
        <v>41</v>
      </c>
      <c r="B8929" t="s">
        <v>6942</v>
      </c>
      <c r="C8929" t="s">
        <v>17545</v>
      </c>
      <c r="D8929" t="s">
        <v>20</v>
      </c>
      <c r="E8929" t="s">
        <v>11</v>
      </c>
      <c r="F8929">
        <v>2516.7999999999997</v>
      </c>
      <c r="G8929">
        <v>18</v>
      </c>
    </row>
    <row r="8930" spans="1:7" x14ac:dyDescent="0.25">
      <c r="A8930" t="s">
        <v>41</v>
      </c>
      <c r="B8930" t="s">
        <v>6945</v>
      </c>
      <c r="C8930" t="s">
        <v>17910</v>
      </c>
      <c r="D8930" t="s">
        <v>20</v>
      </c>
      <c r="E8930" t="s">
        <v>11</v>
      </c>
      <c r="F8930">
        <v>57.2</v>
      </c>
      <c r="G8930">
        <v>18</v>
      </c>
    </row>
    <row r="8931" spans="1:7" x14ac:dyDescent="0.25">
      <c r="A8931" t="s">
        <v>41</v>
      </c>
      <c r="B8931" t="s">
        <v>6948</v>
      </c>
      <c r="C8931" t="s">
        <v>17778</v>
      </c>
      <c r="D8931" t="s">
        <v>20</v>
      </c>
      <c r="E8931" t="s">
        <v>11</v>
      </c>
      <c r="F8931">
        <v>61.60000000000001</v>
      </c>
      <c r="G8931">
        <v>18</v>
      </c>
    </row>
    <row r="8932" spans="1:7" x14ac:dyDescent="0.25">
      <c r="A8932" t="s">
        <v>41</v>
      </c>
      <c r="B8932" t="s">
        <v>6951</v>
      </c>
      <c r="C8932" t="s">
        <v>18042</v>
      </c>
      <c r="D8932" t="s">
        <v>20</v>
      </c>
      <c r="E8932" t="s">
        <v>11</v>
      </c>
      <c r="F8932">
        <v>4437.400000000001</v>
      </c>
      <c r="G8932">
        <v>18</v>
      </c>
    </row>
    <row r="8933" spans="1:7" x14ac:dyDescent="0.25">
      <c r="A8933" t="s">
        <v>41</v>
      </c>
      <c r="B8933" t="s">
        <v>6954</v>
      </c>
      <c r="C8933" t="s">
        <v>18043</v>
      </c>
      <c r="D8933" t="s">
        <v>20</v>
      </c>
      <c r="E8933" t="s">
        <v>11</v>
      </c>
      <c r="F8933">
        <v>4570.5</v>
      </c>
      <c r="G8933">
        <v>18</v>
      </c>
    </row>
    <row r="8934" spans="1:7" x14ac:dyDescent="0.25">
      <c r="A8934" t="s">
        <v>41</v>
      </c>
      <c r="B8934" t="s">
        <v>6957</v>
      </c>
      <c r="C8934" t="s">
        <v>19097</v>
      </c>
      <c r="D8934" t="s">
        <v>20</v>
      </c>
      <c r="E8934" t="s">
        <v>11</v>
      </c>
      <c r="F8934">
        <v>8159.800000000001</v>
      </c>
      <c r="G8934">
        <v>18</v>
      </c>
    </row>
    <row r="8935" spans="1:7" x14ac:dyDescent="0.25">
      <c r="A8935" t="s">
        <v>41</v>
      </c>
      <c r="B8935" t="s">
        <v>6960</v>
      </c>
      <c r="C8935" t="s">
        <v>19098</v>
      </c>
      <c r="D8935" t="s">
        <v>20</v>
      </c>
      <c r="E8935" t="s">
        <v>11</v>
      </c>
      <c r="F8935">
        <v>8159.800000000001</v>
      </c>
      <c r="G8935">
        <v>18</v>
      </c>
    </row>
    <row r="8936" spans="1:7" x14ac:dyDescent="0.25">
      <c r="A8936" t="s">
        <v>41</v>
      </c>
      <c r="B8936" t="s">
        <v>6963</v>
      </c>
      <c r="C8936" t="s">
        <v>18473</v>
      </c>
      <c r="D8936" t="s">
        <v>20</v>
      </c>
      <c r="E8936" t="s">
        <v>11</v>
      </c>
      <c r="F8936">
        <v>7300.700000000001</v>
      </c>
      <c r="G8936">
        <v>18</v>
      </c>
    </row>
    <row r="8937" spans="1:7" x14ac:dyDescent="0.25">
      <c r="A8937" t="s">
        <v>41</v>
      </c>
      <c r="B8937" t="s">
        <v>6966</v>
      </c>
      <c r="C8937" t="s">
        <v>19099</v>
      </c>
      <c r="D8937" t="s">
        <v>20</v>
      </c>
      <c r="E8937" t="s">
        <v>11</v>
      </c>
      <c r="F8937">
        <v>7300.700000000001</v>
      </c>
      <c r="G8937">
        <v>18</v>
      </c>
    </row>
    <row r="8938" spans="1:7" x14ac:dyDescent="0.25">
      <c r="A8938" t="s">
        <v>41</v>
      </c>
      <c r="B8938" t="s">
        <v>6969</v>
      </c>
      <c r="C8938" t="s">
        <v>17864</v>
      </c>
      <c r="D8938" t="s">
        <v>20</v>
      </c>
      <c r="E8938" t="s">
        <v>11</v>
      </c>
      <c r="F8938">
        <v>357.5</v>
      </c>
      <c r="G8938">
        <v>18</v>
      </c>
    </row>
    <row r="8939" spans="1:7" x14ac:dyDescent="0.25">
      <c r="A8939" t="s">
        <v>41</v>
      </c>
      <c r="B8939" t="s">
        <v>6972</v>
      </c>
      <c r="C8939" t="s">
        <v>18040</v>
      </c>
      <c r="D8939" t="s">
        <v>20</v>
      </c>
      <c r="E8939" t="s">
        <v>11</v>
      </c>
      <c r="F8939">
        <v>30.800000000000004</v>
      </c>
      <c r="G8939">
        <v>18</v>
      </c>
    </row>
    <row r="8940" spans="1:7" x14ac:dyDescent="0.25">
      <c r="A8940" t="s">
        <v>41</v>
      </c>
      <c r="B8940" t="s">
        <v>6975</v>
      </c>
      <c r="C8940" t="s">
        <v>19100</v>
      </c>
      <c r="D8940" t="s">
        <v>20</v>
      </c>
      <c r="E8940" t="s">
        <v>11</v>
      </c>
      <c r="F8940">
        <v>114.4</v>
      </c>
      <c r="G8940">
        <v>18</v>
      </c>
    </row>
    <row r="8941" spans="1:7" x14ac:dyDescent="0.25">
      <c r="A8941" t="s">
        <v>41</v>
      </c>
      <c r="B8941" t="s">
        <v>6978</v>
      </c>
      <c r="C8941" t="s">
        <v>19101</v>
      </c>
      <c r="D8941" t="s">
        <v>20</v>
      </c>
      <c r="E8941" t="s">
        <v>11</v>
      </c>
      <c r="F8941">
        <v>8159.800000000001</v>
      </c>
      <c r="G8941">
        <v>18</v>
      </c>
    </row>
    <row r="8942" spans="1:7" x14ac:dyDescent="0.25">
      <c r="A8942" t="s">
        <v>41</v>
      </c>
      <c r="B8942" t="s">
        <v>6981</v>
      </c>
      <c r="C8942" t="s">
        <v>19102</v>
      </c>
      <c r="D8942" t="s">
        <v>20</v>
      </c>
      <c r="E8942" t="s">
        <v>11</v>
      </c>
      <c r="F8942">
        <v>8159.800000000001</v>
      </c>
      <c r="G8942">
        <v>18</v>
      </c>
    </row>
    <row r="8943" spans="1:7" x14ac:dyDescent="0.25">
      <c r="A8943" t="s">
        <v>41</v>
      </c>
      <c r="B8943" t="s">
        <v>6984</v>
      </c>
      <c r="C8943" t="s">
        <v>18472</v>
      </c>
      <c r="D8943" t="s">
        <v>20</v>
      </c>
      <c r="E8943" t="s">
        <v>11</v>
      </c>
      <c r="F8943">
        <v>7300.700000000001</v>
      </c>
      <c r="G8943">
        <v>18</v>
      </c>
    </row>
    <row r="8944" spans="1:7" x14ac:dyDescent="0.25">
      <c r="A8944" t="s">
        <v>41</v>
      </c>
      <c r="B8944" t="s">
        <v>6987</v>
      </c>
      <c r="C8944" t="s">
        <v>19103</v>
      </c>
      <c r="D8944" t="s">
        <v>20</v>
      </c>
      <c r="E8944" t="s">
        <v>11</v>
      </c>
      <c r="F8944">
        <v>7300.700000000001</v>
      </c>
      <c r="G8944">
        <v>18</v>
      </c>
    </row>
    <row r="8945" spans="1:7" x14ac:dyDescent="0.25">
      <c r="A8945" t="s">
        <v>41</v>
      </c>
      <c r="B8945" t="s">
        <v>6990</v>
      </c>
      <c r="C8945" t="s">
        <v>17864</v>
      </c>
      <c r="D8945" t="s">
        <v>20</v>
      </c>
      <c r="E8945" t="s">
        <v>11</v>
      </c>
      <c r="F8945">
        <v>357.5</v>
      </c>
      <c r="G8945">
        <v>18</v>
      </c>
    </row>
    <row r="8946" spans="1:7" x14ac:dyDescent="0.25">
      <c r="A8946" t="s">
        <v>41</v>
      </c>
      <c r="B8946" t="s">
        <v>6993</v>
      </c>
      <c r="C8946" t="s">
        <v>17849</v>
      </c>
      <c r="D8946" t="s">
        <v>20</v>
      </c>
      <c r="E8946" t="s">
        <v>11</v>
      </c>
      <c r="F8946">
        <v>1642.3</v>
      </c>
      <c r="G8946">
        <v>18</v>
      </c>
    </row>
    <row r="8947" spans="1:7" x14ac:dyDescent="0.25">
      <c r="A8947" t="s">
        <v>41</v>
      </c>
      <c r="B8947" t="s">
        <v>6996</v>
      </c>
      <c r="C8947" t="s">
        <v>19104</v>
      </c>
      <c r="D8947" t="s">
        <v>20</v>
      </c>
      <c r="E8947" t="s">
        <v>11</v>
      </c>
      <c r="F8947">
        <v>3003</v>
      </c>
      <c r="G8947">
        <v>18</v>
      </c>
    </row>
    <row r="8948" spans="1:7" x14ac:dyDescent="0.25">
      <c r="A8948" t="s">
        <v>41</v>
      </c>
      <c r="B8948" t="s">
        <v>6999</v>
      </c>
      <c r="C8948" t="s">
        <v>19105</v>
      </c>
      <c r="D8948" t="s">
        <v>20</v>
      </c>
      <c r="E8948" t="s">
        <v>11</v>
      </c>
      <c r="F8948">
        <v>2618</v>
      </c>
      <c r="G8948">
        <v>18</v>
      </c>
    </row>
    <row r="8949" spans="1:7" x14ac:dyDescent="0.25">
      <c r="A8949" t="s">
        <v>41</v>
      </c>
      <c r="B8949" t="s">
        <v>7002</v>
      </c>
      <c r="C8949" t="s">
        <v>19106</v>
      </c>
      <c r="D8949" t="s">
        <v>20</v>
      </c>
      <c r="E8949" t="s">
        <v>11</v>
      </c>
      <c r="F8949">
        <v>94.6</v>
      </c>
      <c r="G8949">
        <v>18</v>
      </c>
    </row>
    <row r="8950" spans="1:7" x14ac:dyDescent="0.25">
      <c r="A8950" t="s">
        <v>41</v>
      </c>
      <c r="B8950" t="s">
        <v>7005</v>
      </c>
      <c r="C8950" t="s">
        <v>17548</v>
      </c>
      <c r="D8950" t="s">
        <v>20</v>
      </c>
      <c r="E8950" t="s">
        <v>11</v>
      </c>
      <c r="F8950">
        <v>4570.5</v>
      </c>
      <c r="G8950">
        <v>18</v>
      </c>
    </row>
    <row r="8951" spans="1:7" x14ac:dyDescent="0.25">
      <c r="A8951" t="s">
        <v>41</v>
      </c>
      <c r="B8951" t="s">
        <v>7008</v>
      </c>
      <c r="C8951" t="s">
        <v>17549</v>
      </c>
      <c r="D8951" t="s">
        <v>20</v>
      </c>
      <c r="E8951" t="s">
        <v>11</v>
      </c>
      <c r="F8951">
        <v>4437.400000000001</v>
      </c>
      <c r="G8951">
        <v>18</v>
      </c>
    </row>
    <row r="8952" spans="1:7" x14ac:dyDescent="0.25">
      <c r="A8952" t="s">
        <v>41</v>
      </c>
      <c r="B8952" t="s">
        <v>7011</v>
      </c>
      <c r="C8952" t="s">
        <v>17850</v>
      </c>
      <c r="D8952" t="s">
        <v>20</v>
      </c>
      <c r="E8952" t="s">
        <v>11</v>
      </c>
      <c r="F8952">
        <v>3526.6000000000004</v>
      </c>
      <c r="G8952">
        <v>18</v>
      </c>
    </row>
    <row r="8953" spans="1:7" x14ac:dyDescent="0.25">
      <c r="A8953" t="s">
        <v>41</v>
      </c>
      <c r="B8953" t="s">
        <v>7014</v>
      </c>
      <c r="C8953" t="s">
        <v>17851</v>
      </c>
      <c r="D8953" t="s">
        <v>20</v>
      </c>
      <c r="E8953" t="s">
        <v>11</v>
      </c>
      <c r="F8953">
        <v>546.6999999999999</v>
      </c>
      <c r="G8953">
        <v>18</v>
      </c>
    </row>
    <row r="8954" spans="1:7" x14ac:dyDescent="0.25">
      <c r="A8954" t="s">
        <v>41</v>
      </c>
      <c r="B8954" t="s">
        <v>7017</v>
      </c>
      <c r="C8954" t="s">
        <v>17852</v>
      </c>
      <c r="D8954" t="s">
        <v>20</v>
      </c>
      <c r="E8954" t="s">
        <v>11</v>
      </c>
      <c r="F8954">
        <v>1642.3</v>
      </c>
      <c r="G8954">
        <v>18</v>
      </c>
    </row>
    <row r="8955" spans="1:7" x14ac:dyDescent="0.25">
      <c r="A8955" t="s">
        <v>41</v>
      </c>
      <c r="B8955" t="s">
        <v>7020</v>
      </c>
      <c r="C8955" t="s">
        <v>19107</v>
      </c>
      <c r="D8955" t="s">
        <v>20</v>
      </c>
      <c r="E8955" t="s">
        <v>11</v>
      </c>
      <c r="F8955">
        <v>269.5</v>
      </c>
      <c r="G8955">
        <v>18</v>
      </c>
    </row>
    <row r="8956" spans="1:7" x14ac:dyDescent="0.25">
      <c r="A8956" t="s">
        <v>41</v>
      </c>
      <c r="B8956" t="s">
        <v>7023</v>
      </c>
      <c r="C8956" t="s">
        <v>17846</v>
      </c>
      <c r="D8956" t="s">
        <v>20</v>
      </c>
      <c r="E8956" t="s">
        <v>11</v>
      </c>
      <c r="F8956">
        <v>546.6999999999999</v>
      </c>
      <c r="G8956">
        <v>18</v>
      </c>
    </row>
    <row r="8957" spans="1:7" x14ac:dyDescent="0.25">
      <c r="A8957" t="s">
        <v>41</v>
      </c>
      <c r="B8957" t="s">
        <v>7026</v>
      </c>
      <c r="C8957" t="s">
        <v>19108</v>
      </c>
      <c r="D8957" t="s">
        <v>20</v>
      </c>
      <c r="E8957" t="s">
        <v>11</v>
      </c>
      <c r="F8957">
        <v>3521.1</v>
      </c>
      <c r="G8957">
        <v>18</v>
      </c>
    </row>
    <row r="8958" spans="1:7" x14ac:dyDescent="0.25">
      <c r="A8958" t="s">
        <v>41</v>
      </c>
      <c r="B8958" t="s">
        <v>7029</v>
      </c>
      <c r="C8958" t="s">
        <v>19109</v>
      </c>
      <c r="D8958" t="s">
        <v>20</v>
      </c>
      <c r="E8958" t="s">
        <v>11</v>
      </c>
      <c r="F8958">
        <v>3582.7</v>
      </c>
      <c r="G8958">
        <v>18</v>
      </c>
    </row>
    <row r="8959" spans="1:7" x14ac:dyDescent="0.25">
      <c r="A8959" t="s">
        <v>41</v>
      </c>
      <c r="B8959" t="s">
        <v>7032</v>
      </c>
      <c r="C8959" t="s">
        <v>19110</v>
      </c>
      <c r="D8959" t="s">
        <v>20</v>
      </c>
      <c r="E8959" t="s">
        <v>11</v>
      </c>
      <c r="F8959">
        <v>3003</v>
      </c>
      <c r="G8959">
        <v>18</v>
      </c>
    </row>
    <row r="8960" spans="1:7" x14ac:dyDescent="0.25">
      <c r="A8960" t="s">
        <v>41</v>
      </c>
      <c r="B8960" t="s">
        <v>7035</v>
      </c>
      <c r="C8960" t="s">
        <v>19111</v>
      </c>
      <c r="D8960" t="s">
        <v>20</v>
      </c>
      <c r="E8960" t="s">
        <v>11</v>
      </c>
      <c r="F8960">
        <v>3549.7000000000003</v>
      </c>
      <c r="G8960">
        <v>18</v>
      </c>
    </row>
    <row r="8961" spans="1:7" x14ac:dyDescent="0.25">
      <c r="A8961" t="s">
        <v>41</v>
      </c>
      <c r="B8961" t="s">
        <v>7038</v>
      </c>
      <c r="C8961" t="s">
        <v>17864</v>
      </c>
      <c r="D8961" t="s">
        <v>20</v>
      </c>
      <c r="E8961" t="s">
        <v>11</v>
      </c>
      <c r="F8961">
        <v>271.70000000000005</v>
      </c>
      <c r="G8961">
        <v>18</v>
      </c>
    </row>
    <row r="8962" spans="1:7" x14ac:dyDescent="0.25">
      <c r="A8962" t="s">
        <v>41</v>
      </c>
      <c r="B8962" t="s">
        <v>7041</v>
      </c>
      <c r="C8962" t="s">
        <v>19112</v>
      </c>
      <c r="D8962" t="s">
        <v>20</v>
      </c>
      <c r="E8962" t="s">
        <v>11</v>
      </c>
      <c r="F8962">
        <v>61.60000000000001</v>
      </c>
      <c r="G8962">
        <v>18</v>
      </c>
    </row>
    <row r="8963" spans="1:7" x14ac:dyDescent="0.25">
      <c r="A8963" t="s">
        <v>41</v>
      </c>
      <c r="B8963" t="s">
        <v>7044</v>
      </c>
      <c r="C8963" t="s">
        <v>17645</v>
      </c>
      <c r="D8963" t="s">
        <v>20</v>
      </c>
      <c r="E8963" t="s">
        <v>11</v>
      </c>
      <c r="F8963">
        <v>304.7</v>
      </c>
      <c r="G8963">
        <v>18</v>
      </c>
    </row>
    <row r="8964" spans="1:7" x14ac:dyDescent="0.25">
      <c r="A8964" t="s">
        <v>41</v>
      </c>
      <c r="B8964" t="s">
        <v>7047</v>
      </c>
      <c r="C8964" t="s">
        <v>19113</v>
      </c>
      <c r="D8964" t="s">
        <v>20</v>
      </c>
      <c r="E8964" t="s">
        <v>11</v>
      </c>
      <c r="F8964">
        <v>4944.5</v>
      </c>
      <c r="G8964">
        <v>18</v>
      </c>
    </row>
    <row r="8965" spans="1:7" x14ac:dyDescent="0.25">
      <c r="A8965" t="s">
        <v>41</v>
      </c>
      <c r="B8965" t="s">
        <v>7050</v>
      </c>
      <c r="C8965" t="s">
        <v>19114</v>
      </c>
      <c r="D8965" t="s">
        <v>20</v>
      </c>
      <c r="E8965" t="s">
        <v>11</v>
      </c>
      <c r="F8965">
        <v>3886.2999999999997</v>
      </c>
      <c r="G8965">
        <v>18</v>
      </c>
    </row>
    <row r="8966" spans="1:7" x14ac:dyDescent="0.25">
      <c r="A8966" t="s">
        <v>41</v>
      </c>
      <c r="B8966" t="s">
        <v>7053</v>
      </c>
      <c r="C8966" t="s">
        <v>17592</v>
      </c>
      <c r="D8966" t="s">
        <v>20</v>
      </c>
      <c r="E8966" t="s">
        <v>11</v>
      </c>
      <c r="F8966">
        <v>661.1</v>
      </c>
      <c r="G8966">
        <v>18</v>
      </c>
    </row>
    <row r="8967" spans="1:7" x14ac:dyDescent="0.25">
      <c r="A8967" t="s">
        <v>41</v>
      </c>
      <c r="B8967" t="s">
        <v>7056</v>
      </c>
      <c r="C8967" t="s">
        <v>19115</v>
      </c>
      <c r="D8967" t="s">
        <v>20</v>
      </c>
      <c r="E8967" t="s">
        <v>11</v>
      </c>
      <c r="F8967">
        <v>412.5</v>
      </c>
      <c r="G8967">
        <v>18</v>
      </c>
    </row>
    <row r="8968" spans="1:7" x14ac:dyDescent="0.25">
      <c r="A8968" t="s">
        <v>41</v>
      </c>
      <c r="B8968" t="s">
        <v>7059</v>
      </c>
      <c r="C8968" t="s">
        <v>19116</v>
      </c>
      <c r="D8968" t="s">
        <v>20</v>
      </c>
      <c r="E8968" t="s">
        <v>11</v>
      </c>
      <c r="F8968">
        <v>669.9</v>
      </c>
      <c r="G8968">
        <v>18</v>
      </c>
    </row>
    <row r="8969" spans="1:7" x14ac:dyDescent="0.25">
      <c r="A8969" t="s">
        <v>41</v>
      </c>
      <c r="B8969" t="s">
        <v>7062</v>
      </c>
      <c r="C8969" t="s">
        <v>19117</v>
      </c>
      <c r="D8969" t="s">
        <v>20</v>
      </c>
      <c r="E8969" t="s">
        <v>11</v>
      </c>
      <c r="F8969">
        <v>1295.8</v>
      </c>
      <c r="G8969">
        <v>18</v>
      </c>
    </row>
    <row r="8970" spans="1:7" x14ac:dyDescent="0.25">
      <c r="A8970" t="s">
        <v>41</v>
      </c>
      <c r="B8970" t="s">
        <v>7065</v>
      </c>
      <c r="C8970" t="s">
        <v>19118</v>
      </c>
      <c r="D8970" t="s">
        <v>20</v>
      </c>
      <c r="E8970" t="s">
        <v>11</v>
      </c>
      <c r="F8970">
        <v>70.4</v>
      </c>
      <c r="G8970">
        <v>18</v>
      </c>
    </row>
    <row r="8971" spans="1:7" x14ac:dyDescent="0.25">
      <c r="A8971" t="s">
        <v>41</v>
      </c>
      <c r="B8971" t="s">
        <v>7068</v>
      </c>
      <c r="C8971" t="s">
        <v>19119</v>
      </c>
      <c r="D8971" t="s">
        <v>20</v>
      </c>
      <c r="E8971" t="s">
        <v>11</v>
      </c>
      <c r="F8971">
        <v>71.5</v>
      </c>
      <c r="G8971">
        <v>18</v>
      </c>
    </row>
    <row r="8972" spans="1:7" x14ac:dyDescent="0.25">
      <c r="A8972" t="s">
        <v>41</v>
      </c>
      <c r="B8972" t="s">
        <v>7071</v>
      </c>
      <c r="C8972" t="s">
        <v>19120</v>
      </c>
      <c r="D8972" t="s">
        <v>20</v>
      </c>
      <c r="E8972" t="s">
        <v>11</v>
      </c>
      <c r="F8972">
        <v>140.8</v>
      </c>
      <c r="G8972">
        <v>18</v>
      </c>
    </row>
    <row r="8973" spans="1:7" x14ac:dyDescent="0.25">
      <c r="A8973" t="s">
        <v>41</v>
      </c>
      <c r="B8973" t="s">
        <v>7074</v>
      </c>
      <c r="C8973" t="s">
        <v>19121</v>
      </c>
      <c r="D8973" t="s">
        <v>20</v>
      </c>
      <c r="E8973" t="s">
        <v>11</v>
      </c>
      <c r="F8973">
        <v>2299</v>
      </c>
      <c r="G8973">
        <v>18</v>
      </c>
    </row>
    <row r="8974" spans="1:7" x14ac:dyDescent="0.25">
      <c r="A8974" t="s">
        <v>41</v>
      </c>
      <c r="B8974" t="s">
        <v>7077</v>
      </c>
      <c r="C8974" t="s">
        <v>19122</v>
      </c>
      <c r="D8974" t="s">
        <v>20</v>
      </c>
      <c r="E8974" t="s">
        <v>11</v>
      </c>
      <c r="F8974">
        <v>2299</v>
      </c>
      <c r="G8974">
        <v>18</v>
      </c>
    </row>
    <row r="8975" spans="1:7" x14ac:dyDescent="0.25">
      <c r="A8975" t="s">
        <v>41</v>
      </c>
      <c r="B8975" t="s">
        <v>7080</v>
      </c>
      <c r="C8975" t="s">
        <v>19123</v>
      </c>
      <c r="D8975" t="s">
        <v>20</v>
      </c>
      <c r="E8975" t="s">
        <v>11</v>
      </c>
      <c r="F8975">
        <v>3181.2000000000003</v>
      </c>
      <c r="G8975">
        <v>18</v>
      </c>
    </row>
    <row r="8976" spans="1:7" x14ac:dyDescent="0.25">
      <c r="A8976" t="s">
        <v>41</v>
      </c>
      <c r="B8976" t="s">
        <v>7083</v>
      </c>
      <c r="C8976" t="s">
        <v>19124</v>
      </c>
      <c r="D8976" t="s">
        <v>20</v>
      </c>
      <c r="E8976" t="s">
        <v>11</v>
      </c>
      <c r="F8976">
        <v>3181.2000000000003</v>
      </c>
      <c r="G8976">
        <v>18</v>
      </c>
    </row>
    <row r="8977" spans="1:7" x14ac:dyDescent="0.25">
      <c r="A8977" t="s">
        <v>41</v>
      </c>
      <c r="B8977" t="s">
        <v>7086</v>
      </c>
      <c r="C8977" t="s">
        <v>19112</v>
      </c>
      <c r="D8977" t="s">
        <v>20</v>
      </c>
      <c r="E8977" t="s">
        <v>11</v>
      </c>
      <c r="F8977">
        <v>61.60000000000001</v>
      </c>
      <c r="G8977">
        <v>18</v>
      </c>
    </row>
    <row r="8978" spans="1:7" x14ac:dyDescent="0.25">
      <c r="A8978" t="s">
        <v>41</v>
      </c>
      <c r="B8978" t="s">
        <v>7089</v>
      </c>
      <c r="C8978" t="s">
        <v>19125</v>
      </c>
      <c r="D8978" t="s">
        <v>20</v>
      </c>
      <c r="E8978" t="s">
        <v>11</v>
      </c>
      <c r="F8978">
        <v>371.8</v>
      </c>
      <c r="G8978">
        <v>18</v>
      </c>
    </row>
    <row r="8979" spans="1:7" x14ac:dyDescent="0.25">
      <c r="A8979" t="s">
        <v>41</v>
      </c>
      <c r="B8979" t="s">
        <v>7092</v>
      </c>
      <c r="C8979" t="s">
        <v>19126</v>
      </c>
      <c r="D8979" t="s">
        <v>20</v>
      </c>
      <c r="E8979" t="s">
        <v>11</v>
      </c>
      <c r="F8979">
        <v>40.7</v>
      </c>
      <c r="G8979">
        <v>18</v>
      </c>
    </row>
    <row r="8980" spans="1:7" x14ac:dyDescent="0.25">
      <c r="A8980" t="s">
        <v>41</v>
      </c>
      <c r="B8980" t="s">
        <v>7095</v>
      </c>
      <c r="C8980" t="s">
        <v>19127</v>
      </c>
      <c r="D8980" t="s">
        <v>20</v>
      </c>
      <c r="E8980" t="s">
        <v>11</v>
      </c>
      <c r="F8980">
        <v>5618.8</v>
      </c>
      <c r="G8980">
        <v>18</v>
      </c>
    </row>
    <row r="8981" spans="1:7" x14ac:dyDescent="0.25">
      <c r="A8981" t="s">
        <v>41</v>
      </c>
      <c r="B8981" t="s">
        <v>7098</v>
      </c>
      <c r="C8981" t="s">
        <v>19128</v>
      </c>
      <c r="D8981" t="s">
        <v>20</v>
      </c>
      <c r="E8981" t="s">
        <v>11</v>
      </c>
      <c r="F8981">
        <v>3886.2999999999997</v>
      </c>
      <c r="G8981">
        <v>18</v>
      </c>
    </row>
    <row r="8982" spans="1:7" x14ac:dyDescent="0.25">
      <c r="A8982" t="s">
        <v>41</v>
      </c>
      <c r="B8982" t="s">
        <v>7101</v>
      </c>
      <c r="C8982" t="s">
        <v>19129</v>
      </c>
      <c r="D8982" t="s">
        <v>20</v>
      </c>
      <c r="E8982" t="s">
        <v>11</v>
      </c>
      <c r="F8982">
        <v>1340.8999999999999</v>
      </c>
      <c r="G8982">
        <v>18</v>
      </c>
    </row>
    <row r="8983" spans="1:7" x14ac:dyDescent="0.25">
      <c r="A8983" t="s">
        <v>41</v>
      </c>
      <c r="B8983" t="s">
        <v>7104</v>
      </c>
      <c r="C8983" t="s">
        <v>19130</v>
      </c>
      <c r="D8983" t="s">
        <v>20</v>
      </c>
      <c r="E8983" t="s">
        <v>11</v>
      </c>
      <c r="F8983">
        <v>57.2</v>
      </c>
      <c r="G8983">
        <v>18</v>
      </c>
    </row>
    <row r="8984" spans="1:7" x14ac:dyDescent="0.25">
      <c r="A8984" t="s">
        <v>41</v>
      </c>
      <c r="B8984" t="s">
        <v>7107</v>
      </c>
      <c r="C8984" t="s">
        <v>19131</v>
      </c>
      <c r="D8984" t="s">
        <v>20</v>
      </c>
      <c r="E8984" t="s">
        <v>11</v>
      </c>
      <c r="F8984">
        <v>17733.100000000002</v>
      </c>
      <c r="G8984">
        <v>18</v>
      </c>
    </row>
    <row r="8985" spans="1:7" x14ac:dyDescent="0.25">
      <c r="A8985" t="s">
        <v>41</v>
      </c>
      <c r="B8985" t="s">
        <v>7110</v>
      </c>
      <c r="C8985" t="s">
        <v>19132</v>
      </c>
      <c r="D8985" t="s">
        <v>20</v>
      </c>
      <c r="E8985" t="s">
        <v>11</v>
      </c>
      <c r="F8985">
        <v>10732.699999999999</v>
      </c>
      <c r="G8985">
        <v>18</v>
      </c>
    </row>
    <row r="8986" spans="1:7" x14ac:dyDescent="0.25">
      <c r="A8986" t="s">
        <v>41</v>
      </c>
      <c r="B8986" t="s">
        <v>7113</v>
      </c>
      <c r="C8986" t="s">
        <v>17953</v>
      </c>
      <c r="D8986" t="s">
        <v>20</v>
      </c>
      <c r="E8986" t="s">
        <v>11</v>
      </c>
      <c r="F8986">
        <v>9567.800000000001</v>
      </c>
      <c r="G8986">
        <v>18</v>
      </c>
    </row>
    <row r="8987" spans="1:7" x14ac:dyDescent="0.25">
      <c r="A8987" t="s">
        <v>41</v>
      </c>
      <c r="B8987" t="s">
        <v>7116</v>
      </c>
      <c r="C8987" t="s">
        <v>17969</v>
      </c>
      <c r="D8987" t="s">
        <v>20</v>
      </c>
      <c r="E8987" t="s">
        <v>11</v>
      </c>
      <c r="F8987">
        <v>1623.6</v>
      </c>
      <c r="G8987">
        <v>18</v>
      </c>
    </row>
    <row r="8988" spans="1:7" x14ac:dyDescent="0.25">
      <c r="A8988" t="s">
        <v>41</v>
      </c>
      <c r="B8988" t="s">
        <v>7119</v>
      </c>
      <c r="C8988" t="s">
        <v>17954</v>
      </c>
      <c r="D8988" t="s">
        <v>20</v>
      </c>
      <c r="E8988" t="s">
        <v>11</v>
      </c>
      <c r="F8988">
        <v>3461.7</v>
      </c>
      <c r="G8988">
        <v>18</v>
      </c>
    </row>
    <row r="8989" spans="1:7" x14ac:dyDescent="0.25">
      <c r="A8989" t="s">
        <v>41</v>
      </c>
      <c r="B8989" t="s">
        <v>7122</v>
      </c>
      <c r="C8989" t="s">
        <v>17955</v>
      </c>
      <c r="D8989" t="s">
        <v>20</v>
      </c>
      <c r="E8989" t="s">
        <v>11</v>
      </c>
      <c r="F8989">
        <v>418</v>
      </c>
      <c r="G8989">
        <v>18</v>
      </c>
    </row>
    <row r="8990" spans="1:7" x14ac:dyDescent="0.25">
      <c r="A8990" t="s">
        <v>41</v>
      </c>
      <c r="B8990" t="s">
        <v>7125</v>
      </c>
      <c r="C8990" t="s">
        <v>17956</v>
      </c>
      <c r="D8990" t="s">
        <v>20</v>
      </c>
      <c r="E8990" t="s">
        <v>11</v>
      </c>
      <c r="F8990">
        <v>299.20000000000005</v>
      </c>
      <c r="G8990">
        <v>18</v>
      </c>
    </row>
    <row r="8991" spans="1:7" x14ac:dyDescent="0.25">
      <c r="A8991" t="s">
        <v>41</v>
      </c>
      <c r="B8991" t="s">
        <v>7128</v>
      </c>
      <c r="C8991" t="s">
        <v>17957</v>
      </c>
      <c r="D8991" t="s">
        <v>20</v>
      </c>
      <c r="E8991" t="s">
        <v>11</v>
      </c>
      <c r="F8991">
        <v>2340.8</v>
      </c>
      <c r="G8991">
        <v>18</v>
      </c>
    </row>
    <row r="8992" spans="1:7" x14ac:dyDescent="0.25">
      <c r="A8992" t="s">
        <v>41</v>
      </c>
      <c r="B8992" t="s">
        <v>7131</v>
      </c>
      <c r="C8992" t="s">
        <v>17958</v>
      </c>
      <c r="D8992" t="s">
        <v>20</v>
      </c>
      <c r="E8992" t="s">
        <v>11</v>
      </c>
      <c r="F8992">
        <v>183.7</v>
      </c>
      <c r="G8992">
        <v>18</v>
      </c>
    </row>
    <row r="8993" spans="1:7" x14ac:dyDescent="0.25">
      <c r="A8993" t="s">
        <v>41</v>
      </c>
      <c r="B8993" t="s">
        <v>7134</v>
      </c>
      <c r="C8993" t="s">
        <v>17959</v>
      </c>
      <c r="D8993" t="s">
        <v>20</v>
      </c>
      <c r="E8993" t="s">
        <v>11</v>
      </c>
      <c r="F8993">
        <v>1637.9</v>
      </c>
      <c r="G8993">
        <v>18</v>
      </c>
    </row>
    <row r="8994" spans="1:7" x14ac:dyDescent="0.25">
      <c r="A8994" t="s">
        <v>41</v>
      </c>
      <c r="B8994" t="s">
        <v>7137</v>
      </c>
      <c r="C8994" t="s">
        <v>17960</v>
      </c>
      <c r="D8994" t="s">
        <v>20</v>
      </c>
      <c r="E8994" t="s">
        <v>11</v>
      </c>
      <c r="F8994">
        <v>71.5</v>
      </c>
      <c r="G8994">
        <v>18</v>
      </c>
    </row>
    <row r="8995" spans="1:7" x14ac:dyDescent="0.25">
      <c r="A8995" t="s">
        <v>41</v>
      </c>
      <c r="B8995" t="s">
        <v>7140</v>
      </c>
      <c r="C8995" t="s">
        <v>19133</v>
      </c>
      <c r="D8995" t="s">
        <v>20</v>
      </c>
      <c r="E8995" t="s">
        <v>11</v>
      </c>
      <c r="F8995">
        <v>58.300000000000004</v>
      </c>
      <c r="G8995">
        <v>18</v>
      </c>
    </row>
    <row r="8996" spans="1:7" x14ac:dyDescent="0.25">
      <c r="A8996" t="s">
        <v>41</v>
      </c>
      <c r="B8996" t="s">
        <v>7143</v>
      </c>
      <c r="C8996" t="s">
        <v>17962</v>
      </c>
      <c r="D8996" t="s">
        <v>20</v>
      </c>
      <c r="E8996" t="s">
        <v>11</v>
      </c>
      <c r="F8996">
        <v>3461.7</v>
      </c>
      <c r="G8996">
        <v>18</v>
      </c>
    </row>
    <row r="8997" spans="1:7" x14ac:dyDescent="0.25">
      <c r="A8997" t="s">
        <v>41</v>
      </c>
      <c r="B8997" t="s">
        <v>7146</v>
      </c>
      <c r="C8997" t="s">
        <v>17733</v>
      </c>
      <c r="D8997" t="s">
        <v>20</v>
      </c>
      <c r="E8997" t="s">
        <v>11</v>
      </c>
      <c r="F8997">
        <v>585.2</v>
      </c>
      <c r="G8997">
        <v>18</v>
      </c>
    </row>
    <row r="8998" spans="1:7" x14ac:dyDescent="0.25">
      <c r="A8998" t="s">
        <v>41</v>
      </c>
      <c r="B8998" t="s">
        <v>7149</v>
      </c>
      <c r="C8998" t="s">
        <v>17966</v>
      </c>
      <c r="D8998" t="s">
        <v>20</v>
      </c>
      <c r="E8998" t="s">
        <v>11</v>
      </c>
      <c r="F8998">
        <v>457.6</v>
      </c>
      <c r="G8998">
        <v>18</v>
      </c>
    </row>
    <row r="8999" spans="1:7" x14ac:dyDescent="0.25">
      <c r="A8999" t="s">
        <v>41</v>
      </c>
      <c r="B8999" t="s">
        <v>7152</v>
      </c>
      <c r="C8999" t="s">
        <v>17967</v>
      </c>
      <c r="D8999" t="s">
        <v>20</v>
      </c>
      <c r="E8999" t="s">
        <v>11</v>
      </c>
      <c r="F8999">
        <v>1372.8</v>
      </c>
      <c r="G8999">
        <v>18</v>
      </c>
    </row>
    <row r="9000" spans="1:7" x14ac:dyDescent="0.25">
      <c r="A9000" t="s">
        <v>41</v>
      </c>
      <c r="B9000" t="s">
        <v>7155</v>
      </c>
      <c r="C9000" t="s">
        <v>17959</v>
      </c>
      <c r="D9000" t="s">
        <v>20</v>
      </c>
      <c r="E9000" t="s">
        <v>11</v>
      </c>
      <c r="F9000">
        <v>2376</v>
      </c>
      <c r="G9000">
        <v>18</v>
      </c>
    </row>
    <row r="9001" spans="1:7" x14ac:dyDescent="0.25">
      <c r="A9001" t="s">
        <v>41</v>
      </c>
      <c r="B9001" t="s">
        <v>7158</v>
      </c>
      <c r="C9001" t="s">
        <v>19134</v>
      </c>
      <c r="D9001" t="s">
        <v>20</v>
      </c>
      <c r="E9001" t="s">
        <v>11</v>
      </c>
      <c r="F9001">
        <v>46333.1</v>
      </c>
      <c r="G9001">
        <v>18</v>
      </c>
    </row>
    <row r="9002" spans="1:7" x14ac:dyDescent="0.25">
      <c r="A9002" t="s">
        <v>41</v>
      </c>
      <c r="B9002" t="s">
        <v>7161</v>
      </c>
      <c r="C9002" t="s">
        <v>19135</v>
      </c>
      <c r="D9002" t="s">
        <v>20</v>
      </c>
      <c r="E9002" t="s">
        <v>11</v>
      </c>
      <c r="F9002">
        <v>45378.299999999996</v>
      </c>
      <c r="G9002">
        <v>18</v>
      </c>
    </row>
    <row r="9003" spans="1:7" x14ac:dyDescent="0.25">
      <c r="A9003" t="s">
        <v>41</v>
      </c>
      <c r="B9003" t="s">
        <v>7164</v>
      </c>
      <c r="C9003" t="s">
        <v>19136</v>
      </c>
      <c r="D9003" t="s">
        <v>20</v>
      </c>
      <c r="E9003" t="s">
        <v>11</v>
      </c>
      <c r="F9003">
        <v>10732.699999999999</v>
      </c>
      <c r="G9003">
        <v>18</v>
      </c>
    </row>
    <row r="9004" spans="1:7" x14ac:dyDescent="0.25">
      <c r="A9004" t="s">
        <v>41</v>
      </c>
      <c r="B9004" t="s">
        <v>7167</v>
      </c>
      <c r="C9004" t="s">
        <v>17915</v>
      </c>
      <c r="D9004" t="s">
        <v>20</v>
      </c>
      <c r="E9004" t="s">
        <v>11</v>
      </c>
      <c r="F9004">
        <v>46333.1</v>
      </c>
      <c r="G9004">
        <v>18</v>
      </c>
    </row>
    <row r="9005" spans="1:7" x14ac:dyDescent="0.25">
      <c r="A9005" t="s">
        <v>41</v>
      </c>
      <c r="B9005" t="s">
        <v>7170</v>
      </c>
      <c r="C9005" t="s">
        <v>17916</v>
      </c>
      <c r="D9005" t="s">
        <v>20</v>
      </c>
      <c r="E9005" t="s">
        <v>11</v>
      </c>
      <c r="F9005">
        <v>45378.299999999996</v>
      </c>
      <c r="G9005">
        <v>18</v>
      </c>
    </row>
    <row r="9006" spans="1:7" x14ac:dyDescent="0.25">
      <c r="A9006" t="s">
        <v>41</v>
      </c>
      <c r="B9006" t="s">
        <v>7173</v>
      </c>
      <c r="C9006" t="s">
        <v>19137</v>
      </c>
      <c r="D9006" t="s">
        <v>20</v>
      </c>
      <c r="E9006" t="s">
        <v>11</v>
      </c>
      <c r="F9006">
        <v>718.3000000000001</v>
      </c>
      <c r="G9006">
        <v>18</v>
      </c>
    </row>
    <row r="9007" spans="1:7" x14ac:dyDescent="0.25">
      <c r="A9007" t="s">
        <v>41</v>
      </c>
      <c r="B9007" t="s">
        <v>7176</v>
      </c>
      <c r="C9007" t="s">
        <v>17690</v>
      </c>
      <c r="D9007" t="s">
        <v>20</v>
      </c>
      <c r="E9007" t="s">
        <v>11</v>
      </c>
      <c r="F9007">
        <v>57.2</v>
      </c>
      <c r="G9007">
        <v>18</v>
      </c>
    </row>
    <row r="9008" spans="1:7" x14ac:dyDescent="0.25">
      <c r="A9008" t="s">
        <v>41</v>
      </c>
      <c r="B9008" t="s">
        <v>7179</v>
      </c>
      <c r="C9008" t="s">
        <v>17689</v>
      </c>
      <c r="D9008" t="s">
        <v>20</v>
      </c>
      <c r="E9008" t="s">
        <v>11</v>
      </c>
      <c r="F9008">
        <v>57.2</v>
      </c>
      <c r="G9008">
        <v>18</v>
      </c>
    </row>
    <row r="9009" spans="1:7" x14ac:dyDescent="0.25">
      <c r="A9009" t="s">
        <v>41</v>
      </c>
      <c r="B9009" t="s">
        <v>7182</v>
      </c>
      <c r="C9009" t="s">
        <v>19138</v>
      </c>
      <c r="D9009" t="s">
        <v>20</v>
      </c>
      <c r="E9009" t="s">
        <v>11</v>
      </c>
      <c r="F9009">
        <v>2023.9999999999998</v>
      </c>
      <c r="G9009">
        <v>18</v>
      </c>
    </row>
    <row r="9010" spans="1:7" x14ac:dyDescent="0.25">
      <c r="A9010" t="s">
        <v>41</v>
      </c>
      <c r="B9010" t="s">
        <v>7185</v>
      </c>
      <c r="C9010" t="s">
        <v>19139</v>
      </c>
      <c r="D9010" t="s">
        <v>20</v>
      </c>
      <c r="E9010" t="s">
        <v>11</v>
      </c>
      <c r="F9010">
        <v>958.1000000000001</v>
      </c>
      <c r="G9010">
        <v>18</v>
      </c>
    </row>
    <row r="9011" spans="1:7" x14ac:dyDescent="0.25">
      <c r="A9011" t="s">
        <v>41</v>
      </c>
      <c r="B9011" t="s">
        <v>7188</v>
      </c>
      <c r="C9011" t="s">
        <v>19140</v>
      </c>
      <c r="D9011" t="s">
        <v>20</v>
      </c>
      <c r="E9011" t="s">
        <v>11</v>
      </c>
      <c r="F9011">
        <v>309.1</v>
      </c>
      <c r="G9011">
        <v>18</v>
      </c>
    </row>
    <row r="9012" spans="1:7" x14ac:dyDescent="0.25">
      <c r="A9012" t="s">
        <v>41</v>
      </c>
      <c r="B9012" t="s">
        <v>7191</v>
      </c>
      <c r="C9012" t="s">
        <v>19141</v>
      </c>
      <c r="D9012" t="s">
        <v>20</v>
      </c>
      <c r="E9012" t="s">
        <v>11</v>
      </c>
      <c r="F9012">
        <v>58.300000000000004</v>
      </c>
      <c r="G9012">
        <v>18</v>
      </c>
    </row>
    <row r="9013" spans="1:7" x14ac:dyDescent="0.25">
      <c r="A9013" t="s">
        <v>41</v>
      </c>
      <c r="B9013" t="s">
        <v>7194</v>
      </c>
      <c r="C9013" t="s">
        <v>17841</v>
      </c>
      <c r="D9013" t="s">
        <v>20</v>
      </c>
      <c r="E9013" t="s">
        <v>11</v>
      </c>
      <c r="F9013">
        <v>2054.8</v>
      </c>
      <c r="G9013">
        <v>18</v>
      </c>
    </row>
    <row r="9014" spans="1:7" x14ac:dyDescent="0.25">
      <c r="A9014" t="s">
        <v>41</v>
      </c>
      <c r="B9014" t="s">
        <v>7197</v>
      </c>
      <c r="C9014" t="s">
        <v>17844</v>
      </c>
      <c r="D9014" t="s">
        <v>20</v>
      </c>
      <c r="E9014" t="s">
        <v>11</v>
      </c>
      <c r="F9014">
        <v>58.300000000000004</v>
      </c>
      <c r="G9014">
        <v>18</v>
      </c>
    </row>
    <row r="9015" spans="1:7" x14ac:dyDescent="0.25">
      <c r="A9015" t="s">
        <v>41</v>
      </c>
      <c r="B9015" t="s">
        <v>7200</v>
      </c>
      <c r="C9015" t="s">
        <v>17838</v>
      </c>
      <c r="D9015" t="s">
        <v>20</v>
      </c>
      <c r="E9015" t="s">
        <v>11</v>
      </c>
      <c r="F9015">
        <v>40.7</v>
      </c>
      <c r="G9015">
        <v>18</v>
      </c>
    </row>
    <row r="9016" spans="1:7" x14ac:dyDescent="0.25">
      <c r="A9016" t="s">
        <v>41</v>
      </c>
      <c r="B9016" t="s">
        <v>7203</v>
      </c>
      <c r="C9016" t="s">
        <v>19142</v>
      </c>
      <c r="D9016" t="s">
        <v>20</v>
      </c>
      <c r="E9016" t="s">
        <v>11</v>
      </c>
      <c r="F9016">
        <v>57.2</v>
      </c>
      <c r="G9016">
        <v>18</v>
      </c>
    </row>
    <row r="9017" spans="1:7" x14ac:dyDescent="0.25">
      <c r="A9017" t="s">
        <v>41</v>
      </c>
      <c r="B9017" t="s">
        <v>7206</v>
      </c>
      <c r="C9017" t="s">
        <v>17837</v>
      </c>
      <c r="D9017" t="s">
        <v>20</v>
      </c>
      <c r="E9017" t="s">
        <v>11</v>
      </c>
      <c r="F9017">
        <v>564.3</v>
      </c>
      <c r="G9017">
        <v>18</v>
      </c>
    </row>
    <row r="9018" spans="1:7" x14ac:dyDescent="0.25">
      <c r="A9018" t="s">
        <v>41</v>
      </c>
      <c r="B9018" t="s">
        <v>7209</v>
      </c>
      <c r="C9018" t="s">
        <v>18045</v>
      </c>
      <c r="D9018" t="s">
        <v>20</v>
      </c>
      <c r="E9018" t="s">
        <v>11</v>
      </c>
      <c r="F9018">
        <v>2098.7999999999997</v>
      </c>
      <c r="G9018">
        <v>18</v>
      </c>
    </row>
    <row r="9019" spans="1:7" x14ac:dyDescent="0.25">
      <c r="A9019" t="s">
        <v>41</v>
      </c>
      <c r="B9019" t="s">
        <v>7212</v>
      </c>
      <c r="C9019" t="s">
        <v>17833</v>
      </c>
      <c r="D9019" t="s">
        <v>20</v>
      </c>
      <c r="E9019" t="s">
        <v>11</v>
      </c>
      <c r="F9019">
        <v>4437.400000000001</v>
      </c>
      <c r="G9019">
        <v>18</v>
      </c>
    </row>
    <row r="9020" spans="1:7" x14ac:dyDescent="0.25">
      <c r="A9020" t="s">
        <v>41</v>
      </c>
      <c r="B9020" t="s">
        <v>7215</v>
      </c>
      <c r="C9020" t="s">
        <v>19143</v>
      </c>
      <c r="D9020" t="s">
        <v>20</v>
      </c>
      <c r="E9020" t="s">
        <v>11</v>
      </c>
      <c r="F9020">
        <v>58.300000000000004</v>
      </c>
      <c r="G9020">
        <v>18</v>
      </c>
    </row>
    <row r="9021" spans="1:7" x14ac:dyDescent="0.25">
      <c r="A9021" t="s">
        <v>41</v>
      </c>
      <c r="B9021" t="s">
        <v>7218</v>
      </c>
      <c r="C9021" t="s">
        <v>17778</v>
      </c>
      <c r="D9021" t="s">
        <v>20</v>
      </c>
      <c r="E9021" t="s">
        <v>11</v>
      </c>
      <c r="F9021">
        <v>61.60000000000001</v>
      </c>
      <c r="G9021">
        <v>18</v>
      </c>
    </row>
    <row r="9022" spans="1:7" x14ac:dyDescent="0.25">
      <c r="A9022" t="s">
        <v>41</v>
      </c>
      <c r="B9022" t="s">
        <v>7221</v>
      </c>
      <c r="C9022" t="s">
        <v>17735</v>
      </c>
      <c r="D9022" t="s">
        <v>20</v>
      </c>
      <c r="E9022" t="s">
        <v>11</v>
      </c>
      <c r="F9022">
        <v>58.300000000000004</v>
      </c>
      <c r="G9022">
        <v>18</v>
      </c>
    </row>
    <row r="9023" spans="1:7" x14ac:dyDescent="0.25">
      <c r="A9023" t="s">
        <v>41</v>
      </c>
      <c r="B9023" t="s">
        <v>7224</v>
      </c>
      <c r="C9023" t="s">
        <v>17832</v>
      </c>
      <c r="D9023" t="s">
        <v>20</v>
      </c>
      <c r="E9023" t="s">
        <v>11</v>
      </c>
      <c r="F9023">
        <v>30.800000000000004</v>
      </c>
      <c r="G9023">
        <v>18</v>
      </c>
    </row>
    <row r="9024" spans="1:7" x14ac:dyDescent="0.25">
      <c r="A9024" t="s">
        <v>41</v>
      </c>
      <c r="B9024" t="s">
        <v>7227</v>
      </c>
      <c r="C9024" t="s">
        <v>17831</v>
      </c>
      <c r="D9024" t="s">
        <v>20</v>
      </c>
      <c r="E9024" t="s">
        <v>11</v>
      </c>
      <c r="F9024">
        <v>229.89999999999998</v>
      </c>
      <c r="G9024">
        <v>18</v>
      </c>
    </row>
    <row r="9025" spans="1:7" x14ac:dyDescent="0.25">
      <c r="A9025" t="s">
        <v>41</v>
      </c>
      <c r="B9025" t="s">
        <v>7230</v>
      </c>
      <c r="C9025" t="s">
        <v>17680</v>
      </c>
      <c r="D9025" t="s">
        <v>20</v>
      </c>
      <c r="E9025" t="s">
        <v>11</v>
      </c>
      <c r="F9025">
        <v>2599.2999999999997</v>
      </c>
      <c r="G9025">
        <v>18</v>
      </c>
    </row>
    <row r="9026" spans="1:7" x14ac:dyDescent="0.25">
      <c r="A9026" t="s">
        <v>41</v>
      </c>
      <c r="B9026" t="s">
        <v>7233</v>
      </c>
      <c r="C9026" t="s">
        <v>19144</v>
      </c>
      <c r="D9026" t="s">
        <v>20</v>
      </c>
      <c r="E9026" t="s">
        <v>11</v>
      </c>
      <c r="F9026">
        <v>58.300000000000004</v>
      </c>
      <c r="G9026">
        <v>18</v>
      </c>
    </row>
    <row r="9027" spans="1:7" x14ac:dyDescent="0.25">
      <c r="A9027" t="s">
        <v>41</v>
      </c>
      <c r="B9027" t="s">
        <v>7236</v>
      </c>
      <c r="C9027" t="s">
        <v>19145</v>
      </c>
      <c r="D9027" t="s">
        <v>20</v>
      </c>
      <c r="E9027" t="s">
        <v>11</v>
      </c>
      <c r="F9027">
        <v>951.5</v>
      </c>
      <c r="G9027">
        <v>18</v>
      </c>
    </row>
    <row r="9028" spans="1:7" x14ac:dyDescent="0.25">
      <c r="A9028" t="s">
        <v>41</v>
      </c>
      <c r="B9028" t="s">
        <v>7239</v>
      </c>
      <c r="C9028" t="s">
        <v>19146</v>
      </c>
      <c r="D9028" t="s">
        <v>20</v>
      </c>
      <c r="E9028" t="s">
        <v>11</v>
      </c>
      <c r="F9028">
        <v>114.4</v>
      </c>
      <c r="G9028">
        <v>18</v>
      </c>
    </row>
    <row r="9029" spans="1:7" x14ac:dyDescent="0.25">
      <c r="A9029" t="s">
        <v>41</v>
      </c>
      <c r="B9029" t="s">
        <v>7242</v>
      </c>
      <c r="C9029" t="s">
        <v>17736</v>
      </c>
      <c r="D9029" t="s">
        <v>20</v>
      </c>
      <c r="E9029" t="s">
        <v>11</v>
      </c>
      <c r="F9029">
        <v>57.2</v>
      </c>
      <c r="G9029">
        <v>18</v>
      </c>
    </row>
    <row r="9030" spans="1:7" x14ac:dyDescent="0.25">
      <c r="A9030" t="s">
        <v>41</v>
      </c>
      <c r="B9030" t="s">
        <v>7245</v>
      </c>
      <c r="C9030" t="s">
        <v>19147</v>
      </c>
      <c r="D9030" t="s">
        <v>20</v>
      </c>
      <c r="E9030" t="s">
        <v>11</v>
      </c>
      <c r="F9030">
        <v>70.4</v>
      </c>
      <c r="G9030">
        <v>18</v>
      </c>
    </row>
    <row r="9031" spans="1:7" x14ac:dyDescent="0.25">
      <c r="A9031" t="s">
        <v>41</v>
      </c>
      <c r="B9031" t="s">
        <v>7248</v>
      </c>
      <c r="C9031" t="s">
        <v>17846</v>
      </c>
      <c r="D9031" t="s">
        <v>20</v>
      </c>
      <c r="E9031" t="s">
        <v>11</v>
      </c>
      <c r="F9031">
        <v>546.6999999999999</v>
      </c>
      <c r="G9031">
        <v>18</v>
      </c>
    </row>
    <row r="9032" spans="1:7" x14ac:dyDescent="0.25">
      <c r="A9032" t="s">
        <v>41</v>
      </c>
      <c r="B9032" t="s">
        <v>7251</v>
      </c>
      <c r="C9032" t="s">
        <v>17849</v>
      </c>
      <c r="D9032" t="s">
        <v>20</v>
      </c>
      <c r="E9032" t="s">
        <v>11</v>
      </c>
      <c r="F9032">
        <v>1642.3</v>
      </c>
      <c r="G9032">
        <v>18</v>
      </c>
    </row>
    <row r="9033" spans="1:7" x14ac:dyDescent="0.25">
      <c r="A9033" t="s">
        <v>41</v>
      </c>
      <c r="B9033" t="s">
        <v>7254</v>
      </c>
      <c r="C9033" t="s">
        <v>17850</v>
      </c>
      <c r="D9033" t="s">
        <v>20</v>
      </c>
      <c r="E9033" t="s">
        <v>11</v>
      </c>
      <c r="F9033">
        <v>3526.6000000000004</v>
      </c>
      <c r="G9033">
        <v>18</v>
      </c>
    </row>
    <row r="9034" spans="1:7" x14ac:dyDescent="0.25">
      <c r="A9034" t="s">
        <v>41</v>
      </c>
      <c r="B9034" t="s">
        <v>7257</v>
      </c>
      <c r="C9034" t="s">
        <v>17851</v>
      </c>
      <c r="D9034" t="s">
        <v>20</v>
      </c>
      <c r="E9034" t="s">
        <v>11</v>
      </c>
      <c r="F9034">
        <v>546.6999999999999</v>
      </c>
      <c r="G9034">
        <v>18</v>
      </c>
    </row>
    <row r="9035" spans="1:7" x14ac:dyDescent="0.25">
      <c r="A9035" t="s">
        <v>41</v>
      </c>
      <c r="B9035" t="s">
        <v>7260</v>
      </c>
      <c r="C9035" t="s">
        <v>17852</v>
      </c>
      <c r="D9035" t="s">
        <v>20</v>
      </c>
      <c r="E9035" t="s">
        <v>11</v>
      </c>
      <c r="F9035">
        <v>1642.3</v>
      </c>
      <c r="G9035">
        <v>18</v>
      </c>
    </row>
    <row r="9036" spans="1:7" x14ac:dyDescent="0.25">
      <c r="A9036" t="s">
        <v>41</v>
      </c>
      <c r="B9036" t="s">
        <v>7263</v>
      </c>
      <c r="C9036" t="s">
        <v>17953</v>
      </c>
      <c r="D9036" t="s">
        <v>20</v>
      </c>
      <c r="E9036" t="s">
        <v>11</v>
      </c>
      <c r="F9036">
        <v>9686.6</v>
      </c>
      <c r="G9036">
        <v>18</v>
      </c>
    </row>
    <row r="9037" spans="1:7" x14ac:dyDescent="0.25">
      <c r="A9037" t="s">
        <v>41</v>
      </c>
      <c r="B9037" t="s">
        <v>7266</v>
      </c>
      <c r="C9037" t="s">
        <v>17954</v>
      </c>
      <c r="D9037" t="s">
        <v>20</v>
      </c>
      <c r="E9037" t="s">
        <v>11</v>
      </c>
      <c r="F9037">
        <v>3461.7</v>
      </c>
      <c r="G9037">
        <v>18</v>
      </c>
    </row>
    <row r="9038" spans="1:7" x14ac:dyDescent="0.25">
      <c r="A9038" t="s">
        <v>41</v>
      </c>
      <c r="B9038" t="s">
        <v>7269</v>
      </c>
      <c r="C9038" t="s">
        <v>17955</v>
      </c>
      <c r="D9038" t="s">
        <v>20</v>
      </c>
      <c r="E9038" t="s">
        <v>11</v>
      </c>
      <c r="F9038">
        <v>418</v>
      </c>
      <c r="G9038">
        <v>18</v>
      </c>
    </row>
    <row r="9039" spans="1:7" x14ac:dyDescent="0.25">
      <c r="A9039" t="s">
        <v>41</v>
      </c>
      <c r="B9039" t="s">
        <v>7272</v>
      </c>
      <c r="C9039" t="s">
        <v>17956</v>
      </c>
      <c r="D9039" t="s">
        <v>20</v>
      </c>
      <c r="E9039" t="s">
        <v>11</v>
      </c>
      <c r="F9039">
        <v>299.20000000000005</v>
      </c>
      <c r="G9039">
        <v>18</v>
      </c>
    </row>
    <row r="9040" spans="1:7" x14ac:dyDescent="0.25">
      <c r="A9040" t="s">
        <v>41</v>
      </c>
      <c r="B9040" t="s">
        <v>7275</v>
      </c>
      <c r="C9040" t="s">
        <v>17957</v>
      </c>
      <c r="D9040" t="s">
        <v>20</v>
      </c>
      <c r="E9040" t="s">
        <v>11</v>
      </c>
      <c r="F9040">
        <v>2340.8</v>
      </c>
      <c r="G9040">
        <v>18</v>
      </c>
    </row>
    <row r="9041" spans="1:7" x14ac:dyDescent="0.25">
      <c r="A9041" t="s">
        <v>41</v>
      </c>
      <c r="B9041" t="s">
        <v>7278</v>
      </c>
      <c r="C9041" t="s">
        <v>17958</v>
      </c>
      <c r="D9041" t="s">
        <v>20</v>
      </c>
      <c r="E9041" t="s">
        <v>11</v>
      </c>
      <c r="F9041">
        <v>183.7</v>
      </c>
      <c r="G9041">
        <v>18</v>
      </c>
    </row>
    <row r="9042" spans="1:7" x14ac:dyDescent="0.25">
      <c r="A9042" t="s">
        <v>41</v>
      </c>
      <c r="B9042" t="s">
        <v>7281</v>
      </c>
      <c r="C9042" t="s">
        <v>17959</v>
      </c>
      <c r="D9042" t="s">
        <v>20</v>
      </c>
      <c r="E9042" t="s">
        <v>11</v>
      </c>
      <c r="F9042">
        <v>1637.9</v>
      </c>
      <c r="G9042">
        <v>18</v>
      </c>
    </row>
    <row r="9043" spans="1:7" x14ac:dyDescent="0.25">
      <c r="A9043" t="s">
        <v>41</v>
      </c>
      <c r="B9043" t="s">
        <v>7284</v>
      </c>
      <c r="C9043" t="s">
        <v>17960</v>
      </c>
      <c r="D9043" t="s">
        <v>20</v>
      </c>
      <c r="E9043" t="s">
        <v>11</v>
      </c>
      <c r="F9043">
        <v>71.5</v>
      </c>
      <c r="G9043">
        <v>18</v>
      </c>
    </row>
    <row r="9044" spans="1:7" x14ac:dyDescent="0.25">
      <c r="A9044" t="s">
        <v>41</v>
      </c>
      <c r="B9044" t="s">
        <v>7287</v>
      </c>
      <c r="C9044" t="s">
        <v>17962</v>
      </c>
      <c r="D9044" t="s">
        <v>20</v>
      </c>
      <c r="E9044" t="s">
        <v>11</v>
      </c>
      <c r="F9044">
        <v>3461.7</v>
      </c>
      <c r="G9044">
        <v>18</v>
      </c>
    </row>
    <row r="9045" spans="1:7" x14ac:dyDescent="0.25">
      <c r="A9045" t="s">
        <v>41</v>
      </c>
      <c r="B9045" t="s">
        <v>7290</v>
      </c>
      <c r="C9045" t="s">
        <v>17966</v>
      </c>
      <c r="D9045" t="s">
        <v>20</v>
      </c>
      <c r="E9045" t="s">
        <v>11</v>
      </c>
      <c r="F9045">
        <v>457.6</v>
      </c>
      <c r="G9045">
        <v>18</v>
      </c>
    </row>
    <row r="9046" spans="1:7" x14ac:dyDescent="0.25">
      <c r="A9046" t="s">
        <v>41</v>
      </c>
      <c r="B9046" t="s">
        <v>7293</v>
      </c>
      <c r="C9046" t="s">
        <v>17967</v>
      </c>
      <c r="D9046" t="s">
        <v>20</v>
      </c>
      <c r="E9046" t="s">
        <v>11</v>
      </c>
      <c r="F9046">
        <v>1372.8</v>
      </c>
      <c r="G9046">
        <v>18</v>
      </c>
    </row>
    <row r="9047" spans="1:7" x14ac:dyDescent="0.25">
      <c r="A9047" t="s">
        <v>41</v>
      </c>
      <c r="B9047" t="s">
        <v>7296</v>
      </c>
      <c r="C9047" t="s">
        <v>17959</v>
      </c>
      <c r="D9047" t="s">
        <v>20</v>
      </c>
      <c r="E9047" t="s">
        <v>11</v>
      </c>
      <c r="F9047">
        <v>2376</v>
      </c>
      <c r="G9047">
        <v>18</v>
      </c>
    </row>
    <row r="9048" spans="1:7" x14ac:dyDescent="0.25">
      <c r="A9048" t="s">
        <v>41</v>
      </c>
      <c r="B9048" t="s">
        <v>7299</v>
      </c>
      <c r="C9048" t="s">
        <v>19148</v>
      </c>
      <c r="D9048" t="s">
        <v>20</v>
      </c>
      <c r="E9048" t="s">
        <v>11</v>
      </c>
      <c r="F9048">
        <v>38094.1</v>
      </c>
      <c r="G9048">
        <v>18</v>
      </c>
    </row>
    <row r="9049" spans="1:7" x14ac:dyDescent="0.25">
      <c r="A9049" t="s">
        <v>41</v>
      </c>
      <c r="B9049" t="s">
        <v>7302</v>
      </c>
      <c r="C9049" t="s">
        <v>19149</v>
      </c>
      <c r="D9049" t="s">
        <v>20</v>
      </c>
      <c r="E9049" t="s">
        <v>11</v>
      </c>
      <c r="F9049">
        <v>1591.7</v>
      </c>
      <c r="G9049">
        <v>18</v>
      </c>
    </row>
    <row r="9050" spans="1:7" x14ac:dyDescent="0.25">
      <c r="A9050" t="s">
        <v>41</v>
      </c>
      <c r="B9050" t="s">
        <v>7305</v>
      </c>
      <c r="C9050" t="s">
        <v>19150</v>
      </c>
      <c r="D9050" t="s">
        <v>20</v>
      </c>
      <c r="E9050" t="s">
        <v>11</v>
      </c>
      <c r="F9050">
        <v>440</v>
      </c>
      <c r="G9050">
        <v>18</v>
      </c>
    </row>
    <row r="9051" spans="1:7" x14ac:dyDescent="0.25">
      <c r="A9051" t="s">
        <v>41</v>
      </c>
      <c r="B9051" t="s">
        <v>7308</v>
      </c>
      <c r="C9051" t="s">
        <v>19151</v>
      </c>
      <c r="D9051" t="s">
        <v>20</v>
      </c>
      <c r="E9051" t="s">
        <v>11</v>
      </c>
      <c r="F9051">
        <v>688.6</v>
      </c>
      <c r="G9051">
        <v>18</v>
      </c>
    </row>
    <row r="9052" spans="1:7" x14ac:dyDescent="0.25">
      <c r="A9052" t="s">
        <v>41</v>
      </c>
      <c r="B9052" t="s">
        <v>7311</v>
      </c>
      <c r="C9052" t="s">
        <v>19152</v>
      </c>
      <c r="D9052" t="s">
        <v>20</v>
      </c>
      <c r="E9052" t="s">
        <v>11</v>
      </c>
      <c r="F9052">
        <v>1114.3000000000002</v>
      </c>
      <c r="G9052">
        <v>18</v>
      </c>
    </row>
    <row r="9053" spans="1:7" x14ac:dyDescent="0.25">
      <c r="A9053" t="s">
        <v>41</v>
      </c>
      <c r="B9053" t="s">
        <v>7314</v>
      </c>
      <c r="C9053" t="s">
        <v>19153</v>
      </c>
      <c r="D9053" t="s">
        <v>20</v>
      </c>
      <c r="E9053" t="s">
        <v>11</v>
      </c>
      <c r="F9053">
        <v>16130.399999999998</v>
      </c>
      <c r="G9053">
        <v>18</v>
      </c>
    </row>
    <row r="9054" spans="1:7" x14ac:dyDescent="0.25">
      <c r="A9054" t="s">
        <v>41</v>
      </c>
      <c r="B9054" t="s">
        <v>7317</v>
      </c>
      <c r="C9054" t="s">
        <v>19154</v>
      </c>
      <c r="D9054" t="s">
        <v>20</v>
      </c>
      <c r="E9054" t="s">
        <v>11</v>
      </c>
      <c r="F9054">
        <v>520.3000000000001</v>
      </c>
      <c r="G9054">
        <v>18</v>
      </c>
    </row>
    <row r="9055" spans="1:7" x14ac:dyDescent="0.25">
      <c r="A9055" t="s">
        <v>41</v>
      </c>
      <c r="B9055" t="s">
        <v>7320</v>
      </c>
      <c r="C9055" t="s">
        <v>19155</v>
      </c>
      <c r="D9055" t="s">
        <v>20</v>
      </c>
      <c r="E9055" t="s">
        <v>11</v>
      </c>
      <c r="F9055">
        <v>464.2</v>
      </c>
      <c r="G9055">
        <v>18</v>
      </c>
    </row>
    <row r="9056" spans="1:7" x14ac:dyDescent="0.25">
      <c r="A9056" t="s">
        <v>41</v>
      </c>
      <c r="B9056" t="s">
        <v>7323</v>
      </c>
      <c r="C9056" t="s">
        <v>19156</v>
      </c>
      <c r="D9056" t="s">
        <v>20</v>
      </c>
      <c r="E9056" t="s">
        <v>11</v>
      </c>
      <c r="F9056">
        <v>151.79999999999998</v>
      </c>
      <c r="G9056">
        <v>18</v>
      </c>
    </row>
    <row r="9057" spans="1:7" x14ac:dyDescent="0.25">
      <c r="A9057" t="s">
        <v>41</v>
      </c>
      <c r="B9057" t="s">
        <v>7326</v>
      </c>
      <c r="C9057" t="s">
        <v>18386</v>
      </c>
      <c r="D9057" t="s">
        <v>20</v>
      </c>
      <c r="E9057" t="s">
        <v>11</v>
      </c>
      <c r="F9057">
        <v>118.80000000000001</v>
      </c>
      <c r="G9057">
        <v>18</v>
      </c>
    </row>
    <row r="9058" spans="1:7" x14ac:dyDescent="0.25">
      <c r="A9058" t="s">
        <v>41</v>
      </c>
      <c r="B9058" t="s">
        <v>7329</v>
      </c>
      <c r="C9058" t="s">
        <v>18040</v>
      </c>
      <c r="D9058" t="s">
        <v>20</v>
      </c>
      <c r="E9058" t="s">
        <v>11</v>
      </c>
      <c r="F9058">
        <v>63.8</v>
      </c>
      <c r="G9058">
        <v>18</v>
      </c>
    </row>
    <row r="9059" spans="1:7" x14ac:dyDescent="0.25">
      <c r="A9059" t="s">
        <v>41</v>
      </c>
      <c r="B9059" t="s">
        <v>7332</v>
      </c>
      <c r="C9059" t="s">
        <v>19157</v>
      </c>
      <c r="D9059" t="s">
        <v>20</v>
      </c>
      <c r="E9059" t="s">
        <v>11</v>
      </c>
      <c r="F9059">
        <v>8351.2</v>
      </c>
      <c r="G9059">
        <v>18</v>
      </c>
    </row>
    <row r="9060" spans="1:7" x14ac:dyDescent="0.25">
      <c r="A9060" t="s">
        <v>41</v>
      </c>
      <c r="B9060" t="s">
        <v>7335</v>
      </c>
      <c r="C9060" t="s">
        <v>19158</v>
      </c>
      <c r="D9060" t="s">
        <v>20</v>
      </c>
      <c r="E9060" t="s">
        <v>11</v>
      </c>
      <c r="F9060">
        <v>8351.2</v>
      </c>
      <c r="G9060">
        <v>18</v>
      </c>
    </row>
    <row r="9061" spans="1:7" x14ac:dyDescent="0.25">
      <c r="A9061" t="s">
        <v>41</v>
      </c>
      <c r="B9061" t="s">
        <v>7338</v>
      </c>
      <c r="C9061" t="s">
        <v>19159</v>
      </c>
      <c r="D9061" t="s">
        <v>20</v>
      </c>
      <c r="E9061" t="s">
        <v>11</v>
      </c>
      <c r="F9061">
        <v>8351.2</v>
      </c>
      <c r="G9061">
        <v>18</v>
      </c>
    </row>
    <row r="9062" spans="1:7" x14ac:dyDescent="0.25">
      <c r="A9062" t="s">
        <v>41</v>
      </c>
      <c r="B9062" t="s">
        <v>7341</v>
      </c>
      <c r="C9062" t="s">
        <v>19160</v>
      </c>
      <c r="D9062" t="s">
        <v>20</v>
      </c>
      <c r="E9062" t="s">
        <v>11</v>
      </c>
      <c r="F9062">
        <v>7607.599999999999</v>
      </c>
      <c r="G9062">
        <v>18</v>
      </c>
    </row>
    <row r="9063" spans="1:7" x14ac:dyDescent="0.25">
      <c r="A9063" t="s">
        <v>41</v>
      </c>
      <c r="B9063" t="s">
        <v>7344</v>
      </c>
      <c r="C9063" t="s">
        <v>19161</v>
      </c>
      <c r="D9063" t="s">
        <v>20</v>
      </c>
      <c r="E9063" t="s">
        <v>11</v>
      </c>
      <c r="F9063">
        <v>7607.599999999999</v>
      </c>
      <c r="G9063">
        <v>18</v>
      </c>
    </row>
    <row r="9064" spans="1:7" x14ac:dyDescent="0.25">
      <c r="A9064" t="s">
        <v>41</v>
      </c>
      <c r="B9064" t="s">
        <v>7347</v>
      </c>
      <c r="C9064" t="s">
        <v>19162</v>
      </c>
      <c r="D9064" t="s">
        <v>20</v>
      </c>
      <c r="E9064" t="s">
        <v>11</v>
      </c>
      <c r="F9064">
        <v>7359.000000000001</v>
      </c>
      <c r="G9064">
        <v>18</v>
      </c>
    </row>
    <row r="9065" spans="1:7" x14ac:dyDescent="0.25">
      <c r="A9065" t="s">
        <v>41</v>
      </c>
      <c r="B9065" t="s">
        <v>7350</v>
      </c>
      <c r="C9065" t="s">
        <v>19163</v>
      </c>
      <c r="D9065" t="s">
        <v>20</v>
      </c>
      <c r="E9065" t="s">
        <v>11</v>
      </c>
      <c r="F9065">
        <v>7359.000000000001</v>
      </c>
      <c r="G9065">
        <v>18</v>
      </c>
    </row>
    <row r="9066" spans="1:7" x14ac:dyDescent="0.25">
      <c r="A9066" t="s">
        <v>41</v>
      </c>
      <c r="B9066" t="s">
        <v>7353</v>
      </c>
      <c r="C9066" t="s">
        <v>19164</v>
      </c>
      <c r="D9066" t="s">
        <v>20</v>
      </c>
      <c r="E9066" t="s">
        <v>11</v>
      </c>
      <c r="F9066">
        <v>7359.000000000001</v>
      </c>
      <c r="G9066">
        <v>18</v>
      </c>
    </row>
    <row r="9067" spans="1:7" x14ac:dyDescent="0.25">
      <c r="A9067" t="s">
        <v>41</v>
      </c>
      <c r="B9067" t="s">
        <v>7356</v>
      </c>
      <c r="C9067" t="s">
        <v>19165</v>
      </c>
      <c r="D9067" t="s">
        <v>20</v>
      </c>
      <c r="E9067" t="s">
        <v>11</v>
      </c>
      <c r="F9067">
        <v>9380.8</v>
      </c>
      <c r="G9067">
        <v>18</v>
      </c>
    </row>
    <row r="9068" spans="1:7" x14ac:dyDescent="0.25">
      <c r="A9068" t="s">
        <v>41</v>
      </c>
      <c r="B9068" t="s">
        <v>7359</v>
      </c>
      <c r="C9068" t="s">
        <v>19166</v>
      </c>
      <c r="D9068" t="s">
        <v>20</v>
      </c>
      <c r="E9068" t="s">
        <v>11</v>
      </c>
      <c r="F9068">
        <v>9380.8</v>
      </c>
      <c r="G9068">
        <v>18</v>
      </c>
    </row>
    <row r="9069" spans="1:7" x14ac:dyDescent="0.25">
      <c r="A9069" t="s">
        <v>41</v>
      </c>
      <c r="B9069" t="s">
        <v>7362</v>
      </c>
      <c r="C9069" t="s">
        <v>19167</v>
      </c>
      <c r="D9069" t="s">
        <v>20</v>
      </c>
      <c r="E9069" t="s">
        <v>11</v>
      </c>
      <c r="F9069">
        <v>9380.8</v>
      </c>
      <c r="G9069">
        <v>18</v>
      </c>
    </row>
    <row r="9070" spans="1:7" x14ac:dyDescent="0.25">
      <c r="A9070" t="s">
        <v>41</v>
      </c>
      <c r="B9070" t="s">
        <v>7365</v>
      </c>
      <c r="C9070" t="s">
        <v>19168</v>
      </c>
      <c r="D9070" t="s">
        <v>20</v>
      </c>
      <c r="E9070" t="s">
        <v>11</v>
      </c>
      <c r="F9070">
        <v>9380.8</v>
      </c>
      <c r="G9070">
        <v>18</v>
      </c>
    </row>
    <row r="9071" spans="1:7" x14ac:dyDescent="0.25">
      <c r="A9071" t="s">
        <v>41</v>
      </c>
      <c r="B9071" t="s">
        <v>7368</v>
      </c>
      <c r="C9071" t="s">
        <v>19169</v>
      </c>
      <c r="D9071" t="s">
        <v>20</v>
      </c>
      <c r="E9071" t="s">
        <v>11</v>
      </c>
      <c r="F9071">
        <v>9380.8</v>
      </c>
      <c r="G9071">
        <v>18</v>
      </c>
    </row>
    <row r="9072" spans="1:7" x14ac:dyDescent="0.25">
      <c r="A9072" t="s">
        <v>41</v>
      </c>
      <c r="B9072" t="s">
        <v>7371</v>
      </c>
      <c r="C9072" t="s">
        <v>19170</v>
      </c>
      <c r="D9072" t="s">
        <v>20</v>
      </c>
      <c r="E9072" t="s">
        <v>11</v>
      </c>
      <c r="F9072">
        <v>9380.8</v>
      </c>
      <c r="G9072">
        <v>18</v>
      </c>
    </row>
    <row r="9073" spans="1:7" x14ac:dyDescent="0.25">
      <c r="A9073" t="s">
        <v>41</v>
      </c>
      <c r="B9073" t="s">
        <v>7374</v>
      </c>
      <c r="C9073" t="s">
        <v>19171</v>
      </c>
      <c r="D9073" t="s">
        <v>20</v>
      </c>
      <c r="E9073" t="s">
        <v>11</v>
      </c>
      <c r="F9073">
        <v>7607.599999999999</v>
      </c>
      <c r="G9073">
        <v>18</v>
      </c>
    </row>
    <row r="9074" spans="1:7" x14ac:dyDescent="0.25">
      <c r="A9074" t="s">
        <v>41</v>
      </c>
      <c r="B9074" t="s">
        <v>7377</v>
      </c>
      <c r="C9074" t="s">
        <v>19172</v>
      </c>
      <c r="D9074" t="s">
        <v>20</v>
      </c>
      <c r="E9074" t="s">
        <v>11</v>
      </c>
      <c r="F9074">
        <v>7607.599999999999</v>
      </c>
      <c r="G9074">
        <v>18</v>
      </c>
    </row>
    <row r="9075" spans="1:7" x14ac:dyDescent="0.25">
      <c r="A9075" t="s">
        <v>41</v>
      </c>
      <c r="B9075" t="s">
        <v>7380</v>
      </c>
      <c r="C9075" t="s">
        <v>19173</v>
      </c>
      <c r="D9075" t="s">
        <v>20</v>
      </c>
      <c r="E9075" t="s">
        <v>11</v>
      </c>
      <c r="F9075">
        <v>7359.000000000001</v>
      </c>
      <c r="G9075">
        <v>18</v>
      </c>
    </row>
    <row r="9076" spans="1:7" x14ac:dyDescent="0.25">
      <c r="A9076" t="s">
        <v>41</v>
      </c>
      <c r="B9076" t="s">
        <v>7383</v>
      </c>
      <c r="C9076" t="s">
        <v>19174</v>
      </c>
      <c r="D9076" t="s">
        <v>20</v>
      </c>
      <c r="E9076" t="s">
        <v>11</v>
      </c>
      <c r="F9076">
        <v>4804.8</v>
      </c>
      <c r="G9076">
        <v>18</v>
      </c>
    </row>
    <row r="9077" spans="1:7" x14ac:dyDescent="0.25">
      <c r="A9077" t="s">
        <v>41</v>
      </c>
      <c r="B9077" t="s">
        <v>7386</v>
      </c>
      <c r="C9077" t="s">
        <v>19175</v>
      </c>
      <c r="D9077" t="s">
        <v>20</v>
      </c>
      <c r="E9077" t="s">
        <v>11</v>
      </c>
      <c r="F9077">
        <v>3775.2</v>
      </c>
      <c r="G9077">
        <v>18</v>
      </c>
    </row>
    <row r="9078" spans="1:7" x14ac:dyDescent="0.25">
      <c r="A9078" t="s">
        <v>41</v>
      </c>
      <c r="B9078" t="s">
        <v>7389</v>
      </c>
      <c r="C9078" t="s">
        <v>19176</v>
      </c>
      <c r="D9078" t="s">
        <v>20</v>
      </c>
      <c r="E9078" t="s">
        <v>11</v>
      </c>
      <c r="F9078">
        <v>3318.7000000000003</v>
      </c>
      <c r="G9078">
        <v>18</v>
      </c>
    </row>
    <row r="9079" spans="1:7" x14ac:dyDescent="0.25">
      <c r="A9079" t="s">
        <v>41</v>
      </c>
      <c r="B9079" t="s">
        <v>7392</v>
      </c>
      <c r="C9079" t="s">
        <v>19177</v>
      </c>
      <c r="D9079" t="s">
        <v>20</v>
      </c>
      <c r="E9079" t="s">
        <v>11</v>
      </c>
      <c r="F9079">
        <v>4095.2999999999997</v>
      </c>
      <c r="G9079">
        <v>18</v>
      </c>
    </row>
    <row r="9080" spans="1:7" x14ac:dyDescent="0.25">
      <c r="A9080" t="s">
        <v>41</v>
      </c>
      <c r="B9080" t="s">
        <v>7395</v>
      </c>
      <c r="C9080" t="s">
        <v>19178</v>
      </c>
      <c r="D9080" t="s">
        <v>20</v>
      </c>
      <c r="E9080" t="s">
        <v>11</v>
      </c>
      <c r="F9080">
        <v>118.80000000000001</v>
      </c>
      <c r="G9080">
        <v>18</v>
      </c>
    </row>
    <row r="9081" spans="1:7" x14ac:dyDescent="0.25">
      <c r="A9081" t="s">
        <v>41</v>
      </c>
      <c r="B9081" t="s">
        <v>7398</v>
      </c>
      <c r="C9081" t="s">
        <v>19179</v>
      </c>
      <c r="D9081" t="s">
        <v>20</v>
      </c>
      <c r="E9081" t="s">
        <v>11</v>
      </c>
      <c r="F9081">
        <v>4567.200000000001</v>
      </c>
      <c r="G9081">
        <v>18</v>
      </c>
    </row>
    <row r="9082" spans="1:7" x14ac:dyDescent="0.25">
      <c r="A9082" t="s">
        <v>41</v>
      </c>
      <c r="B9082" t="s">
        <v>7401</v>
      </c>
      <c r="C9082" t="s">
        <v>19180</v>
      </c>
      <c r="D9082" t="s">
        <v>20</v>
      </c>
      <c r="E9082" t="s">
        <v>11</v>
      </c>
      <c r="F9082">
        <v>4346.099999999999</v>
      </c>
      <c r="G9082">
        <v>18</v>
      </c>
    </row>
    <row r="9083" spans="1:7" x14ac:dyDescent="0.25">
      <c r="A9083" t="s">
        <v>41</v>
      </c>
      <c r="B9083" t="s">
        <v>7404</v>
      </c>
      <c r="C9083" t="s">
        <v>19181</v>
      </c>
      <c r="D9083" t="s">
        <v>20</v>
      </c>
      <c r="E9083" t="s">
        <v>11</v>
      </c>
      <c r="F9083">
        <v>2684</v>
      </c>
      <c r="G9083">
        <v>18</v>
      </c>
    </row>
    <row r="9084" spans="1:7" x14ac:dyDescent="0.25">
      <c r="A9084" t="s">
        <v>41</v>
      </c>
      <c r="B9084" t="s">
        <v>7407</v>
      </c>
      <c r="C9084" t="s">
        <v>19182</v>
      </c>
      <c r="D9084" t="s">
        <v>20</v>
      </c>
      <c r="E9084" t="s">
        <v>11</v>
      </c>
      <c r="F9084">
        <v>2684</v>
      </c>
      <c r="G9084">
        <v>18</v>
      </c>
    </row>
    <row r="9085" spans="1:7" x14ac:dyDescent="0.25">
      <c r="A9085" t="s">
        <v>41</v>
      </c>
      <c r="B9085" t="s">
        <v>7410</v>
      </c>
      <c r="C9085" t="s">
        <v>19183</v>
      </c>
      <c r="D9085" t="s">
        <v>20</v>
      </c>
      <c r="E9085" t="s">
        <v>11</v>
      </c>
      <c r="F9085">
        <v>2684</v>
      </c>
      <c r="G9085">
        <v>18</v>
      </c>
    </row>
    <row r="9086" spans="1:7" x14ac:dyDescent="0.25">
      <c r="A9086" t="s">
        <v>41</v>
      </c>
      <c r="B9086" t="s">
        <v>7413</v>
      </c>
      <c r="C9086" t="s">
        <v>19184</v>
      </c>
      <c r="D9086" t="s">
        <v>20</v>
      </c>
      <c r="E9086" t="s">
        <v>11</v>
      </c>
      <c r="F9086">
        <v>1860.1</v>
      </c>
      <c r="G9086">
        <v>18</v>
      </c>
    </row>
    <row r="9087" spans="1:7" x14ac:dyDescent="0.25">
      <c r="A9087" t="s">
        <v>41</v>
      </c>
      <c r="B9087" t="s">
        <v>7416</v>
      </c>
      <c r="C9087" t="s">
        <v>19185</v>
      </c>
      <c r="D9087" t="s">
        <v>20</v>
      </c>
      <c r="E9087" t="s">
        <v>11</v>
      </c>
      <c r="F9087">
        <v>6194.1</v>
      </c>
      <c r="G9087">
        <v>18</v>
      </c>
    </row>
    <row r="9088" spans="1:7" x14ac:dyDescent="0.25">
      <c r="A9088" t="s">
        <v>41</v>
      </c>
      <c r="B9088" t="s">
        <v>7419</v>
      </c>
      <c r="C9088" t="s">
        <v>19186</v>
      </c>
      <c r="D9088" t="s">
        <v>20</v>
      </c>
      <c r="E9088" t="s">
        <v>11</v>
      </c>
      <c r="F9088">
        <v>70.4</v>
      </c>
      <c r="G9088">
        <v>18</v>
      </c>
    </row>
    <row r="9089" spans="1:7" x14ac:dyDescent="0.25">
      <c r="A9089" t="s">
        <v>41</v>
      </c>
      <c r="B9089" t="s">
        <v>7422</v>
      </c>
      <c r="C9089" t="s">
        <v>19187</v>
      </c>
      <c r="D9089" t="s">
        <v>20</v>
      </c>
      <c r="E9089" t="s">
        <v>11</v>
      </c>
      <c r="F9089">
        <v>58.300000000000004</v>
      </c>
      <c r="G9089">
        <v>18</v>
      </c>
    </row>
    <row r="9090" spans="1:7" x14ac:dyDescent="0.25">
      <c r="A9090" t="s">
        <v>41</v>
      </c>
      <c r="B9090" t="s">
        <v>7425</v>
      </c>
      <c r="C9090" t="s">
        <v>19188</v>
      </c>
      <c r="D9090" t="s">
        <v>20</v>
      </c>
      <c r="E9090" t="s">
        <v>11</v>
      </c>
      <c r="F9090">
        <v>1595</v>
      </c>
      <c r="G9090">
        <v>18</v>
      </c>
    </row>
    <row r="9091" spans="1:7" x14ac:dyDescent="0.25">
      <c r="A9091" t="s">
        <v>41</v>
      </c>
      <c r="B9091" t="s">
        <v>7428</v>
      </c>
      <c r="C9091" t="s">
        <v>19189</v>
      </c>
      <c r="D9091" t="s">
        <v>20</v>
      </c>
      <c r="E9091" t="s">
        <v>11</v>
      </c>
      <c r="F9091">
        <v>118.80000000000001</v>
      </c>
      <c r="G9091">
        <v>18</v>
      </c>
    </row>
    <row r="9092" spans="1:7" x14ac:dyDescent="0.25">
      <c r="A9092" t="s">
        <v>41</v>
      </c>
      <c r="B9092" t="s">
        <v>7431</v>
      </c>
      <c r="C9092" t="s">
        <v>19190</v>
      </c>
      <c r="D9092" t="s">
        <v>20</v>
      </c>
      <c r="E9092" t="s">
        <v>11</v>
      </c>
      <c r="F9092">
        <v>4164.6</v>
      </c>
      <c r="G9092">
        <v>18</v>
      </c>
    </row>
    <row r="9093" spans="1:7" x14ac:dyDescent="0.25">
      <c r="A9093" t="s">
        <v>41</v>
      </c>
      <c r="B9093" t="s">
        <v>7434</v>
      </c>
      <c r="C9093" t="s">
        <v>19191</v>
      </c>
      <c r="D9093" t="s">
        <v>20</v>
      </c>
      <c r="E9093" t="s">
        <v>11</v>
      </c>
      <c r="F9093">
        <v>4380.2</v>
      </c>
      <c r="G9093">
        <v>18</v>
      </c>
    </row>
    <row r="9094" spans="1:7" x14ac:dyDescent="0.25">
      <c r="A9094" t="s">
        <v>41</v>
      </c>
      <c r="B9094" t="s">
        <v>7437</v>
      </c>
      <c r="C9094" t="s">
        <v>19192</v>
      </c>
      <c r="D9094" t="s">
        <v>20</v>
      </c>
      <c r="E9094" t="s">
        <v>11</v>
      </c>
      <c r="F9094">
        <v>57.2</v>
      </c>
      <c r="G9094">
        <v>18</v>
      </c>
    </row>
    <row r="9095" spans="1:7" x14ac:dyDescent="0.25">
      <c r="A9095" t="s">
        <v>41</v>
      </c>
      <c r="B9095" t="s">
        <v>7440</v>
      </c>
      <c r="C9095" t="s">
        <v>19193</v>
      </c>
      <c r="D9095" t="s">
        <v>20</v>
      </c>
      <c r="E9095" t="s">
        <v>11</v>
      </c>
      <c r="F9095">
        <v>303.59999999999997</v>
      </c>
      <c r="G9095">
        <v>18</v>
      </c>
    </row>
    <row r="9096" spans="1:7" x14ac:dyDescent="0.25">
      <c r="A9096" t="s">
        <v>41</v>
      </c>
      <c r="B9096" t="s">
        <v>7443</v>
      </c>
      <c r="C9096" t="s">
        <v>18435</v>
      </c>
      <c r="D9096" t="s">
        <v>20</v>
      </c>
      <c r="E9096" t="s">
        <v>11</v>
      </c>
      <c r="F9096">
        <v>217.8</v>
      </c>
      <c r="G9096">
        <v>18</v>
      </c>
    </row>
    <row r="9097" spans="1:7" x14ac:dyDescent="0.25">
      <c r="A9097" t="s">
        <v>41</v>
      </c>
      <c r="B9097" t="s">
        <v>7446</v>
      </c>
      <c r="C9097" t="s">
        <v>19194</v>
      </c>
      <c r="D9097" t="s">
        <v>20</v>
      </c>
      <c r="E9097" t="s">
        <v>11</v>
      </c>
      <c r="F9097">
        <v>260.7</v>
      </c>
      <c r="G9097">
        <v>18</v>
      </c>
    </row>
    <row r="9098" spans="1:7" x14ac:dyDescent="0.25">
      <c r="A9098" t="s">
        <v>41</v>
      </c>
      <c r="B9098" t="s">
        <v>7449</v>
      </c>
      <c r="C9098" t="s">
        <v>19195</v>
      </c>
      <c r="D9098" t="s">
        <v>20</v>
      </c>
      <c r="E9098" t="s">
        <v>11</v>
      </c>
      <c r="F9098">
        <v>2797.3</v>
      </c>
      <c r="G9098">
        <v>18</v>
      </c>
    </row>
    <row r="9099" spans="1:7" x14ac:dyDescent="0.25">
      <c r="A9099" t="s">
        <v>41</v>
      </c>
      <c r="B9099" t="s">
        <v>7452</v>
      </c>
      <c r="C9099" t="s">
        <v>17813</v>
      </c>
      <c r="D9099" t="s">
        <v>20</v>
      </c>
      <c r="E9099" t="s">
        <v>11</v>
      </c>
      <c r="F9099">
        <v>31.9</v>
      </c>
      <c r="G9099">
        <v>18</v>
      </c>
    </row>
    <row r="9100" spans="1:7" x14ac:dyDescent="0.25">
      <c r="A9100" t="s">
        <v>41</v>
      </c>
      <c r="B9100" t="s">
        <v>7455</v>
      </c>
      <c r="C9100" t="s">
        <v>19196</v>
      </c>
      <c r="D9100" t="s">
        <v>20</v>
      </c>
      <c r="E9100" t="s">
        <v>11</v>
      </c>
      <c r="F9100">
        <v>1595</v>
      </c>
      <c r="G9100">
        <v>18</v>
      </c>
    </row>
    <row r="9101" spans="1:7" x14ac:dyDescent="0.25">
      <c r="A9101" t="s">
        <v>41</v>
      </c>
      <c r="B9101" t="s">
        <v>7458</v>
      </c>
      <c r="C9101" t="s">
        <v>19197</v>
      </c>
      <c r="D9101" t="s">
        <v>20</v>
      </c>
      <c r="E9101" t="s">
        <v>11</v>
      </c>
      <c r="F9101">
        <v>221.09999999999997</v>
      </c>
      <c r="G9101">
        <v>18</v>
      </c>
    </row>
    <row r="9102" spans="1:7" x14ac:dyDescent="0.25">
      <c r="A9102" t="s">
        <v>41</v>
      </c>
      <c r="B9102" t="s">
        <v>7461</v>
      </c>
      <c r="C9102" t="s">
        <v>19198</v>
      </c>
      <c r="D9102" t="s">
        <v>20</v>
      </c>
      <c r="E9102" t="s">
        <v>11</v>
      </c>
      <c r="F9102">
        <v>1469.6</v>
      </c>
      <c r="G9102">
        <v>18</v>
      </c>
    </row>
    <row r="9103" spans="1:7" x14ac:dyDescent="0.25">
      <c r="A9103" t="s">
        <v>41</v>
      </c>
      <c r="B9103" t="s">
        <v>7464</v>
      </c>
      <c r="C9103" t="s">
        <v>19199</v>
      </c>
      <c r="D9103" t="s">
        <v>20</v>
      </c>
      <c r="E9103" t="s">
        <v>11</v>
      </c>
      <c r="F9103">
        <v>2648.7999999999997</v>
      </c>
      <c r="G9103">
        <v>18</v>
      </c>
    </row>
    <row r="9104" spans="1:7" x14ac:dyDescent="0.25">
      <c r="A9104" t="s">
        <v>41</v>
      </c>
      <c r="B9104" t="s">
        <v>7467</v>
      </c>
      <c r="C9104" t="s">
        <v>19200</v>
      </c>
      <c r="D9104" t="s">
        <v>20</v>
      </c>
      <c r="E9104" t="s">
        <v>11</v>
      </c>
      <c r="F9104">
        <v>58.300000000000004</v>
      </c>
      <c r="G9104">
        <v>18</v>
      </c>
    </row>
    <row r="9105" spans="1:7" x14ac:dyDescent="0.25">
      <c r="A9105" t="s">
        <v>41</v>
      </c>
      <c r="B9105" t="s">
        <v>7470</v>
      </c>
      <c r="C9105" t="s">
        <v>17592</v>
      </c>
      <c r="D9105" t="s">
        <v>20</v>
      </c>
      <c r="E9105" t="s">
        <v>11</v>
      </c>
      <c r="F9105">
        <v>1485</v>
      </c>
      <c r="G9105">
        <v>18</v>
      </c>
    </row>
    <row r="9106" spans="1:7" x14ac:dyDescent="0.25">
      <c r="A9106" t="s">
        <v>41</v>
      </c>
      <c r="B9106" t="s">
        <v>7473</v>
      </c>
      <c r="C9106" t="s">
        <v>19201</v>
      </c>
      <c r="D9106" t="s">
        <v>20</v>
      </c>
      <c r="E9106" t="s">
        <v>11</v>
      </c>
      <c r="F9106">
        <v>1653.3</v>
      </c>
      <c r="G9106">
        <v>18</v>
      </c>
    </row>
    <row r="9107" spans="1:7" x14ac:dyDescent="0.25">
      <c r="A9107" t="s">
        <v>41</v>
      </c>
      <c r="B9107" t="s">
        <v>7476</v>
      </c>
      <c r="C9107" t="s">
        <v>19202</v>
      </c>
      <c r="D9107" t="s">
        <v>20</v>
      </c>
      <c r="E9107" t="s">
        <v>11</v>
      </c>
      <c r="F9107">
        <v>7350.199999999999</v>
      </c>
      <c r="G9107">
        <v>18</v>
      </c>
    </row>
    <row r="9108" spans="1:7" x14ac:dyDescent="0.25">
      <c r="A9108" t="s">
        <v>41</v>
      </c>
      <c r="B9108" t="s">
        <v>7479</v>
      </c>
      <c r="C9108" t="s">
        <v>19203</v>
      </c>
      <c r="D9108" t="s">
        <v>20</v>
      </c>
      <c r="E9108" t="s">
        <v>11</v>
      </c>
      <c r="F9108">
        <v>4816.9</v>
      </c>
      <c r="G9108">
        <v>18</v>
      </c>
    </row>
    <row r="9109" spans="1:7" x14ac:dyDescent="0.25">
      <c r="A9109" t="s">
        <v>41</v>
      </c>
      <c r="B9109" t="s">
        <v>7482</v>
      </c>
      <c r="C9109" t="s">
        <v>19204</v>
      </c>
      <c r="D9109" t="s">
        <v>20</v>
      </c>
      <c r="E9109" t="s">
        <v>11</v>
      </c>
      <c r="F9109">
        <v>3473.7999999999997</v>
      </c>
      <c r="G9109">
        <v>18</v>
      </c>
    </row>
    <row r="9110" spans="1:7" x14ac:dyDescent="0.25">
      <c r="A9110" t="s">
        <v>41</v>
      </c>
      <c r="B9110" t="s">
        <v>7485</v>
      </c>
      <c r="C9110" t="s">
        <v>19205</v>
      </c>
      <c r="D9110" t="s">
        <v>20</v>
      </c>
      <c r="E9110" t="s">
        <v>11</v>
      </c>
      <c r="F9110">
        <v>475.20000000000005</v>
      </c>
      <c r="G9110">
        <v>18</v>
      </c>
    </row>
    <row r="9111" spans="1:7" x14ac:dyDescent="0.25">
      <c r="A9111" t="s">
        <v>41</v>
      </c>
      <c r="B9111" t="s">
        <v>7488</v>
      </c>
      <c r="C9111" t="s">
        <v>19206</v>
      </c>
      <c r="D9111" t="s">
        <v>20</v>
      </c>
      <c r="E9111" t="s">
        <v>11</v>
      </c>
      <c r="F9111">
        <v>1797.4</v>
      </c>
      <c r="G9111">
        <v>18</v>
      </c>
    </row>
    <row r="9112" spans="1:7" x14ac:dyDescent="0.25">
      <c r="A9112" t="s">
        <v>41</v>
      </c>
      <c r="B9112" t="s">
        <v>7491</v>
      </c>
      <c r="C9112" t="s">
        <v>19207</v>
      </c>
      <c r="D9112" t="s">
        <v>20</v>
      </c>
      <c r="E9112" t="s">
        <v>11</v>
      </c>
      <c r="F9112">
        <v>756.8</v>
      </c>
      <c r="G9112">
        <v>18</v>
      </c>
    </row>
    <row r="9113" spans="1:7" x14ac:dyDescent="0.25">
      <c r="A9113" t="s">
        <v>41</v>
      </c>
      <c r="B9113" t="s">
        <v>7494</v>
      </c>
      <c r="C9113" t="s">
        <v>19208</v>
      </c>
      <c r="D9113" t="s">
        <v>20</v>
      </c>
      <c r="E9113" t="s">
        <v>11</v>
      </c>
      <c r="F9113">
        <v>72.60000000000001</v>
      </c>
      <c r="G9113">
        <v>18</v>
      </c>
    </row>
    <row r="9114" spans="1:7" x14ac:dyDescent="0.25">
      <c r="A9114" t="s">
        <v>41</v>
      </c>
      <c r="B9114" t="s">
        <v>7497</v>
      </c>
      <c r="C9114" t="s">
        <v>19209</v>
      </c>
      <c r="D9114" t="s">
        <v>20</v>
      </c>
      <c r="E9114" t="s">
        <v>11</v>
      </c>
      <c r="F9114">
        <v>573.1</v>
      </c>
      <c r="G9114">
        <v>18</v>
      </c>
    </row>
    <row r="9115" spans="1:7" x14ac:dyDescent="0.25">
      <c r="A9115" t="s">
        <v>41</v>
      </c>
      <c r="B9115" t="s">
        <v>7500</v>
      </c>
      <c r="C9115" t="s">
        <v>19210</v>
      </c>
      <c r="D9115" t="s">
        <v>20</v>
      </c>
      <c r="E9115" t="s">
        <v>11</v>
      </c>
      <c r="F9115">
        <v>80175.7</v>
      </c>
      <c r="G9115">
        <v>18</v>
      </c>
    </row>
    <row r="9116" spans="1:7" x14ac:dyDescent="0.25">
      <c r="A9116" t="s">
        <v>41</v>
      </c>
      <c r="B9116" t="s">
        <v>7503</v>
      </c>
      <c r="C9116" t="s">
        <v>19211</v>
      </c>
      <c r="D9116" t="s">
        <v>20</v>
      </c>
      <c r="E9116" t="s">
        <v>11</v>
      </c>
      <c r="F9116">
        <v>80175.7</v>
      </c>
      <c r="G9116">
        <v>18</v>
      </c>
    </row>
    <row r="9117" spans="1:7" x14ac:dyDescent="0.25">
      <c r="A9117" t="s">
        <v>41</v>
      </c>
      <c r="B9117" t="s">
        <v>7506</v>
      </c>
      <c r="C9117" t="s">
        <v>17805</v>
      </c>
      <c r="D9117" t="s">
        <v>20</v>
      </c>
      <c r="E9117" t="s">
        <v>11</v>
      </c>
      <c r="F9117">
        <v>8336.900000000001</v>
      </c>
      <c r="G9117">
        <v>18</v>
      </c>
    </row>
    <row r="9118" spans="1:7" x14ac:dyDescent="0.25">
      <c r="A9118" t="s">
        <v>41</v>
      </c>
      <c r="B9118" t="s">
        <v>7509</v>
      </c>
      <c r="C9118" t="s">
        <v>18122</v>
      </c>
      <c r="D9118" t="s">
        <v>20</v>
      </c>
      <c r="E9118" t="s">
        <v>11</v>
      </c>
      <c r="F9118">
        <v>4594.700000000001</v>
      </c>
      <c r="G9118">
        <v>18</v>
      </c>
    </row>
    <row r="9119" spans="1:7" x14ac:dyDescent="0.25">
      <c r="A9119" t="s">
        <v>41</v>
      </c>
      <c r="B9119" t="s">
        <v>7512</v>
      </c>
      <c r="C9119" t="s">
        <v>17757</v>
      </c>
      <c r="D9119" t="s">
        <v>20</v>
      </c>
      <c r="E9119" t="s">
        <v>11</v>
      </c>
      <c r="F9119">
        <v>1856.8</v>
      </c>
      <c r="G9119">
        <v>18</v>
      </c>
    </row>
    <row r="9120" spans="1:7" x14ac:dyDescent="0.25">
      <c r="A9120" t="s">
        <v>41</v>
      </c>
      <c r="B9120" t="s">
        <v>7515</v>
      </c>
      <c r="C9120" t="s">
        <v>17645</v>
      </c>
      <c r="D9120" t="s">
        <v>20</v>
      </c>
      <c r="E9120" t="s">
        <v>11</v>
      </c>
      <c r="F9120">
        <v>167.2</v>
      </c>
      <c r="G9120">
        <v>18</v>
      </c>
    </row>
    <row r="9121" spans="1:7" x14ac:dyDescent="0.25">
      <c r="A9121" t="s">
        <v>41</v>
      </c>
      <c r="B9121" t="s">
        <v>7518</v>
      </c>
      <c r="C9121" t="s">
        <v>19212</v>
      </c>
      <c r="D9121" t="s">
        <v>20</v>
      </c>
      <c r="E9121" t="s">
        <v>11</v>
      </c>
      <c r="F9121">
        <v>58.300000000000004</v>
      </c>
      <c r="G9121">
        <v>18</v>
      </c>
    </row>
    <row r="9122" spans="1:7" x14ac:dyDescent="0.25">
      <c r="A9122" t="s">
        <v>41</v>
      </c>
      <c r="B9122" t="s">
        <v>7521</v>
      </c>
      <c r="C9122" t="s">
        <v>19213</v>
      </c>
      <c r="D9122" t="s">
        <v>20</v>
      </c>
      <c r="E9122" t="s">
        <v>11</v>
      </c>
      <c r="F9122">
        <v>80.3</v>
      </c>
      <c r="G9122">
        <v>18</v>
      </c>
    </row>
    <row r="9123" spans="1:7" x14ac:dyDescent="0.25">
      <c r="A9123" t="s">
        <v>41</v>
      </c>
      <c r="B9123" t="s">
        <v>7524</v>
      </c>
      <c r="C9123" t="s">
        <v>19214</v>
      </c>
      <c r="D9123" t="s">
        <v>20</v>
      </c>
      <c r="E9123" t="s">
        <v>11</v>
      </c>
      <c r="F9123">
        <v>94.6</v>
      </c>
      <c r="G9123">
        <v>18</v>
      </c>
    </row>
    <row r="9124" spans="1:7" x14ac:dyDescent="0.25">
      <c r="A9124" t="s">
        <v>41</v>
      </c>
      <c r="B9124" t="s">
        <v>7527</v>
      </c>
      <c r="C9124" t="s">
        <v>17898</v>
      </c>
      <c r="D9124" t="s">
        <v>20</v>
      </c>
      <c r="E9124" t="s">
        <v>11</v>
      </c>
      <c r="F9124">
        <v>304.7</v>
      </c>
      <c r="G9124">
        <v>18</v>
      </c>
    </row>
    <row r="9125" spans="1:7" x14ac:dyDescent="0.25">
      <c r="A9125" t="s">
        <v>41</v>
      </c>
      <c r="B9125" t="s">
        <v>7530</v>
      </c>
      <c r="C9125" t="s">
        <v>17810</v>
      </c>
      <c r="D9125" t="s">
        <v>20</v>
      </c>
      <c r="E9125" t="s">
        <v>11</v>
      </c>
      <c r="F9125">
        <v>7504.2</v>
      </c>
      <c r="G9125">
        <v>18</v>
      </c>
    </row>
    <row r="9126" spans="1:7" x14ac:dyDescent="0.25">
      <c r="A9126" t="s">
        <v>41</v>
      </c>
      <c r="B9126" t="s">
        <v>7533</v>
      </c>
      <c r="C9126" t="s">
        <v>18121</v>
      </c>
      <c r="D9126" t="s">
        <v>20</v>
      </c>
      <c r="E9126" t="s">
        <v>11</v>
      </c>
      <c r="F9126">
        <v>4594.700000000001</v>
      </c>
      <c r="G9126">
        <v>18</v>
      </c>
    </row>
    <row r="9127" spans="1:7" x14ac:dyDescent="0.25">
      <c r="A9127" t="s">
        <v>41</v>
      </c>
      <c r="B9127" t="s">
        <v>7536</v>
      </c>
      <c r="C9127" t="s">
        <v>17645</v>
      </c>
      <c r="D9127" t="s">
        <v>20</v>
      </c>
      <c r="E9127" t="s">
        <v>11</v>
      </c>
      <c r="F9127">
        <v>167.2</v>
      </c>
      <c r="G9127">
        <v>18</v>
      </c>
    </row>
    <row r="9128" spans="1:7" x14ac:dyDescent="0.25">
      <c r="A9128" t="s">
        <v>41</v>
      </c>
      <c r="B9128" t="s">
        <v>7539</v>
      </c>
      <c r="C9128" t="s">
        <v>17812</v>
      </c>
      <c r="D9128" t="s">
        <v>20</v>
      </c>
      <c r="E9128" t="s">
        <v>11</v>
      </c>
      <c r="F9128">
        <v>70.4</v>
      </c>
      <c r="G9128">
        <v>18</v>
      </c>
    </row>
    <row r="9129" spans="1:7" x14ac:dyDescent="0.25">
      <c r="A9129" t="s">
        <v>41</v>
      </c>
      <c r="B9129" t="s">
        <v>7542</v>
      </c>
      <c r="C9129" t="s">
        <v>17757</v>
      </c>
      <c r="D9129" t="s">
        <v>20</v>
      </c>
      <c r="E9129" t="s">
        <v>11</v>
      </c>
      <c r="F9129">
        <v>1856.8</v>
      </c>
      <c r="G9129">
        <v>18</v>
      </c>
    </row>
    <row r="9130" spans="1:7" x14ac:dyDescent="0.25">
      <c r="A9130" t="s">
        <v>41</v>
      </c>
      <c r="B9130" t="s">
        <v>7545</v>
      </c>
      <c r="C9130" t="s">
        <v>19215</v>
      </c>
      <c r="D9130" t="s">
        <v>20</v>
      </c>
      <c r="E9130" t="s">
        <v>11</v>
      </c>
      <c r="F9130">
        <v>45378.299999999996</v>
      </c>
      <c r="G9130">
        <v>18</v>
      </c>
    </row>
    <row r="9131" spans="1:7" x14ac:dyDescent="0.25">
      <c r="A9131" t="s">
        <v>41</v>
      </c>
      <c r="B9131" t="s">
        <v>7548</v>
      </c>
      <c r="C9131" t="s">
        <v>19216</v>
      </c>
      <c r="D9131" t="s">
        <v>20</v>
      </c>
      <c r="E9131" t="s">
        <v>11</v>
      </c>
      <c r="F9131">
        <v>45378.299999999996</v>
      </c>
      <c r="G9131">
        <v>18</v>
      </c>
    </row>
    <row r="9132" spans="1:7" x14ac:dyDescent="0.25">
      <c r="A9132" t="s">
        <v>41</v>
      </c>
      <c r="B9132" t="s">
        <v>7551</v>
      </c>
      <c r="C9132" t="s">
        <v>19217</v>
      </c>
      <c r="D9132" t="s">
        <v>20</v>
      </c>
      <c r="E9132" t="s">
        <v>11</v>
      </c>
      <c r="F9132">
        <v>4208.599999999999</v>
      </c>
      <c r="G9132">
        <v>18</v>
      </c>
    </row>
    <row r="9133" spans="1:7" x14ac:dyDescent="0.25">
      <c r="A9133" t="s">
        <v>41</v>
      </c>
      <c r="B9133" t="s">
        <v>7554</v>
      </c>
      <c r="C9133" t="s">
        <v>17733</v>
      </c>
      <c r="D9133" t="s">
        <v>20</v>
      </c>
      <c r="E9133" t="s">
        <v>11</v>
      </c>
      <c r="F9133">
        <v>585.2</v>
      </c>
      <c r="G9133">
        <v>18</v>
      </c>
    </row>
    <row r="9134" spans="1:7" x14ac:dyDescent="0.25">
      <c r="A9134" t="s">
        <v>41</v>
      </c>
      <c r="B9134" t="s">
        <v>7557</v>
      </c>
      <c r="C9134" t="s">
        <v>19218</v>
      </c>
      <c r="D9134" t="s">
        <v>20</v>
      </c>
      <c r="E9134" t="s">
        <v>11</v>
      </c>
      <c r="F9134">
        <v>214.5</v>
      </c>
      <c r="G9134">
        <v>18</v>
      </c>
    </row>
    <row r="9135" spans="1:7" x14ac:dyDescent="0.25">
      <c r="A9135" t="s">
        <v>41</v>
      </c>
      <c r="B9135" t="s">
        <v>7560</v>
      </c>
      <c r="C9135" t="s">
        <v>18028</v>
      </c>
      <c r="D9135" t="s">
        <v>20</v>
      </c>
      <c r="E9135" t="s">
        <v>11</v>
      </c>
      <c r="F9135">
        <v>94.6</v>
      </c>
      <c r="G9135">
        <v>18</v>
      </c>
    </row>
    <row r="9136" spans="1:7" x14ac:dyDescent="0.25">
      <c r="A9136" t="s">
        <v>41</v>
      </c>
      <c r="B9136" t="s">
        <v>7563</v>
      </c>
      <c r="C9136" t="s">
        <v>17663</v>
      </c>
      <c r="D9136" t="s">
        <v>20</v>
      </c>
      <c r="E9136" t="s">
        <v>11</v>
      </c>
      <c r="F9136">
        <v>178.20000000000002</v>
      </c>
      <c r="G9136">
        <v>18</v>
      </c>
    </row>
    <row r="9137" spans="1:7" x14ac:dyDescent="0.25">
      <c r="A9137" t="s">
        <v>41</v>
      </c>
      <c r="B9137" t="s">
        <v>7566</v>
      </c>
      <c r="C9137" t="s">
        <v>17640</v>
      </c>
      <c r="D9137" t="s">
        <v>20</v>
      </c>
      <c r="E9137" t="s">
        <v>11</v>
      </c>
      <c r="F9137">
        <v>80175.7</v>
      </c>
      <c r="G9137">
        <v>18</v>
      </c>
    </row>
    <row r="9138" spans="1:7" x14ac:dyDescent="0.25">
      <c r="A9138" t="s">
        <v>41</v>
      </c>
      <c r="B9138" t="s">
        <v>7569</v>
      </c>
      <c r="C9138" t="s">
        <v>18135</v>
      </c>
      <c r="D9138" t="s">
        <v>20</v>
      </c>
      <c r="E9138" t="s">
        <v>11</v>
      </c>
      <c r="F9138">
        <v>12757.800000000001</v>
      </c>
      <c r="G9138">
        <v>18</v>
      </c>
    </row>
    <row r="9139" spans="1:7" x14ac:dyDescent="0.25">
      <c r="A9139" t="s">
        <v>41</v>
      </c>
      <c r="B9139" t="s">
        <v>7572</v>
      </c>
      <c r="C9139" t="s">
        <v>17733</v>
      </c>
      <c r="D9139" t="s">
        <v>20</v>
      </c>
      <c r="E9139" t="s">
        <v>11</v>
      </c>
      <c r="F9139">
        <v>405.9</v>
      </c>
      <c r="G9139">
        <v>18</v>
      </c>
    </row>
    <row r="9140" spans="1:7" x14ac:dyDescent="0.25">
      <c r="A9140" t="s">
        <v>41</v>
      </c>
      <c r="B9140" t="s">
        <v>7575</v>
      </c>
      <c r="C9140" t="s">
        <v>19219</v>
      </c>
      <c r="D9140" t="s">
        <v>20</v>
      </c>
      <c r="E9140" t="s">
        <v>11</v>
      </c>
      <c r="F9140">
        <v>45378.299999999996</v>
      </c>
      <c r="G9140">
        <v>18</v>
      </c>
    </row>
    <row r="9141" spans="1:7" x14ac:dyDescent="0.25">
      <c r="A9141" t="s">
        <v>41</v>
      </c>
      <c r="B9141" t="s">
        <v>7578</v>
      </c>
      <c r="C9141" t="s">
        <v>19220</v>
      </c>
      <c r="D9141" t="s">
        <v>20</v>
      </c>
      <c r="E9141" t="s">
        <v>11</v>
      </c>
      <c r="F9141">
        <v>24691.7</v>
      </c>
      <c r="G9141">
        <v>18</v>
      </c>
    </row>
    <row r="9142" spans="1:7" x14ac:dyDescent="0.25">
      <c r="A9142" t="s">
        <v>41</v>
      </c>
      <c r="B9142" t="s">
        <v>7581</v>
      </c>
      <c r="C9142" t="s">
        <v>17937</v>
      </c>
      <c r="D9142" t="s">
        <v>20</v>
      </c>
      <c r="E9142" t="s">
        <v>11</v>
      </c>
      <c r="F9142">
        <v>15439.600000000002</v>
      </c>
      <c r="G9142">
        <v>18</v>
      </c>
    </row>
    <row r="9143" spans="1:7" x14ac:dyDescent="0.25">
      <c r="A9143" t="s">
        <v>41</v>
      </c>
      <c r="B9143" t="s">
        <v>7584</v>
      </c>
      <c r="C9143" t="s">
        <v>19221</v>
      </c>
      <c r="D9143" t="s">
        <v>20</v>
      </c>
      <c r="E9143" t="s">
        <v>11</v>
      </c>
      <c r="F9143">
        <v>9508.4</v>
      </c>
      <c r="G9143">
        <v>18</v>
      </c>
    </row>
    <row r="9144" spans="1:7" x14ac:dyDescent="0.25">
      <c r="A9144" t="s">
        <v>41</v>
      </c>
      <c r="B9144" t="s">
        <v>7587</v>
      </c>
      <c r="C9144" t="s">
        <v>19222</v>
      </c>
      <c r="D9144" t="s">
        <v>20</v>
      </c>
      <c r="E9144" t="s">
        <v>11</v>
      </c>
      <c r="F9144">
        <v>9508.4</v>
      </c>
      <c r="G9144">
        <v>18</v>
      </c>
    </row>
    <row r="9145" spans="1:7" x14ac:dyDescent="0.25">
      <c r="A9145" t="s">
        <v>41</v>
      </c>
      <c r="B9145" t="s">
        <v>7590</v>
      </c>
      <c r="C9145" t="s">
        <v>17931</v>
      </c>
      <c r="D9145" t="s">
        <v>20</v>
      </c>
      <c r="E9145" t="s">
        <v>11</v>
      </c>
      <c r="F9145">
        <v>430.1</v>
      </c>
      <c r="G9145">
        <v>18</v>
      </c>
    </row>
    <row r="9146" spans="1:7" x14ac:dyDescent="0.25">
      <c r="A9146" t="s">
        <v>41</v>
      </c>
      <c r="B9146" t="s">
        <v>7593</v>
      </c>
      <c r="C9146" t="s">
        <v>19223</v>
      </c>
      <c r="D9146" t="s">
        <v>20</v>
      </c>
      <c r="E9146" t="s">
        <v>11</v>
      </c>
      <c r="F9146">
        <v>4084.3</v>
      </c>
      <c r="G9146">
        <v>18</v>
      </c>
    </row>
    <row r="9147" spans="1:7" x14ac:dyDescent="0.25">
      <c r="A9147" t="s">
        <v>41</v>
      </c>
      <c r="B9147" t="s">
        <v>7596</v>
      </c>
      <c r="C9147" t="s">
        <v>17570</v>
      </c>
      <c r="D9147" t="s">
        <v>20</v>
      </c>
      <c r="E9147" t="s">
        <v>11</v>
      </c>
      <c r="F9147">
        <v>4084.3</v>
      </c>
      <c r="G9147">
        <v>18</v>
      </c>
    </row>
    <row r="9148" spans="1:7" x14ac:dyDescent="0.25">
      <c r="A9148" t="s">
        <v>41</v>
      </c>
      <c r="B9148" t="s">
        <v>7599</v>
      </c>
      <c r="C9148" t="s">
        <v>19224</v>
      </c>
      <c r="D9148" t="s">
        <v>20</v>
      </c>
      <c r="E9148" t="s">
        <v>11</v>
      </c>
      <c r="F9148">
        <v>61.60000000000001</v>
      </c>
      <c r="G9148">
        <v>18</v>
      </c>
    </row>
    <row r="9149" spans="1:7" x14ac:dyDescent="0.25">
      <c r="A9149" t="s">
        <v>41</v>
      </c>
      <c r="B9149" t="s">
        <v>7602</v>
      </c>
      <c r="C9149" t="s">
        <v>17690</v>
      </c>
      <c r="D9149" t="s">
        <v>20</v>
      </c>
      <c r="E9149" t="s">
        <v>11</v>
      </c>
      <c r="F9149">
        <v>57.2</v>
      </c>
      <c r="G9149">
        <v>18</v>
      </c>
    </row>
    <row r="9150" spans="1:7" x14ac:dyDescent="0.25">
      <c r="A9150" t="s">
        <v>41</v>
      </c>
      <c r="B9150" t="s">
        <v>7605</v>
      </c>
      <c r="C9150" t="s">
        <v>18052</v>
      </c>
      <c r="D9150" t="s">
        <v>20</v>
      </c>
      <c r="E9150" t="s">
        <v>11</v>
      </c>
      <c r="F9150">
        <v>1618.1000000000001</v>
      </c>
      <c r="G9150">
        <v>18</v>
      </c>
    </row>
    <row r="9151" spans="1:7" x14ac:dyDescent="0.25">
      <c r="A9151" t="s">
        <v>41</v>
      </c>
      <c r="B9151" t="s">
        <v>7608</v>
      </c>
      <c r="C9151" t="s">
        <v>19041</v>
      </c>
      <c r="D9151" t="s">
        <v>20</v>
      </c>
      <c r="E9151" t="s">
        <v>11</v>
      </c>
      <c r="F9151">
        <v>57.2</v>
      </c>
      <c r="G9151">
        <v>18</v>
      </c>
    </row>
    <row r="9152" spans="1:7" x14ac:dyDescent="0.25">
      <c r="A9152" t="s">
        <v>41</v>
      </c>
      <c r="B9152" t="s">
        <v>7611</v>
      </c>
      <c r="C9152" t="s">
        <v>19225</v>
      </c>
      <c r="D9152" t="s">
        <v>20</v>
      </c>
      <c r="E9152" t="s">
        <v>11</v>
      </c>
      <c r="F9152">
        <v>756.8</v>
      </c>
      <c r="G9152">
        <v>18</v>
      </c>
    </row>
    <row r="9153" spans="1:7" x14ac:dyDescent="0.25">
      <c r="A9153" t="s">
        <v>41</v>
      </c>
      <c r="B9153" t="s">
        <v>7614</v>
      </c>
      <c r="C9153" t="s">
        <v>19226</v>
      </c>
      <c r="D9153" t="s">
        <v>20</v>
      </c>
      <c r="E9153" t="s">
        <v>11</v>
      </c>
      <c r="F9153">
        <v>1320</v>
      </c>
      <c r="G9153">
        <v>18</v>
      </c>
    </row>
    <row r="9154" spans="1:7" x14ac:dyDescent="0.25">
      <c r="A9154" t="s">
        <v>41</v>
      </c>
      <c r="B9154" t="s">
        <v>7617</v>
      </c>
      <c r="C9154" t="s">
        <v>19227</v>
      </c>
      <c r="D9154" t="s">
        <v>20</v>
      </c>
      <c r="E9154" t="s">
        <v>11</v>
      </c>
      <c r="F9154">
        <v>878.9</v>
      </c>
      <c r="G9154">
        <v>18</v>
      </c>
    </row>
    <row r="9155" spans="1:7" x14ac:dyDescent="0.25">
      <c r="A9155" t="s">
        <v>41</v>
      </c>
      <c r="B9155" t="s">
        <v>7620</v>
      </c>
      <c r="C9155" t="s">
        <v>17680</v>
      </c>
      <c r="D9155" t="s">
        <v>20</v>
      </c>
      <c r="E9155" t="s">
        <v>11</v>
      </c>
      <c r="F9155">
        <v>2599.2999999999997</v>
      </c>
      <c r="G9155">
        <v>18</v>
      </c>
    </row>
    <row r="9156" spans="1:7" x14ac:dyDescent="0.25">
      <c r="A9156" t="s">
        <v>41</v>
      </c>
      <c r="B9156" t="s">
        <v>7623</v>
      </c>
      <c r="C9156" t="s">
        <v>17545</v>
      </c>
      <c r="D9156" t="s">
        <v>20</v>
      </c>
      <c r="E9156" t="s">
        <v>11</v>
      </c>
      <c r="F9156">
        <v>2516.7999999999997</v>
      </c>
      <c r="G9156">
        <v>18</v>
      </c>
    </row>
    <row r="9157" spans="1:7" x14ac:dyDescent="0.25">
      <c r="A9157" t="s">
        <v>41</v>
      </c>
      <c r="B9157" t="s">
        <v>7626</v>
      </c>
      <c r="C9157" t="s">
        <v>19228</v>
      </c>
      <c r="D9157" t="s">
        <v>20</v>
      </c>
      <c r="E9157" t="s">
        <v>11</v>
      </c>
      <c r="F9157">
        <v>58.300000000000004</v>
      </c>
      <c r="G9157">
        <v>18</v>
      </c>
    </row>
    <row r="9158" spans="1:7" x14ac:dyDescent="0.25">
      <c r="A9158" t="s">
        <v>41</v>
      </c>
      <c r="B9158" t="s">
        <v>7629</v>
      </c>
      <c r="C9158" t="s">
        <v>17845</v>
      </c>
      <c r="D9158" t="s">
        <v>20</v>
      </c>
      <c r="E9158" t="s">
        <v>11</v>
      </c>
      <c r="F9158">
        <v>70.4</v>
      </c>
      <c r="G9158">
        <v>18</v>
      </c>
    </row>
    <row r="9159" spans="1:7" x14ac:dyDescent="0.25">
      <c r="A9159" t="s">
        <v>41</v>
      </c>
      <c r="B9159" t="s">
        <v>7632</v>
      </c>
      <c r="C9159" t="s">
        <v>17831</v>
      </c>
      <c r="D9159" t="s">
        <v>20</v>
      </c>
      <c r="E9159" t="s">
        <v>11</v>
      </c>
      <c r="F9159">
        <v>229.89999999999998</v>
      </c>
      <c r="G9159">
        <v>18</v>
      </c>
    </row>
    <row r="9160" spans="1:7" x14ac:dyDescent="0.25">
      <c r="A9160" t="s">
        <v>41</v>
      </c>
      <c r="B9160" t="s">
        <v>7635</v>
      </c>
      <c r="C9160" t="s">
        <v>19229</v>
      </c>
      <c r="D9160" t="s">
        <v>20</v>
      </c>
      <c r="E9160" t="s">
        <v>11</v>
      </c>
      <c r="F9160">
        <v>4084.3</v>
      </c>
      <c r="G9160">
        <v>18</v>
      </c>
    </row>
    <row r="9161" spans="1:7" x14ac:dyDescent="0.25">
      <c r="A9161" t="s">
        <v>41</v>
      </c>
      <c r="B9161" t="s">
        <v>7638</v>
      </c>
      <c r="C9161" t="s">
        <v>19230</v>
      </c>
      <c r="D9161" t="s">
        <v>20</v>
      </c>
      <c r="E9161" t="s">
        <v>11</v>
      </c>
      <c r="F9161">
        <v>48636.5</v>
      </c>
      <c r="G9161">
        <v>18</v>
      </c>
    </row>
    <row r="9162" spans="1:7" x14ac:dyDescent="0.25">
      <c r="A9162" t="s">
        <v>41</v>
      </c>
      <c r="B9162" t="s">
        <v>7641</v>
      </c>
      <c r="C9162" t="s">
        <v>19231</v>
      </c>
      <c r="D9162" t="s">
        <v>20</v>
      </c>
      <c r="E9162" t="s">
        <v>11</v>
      </c>
      <c r="F9162">
        <v>23063.699999999997</v>
      </c>
      <c r="G9162">
        <v>18</v>
      </c>
    </row>
    <row r="9163" spans="1:7" x14ac:dyDescent="0.25">
      <c r="A9163" t="s">
        <v>41</v>
      </c>
      <c r="B9163" t="s">
        <v>7644</v>
      </c>
      <c r="C9163" t="s">
        <v>19232</v>
      </c>
      <c r="D9163" t="s">
        <v>20</v>
      </c>
      <c r="E9163" t="s">
        <v>11</v>
      </c>
      <c r="F9163">
        <v>11710.599999999999</v>
      </c>
      <c r="G9163">
        <v>18</v>
      </c>
    </row>
    <row r="9164" spans="1:7" x14ac:dyDescent="0.25">
      <c r="A9164" t="s">
        <v>41</v>
      </c>
      <c r="B9164" t="s">
        <v>7647</v>
      </c>
      <c r="C9164" t="s">
        <v>19233</v>
      </c>
      <c r="D9164" t="s">
        <v>20</v>
      </c>
      <c r="E9164" t="s">
        <v>11</v>
      </c>
      <c r="F9164">
        <v>1749</v>
      </c>
      <c r="G9164">
        <v>18</v>
      </c>
    </row>
    <row r="9165" spans="1:7" x14ac:dyDescent="0.25">
      <c r="A9165" t="s">
        <v>41</v>
      </c>
      <c r="B9165" t="s">
        <v>7650</v>
      </c>
      <c r="C9165" t="s">
        <v>19234</v>
      </c>
      <c r="D9165" t="s">
        <v>20</v>
      </c>
      <c r="E9165" t="s">
        <v>11</v>
      </c>
      <c r="F9165">
        <v>1749</v>
      </c>
      <c r="G9165">
        <v>18</v>
      </c>
    </row>
    <row r="9166" spans="1:7" x14ac:dyDescent="0.25">
      <c r="A9166" t="s">
        <v>41</v>
      </c>
      <c r="B9166" t="s">
        <v>7653</v>
      </c>
      <c r="C9166" t="s">
        <v>19235</v>
      </c>
      <c r="D9166" t="s">
        <v>20</v>
      </c>
      <c r="E9166" t="s">
        <v>11</v>
      </c>
      <c r="F9166">
        <v>7496.500000000001</v>
      </c>
      <c r="G9166">
        <v>18</v>
      </c>
    </row>
    <row r="9167" spans="1:7" x14ac:dyDescent="0.25">
      <c r="A9167" t="s">
        <v>41</v>
      </c>
      <c r="B9167" t="s">
        <v>7656</v>
      </c>
      <c r="C9167" t="s">
        <v>19236</v>
      </c>
      <c r="D9167" t="s">
        <v>17504</v>
      </c>
      <c r="E9167" t="s">
        <v>11</v>
      </c>
      <c r="F9167">
        <v>22606.1</v>
      </c>
      <c r="G9167">
        <v>18</v>
      </c>
    </row>
    <row r="9168" spans="1:7" x14ac:dyDescent="0.25">
      <c r="A9168" t="s">
        <v>41</v>
      </c>
      <c r="B9168" t="s">
        <v>7659</v>
      </c>
      <c r="C9168" t="s">
        <v>19237</v>
      </c>
      <c r="D9168" t="s">
        <v>20</v>
      </c>
      <c r="E9168" t="s">
        <v>11</v>
      </c>
      <c r="F9168">
        <v>22606.1</v>
      </c>
      <c r="G9168">
        <v>18</v>
      </c>
    </row>
    <row r="9169" spans="1:7" x14ac:dyDescent="0.25">
      <c r="A9169" t="s">
        <v>41</v>
      </c>
      <c r="B9169" t="s">
        <v>7662</v>
      </c>
      <c r="C9169" t="s">
        <v>19238</v>
      </c>
      <c r="D9169" t="s">
        <v>20</v>
      </c>
      <c r="E9169" t="s">
        <v>11</v>
      </c>
      <c r="F9169">
        <v>30934.200000000004</v>
      </c>
      <c r="G9169">
        <v>18</v>
      </c>
    </row>
    <row r="9170" spans="1:7" x14ac:dyDescent="0.25">
      <c r="A9170" t="s">
        <v>41</v>
      </c>
      <c r="B9170" t="s">
        <v>7665</v>
      </c>
      <c r="C9170" t="s">
        <v>18260</v>
      </c>
      <c r="D9170" t="s">
        <v>20</v>
      </c>
      <c r="E9170" t="s">
        <v>11</v>
      </c>
      <c r="F9170">
        <v>308</v>
      </c>
      <c r="G9170">
        <v>18</v>
      </c>
    </row>
    <row r="9171" spans="1:7" x14ac:dyDescent="0.25">
      <c r="A9171" t="s">
        <v>41</v>
      </c>
      <c r="B9171" t="s">
        <v>7668</v>
      </c>
      <c r="C9171" t="s">
        <v>19239</v>
      </c>
      <c r="D9171" t="s">
        <v>20</v>
      </c>
      <c r="E9171" t="s">
        <v>11</v>
      </c>
      <c r="F9171">
        <v>92.39999999999999</v>
      </c>
      <c r="G9171">
        <v>18</v>
      </c>
    </row>
    <row r="9172" spans="1:7" x14ac:dyDescent="0.25">
      <c r="A9172" t="s">
        <v>41</v>
      </c>
      <c r="B9172" t="s">
        <v>7671</v>
      </c>
      <c r="C9172" t="s">
        <v>19240</v>
      </c>
      <c r="D9172" t="s">
        <v>20</v>
      </c>
      <c r="E9172" t="s">
        <v>11</v>
      </c>
      <c r="F9172">
        <v>1640.1</v>
      </c>
      <c r="G9172">
        <v>18</v>
      </c>
    </row>
    <row r="9173" spans="1:7" x14ac:dyDescent="0.25">
      <c r="A9173" t="s">
        <v>41</v>
      </c>
      <c r="B9173" t="s">
        <v>7674</v>
      </c>
      <c r="C9173" t="s">
        <v>19241</v>
      </c>
      <c r="D9173" t="s">
        <v>20</v>
      </c>
      <c r="E9173" t="s">
        <v>11</v>
      </c>
      <c r="F9173">
        <v>1901.8999999999999</v>
      </c>
      <c r="G9173">
        <v>18</v>
      </c>
    </row>
    <row r="9174" spans="1:7" x14ac:dyDescent="0.25">
      <c r="A9174" t="s">
        <v>41</v>
      </c>
      <c r="B9174" t="s">
        <v>7677</v>
      </c>
      <c r="C9174" t="s">
        <v>19242</v>
      </c>
      <c r="D9174" t="s">
        <v>20</v>
      </c>
      <c r="E9174" t="s">
        <v>11</v>
      </c>
      <c r="F9174">
        <v>14696</v>
      </c>
      <c r="G9174">
        <v>18</v>
      </c>
    </row>
    <row r="9175" spans="1:7" x14ac:dyDescent="0.25">
      <c r="A9175" t="s">
        <v>41</v>
      </c>
      <c r="B9175" t="s">
        <v>7680</v>
      </c>
      <c r="C9175" t="s">
        <v>19243</v>
      </c>
      <c r="D9175" t="s">
        <v>20</v>
      </c>
      <c r="E9175" t="s">
        <v>11</v>
      </c>
      <c r="F9175">
        <v>14696</v>
      </c>
      <c r="G9175">
        <v>18</v>
      </c>
    </row>
    <row r="9176" spans="1:7" x14ac:dyDescent="0.25">
      <c r="A9176" t="s">
        <v>41</v>
      </c>
      <c r="B9176" t="s">
        <v>7683</v>
      </c>
      <c r="C9176" t="s">
        <v>19244</v>
      </c>
      <c r="D9176" t="s">
        <v>20</v>
      </c>
      <c r="E9176" t="s">
        <v>11</v>
      </c>
      <c r="F9176">
        <v>28889.3</v>
      </c>
      <c r="G9176">
        <v>18</v>
      </c>
    </row>
    <row r="9177" spans="1:7" x14ac:dyDescent="0.25">
      <c r="A9177" t="s">
        <v>41</v>
      </c>
      <c r="B9177" t="s">
        <v>7686</v>
      </c>
      <c r="C9177" t="s">
        <v>19245</v>
      </c>
      <c r="D9177" t="s">
        <v>20</v>
      </c>
      <c r="E9177" t="s">
        <v>11</v>
      </c>
      <c r="F9177">
        <v>4206.400000000001</v>
      </c>
      <c r="G9177">
        <v>18</v>
      </c>
    </row>
    <row r="9178" spans="1:7" x14ac:dyDescent="0.25">
      <c r="A9178" t="s">
        <v>41</v>
      </c>
      <c r="B9178" t="s">
        <v>7689</v>
      </c>
      <c r="C9178" t="s">
        <v>18393</v>
      </c>
      <c r="D9178" t="s">
        <v>20</v>
      </c>
      <c r="E9178" t="s">
        <v>11</v>
      </c>
      <c r="F9178">
        <v>5197.5</v>
      </c>
      <c r="G9178">
        <v>18</v>
      </c>
    </row>
    <row r="9179" spans="1:7" x14ac:dyDescent="0.25">
      <c r="A9179" t="s">
        <v>41</v>
      </c>
      <c r="B9179" t="s">
        <v>7692</v>
      </c>
      <c r="C9179" t="s">
        <v>19069</v>
      </c>
      <c r="D9179" t="s">
        <v>20</v>
      </c>
      <c r="E9179" t="s">
        <v>11</v>
      </c>
      <c r="F9179">
        <v>13756.6</v>
      </c>
      <c r="G9179">
        <v>18</v>
      </c>
    </row>
    <row r="9180" spans="1:7" x14ac:dyDescent="0.25">
      <c r="A9180" t="s">
        <v>41</v>
      </c>
      <c r="B9180" t="s">
        <v>7695</v>
      </c>
      <c r="C9180" t="s">
        <v>19246</v>
      </c>
      <c r="D9180" t="s">
        <v>20</v>
      </c>
      <c r="E9180" t="s">
        <v>11</v>
      </c>
      <c r="F9180">
        <v>7453.6</v>
      </c>
      <c r="G9180">
        <v>18</v>
      </c>
    </row>
    <row r="9181" spans="1:7" x14ac:dyDescent="0.25">
      <c r="A9181" t="s">
        <v>41</v>
      </c>
      <c r="B9181" t="s">
        <v>7698</v>
      </c>
      <c r="C9181" t="s">
        <v>19247</v>
      </c>
      <c r="D9181" t="s">
        <v>20</v>
      </c>
      <c r="E9181" t="s">
        <v>11</v>
      </c>
      <c r="F9181">
        <v>193.6</v>
      </c>
      <c r="G9181">
        <v>18</v>
      </c>
    </row>
    <row r="9182" spans="1:7" x14ac:dyDescent="0.25">
      <c r="A9182" t="s">
        <v>41</v>
      </c>
      <c r="B9182" t="s">
        <v>7701</v>
      </c>
      <c r="C9182" t="s">
        <v>19248</v>
      </c>
      <c r="D9182" t="s">
        <v>20</v>
      </c>
      <c r="E9182" t="s">
        <v>11</v>
      </c>
      <c r="F9182">
        <v>30.800000000000004</v>
      </c>
      <c r="G9182">
        <v>18</v>
      </c>
    </row>
    <row r="9183" spans="1:7" x14ac:dyDescent="0.25">
      <c r="A9183" t="s">
        <v>41</v>
      </c>
      <c r="B9183" t="s">
        <v>7704</v>
      </c>
      <c r="C9183" t="s">
        <v>19249</v>
      </c>
      <c r="D9183" t="s">
        <v>20</v>
      </c>
      <c r="E9183" t="s">
        <v>11</v>
      </c>
      <c r="F9183">
        <v>6791.400000000001</v>
      </c>
      <c r="G9183">
        <v>18</v>
      </c>
    </row>
    <row r="9184" spans="1:7" x14ac:dyDescent="0.25">
      <c r="A9184" t="s">
        <v>41</v>
      </c>
      <c r="B9184" t="s">
        <v>7707</v>
      </c>
      <c r="C9184" t="s">
        <v>19250</v>
      </c>
      <c r="D9184" t="s">
        <v>20</v>
      </c>
      <c r="E9184" t="s">
        <v>11</v>
      </c>
      <c r="F9184">
        <v>1002.0999999999999</v>
      </c>
      <c r="G9184">
        <v>18</v>
      </c>
    </row>
    <row r="9185" spans="1:7" x14ac:dyDescent="0.25">
      <c r="A9185" t="s">
        <v>41</v>
      </c>
      <c r="B9185" t="s">
        <v>7710</v>
      </c>
      <c r="C9185" t="s">
        <v>19251</v>
      </c>
      <c r="D9185" t="s">
        <v>20</v>
      </c>
      <c r="E9185" t="s">
        <v>11</v>
      </c>
      <c r="F9185">
        <v>129.79999999999998</v>
      </c>
      <c r="G9185">
        <v>18</v>
      </c>
    </row>
    <row r="9186" spans="1:7" x14ac:dyDescent="0.25">
      <c r="A9186" t="s">
        <v>41</v>
      </c>
      <c r="B9186" t="s">
        <v>7713</v>
      </c>
      <c r="C9186" t="s">
        <v>19252</v>
      </c>
      <c r="D9186" t="s">
        <v>20</v>
      </c>
      <c r="E9186" t="s">
        <v>11</v>
      </c>
      <c r="F9186">
        <v>860.2</v>
      </c>
      <c r="G9186">
        <v>18</v>
      </c>
    </row>
    <row r="9187" spans="1:7" x14ac:dyDescent="0.25">
      <c r="A9187" t="s">
        <v>41</v>
      </c>
      <c r="B9187" t="s">
        <v>7716</v>
      </c>
      <c r="C9187" t="s">
        <v>19253</v>
      </c>
      <c r="D9187" t="s">
        <v>20</v>
      </c>
      <c r="E9187" t="s">
        <v>11</v>
      </c>
      <c r="F9187">
        <v>641.3</v>
      </c>
      <c r="G9187">
        <v>18</v>
      </c>
    </row>
    <row r="9188" spans="1:7" x14ac:dyDescent="0.25">
      <c r="A9188" t="s">
        <v>41</v>
      </c>
      <c r="B9188" t="s">
        <v>7719</v>
      </c>
      <c r="C9188" t="s">
        <v>19254</v>
      </c>
      <c r="D9188" t="s">
        <v>20</v>
      </c>
      <c r="E9188" t="s">
        <v>11</v>
      </c>
      <c r="F9188">
        <v>80.3</v>
      </c>
      <c r="G9188">
        <v>18</v>
      </c>
    </row>
    <row r="9189" spans="1:7" x14ac:dyDescent="0.25">
      <c r="A9189" t="s">
        <v>41</v>
      </c>
      <c r="B9189" t="s">
        <v>7722</v>
      </c>
      <c r="C9189" t="s">
        <v>19255</v>
      </c>
      <c r="D9189" t="s">
        <v>20</v>
      </c>
      <c r="E9189" t="s">
        <v>11</v>
      </c>
      <c r="F9189">
        <v>524.6999999999999</v>
      </c>
      <c r="G9189">
        <v>18</v>
      </c>
    </row>
    <row r="9190" spans="1:7" x14ac:dyDescent="0.25">
      <c r="A9190" t="s">
        <v>41</v>
      </c>
      <c r="B9190" t="s">
        <v>7725</v>
      </c>
      <c r="C9190" t="s">
        <v>19256</v>
      </c>
      <c r="D9190" t="s">
        <v>20</v>
      </c>
      <c r="E9190" t="s">
        <v>11</v>
      </c>
      <c r="F9190">
        <v>57.2</v>
      </c>
      <c r="G9190">
        <v>18</v>
      </c>
    </row>
    <row r="9191" spans="1:7" x14ac:dyDescent="0.25">
      <c r="A9191" t="s">
        <v>41</v>
      </c>
      <c r="B9191" t="s">
        <v>7728</v>
      </c>
      <c r="C9191" t="s">
        <v>19257</v>
      </c>
      <c r="D9191" t="s">
        <v>20</v>
      </c>
      <c r="E9191" t="s">
        <v>11</v>
      </c>
      <c r="F9191">
        <v>668.8</v>
      </c>
      <c r="G9191">
        <v>18</v>
      </c>
    </row>
    <row r="9192" spans="1:7" x14ac:dyDescent="0.25">
      <c r="A9192" t="s">
        <v>41</v>
      </c>
      <c r="B9192" t="s">
        <v>7731</v>
      </c>
      <c r="C9192" t="s">
        <v>19258</v>
      </c>
      <c r="D9192" t="s">
        <v>20</v>
      </c>
      <c r="E9192" t="s">
        <v>11</v>
      </c>
      <c r="F9192">
        <v>145.20000000000002</v>
      </c>
      <c r="G9192">
        <v>18</v>
      </c>
    </row>
    <row r="9193" spans="1:7" x14ac:dyDescent="0.25">
      <c r="A9193" t="s">
        <v>41</v>
      </c>
      <c r="B9193" t="s">
        <v>7734</v>
      </c>
      <c r="C9193" t="s">
        <v>19259</v>
      </c>
      <c r="D9193" t="s">
        <v>20</v>
      </c>
      <c r="E9193" t="s">
        <v>11</v>
      </c>
      <c r="F9193">
        <v>2605.9</v>
      </c>
      <c r="G9193">
        <v>18</v>
      </c>
    </row>
    <row r="9194" spans="1:7" x14ac:dyDescent="0.25">
      <c r="A9194" t="s">
        <v>41</v>
      </c>
      <c r="B9194" t="s">
        <v>7737</v>
      </c>
      <c r="C9194" t="s">
        <v>19260</v>
      </c>
      <c r="D9194" t="s">
        <v>20</v>
      </c>
      <c r="E9194" t="s">
        <v>11</v>
      </c>
      <c r="F9194">
        <v>11894.3</v>
      </c>
      <c r="G9194">
        <v>18</v>
      </c>
    </row>
    <row r="9195" spans="1:7" x14ac:dyDescent="0.25">
      <c r="A9195" t="s">
        <v>41</v>
      </c>
      <c r="B9195" t="s">
        <v>7740</v>
      </c>
      <c r="C9195" t="s">
        <v>19261</v>
      </c>
      <c r="D9195" t="s">
        <v>20</v>
      </c>
      <c r="E9195" t="s">
        <v>11</v>
      </c>
      <c r="F9195">
        <v>11894.3</v>
      </c>
      <c r="G9195">
        <v>18</v>
      </c>
    </row>
    <row r="9196" spans="1:7" x14ac:dyDescent="0.25">
      <c r="A9196" t="s">
        <v>41</v>
      </c>
      <c r="B9196" t="s">
        <v>7743</v>
      </c>
      <c r="C9196" t="s">
        <v>18155</v>
      </c>
      <c r="D9196" t="s">
        <v>20</v>
      </c>
      <c r="E9196" t="s">
        <v>11</v>
      </c>
      <c r="F9196">
        <v>70.4</v>
      </c>
      <c r="G9196">
        <v>18</v>
      </c>
    </row>
    <row r="9197" spans="1:7" x14ac:dyDescent="0.25">
      <c r="A9197" t="s">
        <v>41</v>
      </c>
      <c r="B9197" t="s">
        <v>7746</v>
      </c>
      <c r="C9197" t="s">
        <v>18040</v>
      </c>
      <c r="D9197" t="s">
        <v>20</v>
      </c>
      <c r="E9197" t="s">
        <v>11</v>
      </c>
      <c r="F9197">
        <v>30.800000000000004</v>
      </c>
      <c r="G9197">
        <v>18</v>
      </c>
    </row>
    <row r="9198" spans="1:7" x14ac:dyDescent="0.25">
      <c r="A9198" t="s">
        <v>41</v>
      </c>
      <c r="B9198" t="s">
        <v>7749</v>
      </c>
      <c r="C9198" t="s">
        <v>19262</v>
      </c>
      <c r="D9198" t="s">
        <v>20</v>
      </c>
      <c r="E9198" t="s">
        <v>11</v>
      </c>
      <c r="F9198">
        <v>1454.2</v>
      </c>
      <c r="G9198">
        <v>18</v>
      </c>
    </row>
    <row r="9199" spans="1:7" x14ac:dyDescent="0.25">
      <c r="A9199" t="s">
        <v>41</v>
      </c>
      <c r="B9199" t="s">
        <v>7752</v>
      </c>
      <c r="C9199" t="s">
        <v>19263</v>
      </c>
      <c r="D9199" t="s">
        <v>20</v>
      </c>
      <c r="E9199" t="s">
        <v>11</v>
      </c>
      <c r="F9199">
        <v>61.60000000000001</v>
      </c>
      <c r="G9199">
        <v>18</v>
      </c>
    </row>
    <row r="9200" spans="1:7" x14ac:dyDescent="0.25">
      <c r="A9200" t="s">
        <v>41</v>
      </c>
      <c r="B9200" t="s">
        <v>7755</v>
      </c>
      <c r="C9200" t="s">
        <v>19264</v>
      </c>
      <c r="D9200" t="s">
        <v>20</v>
      </c>
      <c r="E9200" t="s">
        <v>11</v>
      </c>
      <c r="F9200">
        <v>5107.3</v>
      </c>
      <c r="G9200">
        <v>18</v>
      </c>
    </row>
    <row r="9201" spans="1:7" x14ac:dyDescent="0.25">
      <c r="A9201" t="s">
        <v>41</v>
      </c>
      <c r="B9201" t="s">
        <v>7758</v>
      </c>
      <c r="C9201" t="s">
        <v>18053</v>
      </c>
      <c r="D9201" t="s">
        <v>20</v>
      </c>
      <c r="E9201" t="s">
        <v>11</v>
      </c>
      <c r="F9201">
        <v>70.4</v>
      </c>
      <c r="G9201">
        <v>18</v>
      </c>
    </row>
    <row r="9202" spans="1:7" x14ac:dyDescent="0.25">
      <c r="A9202" t="s">
        <v>41</v>
      </c>
      <c r="B9202" t="s">
        <v>7761</v>
      </c>
      <c r="C9202" t="s">
        <v>17832</v>
      </c>
      <c r="D9202" t="s">
        <v>20</v>
      </c>
      <c r="E9202" t="s">
        <v>11</v>
      </c>
      <c r="F9202">
        <v>30.800000000000004</v>
      </c>
      <c r="G9202">
        <v>18</v>
      </c>
    </row>
    <row r="9203" spans="1:7" x14ac:dyDescent="0.25">
      <c r="A9203" t="s">
        <v>41</v>
      </c>
      <c r="B9203" t="s">
        <v>7764</v>
      </c>
      <c r="C9203" t="s">
        <v>17831</v>
      </c>
      <c r="D9203" t="s">
        <v>20</v>
      </c>
      <c r="E9203" t="s">
        <v>11</v>
      </c>
      <c r="F9203">
        <v>229.89999999999998</v>
      </c>
      <c r="G9203">
        <v>18</v>
      </c>
    </row>
    <row r="9204" spans="1:7" x14ac:dyDescent="0.25">
      <c r="A9204" t="s">
        <v>41</v>
      </c>
      <c r="B9204" t="s">
        <v>7767</v>
      </c>
      <c r="C9204" t="s">
        <v>19265</v>
      </c>
      <c r="D9204" t="s">
        <v>20</v>
      </c>
      <c r="E9204" t="s">
        <v>11</v>
      </c>
      <c r="F9204">
        <v>94.6</v>
      </c>
      <c r="G9204">
        <v>18</v>
      </c>
    </row>
    <row r="9205" spans="1:7" x14ac:dyDescent="0.25">
      <c r="A9205" t="s">
        <v>41</v>
      </c>
      <c r="B9205" t="s">
        <v>7770</v>
      </c>
      <c r="C9205" t="s">
        <v>18048</v>
      </c>
      <c r="D9205" t="s">
        <v>20</v>
      </c>
      <c r="E9205" t="s">
        <v>11</v>
      </c>
      <c r="F9205">
        <v>58.300000000000004</v>
      </c>
      <c r="G9205">
        <v>18</v>
      </c>
    </row>
    <row r="9206" spans="1:7" x14ac:dyDescent="0.25">
      <c r="A9206" t="s">
        <v>41</v>
      </c>
      <c r="B9206" t="s">
        <v>7773</v>
      </c>
      <c r="C9206" t="s">
        <v>17680</v>
      </c>
      <c r="D9206" t="s">
        <v>20</v>
      </c>
      <c r="E9206" t="s">
        <v>11</v>
      </c>
      <c r="F9206">
        <v>2599.2999999999997</v>
      </c>
      <c r="G9206">
        <v>18</v>
      </c>
    </row>
    <row r="9207" spans="1:7" x14ac:dyDescent="0.25">
      <c r="A9207" t="s">
        <v>41</v>
      </c>
      <c r="B9207" t="s">
        <v>7776</v>
      </c>
      <c r="C9207" t="s">
        <v>17545</v>
      </c>
      <c r="D9207" t="s">
        <v>20</v>
      </c>
      <c r="E9207" t="s">
        <v>11</v>
      </c>
      <c r="F9207">
        <v>2516.7999999999997</v>
      </c>
      <c r="G9207">
        <v>18</v>
      </c>
    </row>
    <row r="9208" spans="1:7" x14ac:dyDescent="0.25">
      <c r="A9208" t="s">
        <v>41</v>
      </c>
      <c r="B9208" t="s">
        <v>7779</v>
      </c>
      <c r="C9208" t="s">
        <v>17673</v>
      </c>
      <c r="D9208" t="s">
        <v>20</v>
      </c>
      <c r="E9208" t="s">
        <v>11</v>
      </c>
      <c r="F9208">
        <v>1929.3999999999999</v>
      </c>
      <c r="G9208">
        <v>18</v>
      </c>
    </row>
    <row r="9209" spans="1:7" x14ac:dyDescent="0.25">
      <c r="A9209" t="s">
        <v>41</v>
      </c>
      <c r="B9209" t="s">
        <v>7782</v>
      </c>
      <c r="C9209" t="s">
        <v>17646</v>
      </c>
      <c r="D9209" t="s">
        <v>20</v>
      </c>
      <c r="E9209" t="s">
        <v>11</v>
      </c>
      <c r="F9209">
        <v>70.4</v>
      </c>
      <c r="G9209">
        <v>18</v>
      </c>
    </row>
    <row r="9210" spans="1:7" x14ac:dyDescent="0.25">
      <c r="A9210" t="s">
        <v>41</v>
      </c>
      <c r="B9210" t="s">
        <v>7785</v>
      </c>
      <c r="C9210" t="s">
        <v>19266</v>
      </c>
      <c r="D9210" t="s">
        <v>20</v>
      </c>
      <c r="E9210" t="s">
        <v>11</v>
      </c>
      <c r="F9210">
        <v>10989</v>
      </c>
      <c r="G9210">
        <v>18</v>
      </c>
    </row>
    <row r="9211" spans="1:7" x14ac:dyDescent="0.25">
      <c r="A9211" t="s">
        <v>41</v>
      </c>
      <c r="B9211" t="s">
        <v>7788</v>
      </c>
      <c r="C9211" t="s">
        <v>19267</v>
      </c>
      <c r="D9211" t="s">
        <v>20</v>
      </c>
      <c r="E9211" t="s">
        <v>11</v>
      </c>
      <c r="F9211">
        <v>10989</v>
      </c>
      <c r="G9211">
        <v>18</v>
      </c>
    </row>
    <row r="9212" spans="1:7" x14ac:dyDescent="0.25">
      <c r="A9212" t="s">
        <v>41</v>
      </c>
      <c r="B9212" t="s">
        <v>7791</v>
      </c>
      <c r="C9212" t="s">
        <v>17838</v>
      </c>
      <c r="D9212" t="s">
        <v>20</v>
      </c>
      <c r="E9212" t="s">
        <v>11</v>
      </c>
      <c r="F9212">
        <v>40.7</v>
      </c>
      <c r="G9212">
        <v>18</v>
      </c>
    </row>
    <row r="9213" spans="1:7" x14ac:dyDescent="0.25">
      <c r="A9213" t="s">
        <v>41</v>
      </c>
      <c r="B9213" t="s">
        <v>7794</v>
      </c>
      <c r="C9213" t="s">
        <v>17737</v>
      </c>
      <c r="D9213" t="s">
        <v>20</v>
      </c>
      <c r="E9213" t="s">
        <v>11</v>
      </c>
      <c r="F9213">
        <v>57.2</v>
      </c>
      <c r="G9213">
        <v>18</v>
      </c>
    </row>
    <row r="9214" spans="1:7" x14ac:dyDescent="0.25">
      <c r="A9214" t="s">
        <v>41</v>
      </c>
      <c r="B9214" t="s">
        <v>7797</v>
      </c>
      <c r="C9214" t="s">
        <v>19268</v>
      </c>
      <c r="D9214" t="s">
        <v>20</v>
      </c>
      <c r="E9214" t="s">
        <v>11</v>
      </c>
      <c r="F9214">
        <v>58.300000000000004</v>
      </c>
      <c r="G9214">
        <v>18</v>
      </c>
    </row>
    <row r="9215" spans="1:7" x14ac:dyDescent="0.25">
      <c r="A9215" t="s">
        <v>41</v>
      </c>
      <c r="B9215" t="s">
        <v>7800</v>
      </c>
      <c r="C9215" t="s">
        <v>18143</v>
      </c>
      <c r="D9215" t="s">
        <v>20</v>
      </c>
      <c r="E9215" t="s">
        <v>11</v>
      </c>
      <c r="F9215">
        <v>546.6999999999999</v>
      </c>
      <c r="G9215">
        <v>18</v>
      </c>
    </row>
    <row r="9216" spans="1:7" x14ac:dyDescent="0.25">
      <c r="A9216" t="s">
        <v>41</v>
      </c>
      <c r="B9216" t="s">
        <v>7803</v>
      </c>
      <c r="C9216" t="s">
        <v>19269</v>
      </c>
      <c r="D9216" t="s">
        <v>20</v>
      </c>
      <c r="E9216" t="s">
        <v>11</v>
      </c>
      <c r="F9216">
        <v>1659.9</v>
      </c>
      <c r="G9216">
        <v>18</v>
      </c>
    </row>
    <row r="9217" spans="1:7" x14ac:dyDescent="0.25">
      <c r="A9217" t="s">
        <v>41</v>
      </c>
      <c r="B9217" t="s">
        <v>7806</v>
      </c>
      <c r="C9217" t="s">
        <v>19270</v>
      </c>
      <c r="D9217" t="s">
        <v>20</v>
      </c>
      <c r="E9217" t="s">
        <v>11</v>
      </c>
      <c r="F9217">
        <v>3272.5</v>
      </c>
      <c r="G9217">
        <v>18</v>
      </c>
    </row>
    <row r="9218" spans="1:7" x14ac:dyDescent="0.25">
      <c r="A9218" t="s">
        <v>41</v>
      </c>
      <c r="B9218" t="s">
        <v>7809</v>
      </c>
      <c r="C9218" t="s">
        <v>19271</v>
      </c>
      <c r="D9218" t="s">
        <v>20</v>
      </c>
      <c r="E9218" t="s">
        <v>11</v>
      </c>
      <c r="F9218">
        <v>61.60000000000001</v>
      </c>
      <c r="G9218">
        <v>18</v>
      </c>
    </row>
    <row r="9219" spans="1:7" x14ac:dyDescent="0.25">
      <c r="A9219" t="s">
        <v>41</v>
      </c>
      <c r="B9219" t="s">
        <v>7812</v>
      </c>
      <c r="C9219" t="s">
        <v>17833</v>
      </c>
      <c r="D9219" t="s">
        <v>20</v>
      </c>
      <c r="E9219" t="s">
        <v>11</v>
      </c>
      <c r="F9219">
        <v>4437.400000000001</v>
      </c>
      <c r="G9219">
        <v>18</v>
      </c>
    </row>
    <row r="9220" spans="1:7" x14ac:dyDescent="0.25">
      <c r="A9220" t="s">
        <v>41</v>
      </c>
      <c r="B9220" t="s">
        <v>7815</v>
      </c>
      <c r="C9220" t="s">
        <v>19272</v>
      </c>
      <c r="D9220" t="s">
        <v>20</v>
      </c>
      <c r="E9220" t="s">
        <v>11</v>
      </c>
      <c r="F9220">
        <v>4570.5</v>
      </c>
      <c r="G9220">
        <v>18</v>
      </c>
    </row>
    <row r="9221" spans="1:7" x14ac:dyDescent="0.25">
      <c r="A9221" t="s">
        <v>41</v>
      </c>
      <c r="B9221" t="s">
        <v>7818</v>
      </c>
      <c r="C9221" t="s">
        <v>19273</v>
      </c>
      <c r="D9221" t="s">
        <v>20</v>
      </c>
      <c r="E9221" t="s">
        <v>11</v>
      </c>
      <c r="F9221">
        <v>58.300000000000004</v>
      </c>
      <c r="G9221">
        <v>18</v>
      </c>
    </row>
    <row r="9222" spans="1:7" x14ac:dyDescent="0.25">
      <c r="A9222" t="s">
        <v>41</v>
      </c>
      <c r="B9222" t="s">
        <v>7821</v>
      </c>
      <c r="C9222" t="s">
        <v>18219</v>
      </c>
      <c r="D9222" t="s">
        <v>20</v>
      </c>
      <c r="E9222" t="s">
        <v>11</v>
      </c>
      <c r="F9222">
        <v>1485</v>
      </c>
      <c r="G9222">
        <v>18</v>
      </c>
    </row>
    <row r="9223" spans="1:7" x14ac:dyDescent="0.25">
      <c r="A9223" t="s">
        <v>41</v>
      </c>
      <c r="B9223" t="s">
        <v>7824</v>
      </c>
      <c r="C9223" t="s">
        <v>19003</v>
      </c>
      <c r="D9223" t="s">
        <v>20</v>
      </c>
      <c r="E9223" t="s">
        <v>11</v>
      </c>
      <c r="F9223">
        <v>2453</v>
      </c>
      <c r="G9223">
        <v>18</v>
      </c>
    </row>
    <row r="9224" spans="1:7" x14ac:dyDescent="0.25">
      <c r="A9224" t="s">
        <v>41</v>
      </c>
      <c r="B9224" t="s">
        <v>7827</v>
      </c>
      <c r="C9224" t="s">
        <v>19274</v>
      </c>
      <c r="D9224" t="s">
        <v>20</v>
      </c>
      <c r="E9224" t="s">
        <v>11</v>
      </c>
      <c r="F9224">
        <v>19099.3</v>
      </c>
      <c r="G9224">
        <v>18</v>
      </c>
    </row>
    <row r="9225" spans="1:7" x14ac:dyDescent="0.25">
      <c r="A9225" t="s">
        <v>41</v>
      </c>
      <c r="B9225" t="s">
        <v>7830</v>
      </c>
      <c r="C9225" t="s">
        <v>19275</v>
      </c>
      <c r="D9225" t="s">
        <v>20</v>
      </c>
      <c r="E9225" t="s">
        <v>11</v>
      </c>
      <c r="F9225">
        <v>5662.799999999999</v>
      </c>
      <c r="G9225">
        <v>18</v>
      </c>
    </row>
    <row r="9226" spans="1:7" x14ac:dyDescent="0.25">
      <c r="A9226" t="s">
        <v>41</v>
      </c>
      <c r="B9226" t="s">
        <v>7833</v>
      </c>
      <c r="C9226" t="s">
        <v>18440</v>
      </c>
      <c r="D9226" t="s">
        <v>20</v>
      </c>
      <c r="E9226" t="s">
        <v>11</v>
      </c>
      <c r="F9226">
        <v>220</v>
      </c>
      <c r="G9226">
        <v>18</v>
      </c>
    </row>
    <row r="9227" spans="1:7" x14ac:dyDescent="0.25">
      <c r="A9227" t="s">
        <v>41</v>
      </c>
      <c r="B9227" t="s">
        <v>7836</v>
      </c>
      <c r="C9227" t="s">
        <v>17677</v>
      </c>
      <c r="D9227" t="s">
        <v>20</v>
      </c>
      <c r="E9227" t="s">
        <v>11</v>
      </c>
      <c r="F9227">
        <v>404.8</v>
      </c>
      <c r="G9227">
        <v>18</v>
      </c>
    </row>
    <row r="9228" spans="1:7" x14ac:dyDescent="0.25">
      <c r="A9228" t="s">
        <v>41</v>
      </c>
      <c r="B9228" t="s">
        <v>7839</v>
      </c>
      <c r="C9228" t="s">
        <v>18441</v>
      </c>
      <c r="D9228" t="s">
        <v>20</v>
      </c>
      <c r="E9228" t="s">
        <v>11</v>
      </c>
      <c r="F9228">
        <v>2470.6</v>
      </c>
      <c r="G9228">
        <v>18</v>
      </c>
    </row>
    <row r="9229" spans="1:7" x14ac:dyDescent="0.25">
      <c r="A9229" t="s">
        <v>41</v>
      </c>
      <c r="B9229" t="s">
        <v>7842</v>
      </c>
      <c r="C9229" t="s">
        <v>19276</v>
      </c>
      <c r="D9229" t="s">
        <v>20</v>
      </c>
      <c r="E9229" t="s">
        <v>11</v>
      </c>
      <c r="F9229">
        <v>980.1</v>
      </c>
      <c r="G9229">
        <v>18</v>
      </c>
    </row>
    <row r="9230" spans="1:7" x14ac:dyDescent="0.25">
      <c r="A9230" t="s">
        <v>41</v>
      </c>
      <c r="B9230" t="s">
        <v>7845</v>
      </c>
      <c r="C9230" t="s">
        <v>19277</v>
      </c>
      <c r="D9230" t="s">
        <v>20</v>
      </c>
      <c r="E9230" t="s">
        <v>11</v>
      </c>
      <c r="F9230">
        <v>913.0000000000001</v>
      </c>
      <c r="G9230">
        <v>18</v>
      </c>
    </row>
    <row r="9231" spans="1:7" x14ac:dyDescent="0.25">
      <c r="A9231" t="s">
        <v>41</v>
      </c>
      <c r="B9231" t="s">
        <v>7848</v>
      </c>
      <c r="C9231" t="s">
        <v>19278</v>
      </c>
      <c r="D9231" t="s">
        <v>20</v>
      </c>
      <c r="E9231" t="s">
        <v>11</v>
      </c>
      <c r="F9231">
        <v>67.1</v>
      </c>
      <c r="G9231">
        <v>18</v>
      </c>
    </row>
    <row r="9232" spans="1:7" x14ac:dyDescent="0.25">
      <c r="A9232" t="s">
        <v>41</v>
      </c>
      <c r="B9232" t="s">
        <v>7851</v>
      </c>
      <c r="C9232" t="s">
        <v>19279</v>
      </c>
      <c r="D9232" t="s">
        <v>20</v>
      </c>
      <c r="E9232" t="s">
        <v>11</v>
      </c>
      <c r="F9232">
        <v>117.7</v>
      </c>
      <c r="G9232">
        <v>18</v>
      </c>
    </row>
    <row r="9233" spans="1:7" x14ac:dyDescent="0.25">
      <c r="A9233" t="s">
        <v>41</v>
      </c>
      <c r="B9233" t="s">
        <v>7854</v>
      </c>
      <c r="C9233" t="s">
        <v>19280</v>
      </c>
      <c r="D9233" t="s">
        <v>20</v>
      </c>
      <c r="E9233" t="s">
        <v>11</v>
      </c>
      <c r="F9233">
        <v>355.3</v>
      </c>
      <c r="G9233">
        <v>18</v>
      </c>
    </row>
    <row r="9234" spans="1:7" x14ac:dyDescent="0.25">
      <c r="A9234" t="s">
        <v>41</v>
      </c>
      <c r="B9234" t="s">
        <v>7857</v>
      </c>
      <c r="C9234" t="s">
        <v>19281</v>
      </c>
      <c r="D9234" t="s">
        <v>20</v>
      </c>
      <c r="E9234" t="s">
        <v>11</v>
      </c>
      <c r="F9234">
        <v>338.8</v>
      </c>
      <c r="G9234">
        <v>18</v>
      </c>
    </row>
    <row r="9235" spans="1:7" x14ac:dyDescent="0.25">
      <c r="A9235" t="s">
        <v>41</v>
      </c>
      <c r="B9235" t="s">
        <v>7860</v>
      </c>
      <c r="C9235" t="s">
        <v>19282</v>
      </c>
      <c r="D9235" t="s">
        <v>20</v>
      </c>
      <c r="E9235" t="s">
        <v>11</v>
      </c>
      <c r="F9235">
        <v>261.8</v>
      </c>
      <c r="G9235">
        <v>18</v>
      </c>
    </row>
    <row r="9236" spans="1:7" x14ac:dyDescent="0.25">
      <c r="A9236" t="s">
        <v>41</v>
      </c>
      <c r="B9236" t="s">
        <v>7863</v>
      </c>
      <c r="C9236" t="s">
        <v>19283</v>
      </c>
      <c r="D9236" t="s">
        <v>20</v>
      </c>
      <c r="E9236" t="s">
        <v>11</v>
      </c>
      <c r="F9236">
        <v>3393.5</v>
      </c>
      <c r="G9236">
        <v>18</v>
      </c>
    </row>
    <row r="9237" spans="1:7" x14ac:dyDescent="0.25">
      <c r="A9237" t="s">
        <v>41</v>
      </c>
      <c r="B9237" t="s">
        <v>7866</v>
      </c>
      <c r="C9237" t="s">
        <v>19284</v>
      </c>
      <c r="D9237" t="s">
        <v>20</v>
      </c>
      <c r="E9237" t="s">
        <v>11</v>
      </c>
      <c r="F9237">
        <v>2993.1</v>
      </c>
      <c r="G9237">
        <v>18</v>
      </c>
    </row>
    <row r="9238" spans="1:7" x14ac:dyDescent="0.25">
      <c r="A9238" t="s">
        <v>41</v>
      </c>
      <c r="B9238" t="s">
        <v>7869</v>
      </c>
      <c r="C9238" t="s">
        <v>19285</v>
      </c>
      <c r="D9238" t="s">
        <v>20</v>
      </c>
      <c r="E9238" t="s">
        <v>11</v>
      </c>
      <c r="F9238">
        <v>2048.2000000000003</v>
      </c>
      <c r="G9238">
        <v>18</v>
      </c>
    </row>
    <row r="9239" spans="1:7" x14ac:dyDescent="0.25">
      <c r="A9239" t="s">
        <v>41</v>
      </c>
      <c r="B9239" t="s">
        <v>7872</v>
      </c>
      <c r="C9239" t="s">
        <v>18436</v>
      </c>
      <c r="D9239" t="s">
        <v>20</v>
      </c>
      <c r="E9239" t="s">
        <v>11</v>
      </c>
      <c r="F9239">
        <v>2755.5</v>
      </c>
      <c r="G9239">
        <v>18</v>
      </c>
    </row>
    <row r="9240" spans="1:7" x14ac:dyDescent="0.25">
      <c r="A9240" t="s">
        <v>41</v>
      </c>
      <c r="B9240" t="s">
        <v>7875</v>
      </c>
      <c r="C9240" t="s">
        <v>18435</v>
      </c>
      <c r="D9240" t="s">
        <v>20</v>
      </c>
      <c r="E9240" t="s">
        <v>11</v>
      </c>
      <c r="F9240">
        <v>880</v>
      </c>
      <c r="G9240">
        <v>18</v>
      </c>
    </row>
    <row r="9241" spans="1:7" x14ac:dyDescent="0.25">
      <c r="A9241" t="s">
        <v>41</v>
      </c>
      <c r="B9241" t="s">
        <v>7878</v>
      </c>
      <c r="C9241" t="s">
        <v>19286</v>
      </c>
      <c r="D9241" t="s">
        <v>20</v>
      </c>
      <c r="E9241" t="s">
        <v>11</v>
      </c>
      <c r="F9241">
        <v>24314.399999999998</v>
      </c>
      <c r="G9241">
        <v>18</v>
      </c>
    </row>
    <row r="9242" spans="1:7" x14ac:dyDescent="0.25">
      <c r="A9242" t="s">
        <v>41</v>
      </c>
      <c r="B9242" t="s">
        <v>7881</v>
      </c>
      <c r="C9242" t="s">
        <v>19287</v>
      </c>
      <c r="D9242" t="s">
        <v>20</v>
      </c>
      <c r="E9242" t="s">
        <v>11</v>
      </c>
      <c r="F9242">
        <v>24314.399999999998</v>
      </c>
      <c r="G9242">
        <v>18</v>
      </c>
    </row>
    <row r="9243" spans="1:7" x14ac:dyDescent="0.25">
      <c r="A9243" t="s">
        <v>41</v>
      </c>
      <c r="B9243" t="s">
        <v>7884</v>
      </c>
      <c r="C9243" t="s">
        <v>19288</v>
      </c>
      <c r="D9243" t="s">
        <v>20</v>
      </c>
      <c r="E9243" t="s">
        <v>11</v>
      </c>
      <c r="F9243">
        <v>33323.4</v>
      </c>
      <c r="G9243">
        <v>18</v>
      </c>
    </row>
    <row r="9244" spans="1:7" x14ac:dyDescent="0.25">
      <c r="A9244" t="s">
        <v>41</v>
      </c>
      <c r="B9244" t="s">
        <v>7887</v>
      </c>
      <c r="C9244" t="s">
        <v>19289</v>
      </c>
      <c r="D9244" t="s">
        <v>20</v>
      </c>
      <c r="E9244" t="s">
        <v>11</v>
      </c>
      <c r="F9244">
        <v>33323.4</v>
      </c>
      <c r="G9244">
        <v>18</v>
      </c>
    </row>
    <row r="9245" spans="1:7" x14ac:dyDescent="0.25">
      <c r="A9245" t="s">
        <v>41</v>
      </c>
      <c r="B9245" t="s">
        <v>7890</v>
      </c>
      <c r="C9245" t="s">
        <v>19290</v>
      </c>
      <c r="D9245" t="s">
        <v>20</v>
      </c>
      <c r="E9245" t="s">
        <v>11</v>
      </c>
      <c r="F9245">
        <v>61.60000000000001</v>
      </c>
      <c r="G9245">
        <v>18</v>
      </c>
    </row>
    <row r="9246" spans="1:7" x14ac:dyDescent="0.25">
      <c r="A9246" t="s">
        <v>41</v>
      </c>
      <c r="B9246" t="s">
        <v>7893</v>
      </c>
      <c r="C9246" t="s">
        <v>19291</v>
      </c>
      <c r="D9246" t="s">
        <v>20</v>
      </c>
      <c r="E9246" t="s">
        <v>11</v>
      </c>
      <c r="F9246">
        <v>766.6999999999999</v>
      </c>
      <c r="G9246">
        <v>18</v>
      </c>
    </row>
    <row r="9247" spans="1:7" x14ac:dyDescent="0.25">
      <c r="A9247" t="s">
        <v>41</v>
      </c>
      <c r="B9247" t="s">
        <v>7896</v>
      </c>
      <c r="C9247" t="s">
        <v>18935</v>
      </c>
      <c r="D9247" t="s">
        <v>20</v>
      </c>
      <c r="E9247" t="s">
        <v>11</v>
      </c>
      <c r="F9247">
        <v>39.6</v>
      </c>
      <c r="G9247">
        <v>18</v>
      </c>
    </row>
    <row r="9248" spans="1:7" x14ac:dyDescent="0.25">
      <c r="A9248" t="s">
        <v>41</v>
      </c>
      <c r="B9248" t="s">
        <v>7899</v>
      </c>
      <c r="C9248" t="s">
        <v>19292</v>
      </c>
      <c r="D9248" t="s">
        <v>20</v>
      </c>
      <c r="E9248" t="s">
        <v>11</v>
      </c>
      <c r="F9248">
        <v>266.2</v>
      </c>
      <c r="G9248">
        <v>18</v>
      </c>
    </row>
    <row r="9249" spans="1:7" x14ac:dyDescent="0.25">
      <c r="A9249" t="s">
        <v>41</v>
      </c>
      <c r="B9249" t="s">
        <v>7902</v>
      </c>
      <c r="C9249" t="s">
        <v>19293</v>
      </c>
      <c r="D9249" t="s">
        <v>20</v>
      </c>
      <c r="E9249" t="s">
        <v>11</v>
      </c>
      <c r="F9249">
        <v>387.2</v>
      </c>
      <c r="G9249">
        <v>18</v>
      </c>
    </row>
    <row r="9250" spans="1:7" x14ac:dyDescent="0.25">
      <c r="A9250" t="s">
        <v>41</v>
      </c>
      <c r="B9250" t="s">
        <v>7905</v>
      </c>
      <c r="C9250" t="s">
        <v>19294</v>
      </c>
      <c r="D9250" t="s">
        <v>20</v>
      </c>
      <c r="E9250" t="s">
        <v>11</v>
      </c>
      <c r="F9250">
        <v>12329.9</v>
      </c>
      <c r="G9250">
        <v>18</v>
      </c>
    </row>
    <row r="9251" spans="1:7" x14ac:dyDescent="0.25">
      <c r="A9251" t="s">
        <v>41</v>
      </c>
      <c r="B9251" t="s">
        <v>7908</v>
      </c>
      <c r="C9251" t="s">
        <v>18951</v>
      </c>
      <c r="D9251" t="s">
        <v>20</v>
      </c>
      <c r="E9251" t="s">
        <v>11</v>
      </c>
      <c r="F9251">
        <v>18033.4</v>
      </c>
      <c r="G9251">
        <v>18</v>
      </c>
    </row>
    <row r="9252" spans="1:7" x14ac:dyDescent="0.25">
      <c r="A9252" t="s">
        <v>41</v>
      </c>
      <c r="B9252" t="s">
        <v>7911</v>
      </c>
      <c r="C9252" t="s">
        <v>19295</v>
      </c>
      <c r="D9252" t="s">
        <v>20</v>
      </c>
      <c r="E9252" t="s">
        <v>11</v>
      </c>
      <c r="F9252">
        <v>9508.4</v>
      </c>
      <c r="G9252">
        <v>18</v>
      </c>
    </row>
    <row r="9253" spans="1:7" x14ac:dyDescent="0.25">
      <c r="A9253" t="s">
        <v>41</v>
      </c>
      <c r="B9253" t="s">
        <v>7914</v>
      </c>
      <c r="C9253" t="s">
        <v>19296</v>
      </c>
      <c r="D9253" t="s">
        <v>20</v>
      </c>
      <c r="E9253" t="s">
        <v>11</v>
      </c>
      <c r="F9253">
        <v>9508.4</v>
      </c>
      <c r="G9253">
        <v>18</v>
      </c>
    </row>
    <row r="9254" spans="1:7" x14ac:dyDescent="0.25">
      <c r="A9254" t="s">
        <v>41</v>
      </c>
      <c r="B9254" t="s">
        <v>7917</v>
      </c>
      <c r="C9254" t="s">
        <v>17931</v>
      </c>
      <c r="D9254" t="s">
        <v>20</v>
      </c>
      <c r="E9254" t="s">
        <v>11</v>
      </c>
      <c r="F9254">
        <v>430.1</v>
      </c>
      <c r="G9254">
        <v>18</v>
      </c>
    </row>
    <row r="9255" spans="1:7" x14ac:dyDescent="0.25">
      <c r="A9255" t="s">
        <v>41</v>
      </c>
      <c r="B9255" t="s">
        <v>7920</v>
      </c>
      <c r="C9255" t="s">
        <v>19297</v>
      </c>
      <c r="D9255" t="s">
        <v>20</v>
      </c>
      <c r="E9255" t="s">
        <v>11</v>
      </c>
      <c r="F9255">
        <v>271.70000000000005</v>
      </c>
      <c r="G9255">
        <v>18</v>
      </c>
    </row>
    <row r="9256" spans="1:7" x14ac:dyDescent="0.25">
      <c r="A9256" t="s">
        <v>41</v>
      </c>
      <c r="B9256" t="s">
        <v>7923</v>
      </c>
      <c r="C9256" t="s">
        <v>19298</v>
      </c>
      <c r="D9256" t="s">
        <v>20</v>
      </c>
      <c r="E9256" t="s">
        <v>11</v>
      </c>
      <c r="F9256">
        <v>50305.2</v>
      </c>
      <c r="G9256">
        <v>18</v>
      </c>
    </row>
    <row r="9257" spans="1:7" x14ac:dyDescent="0.25">
      <c r="A9257" t="s">
        <v>41</v>
      </c>
      <c r="B9257" t="s">
        <v>7926</v>
      </c>
      <c r="C9257" t="s">
        <v>19299</v>
      </c>
      <c r="D9257" t="s">
        <v>20</v>
      </c>
      <c r="E9257" t="s">
        <v>11</v>
      </c>
      <c r="F9257">
        <v>50305.2</v>
      </c>
      <c r="G9257">
        <v>18</v>
      </c>
    </row>
    <row r="9258" spans="1:7" x14ac:dyDescent="0.25">
      <c r="A9258" t="s">
        <v>41</v>
      </c>
      <c r="B9258" t="s">
        <v>7929</v>
      </c>
      <c r="C9258" t="s">
        <v>19300</v>
      </c>
      <c r="D9258" t="s">
        <v>20</v>
      </c>
      <c r="E9258" t="s">
        <v>11</v>
      </c>
      <c r="F9258">
        <v>5267.9</v>
      </c>
      <c r="G9258">
        <v>18</v>
      </c>
    </row>
    <row r="9259" spans="1:7" x14ac:dyDescent="0.25">
      <c r="A9259" t="s">
        <v>41</v>
      </c>
      <c r="B9259" t="s">
        <v>7932</v>
      </c>
      <c r="C9259" t="s">
        <v>19301</v>
      </c>
      <c r="D9259" t="s">
        <v>20</v>
      </c>
      <c r="E9259" t="s">
        <v>11</v>
      </c>
      <c r="F9259">
        <v>194.7</v>
      </c>
      <c r="G9259">
        <v>18</v>
      </c>
    </row>
    <row r="9260" spans="1:7" x14ac:dyDescent="0.25">
      <c r="A9260" t="s">
        <v>41</v>
      </c>
      <c r="B9260" t="s">
        <v>7935</v>
      </c>
      <c r="C9260" t="s">
        <v>19302</v>
      </c>
      <c r="D9260" t="s">
        <v>20</v>
      </c>
      <c r="E9260" t="s">
        <v>11</v>
      </c>
      <c r="F9260">
        <v>5527.5</v>
      </c>
      <c r="G9260">
        <v>18</v>
      </c>
    </row>
    <row r="9261" spans="1:7" x14ac:dyDescent="0.25">
      <c r="A9261" t="s">
        <v>41</v>
      </c>
      <c r="B9261" t="s">
        <v>7938</v>
      </c>
      <c r="C9261" t="s">
        <v>19303</v>
      </c>
      <c r="D9261" t="s">
        <v>20</v>
      </c>
      <c r="E9261" t="s">
        <v>11</v>
      </c>
      <c r="F9261">
        <v>5456</v>
      </c>
      <c r="G9261">
        <v>18</v>
      </c>
    </row>
    <row r="9262" spans="1:7" x14ac:dyDescent="0.25">
      <c r="A9262" t="s">
        <v>41</v>
      </c>
      <c r="B9262" t="s">
        <v>7941</v>
      </c>
      <c r="C9262" t="s">
        <v>18932</v>
      </c>
      <c r="D9262" t="s">
        <v>20</v>
      </c>
      <c r="E9262" t="s">
        <v>11</v>
      </c>
      <c r="F9262">
        <v>70.4</v>
      </c>
      <c r="G9262">
        <v>18</v>
      </c>
    </row>
    <row r="9263" spans="1:7" x14ac:dyDescent="0.25">
      <c r="A9263" t="s">
        <v>41</v>
      </c>
      <c r="B9263" t="s">
        <v>7944</v>
      </c>
      <c r="C9263" t="s">
        <v>17737</v>
      </c>
      <c r="D9263" t="s">
        <v>20</v>
      </c>
      <c r="E9263" t="s">
        <v>11</v>
      </c>
      <c r="F9263">
        <v>57.2</v>
      </c>
      <c r="G9263">
        <v>18</v>
      </c>
    </row>
    <row r="9264" spans="1:7" x14ac:dyDescent="0.25">
      <c r="A9264" t="s">
        <v>41</v>
      </c>
      <c r="B9264" t="s">
        <v>7947</v>
      </c>
      <c r="C9264" t="s">
        <v>19304</v>
      </c>
      <c r="D9264" t="s">
        <v>20</v>
      </c>
      <c r="E9264" t="s">
        <v>11</v>
      </c>
      <c r="F9264">
        <v>17538.4</v>
      </c>
      <c r="G9264">
        <v>18</v>
      </c>
    </row>
    <row r="9265" spans="1:7" x14ac:dyDescent="0.25">
      <c r="A9265" t="s">
        <v>41</v>
      </c>
      <c r="B9265" t="s">
        <v>7950</v>
      </c>
      <c r="C9265" t="s">
        <v>19305</v>
      </c>
      <c r="D9265" t="s">
        <v>20</v>
      </c>
      <c r="E9265" t="s">
        <v>11</v>
      </c>
      <c r="F9265">
        <v>17538.4</v>
      </c>
      <c r="G9265">
        <v>18</v>
      </c>
    </row>
    <row r="9266" spans="1:7" x14ac:dyDescent="0.25">
      <c r="A9266" t="s">
        <v>41</v>
      </c>
      <c r="B9266" t="s">
        <v>7953</v>
      </c>
      <c r="C9266" t="s">
        <v>17663</v>
      </c>
      <c r="D9266" t="s">
        <v>20</v>
      </c>
      <c r="E9266" t="s">
        <v>11</v>
      </c>
      <c r="F9266">
        <v>178.20000000000002</v>
      </c>
      <c r="G9266">
        <v>18</v>
      </c>
    </row>
    <row r="9267" spans="1:7" x14ac:dyDescent="0.25">
      <c r="A9267" t="s">
        <v>41</v>
      </c>
      <c r="B9267" t="s">
        <v>7956</v>
      </c>
      <c r="C9267" t="s">
        <v>19306</v>
      </c>
      <c r="D9267" t="s">
        <v>20</v>
      </c>
      <c r="E9267" t="s">
        <v>11</v>
      </c>
      <c r="F9267">
        <v>12090.1</v>
      </c>
      <c r="G9267">
        <v>18</v>
      </c>
    </row>
    <row r="9268" spans="1:7" x14ac:dyDescent="0.25">
      <c r="A9268" t="s">
        <v>41</v>
      </c>
      <c r="B9268" t="s">
        <v>7959</v>
      </c>
      <c r="C9268" t="s">
        <v>17733</v>
      </c>
      <c r="D9268" t="s">
        <v>20</v>
      </c>
      <c r="E9268" t="s">
        <v>11</v>
      </c>
      <c r="F9268">
        <v>500.5</v>
      </c>
      <c r="G9268">
        <v>18</v>
      </c>
    </row>
    <row r="9269" spans="1:7" x14ac:dyDescent="0.25">
      <c r="A9269" t="s">
        <v>41</v>
      </c>
      <c r="B9269" t="s">
        <v>7962</v>
      </c>
      <c r="C9269" t="s">
        <v>17757</v>
      </c>
      <c r="D9269" t="s">
        <v>20</v>
      </c>
      <c r="E9269" t="s">
        <v>11</v>
      </c>
      <c r="F9269">
        <v>1856.8</v>
      </c>
      <c r="G9269">
        <v>18</v>
      </c>
    </row>
    <row r="9270" spans="1:7" x14ac:dyDescent="0.25">
      <c r="A9270" t="s">
        <v>41</v>
      </c>
      <c r="B9270" t="s">
        <v>7965</v>
      </c>
      <c r="C9270" t="s">
        <v>19307</v>
      </c>
      <c r="D9270" t="s">
        <v>20</v>
      </c>
      <c r="E9270" t="s">
        <v>11</v>
      </c>
      <c r="F9270">
        <v>6179.8</v>
      </c>
      <c r="G9270">
        <v>18</v>
      </c>
    </row>
    <row r="9271" spans="1:7" x14ac:dyDescent="0.25">
      <c r="A9271" t="s">
        <v>41</v>
      </c>
      <c r="B9271" t="s">
        <v>7968</v>
      </c>
      <c r="C9271" t="s">
        <v>19308</v>
      </c>
      <c r="D9271" t="s">
        <v>20</v>
      </c>
      <c r="E9271" t="s">
        <v>11</v>
      </c>
      <c r="F9271">
        <v>10184.9</v>
      </c>
      <c r="G9271">
        <v>18</v>
      </c>
    </row>
    <row r="9272" spans="1:7" x14ac:dyDescent="0.25">
      <c r="A9272" t="s">
        <v>41</v>
      </c>
      <c r="B9272" t="s">
        <v>7971</v>
      </c>
      <c r="C9272" t="s">
        <v>19309</v>
      </c>
      <c r="D9272" t="s">
        <v>20</v>
      </c>
      <c r="E9272" t="s">
        <v>11</v>
      </c>
      <c r="F9272">
        <v>10184.9</v>
      </c>
      <c r="G9272">
        <v>18</v>
      </c>
    </row>
    <row r="9273" spans="1:7" x14ac:dyDescent="0.25">
      <c r="A9273" t="s">
        <v>41</v>
      </c>
      <c r="B9273" t="s">
        <v>7974</v>
      </c>
      <c r="C9273" t="s">
        <v>19310</v>
      </c>
      <c r="D9273" t="s">
        <v>20</v>
      </c>
      <c r="E9273" t="s">
        <v>11</v>
      </c>
      <c r="F9273">
        <v>70.4</v>
      </c>
      <c r="G9273">
        <v>18</v>
      </c>
    </row>
    <row r="9274" spans="1:7" x14ac:dyDescent="0.25">
      <c r="A9274" t="s">
        <v>41</v>
      </c>
      <c r="B9274" t="s">
        <v>7977</v>
      </c>
      <c r="C9274" t="s">
        <v>17645</v>
      </c>
      <c r="D9274" t="s">
        <v>20</v>
      </c>
      <c r="E9274" t="s">
        <v>11</v>
      </c>
      <c r="F9274">
        <v>304.7</v>
      </c>
      <c r="G9274">
        <v>18</v>
      </c>
    </row>
    <row r="9275" spans="1:7" x14ac:dyDescent="0.25">
      <c r="A9275" t="s">
        <v>41</v>
      </c>
      <c r="B9275" t="s">
        <v>7980</v>
      </c>
      <c r="C9275" t="s">
        <v>17757</v>
      </c>
      <c r="D9275" t="s">
        <v>20</v>
      </c>
      <c r="E9275" t="s">
        <v>11</v>
      </c>
      <c r="F9275">
        <v>1856.8</v>
      </c>
      <c r="G9275">
        <v>18</v>
      </c>
    </row>
    <row r="9276" spans="1:7" x14ac:dyDescent="0.25">
      <c r="A9276" t="s">
        <v>41</v>
      </c>
      <c r="B9276" t="s">
        <v>7983</v>
      </c>
      <c r="C9276" t="s">
        <v>19311</v>
      </c>
      <c r="D9276" t="s">
        <v>20</v>
      </c>
      <c r="E9276" t="s">
        <v>11</v>
      </c>
      <c r="F9276">
        <v>8057.5</v>
      </c>
      <c r="G9276">
        <v>18</v>
      </c>
    </row>
    <row r="9277" spans="1:7" x14ac:dyDescent="0.25">
      <c r="A9277" t="s">
        <v>41</v>
      </c>
      <c r="B9277" t="s">
        <v>7986</v>
      </c>
      <c r="C9277" t="s">
        <v>19312</v>
      </c>
      <c r="D9277" t="s">
        <v>20</v>
      </c>
      <c r="E9277" t="s">
        <v>11</v>
      </c>
      <c r="F9277">
        <v>1694</v>
      </c>
      <c r="G9277">
        <v>18</v>
      </c>
    </row>
    <row r="9278" spans="1:7" x14ac:dyDescent="0.25">
      <c r="A9278" t="s">
        <v>41</v>
      </c>
      <c r="B9278" t="s">
        <v>7989</v>
      </c>
      <c r="C9278" t="s">
        <v>19313</v>
      </c>
      <c r="D9278" t="s">
        <v>20</v>
      </c>
      <c r="E9278" t="s">
        <v>11</v>
      </c>
      <c r="F9278">
        <v>69.3</v>
      </c>
      <c r="G9278">
        <v>18</v>
      </c>
    </row>
    <row r="9279" spans="1:7" x14ac:dyDescent="0.25">
      <c r="A9279" t="s">
        <v>41</v>
      </c>
      <c r="B9279" t="s">
        <v>7992</v>
      </c>
      <c r="C9279" t="s">
        <v>19314</v>
      </c>
      <c r="D9279" t="s">
        <v>20</v>
      </c>
      <c r="E9279" t="s">
        <v>11</v>
      </c>
      <c r="F9279">
        <v>8589.9</v>
      </c>
      <c r="G9279">
        <v>18</v>
      </c>
    </row>
    <row r="9280" spans="1:7" x14ac:dyDescent="0.25">
      <c r="A9280" t="s">
        <v>41</v>
      </c>
      <c r="B9280" t="s">
        <v>7995</v>
      </c>
      <c r="C9280" t="s">
        <v>18423</v>
      </c>
      <c r="D9280" t="s">
        <v>20</v>
      </c>
      <c r="E9280" t="s">
        <v>11</v>
      </c>
      <c r="F9280">
        <v>7352.400000000001</v>
      </c>
      <c r="G9280">
        <v>18</v>
      </c>
    </row>
    <row r="9281" spans="1:7" x14ac:dyDescent="0.25">
      <c r="A9281" t="s">
        <v>41</v>
      </c>
      <c r="B9281" t="s">
        <v>7998</v>
      </c>
      <c r="C9281" t="s">
        <v>19315</v>
      </c>
      <c r="D9281" t="s">
        <v>20</v>
      </c>
      <c r="E9281" t="s">
        <v>11</v>
      </c>
      <c r="F9281">
        <v>1926.1000000000001</v>
      </c>
      <c r="G9281">
        <v>18</v>
      </c>
    </row>
    <row r="9282" spans="1:7" x14ac:dyDescent="0.25">
      <c r="A9282" t="s">
        <v>41</v>
      </c>
      <c r="B9282" t="s">
        <v>8001</v>
      </c>
      <c r="C9282" t="s">
        <v>19316</v>
      </c>
      <c r="D9282" t="s">
        <v>20</v>
      </c>
      <c r="E9282" t="s">
        <v>11</v>
      </c>
      <c r="F9282">
        <v>50305.2</v>
      </c>
      <c r="G9282">
        <v>18</v>
      </c>
    </row>
    <row r="9283" spans="1:7" x14ac:dyDescent="0.25">
      <c r="A9283" t="s">
        <v>41</v>
      </c>
      <c r="B9283" t="s">
        <v>8004</v>
      </c>
      <c r="C9283" t="s">
        <v>19317</v>
      </c>
      <c r="D9283" t="s">
        <v>20</v>
      </c>
      <c r="E9283" t="s">
        <v>11</v>
      </c>
      <c r="F9283">
        <v>8057.5</v>
      </c>
      <c r="G9283">
        <v>18</v>
      </c>
    </row>
    <row r="9284" spans="1:7" x14ac:dyDescent="0.25">
      <c r="A9284" t="s">
        <v>41</v>
      </c>
      <c r="B9284" t="s">
        <v>8007</v>
      </c>
      <c r="C9284" t="s">
        <v>19318</v>
      </c>
      <c r="D9284" t="s">
        <v>20</v>
      </c>
      <c r="E9284" t="s">
        <v>11</v>
      </c>
      <c r="F9284">
        <v>10184.9</v>
      </c>
      <c r="G9284">
        <v>18</v>
      </c>
    </row>
    <row r="9285" spans="1:7" x14ac:dyDescent="0.25">
      <c r="A9285" t="s">
        <v>41</v>
      </c>
      <c r="B9285" t="s">
        <v>8010</v>
      </c>
      <c r="C9285" t="s">
        <v>19309</v>
      </c>
      <c r="D9285" t="s">
        <v>20</v>
      </c>
      <c r="E9285" t="s">
        <v>11</v>
      </c>
      <c r="F9285">
        <v>10184.9</v>
      </c>
      <c r="G9285">
        <v>18</v>
      </c>
    </row>
    <row r="9286" spans="1:7" x14ac:dyDescent="0.25">
      <c r="A9286" t="s">
        <v>41</v>
      </c>
      <c r="B9286" t="s">
        <v>8013</v>
      </c>
      <c r="C9286" t="s">
        <v>19319</v>
      </c>
      <c r="D9286" t="s">
        <v>20</v>
      </c>
      <c r="E9286" t="s">
        <v>11</v>
      </c>
      <c r="F9286">
        <v>6179.8</v>
      </c>
      <c r="G9286">
        <v>18</v>
      </c>
    </row>
    <row r="9287" spans="1:7" x14ac:dyDescent="0.25">
      <c r="A9287" t="s">
        <v>41</v>
      </c>
      <c r="B9287" t="s">
        <v>8016</v>
      </c>
      <c r="C9287" t="s">
        <v>19320</v>
      </c>
      <c r="D9287" t="s">
        <v>20</v>
      </c>
      <c r="E9287" t="s">
        <v>11</v>
      </c>
      <c r="F9287">
        <v>12090.1</v>
      </c>
      <c r="G9287">
        <v>18</v>
      </c>
    </row>
    <row r="9288" spans="1:7" x14ac:dyDescent="0.25">
      <c r="A9288" t="s">
        <v>41</v>
      </c>
      <c r="B9288" t="s">
        <v>8019</v>
      </c>
      <c r="C9288" t="s">
        <v>19321</v>
      </c>
      <c r="D9288" t="s">
        <v>20</v>
      </c>
      <c r="E9288" t="s">
        <v>11</v>
      </c>
      <c r="F9288">
        <v>17538.4</v>
      </c>
      <c r="G9288">
        <v>18</v>
      </c>
    </row>
    <row r="9289" spans="1:7" x14ac:dyDescent="0.25">
      <c r="A9289" t="s">
        <v>41</v>
      </c>
      <c r="B9289" t="s">
        <v>8022</v>
      </c>
      <c r="C9289" t="s">
        <v>19322</v>
      </c>
      <c r="D9289" t="s">
        <v>20</v>
      </c>
      <c r="E9289" t="s">
        <v>11</v>
      </c>
      <c r="F9289">
        <v>5527.5</v>
      </c>
      <c r="G9289">
        <v>18</v>
      </c>
    </row>
    <row r="9290" spans="1:7" x14ac:dyDescent="0.25">
      <c r="A9290" t="s">
        <v>41</v>
      </c>
      <c r="B9290" t="s">
        <v>8025</v>
      </c>
      <c r="C9290" t="s">
        <v>19323</v>
      </c>
      <c r="D9290" t="s">
        <v>20</v>
      </c>
      <c r="E9290" t="s">
        <v>11</v>
      </c>
      <c r="F9290">
        <v>5456</v>
      </c>
      <c r="G9290">
        <v>18</v>
      </c>
    </row>
    <row r="9291" spans="1:7" x14ac:dyDescent="0.25">
      <c r="A9291" t="s">
        <v>41</v>
      </c>
      <c r="B9291" t="s">
        <v>8028</v>
      </c>
      <c r="C9291" t="s">
        <v>18460</v>
      </c>
      <c r="D9291" t="s">
        <v>20</v>
      </c>
      <c r="E9291" t="s">
        <v>11</v>
      </c>
      <c r="F9291">
        <v>4994</v>
      </c>
      <c r="G9291">
        <v>18</v>
      </c>
    </row>
    <row r="9292" spans="1:7" x14ac:dyDescent="0.25">
      <c r="A9292" t="s">
        <v>41</v>
      </c>
      <c r="B9292" t="s">
        <v>8031</v>
      </c>
      <c r="C9292" t="s">
        <v>19324</v>
      </c>
      <c r="D9292" t="s">
        <v>20</v>
      </c>
      <c r="E9292" t="s">
        <v>11</v>
      </c>
      <c r="F9292">
        <v>1210</v>
      </c>
      <c r="G9292">
        <v>18</v>
      </c>
    </row>
    <row r="9293" spans="1:7" x14ac:dyDescent="0.25">
      <c r="A9293" t="s">
        <v>41</v>
      </c>
      <c r="B9293" t="s">
        <v>8034</v>
      </c>
      <c r="C9293" t="s">
        <v>18946</v>
      </c>
      <c r="D9293" t="s">
        <v>20</v>
      </c>
      <c r="E9293" t="s">
        <v>11</v>
      </c>
      <c r="F9293">
        <v>1210</v>
      </c>
      <c r="G9293">
        <v>18</v>
      </c>
    </row>
    <row r="9294" spans="1:7" x14ac:dyDescent="0.25">
      <c r="A9294" t="s">
        <v>41</v>
      </c>
      <c r="B9294" t="s">
        <v>8037</v>
      </c>
      <c r="C9294" t="s">
        <v>18945</v>
      </c>
      <c r="D9294" t="s">
        <v>20</v>
      </c>
      <c r="E9294" t="s">
        <v>11</v>
      </c>
      <c r="F9294">
        <v>1210</v>
      </c>
      <c r="G9294">
        <v>18</v>
      </c>
    </row>
    <row r="9295" spans="1:7" x14ac:dyDescent="0.25">
      <c r="A9295" t="s">
        <v>41</v>
      </c>
      <c r="B9295" t="s">
        <v>8040</v>
      </c>
      <c r="C9295" t="s">
        <v>19325</v>
      </c>
      <c r="D9295" t="s">
        <v>20</v>
      </c>
      <c r="E9295" t="s">
        <v>11</v>
      </c>
      <c r="F9295">
        <v>22521.4</v>
      </c>
      <c r="G9295">
        <v>18</v>
      </c>
    </row>
    <row r="9296" spans="1:7" x14ac:dyDescent="0.25">
      <c r="A9296" t="s">
        <v>41</v>
      </c>
      <c r="B9296" t="s">
        <v>8043</v>
      </c>
      <c r="C9296" t="s">
        <v>17616</v>
      </c>
      <c r="D9296" t="s">
        <v>20</v>
      </c>
      <c r="E9296" t="s">
        <v>11</v>
      </c>
      <c r="F9296">
        <v>11440</v>
      </c>
      <c r="G9296">
        <v>18</v>
      </c>
    </row>
    <row r="9297" spans="1:7" x14ac:dyDescent="0.25">
      <c r="A9297" t="s">
        <v>41</v>
      </c>
      <c r="B9297" t="s">
        <v>8046</v>
      </c>
      <c r="C9297" t="s">
        <v>19326</v>
      </c>
      <c r="D9297" t="s">
        <v>20</v>
      </c>
      <c r="E9297" t="s">
        <v>11</v>
      </c>
      <c r="F9297">
        <v>2640</v>
      </c>
      <c r="G9297">
        <v>18</v>
      </c>
    </row>
    <row r="9298" spans="1:7" x14ac:dyDescent="0.25">
      <c r="A9298" t="s">
        <v>41</v>
      </c>
      <c r="B9298" t="s">
        <v>8049</v>
      </c>
      <c r="C9298" t="s">
        <v>19327</v>
      </c>
      <c r="D9298" t="s">
        <v>20</v>
      </c>
      <c r="E9298" t="s">
        <v>11</v>
      </c>
      <c r="F9298">
        <v>1650</v>
      </c>
      <c r="G9298">
        <v>18</v>
      </c>
    </row>
    <row r="9299" spans="1:7" x14ac:dyDescent="0.25">
      <c r="A9299" t="s">
        <v>41</v>
      </c>
      <c r="B9299" t="s">
        <v>8052</v>
      </c>
      <c r="C9299" t="s">
        <v>19328</v>
      </c>
      <c r="D9299" t="s">
        <v>20</v>
      </c>
      <c r="E9299" t="s">
        <v>11</v>
      </c>
      <c r="F9299">
        <v>29976.1</v>
      </c>
      <c r="G9299">
        <v>18</v>
      </c>
    </row>
    <row r="9300" spans="1:7" x14ac:dyDescent="0.25">
      <c r="A9300" t="s">
        <v>41</v>
      </c>
      <c r="B9300" t="s">
        <v>8055</v>
      </c>
      <c r="C9300" t="s">
        <v>18721</v>
      </c>
      <c r="D9300" t="s">
        <v>20</v>
      </c>
      <c r="E9300" t="s">
        <v>11</v>
      </c>
      <c r="F9300">
        <v>17354.7</v>
      </c>
      <c r="G9300">
        <v>18</v>
      </c>
    </row>
    <row r="9301" spans="1:7" x14ac:dyDescent="0.25">
      <c r="A9301" t="s">
        <v>41</v>
      </c>
      <c r="B9301" t="s">
        <v>8058</v>
      </c>
      <c r="C9301" t="s">
        <v>19329</v>
      </c>
      <c r="D9301" t="s">
        <v>20</v>
      </c>
      <c r="E9301" t="s">
        <v>11</v>
      </c>
      <c r="F9301">
        <v>22921.8</v>
      </c>
      <c r="G9301">
        <v>18</v>
      </c>
    </row>
    <row r="9302" spans="1:7" x14ac:dyDescent="0.25">
      <c r="A9302" t="s">
        <v>41</v>
      </c>
      <c r="B9302" t="s">
        <v>8061</v>
      </c>
      <c r="C9302" t="s">
        <v>19330</v>
      </c>
      <c r="D9302" t="s">
        <v>20</v>
      </c>
      <c r="E9302" t="s">
        <v>11</v>
      </c>
      <c r="F9302">
        <v>17354.7</v>
      </c>
      <c r="G9302">
        <v>18</v>
      </c>
    </row>
    <row r="9303" spans="1:7" x14ac:dyDescent="0.25">
      <c r="A9303" t="s">
        <v>41</v>
      </c>
      <c r="B9303" t="s">
        <v>8064</v>
      </c>
      <c r="C9303" t="s">
        <v>19331</v>
      </c>
      <c r="D9303" t="s">
        <v>20</v>
      </c>
      <c r="E9303" t="s">
        <v>11</v>
      </c>
      <c r="F9303">
        <v>1930.5</v>
      </c>
      <c r="G9303">
        <v>18</v>
      </c>
    </row>
    <row r="9304" spans="1:7" x14ac:dyDescent="0.25">
      <c r="A9304" t="s">
        <v>41</v>
      </c>
      <c r="B9304" t="s">
        <v>8067</v>
      </c>
      <c r="C9304" t="s">
        <v>19332</v>
      </c>
      <c r="D9304" t="s">
        <v>20</v>
      </c>
      <c r="E9304" t="s">
        <v>11</v>
      </c>
      <c r="F9304">
        <v>514.8</v>
      </c>
      <c r="G9304">
        <v>18</v>
      </c>
    </row>
    <row r="9305" spans="1:7" x14ac:dyDescent="0.25">
      <c r="A9305" t="s">
        <v>41</v>
      </c>
      <c r="B9305" t="s">
        <v>8070</v>
      </c>
      <c r="C9305" t="s">
        <v>19333</v>
      </c>
      <c r="D9305" t="s">
        <v>20</v>
      </c>
      <c r="E9305" t="s">
        <v>11</v>
      </c>
      <c r="F9305">
        <v>574.1999999999999</v>
      </c>
      <c r="G9305">
        <v>18</v>
      </c>
    </row>
    <row r="9306" spans="1:7" x14ac:dyDescent="0.25">
      <c r="A9306" t="s">
        <v>41</v>
      </c>
      <c r="B9306" t="s">
        <v>8073</v>
      </c>
      <c r="C9306" t="s">
        <v>19334</v>
      </c>
      <c r="D9306" t="s">
        <v>20</v>
      </c>
      <c r="E9306" t="s">
        <v>11</v>
      </c>
      <c r="F9306">
        <v>247.5</v>
      </c>
      <c r="G9306">
        <v>18</v>
      </c>
    </row>
    <row r="9307" spans="1:7" x14ac:dyDescent="0.25">
      <c r="A9307" t="s">
        <v>41</v>
      </c>
      <c r="B9307" t="s">
        <v>8076</v>
      </c>
      <c r="C9307" t="s">
        <v>19300</v>
      </c>
      <c r="D9307" t="s">
        <v>20</v>
      </c>
      <c r="E9307" t="s">
        <v>11</v>
      </c>
      <c r="F9307">
        <v>4475.9</v>
      </c>
      <c r="G9307">
        <v>18</v>
      </c>
    </row>
    <row r="9308" spans="1:7" x14ac:dyDescent="0.25">
      <c r="A9308" t="s">
        <v>41</v>
      </c>
      <c r="B9308" t="s">
        <v>8079</v>
      </c>
      <c r="C9308" t="s">
        <v>19262</v>
      </c>
      <c r="D9308" t="s">
        <v>20</v>
      </c>
      <c r="E9308" t="s">
        <v>11</v>
      </c>
      <c r="F9308">
        <v>3359.4</v>
      </c>
      <c r="G9308">
        <v>18</v>
      </c>
    </row>
    <row r="9309" spans="1:7" x14ac:dyDescent="0.25">
      <c r="A9309" t="s">
        <v>41</v>
      </c>
      <c r="B9309" t="s">
        <v>8082</v>
      </c>
      <c r="C9309" t="s">
        <v>19335</v>
      </c>
      <c r="D9309" t="s">
        <v>20</v>
      </c>
      <c r="E9309" t="s">
        <v>11</v>
      </c>
      <c r="F9309">
        <v>70.4</v>
      </c>
      <c r="G9309">
        <v>18</v>
      </c>
    </row>
    <row r="9310" spans="1:7" x14ac:dyDescent="0.25">
      <c r="A9310" t="s">
        <v>41</v>
      </c>
      <c r="B9310" t="s">
        <v>8085</v>
      </c>
      <c r="C9310" t="s">
        <v>17592</v>
      </c>
      <c r="D9310" t="s">
        <v>20</v>
      </c>
      <c r="E9310" t="s">
        <v>11</v>
      </c>
      <c r="F9310">
        <v>645.7</v>
      </c>
      <c r="G9310">
        <v>18</v>
      </c>
    </row>
    <row r="9311" spans="1:7" x14ac:dyDescent="0.25">
      <c r="A9311" t="s">
        <v>41</v>
      </c>
      <c r="B9311" t="s">
        <v>8088</v>
      </c>
      <c r="C9311" t="s">
        <v>18932</v>
      </c>
      <c r="D9311" t="s">
        <v>20</v>
      </c>
      <c r="E9311" t="s">
        <v>11</v>
      </c>
      <c r="F9311">
        <v>70.4</v>
      </c>
      <c r="G9311">
        <v>18</v>
      </c>
    </row>
    <row r="9312" spans="1:7" x14ac:dyDescent="0.25">
      <c r="A9312" t="s">
        <v>41</v>
      </c>
      <c r="B9312" t="s">
        <v>8091</v>
      </c>
      <c r="C9312" t="s">
        <v>17737</v>
      </c>
      <c r="D9312" t="s">
        <v>20</v>
      </c>
      <c r="E9312" t="s">
        <v>11</v>
      </c>
      <c r="F9312">
        <v>57.2</v>
      </c>
      <c r="G9312">
        <v>18</v>
      </c>
    </row>
    <row r="9313" spans="1:7" x14ac:dyDescent="0.25">
      <c r="A9313" t="s">
        <v>41</v>
      </c>
      <c r="B9313" t="s">
        <v>8094</v>
      </c>
      <c r="C9313" t="s">
        <v>17717</v>
      </c>
      <c r="D9313" t="s">
        <v>20</v>
      </c>
      <c r="E9313" t="s">
        <v>11</v>
      </c>
      <c r="F9313">
        <v>29506.4</v>
      </c>
      <c r="G9313">
        <v>18</v>
      </c>
    </row>
    <row r="9314" spans="1:7" x14ac:dyDescent="0.25">
      <c r="A9314" t="s">
        <v>41</v>
      </c>
      <c r="B9314" t="s">
        <v>8097</v>
      </c>
      <c r="C9314" t="s">
        <v>17642</v>
      </c>
      <c r="D9314" t="s">
        <v>20</v>
      </c>
      <c r="E9314" t="s">
        <v>11</v>
      </c>
      <c r="F9314">
        <v>5229.4</v>
      </c>
      <c r="G9314">
        <v>18</v>
      </c>
    </row>
    <row r="9315" spans="1:7" x14ac:dyDescent="0.25">
      <c r="A9315" t="s">
        <v>41</v>
      </c>
      <c r="B9315" t="s">
        <v>8099</v>
      </c>
      <c r="C9315" t="s">
        <v>17643</v>
      </c>
      <c r="D9315" t="s">
        <v>20</v>
      </c>
      <c r="E9315" t="s">
        <v>11</v>
      </c>
      <c r="F9315">
        <v>3919.3</v>
      </c>
      <c r="G9315">
        <v>18</v>
      </c>
    </row>
    <row r="9316" spans="1:7" x14ac:dyDescent="0.25">
      <c r="A9316" t="s">
        <v>41</v>
      </c>
      <c r="B9316" t="s">
        <v>8102</v>
      </c>
      <c r="C9316" t="s">
        <v>17644</v>
      </c>
      <c r="D9316" t="s">
        <v>20</v>
      </c>
      <c r="E9316" t="s">
        <v>11</v>
      </c>
      <c r="F9316">
        <v>874.5</v>
      </c>
      <c r="G9316">
        <v>18</v>
      </c>
    </row>
    <row r="9317" spans="1:7" x14ac:dyDescent="0.25">
      <c r="A9317" t="s">
        <v>41</v>
      </c>
      <c r="B9317" t="s">
        <v>8105</v>
      </c>
      <c r="C9317" t="s">
        <v>17645</v>
      </c>
      <c r="D9317" t="s">
        <v>20</v>
      </c>
      <c r="E9317" t="s">
        <v>11</v>
      </c>
      <c r="F9317">
        <v>167.2</v>
      </c>
      <c r="G9317">
        <v>18</v>
      </c>
    </row>
    <row r="9318" spans="1:7" x14ac:dyDescent="0.25">
      <c r="A9318" t="s">
        <v>41</v>
      </c>
      <c r="B9318" t="s">
        <v>8108</v>
      </c>
      <c r="C9318" t="s">
        <v>19336</v>
      </c>
      <c r="D9318" t="s">
        <v>20</v>
      </c>
      <c r="E9318" t="s">
        <v>11</v>
      </c>
      <c r="F9318">
        <v>70.4</v>
      </c>
      <c r="G9318">
        <v>18</v>
      </c>
    </row>
    <row r="9319" spans="1:7" x14ac:dyDescent="0.25">
      <c r="A9319" t="s">
        <v>41</v>
      </c>
      <c r="B9319" t="s">
        <v>8111</v>
      </c>
      <c r="C9319" t="s">
        <v>19337</v>
      </c>
      <c r="D9319" t="s">
        <v>20</v>
      </c>
      <c r="E9319" t="s">
        <v>11</v>
      </c>
      <c r="F9319">
        <v>3521.1</v>
      </c>
      <c r="G9319">
        <v>18</v>
      </c>
    </row>
    <row r="9320" spans="1:7" x14ac:dyDescent="0.25">
      <c r="A9320" t="s">
        <v>41</v>
      </c>
      <c r="B9320" t="s">
        <v>8114</v>
      </c>
      <c r="C9320" t="s">
        <v>18121</v>
      </c>
      <c r="D9320" t="s">
        <v>20</v>
      </c>
      <c r="E9320" t="s">
        <v>11</v>
      </c>
      <c r="F9320">
        <v>2534.4</v>
      </c>
      <c r="G9320">
        <v>18</v>
      </c>
    </row>
    <row r="9321" spans="1:7" x14ac:dyDescent="0.25">
      <c r="A9321" t="s">
        <v>41</v>
      </c>
      <c r="B9321" t="s">
        <v>8117</v>
      </c>
      <c r="C9321" t="s">
        <v>19338</v>
      </c>
      <c r="D9321" t="s">
        <v>20</v>
      </c>
      <c r="E9321" t="s">
        <v>11</v>
      </c>
      <c r="F9321">
        <v>874.5</v>
      </c>
      <c r="G9321">
        <v>18</v>
      </c>
    </row>
    <row r="9322" spans="1:7" x14ac:dyDescent="0.25">
      <c r="A9322" t="s">
        <v>41</v>
      </c>
      <c r="B9322" t="s">
        <v>8120</v>
      </c>
      <c r="C9322" t="s">
        <v>17645</v>
      </c>
      <c r="D9322" t="s">
        <v>20</v>
      </c>
      <c r="E9322" t="s">
        <v>11</v>
      </c>
      <c r="F9322">
        <v>167.2</v>
      </c>
      <c r="G9322">
        <v>18</v>
      </c>
    </row>
    <row r="9323" spans="1:7" x14ac:dyDescent="0.25">
      <c r="A9323" t="s">
        <v>41</v>
      </c>
      <c r="B9323" t="s">
        <v>8123</v>
      </c>
      <c r="C9323" t="s">
        <v>19339</v>
      </c>
      <c r="D9323" t="s">
        <v>20</v>
      </c>
      <c r="E9323" t="s">
        <v>11</v>
      </c>
      <c r="F9323">
        <v>70.4</v>
      </c>
      <c r="G9323">
        <v>18</v>
      </c>
    </row>
    <row r="9324" spans="1:7" x14ac:dyDescent="0.25">
      <c r="A9324" t="s">
        <v>41</v>
      </c>
      <c r="B9324" t="s">
        <v>8126</v>
      </c>
      <c r="C9324" t="s">
        <v>19340</v>
      </c>
      <c r="D9324" t="s">
        <v>20</v>
      </c>
      <c r="E9324" t="s">
        <v>11</v>
      </c>
      <c r="F9324">
        <v>11842.6</v>
      </c>
      <c r="G9324">
        <v>18</v>
      </c>
    </row>
    <row r="9325" spans="1:7" x14ac:dyDescent="0.25">
      <c r="A9325" t="s">
        <v>41</v>
      </c>
      <c r="B9325" t="s">
        <v>8129</v>
      </c>
      <c r="C9325" t="s">
        <v>19341</v>
      </c>
      <c r="D9325" t="s">
        <v>20</v>
      </c>
      <c r="E9325" t="s">
        <v>11</v>
      </c>
      <c r="F9325">
        <v>11842.6</v>
      </c>
      <c r="G9325">
        <v>18</v>
      </c>
    </row>
    <row r="9326" spans="1:7" x14ac:dyDescent="0.25">
      <c r="A9326" t="s">
        <v>41</v>
      </c>
      <c r="B9326" t="s">
        <v>8132</v>
      </c>
      <c r="C9326" t="s">
        <v>19342</v>
      </c>
      <c r="D9326" t="s">
        <v>20</v>
      </c>
      <c r="E9326" t="s">
        <v>11</v>
      </c>
      <c r="F9326">
        <v>4764.1</v>
      </c>
      <c r="G9326">
        <v>18</v>
      </c>
    </row>
    <row r="9327" spans="1:7" x14ac:dyDescent="0.25">
      <c r="A9327" t="s">
        <v>41</v>
      </c>
      <c r="B9327" t="s">
        <v>8135</v>
      </c>
      <c r="C9327" t="s">
        <v>17733</v>
      </c>
      <c r="D9327" t="s">
        <v>20</v>
      </c>
      <c r="E9327" t="s">
        <v>11</v>
      </c>
      <c r="F9327">
        <v>786.5</v>
      </c>
      <c r="G9327">
        <v>18</v>
      </c>
    </row>
    <row r="9328" spans="1:7" x14ac:dyDescent="0.25">
      <c r="A9328" t="s">
        <v>41</v>
      </c>
      <c r="B9328" t="s">
        <v>8138</v>
      </c>
      <c r="C9328" t="s">
        <v>19343</v>
      </c>
      <c r="D9328" t="s">
        <v>20</v>
      </c>
      <c r="E9328" t="s">
        <v>11</v>
      </c>
      <c r="F9328">
        <v>4412.1</v>
      </c>
      <c r="G9328">
        <v>18</v>
      </c>
    </row>
    <row r="9329" spans="1:7" x14ac:dyDescent="0.25">
      <c r="A9329" t="s">
        <v>41</v>
      </c>
      <c r="B9329" t="s">
        <v>8141</v>
      </c>
      <c r="C9329" t="s">
        <v>19344</v>
      </c>
      <c r="D9329" t="s">
        <v>20</v>
      </c>
      <c r="E9329" t="s">
        <v>11</v>
      </c>
      <c r="F9329">
        <v>70.4</v>
      </c>
      <c r="G9329">
        <v>18</v>
      </c>
    </row>
    <row r="9330" spans="1:7" x14ac:dyDescent="0.25">
      <c r="A9330" t="s">
        <v>41</v>
      </c>
      <c r="B9330" t="s">
        <v>8144</v>
      </c>
      <c r="C9330" t="s">
        <v>17737</v>
      </c>
      <c r="D9330" t="s">
        <v>20</v>
      </c>
      <c r="E9330" t="s">
        <v>11</v>
      </c>
      <c r="F9330">
        <v>57.2</v>
      </c>
      <c r="G9330">
        <v>18</v>
      </c>
    </row>
    <row r="9331" spans="1:7" x14ac:dyDescent="0.25">
      <c r="A9331" t="s">
        <v>41</v>
      </c>
      <c r="B9331" t="s">
        <v>8147</v>
      </c>
      <c r="C9331" t="s">
        <v>19301</v>
      </c>
      <c r="D9331" t="s">
        <v>20</v>
      </c>
      <c r="E9331" t="s">
        <v>11</v>
      </c>
      <c r="F9331">
        <v>194.7</v>
      </c>
      <c r="G9331">
        <v>18</v>
      </c>
    </row>
    <row r="9332" spans="1:7" x14ac:dyDescent="0.25">
      <c r="A9332" t="s">
        <v>41</v>
      </c>
      <c r="B9332" t="s">
        <v>8150</v>
      </c>
      <c r="C9332" t="s">
        <v>19345</v>
      </c>
      <c r="D9332" t="s">
        <v>20</v>
      </c>
      <c r="E9332" t="s">
        <v>11</v>
      </c>
      <c r="F9332">
        <v>8465.599999999999</v>
      </c>
      <c r="G9332">
        <v>18</v>
      </c>
    </row>
    <row r="9333" spans="1:7" x14ac:dyDescent="0.25">
      <c r="A9333" t="s">
        <v>41</v>
      </c>
      <c r="B9333" t="s">
        <v>8153</v>
      </c>
      <c r="C9333" t="s">
        <v>19346</v>
      </c>
      <c r="D9333" t="s">
        <v>20</v>
      </c>
      <c r="E9333" t="s">
        <v>11</v>
      </c>
      <c r="F9333">
        <v>8008</v>
      </c>
      <c r="G9333">
        <v>18</v>
      </c>
    </row>
    <row r="9334" spans="1:7" x14ac:dyDescent="0.25">
      <c r="A9334" t="s">
        <v>41</v>
      </c>
      <c r="B9334" t="s">
        <v>8156</v>
      </c>
      <c r="C9334" t="s">
        <v>19321</v>
      </c>
      <c r="D9334" t="s">
        <v>20</v>
      </c>
      <c r="E9334" t="s">
        <v>11</v>
      </c>
      <c r="F9334">
        <v>13384.800000000001</v>
      </c>
      <c r="G9334">
        <v>18</v>
      </c>
    </row>
    <row r="9335" spans="1:7" x14ac:dyDescent="0.25">
      <c r="A9335" t="s">
        <v>41</v>
      </c>
      <c r="B9335" t="s">
        <v>8159</v>
      </c>
      <c r="C9335" t="s">
        <v>19347</v>
      </c>
      <c r="D9335" t="s">
        <v>20</v>
      </c>
      <c r="E9335" t="s">
        <v>11</v>
      </c>
      <c r="F9335">
        <v>16016</v>
      </c>
      <c r="G9335">
        <v>18</v>
      </c>
    </row>
    <row r="9336" spans="1:7" x14ac:dyDescent="0.25">
      <c r="A9336" t="s">
        <v>41</v>
      </c>
      <c r="B9336" t="s">
        <v>8162</v>
      </c>
      <c r="C9336" t="s">
        <v>18439</v>
      </c>
      <c r="D9336" t="s">
        <v>20</v>
      </c>
      <c r="E9336" t="s">
        <v>11</v>
      </c>
      <c r="F9336">
        <v>31460</v>
      </c>
      <c r="G9336">
        <v>18</v>
      </c>
    </row>
    <row r="9337" spans="1:7" x14ac:dyDescent="0.25">
      <c r="A9337" t="s">
        <v>41</v>
      </c>
      <c r="B9337" t="s">
        <v>8165</v>
      </c>
      <c r="C9337" t="s">
        <v>19348</v>
      </c>
      <c r="D9337" t="s">
        <v>20</v>
      </c>
      <c r="E9337" t="s">
        <v>11</v>
      </c>
      <c r="F9337">
        <v>4918.1</v>
      </c>
      <c r="G9337">
        <v>18</v>
      </c>
    </row>
    <row r="9338" spans="1:7" x14ac:dyDescent="0.25">
      <c r="A9338" t="s">
        <v>41</v>
      </c>
      <c r="B9338" t="s">
        <v>8168</v>
      </c>
      <c r="C9338" t="s">
        <v>17648</v>
      </c>
      <c r="D9338" t="s">
        <v>20</v>
      </c>
      <c r="E9338" t="s">
        <v>11</v>
      </c>
      <c r="F9338">
        <v>2534.4</v>
      </c>
      <c r="G9338">
        <v>18</v>
      </c>
    </row>
    <row r="9339" spans="1:7" x14ac:dyDescent="0.25">
      <c r="A9339" t="s">
        <v>41</v>
      </c>
      <c r="B9339" t="s">
        <v>8171</v>
      </c>
      <c r="C9339" t="s">
        <v>17663</v>
      </c>
      <c r="D9339" t="s">
        <v>20</v>
      </c>
      <c r="E9339" t="s">
        <v>11</v>
      </c>
      <c r="F9339">
        <v>192.5</v>
      </c>
      <c r="G9339">
        <v>18</v>
      </c>
    </row>
    <row r="9340" spans="1:7" x14ac:dyDescent="0.25">
      <c r="A9340" t="s">
        <v>41</v>
      </c>
      <c r="B9340" t="s">
        <v>8174</v>
      </c>
      <c r="C9340" t="s">
        <v>19349</v>
      </c>
      <c r="D9340" t="s">
        <v>20</v>
      </c>
      <c r="E9340" t="s">
        <v>11</v>
      </c>
      <c r="F9340">
        <v>4764.1</v>
      </c>
      <c r="G9340">
        <v>18</v>
      </c>
    </row>
    <row r="9341" spans="1:7" x14ac:dyDescent="0.25">
      <c r="A9341" t="s">
        <v>41</v>
      </c>
      <c r="B9341" t="s">
        <v>8177</v>
      </c>
      <c r="C9341" t="s">
        <v>17673</v>
      </c>
      <c r="D9341" t="s">
        <v>20</v>
      </c>
      <c r="E9341" t="s">
        <v>11</v>
      </c>
      <c r="F9341">
        <v>1032.9</v>
      </c>
      <c r="G9341">
        <v>18</v>
      </c>
    </row>
    <row r="9342" spans="1:7" x14ac:dyDescent="0.25">
      <c r="A9342" t="s">
        <v>41</v>
      </c>
      <c r="B9342" t="s">
        <v>8180</v>
      </c>
      <c r="C9342" t="s">
        <v>19350</v>
      </c>
      <c r="D9342" t="s">
        <v>20</v>
      </c>
      <c r="E9342" t="s">
        <v>11</v>
      </c>
      <c r="F9342">
        <v>878.9</v>
      </c>
      <c r="G9342">
        <v>18</v>
      </c>
    </row>
    <row r="9343" spans="1:7" x14ac:dyDescent="0.25">
      <c r="A9343" t="s">
        <v>41</v>
      </c>
      <c r="B9343" t="s">
        <v>8183</v>
      </c>
      <c r="C9343" t="s">
        <v>18958</v>
      </c>
      <c r="D9343" t="s">
        <v>20</v>
      </c>
      <c r="E9343" t="s">
        <v>11</v>
      </c>
      <c r="F9343">
        <v>499.4</v>
      </c>
      <c r="G9343">
        <v>18</v>
      </c>
    </row>
    <row r="9344" spans="1:7" x14ac:dyDescent="0.25">
      <c r="A9344" t="s">
        <v>41</v>
      </c>
      <c r="B9344" t="s">
        <v>8186</v>
      </c>
      <c r="C9344" t="s">
        <v>17689</v>
      </c>
      <c r="D9344" t="s">
        <v>20</v>
      </c>
      <c r="E9344" t="s">
        <v>11</v>
      </c>
      <c r="F9344">
        <v>57.2</v>
      </c>
      <c r="G9344">
        <v>18</v>
      </c>
    </row>
    <row r="9345" spans="1:7" x14ac:dyDescent="0.25">
      <c r="A9345" t="s">
        <v>41</v>
      </c>
      <c r="B9345" t="s">
        <v>8189</v>
      </c>
      <c r="C9345" t="s">
        <v>17690</v>
      </c>
      <c r="D9345" t="s">
        <v>20</v>
      </c>
      <c r="E9345" t="s">
        <v>11</v>
      </c>
      <c r="F9345">
        <v>57.2</v>
      </c>
      <c r="G9345">
        <v>18</v>
      </c>
    </row>
    <row r="9346" spans="1:7" x14ac:dyDescent="0.25">
      <c r="A9346" t="s">
        <v>41</v>
      </c>
      <c r="B9346" t="s">
        <v>8192</v>
      </c>
      <c r="C9346" t="s">
        <v>17680</v>
      </c>
      <c r="D9346" t="s">
        <v>20</v>
      </c>
      <c r="E9346" t="s">
        <v>11</v>
      </c>
      <c r="F9346">
        <v>2599.2999999999997</v>
      </c>
      <c r="G9346">
        <v>18</v>
      </c>
    </row>
    <row r="9347" spans="1:7" x14ac:dyDescent="0.25">
      <c r="A9347" t="s">
        <v>41</v>
      </c>
      <c r="B9347" t="s">
        <v>8195</v>
      </c>
      <c r="C9347" t="s">
        <v>17545</v>
      </c>
      <c r="D9347" t="s">
        <v>20</v>
      </c>
      <c r="E9347" t="s">
        <v>11</v>
      </c>
      <c r="F9347">
        <v>2516.7999999999997</v>
      </c>
      <c r="G9347">
        <v>18</v>
      </c>
    </row>
    <row r="9348" spans="1:7" x14ac:dyDescent="0.25">
      <c r="A9348" t="s">
        <v>41</v>
      </c>
      <c r="B9348" t="s">
        <v>8198</v>
      </c>
      <c r="C9348" t="s">
        <v>18430</v>
      </c>
      <c r="D9348" t="s">
        <v>20</v>
      </c>
      <c r="E9348" t="s">
        <v>11</v>
      </c>
      <c r="F9348">
        <v>58.300000000000004</v>
      </c>
      <c r="G9348">
        <v>18</v>
      </c>
    </row>
    <row r="9349" spans="1:7" x14ac:dyDescent="0.25">
      <c r="A9349" t="s">
        <v>41</v>
      </c>
      <c r="B9349" t="s">
        <v>8201</v>
      </c>
      <c r="C9349" t="s">
        <v>17831</v>
      </c>
      <c r="D9349" t="s">
        <v>20</v>
      </c>
      <c r="E9349" t="s">
        <v>11</v>
      </c>
      <c r="F9349">
        <v>229.89999999999998</v>
      </c>
      <c r="G9349">
        <v>18</v>
      </c>
    </row>
    <row r="9350" spans="1:7" x14ac:dyDescent="0.25">
      <c r="A9350" t="s">
        <v>41</v>
      </c>
      <c r="B9350" t="s">
        <v>8204</v>
      </c>
      <c r="C9350" t="s">
        <v>17677</v>
      </c>
      <c r="D9350" t="s">
        <v>20</v>
      </c>
      <c r="E9350" t="s">
        <v>11</v>
      </c>
      <c r="F9350">
        <v>30.800000000000004</v>
      </c>
      <c r="G9350">
        <v>18</v>
      </c>
    </row>
    <row r="9351" spans="1:7" x14ac:dyDescent="0.25">
      <c r="A9351" t="s">
        <v>41</v>
      </c>
      <c r="B9351" t="s">
        <v>8207</v>
      </c>
      <c r="C9351" t="s">
        <v>18053</v>
      </c>
      <c r="D9351" t="s">
        <v>20</v>
      </c>
      <c r="E9351" t="s">
        <v>11</v>
      </c>
      <c r="F9351">
        <v>70.4</v>
      </c>
      <c r="G9351">
        <v>18</v>
      </c>
    </row>
    <row r="9352" spans="1:7" x14ac:dyDescent="0.25">
      <c r="A9352" t="s">
        <v>41</v>
      </c>
      <c r="B9352" t="s">
        <v>8210</v>
      </c>
      <c r="C9352" t="s">
        <v>17845</v>
      </c>
      <c r="D9352" t="s">
        <v>20</v>
      </c>
      <c r="E9352" t="s">
        <v>11</v>
      </c>
      <c r="F9352">
        <v>70.4</v>
      </c>
      <c r="G9352">
        <v>18</v>
      </c>
    </row>
    <row r="9353" spans="1:7" x14ac:dyDescent="0.25">
      <c r="A9353" t="s">
        <v>41</v>
      </c>
      <c r="B9353" t="s">
        <v>8213</v>
      </c>
      <c r="C9353" t="s">
        <v>18932</v>
      </c>
      <c r="D9353" t="s">
        <v>20</v>
      </c>
      <c r="E9353" t="s">
        <v>11</v>
      </c>
      <c r="F9353">
        <v>70.4</v>
      </c>
      <c r="G9353">
        <v>18</v>
      </c>
    </row>
    <row r="9354" spans="1:7" x14ac:dyDescent="0.25">
      <c r="A9354" t="s">
        <v>41</v>
      </c>
      <c r="B9354" t="s">
        <v>8216</v>
      </c>
      <c r="C9354" t="s">
        <v>19351</v>
      </c>
      <c r="D9354" t="s">
        <v>20</v>
      </c>
      <c r="E9354" t="s">
        <v>11</v>
      </c>
      <c r="F9354">
        <v>6422.9</v>
      </c>
      <c r="G9354">
        <v>18</v>
      </c>
    </row>
    <row r="9355" spans="1:7" x14ac:dyDescent="0.25">
      <c r="A9355" t="s">
        <v>41</v>
      </c>
      <c r="B9355" t="s">
        <v>8219</v>
      </c>
      <c r="C9355" t="s">
        <v>19352</v>
      </c>
      <c r="D9355" t="s">
        <v>20</v>
      </c>
      <c r="E9355" t="s">
        <v>11</v>
      </c>
      <c r="F9355">
        <v>6388.8</v>
      </c>
      <c r="G9355">
        <v>18</v>
      </c>
    </row>
    <row r="9356" spans="1:7" x14ac:dyDescent="0.25">
      <c r="A9356" t="s">
        <v>41</v>
      </c>
      <c r="B9356" t="s">
        <v>8222</v>
      </c>
      <c r="C9356" t="s">
        <v>19353</v>
      </c>
      <c r="D9356" t="s">
        <v>20</v>
      </c>
      <c r="E9356" t="s">
        <v>11</v>
      </c>
      <c r="F9356">
        <v>3392.4</v>
      </c>
      <c r="G9356">
        <v>18</v>
      </c>
    </row>
    <row r="9357" spans="1:7" x14ac:dyDescent="0.25">
      <c r="A9357" t="s">
        <v>41</v>
      </c>
      <c r="B9357" t="s">
        <v>8225</v>
      </c>
      <c r="C9357" t="s">
        <v>19354</v>
      </c>
      <c r="D9357" t="s">
        <v>20</v>
      </c>
      <c r="E9357" t="s">
        <v>11</v>
      </c>
      <c r="F9357">
        <v>387.2</v>
      </c>
      <c r="G9357">
        <v>18</v>
      </c>
    </row>
    <row r="9358" spans="1:7" x14ac:dyDescent="0.25">
      <c r="A9358" t="s">
        <v>41</v>
      </c>
      <c r="B9358" t="s">
        <v>8228</v>
      </c>
      <c r="C9358" t="s">
        <v>19235</v>
      </c>
      <c r="D9358" t="s">
        <v>20</v>
      </c>
      <c r="E9358" t="s">
        <v>11</v>
      </c>
      <c r="F9358">
        <v>2510.2</v>
      </c>
      <c r="G9358">
        <v>18</v>
      </c>
    </row>
    <row r="9359" spans="1:7" x14ac:dyDescent="0.25">
      <c r="A9359" t="s">
        <v>41</v>
      </c>
      <c r="B9359" t="s">
        <v>8231</v>
      </c>
      <c r="C9359" t="s">
        <v>19355</v>
      </c>
      <c r="D9359" t="s">
        <v>20</v>
      </c>
      <c r="E9359" t="s">
        <v>11</v>
      </c>
      <c r="F9359">
        <v>401.5</v>
      </c>
      <c r="G9359">
        <v>18</v>
      </c>
    </row>
    <row r="9360" spans="1:7" x14ac:dyDescent="0.25">
      <c r="A9360" t="s">
        <v>41</v>
      </c>
      <c r="B9360" t="s">
        <v>8234</v>
      </c>
      <c r="C9360" t="s">
        <v>19130</v>
      </c>
      <c r="D9360" t="s">
        <v>20</v>
      </c>
      <c r="E9360" t="s">
        <v>11</v>
      </c>
      <c r="F9360">
        <v>57.2</v>
      </c>
      <c r="G9360">
        <v>18</v>
      </c>
    </row>
    <row r="9361" spans="1:7" x14ac:dyDescent="0.25">
      <c r="A9361" t="s">
        <v>41</v>
      </c>
      <c r="B9361" t="s">
        <v>8237</v>
      </c>
      <c r="C9361" t="s">
        <v>19356</v>
      </c>
      <c r="D9361" t="s">
        <v>20</v>
      </c>
      <c r="E9361" t="s">
        <v>11</v>
      </c>
      <c r="F9361">
        <v>269.5</v>
      </c>
      <c r="G9361">
        <v>18</v>
      </c>
    </row>
    <row r="9362" spans="1:7" x14ac:dyDescent="0.25">
      <c r="A9362" t="s">
        <v>41</v>
      </c>
      <c r="B9362" t="s">
        <v>8240</v>
      </c>
      <c r="C9362" t="s">
        <v>19357</v>
      </c>
      <c r="D9362" t="s">
        <v>20</v>
      </c>
      <c r="E9362" t="s">
        <v>11</v>
      </c>
      <c r="F9362">
        <v>2451.9</v>
      </c>
      <c r="G9362">
        <v>18</v>
      </c>
    </row>
    <row r="9363" spans="1:7" x14ac:dyDescent="0.25">
      <c r="A9363" t="s">
        <v>41</v>
      </c>
      <c r="B9363" t="s">
        <v>8243</v>
      </c>
      <c r="C9363" t="s">
        <v>19358</v>
      </c>
      <c r="D9363" t="s">
        <v>20</v>
      </c>
      <c r="E9363" t="s">
        <v>11</v>
      </c>
      <c r="F9363">
        <v>2451.9</v>
      </c>
      <c r="G9363">
        <v>18</v>
      </c>
    </row>
    <row r="9364" spans="1:7" x14ac:dyDescent="0.25">
      <c r="A9364" t="s">
        <v>41</v>
      </c>
      <c r="B9364" t="s">
        <v>8246</v>
      </c>
      <c r="C9364" t="s">
        <v>19359</v>
      </c>
      <c r="D9364" t="s">
        <v>20</v>
      </c>
      <c r="E9364" t="s">
        <v>11</v>
      </c>
      <c r="F9364">
        <v>489.5</v>
      </c>
      <c r="G9364">
        <v>18</v>
      </c>
    </row>
    <row r="9365" spans="1:7" x14ac:dyDescent="0.25">
      <c r="A9365" t="s">
        <v>41</v>
      </c>
      <c r="B9365" t="s">
        <v>8249</v>
      </c>
      <c r="C9365" t="s">
        <v>19360</v>
      </c>
      <c r="D9365" t="s">
        <v>20</v>
      </c>
      <c r="E9365" t="s">
        <v>11</v>
      </c>
      <c r="F9365">
        <v>151.79999999999998</v>
      </c>
      <c r="G9365">
        <v>18</v>
      </c>
    </row>
    <row r="9366" spans="1:7" x14ac:dyDescent="0.25">
      <c r="A9366" t="s">
        <v>41</v>
      </c>
      <c r="B9366" t="s">
        <v>8252</v>
      </c>
      <c r="C9366" t="s">
        <v>19361</v>
      </c>
      <c r="D9366" t="s">
        <v>20</v>
      </c>
      <c r="E9366" t="s">
        <v>11</v>
      </c>
      <c r="F9366">
        <v>224.4</v>
      </c>
      <c r="G9366">
        <v>18</v>
      </c>
    </row>
    <row r="9367" spans="1:7" x14ac:dyDescent="0.25">
      <c r="A9367" t="s">
        <v>41</v>
      </c>
      <c r="B9367" t="s">
        <v>8255</v>
      </c>
      <c r="C9367" t="s">
        <v>17677</v>
      </c>
      <c r="D9367" t="s">
        <v>20</v>
      </c>
      <c r="E9367" t="s">
        <v>11</v>
      </c>
      <c r="F9367">
        <v>67.1</v>
      </c>
      <c r="G9367">
        <v>18</v>
      </c>
    </row>
    <row r="9368" spans="1:7" x14ac:dyDescent="0.25">
      <c r="A9368" t="s">
        <v>41</v>
      </c>
      <c r="B9368" t="s">
        <v>8258</v>
      </c>
      <c r="C9368" t="s">
        <v>19362</v>
      </c>
      <c r="D9368" t="s">
        <v>20</v>
      </c>
      <c r="E9368" t="s">
        <v>11</v>
      </c>
      <c r="F9368">
        <v>45085.7</v>
      </c>
      <c r="G9368">
        <v>18</v>
      </c>
    </row>
    <row r="9369" spans="1:7" x14ac:dyDescent="0.25">
      <c r="A9369" t="s">
        <v>41</v>
      </c>
      <c r="B9369" t="s">
        <v>8261</v>
      </c>
      <c r="C9369" t="s">
        <v>19363</v>
      </c>
      <c r="D9369" t="s">
        <v>20</v>
      </c>
      <c r="E9369" t="s">
        <v>11</v>
      </c>
      <c r="F9369">
        <v>45085.7</v>
      </c>
      <c r="G9369">
        <v>18</v>
      </c>
    </row>
    <row r="9370" spans="1:7" x14ac:dyDescent="0.25">
      <c r="A9370" t="s">
        <v>41</v>
      </c>
      <c r="B9370" t="s">
        <v>8264</v>
      </c>
      <c r="C9370" t="s">
        <v>19364</v>
      </c>
      <c r="D9370" t="s">
        <v>20</v>
      </c>
      <c r="E9370" t="s">
        <v>11</v>
      </c>
      <c r="F9370">
        <v>2317.7</v>
      </c>
      <c r="G9370">
        <v>18</v>
      </c>
    </row>
    <row r="9371" spans="1:7" x14ac:dyDescent="0.25">
      <c r="A9371" t="s">
        <v>41</v>
      </c>
      <c r="B9371" t="s">
        <v>8267</v>
      </c>
      <c r="C9371" t="s">
        <v>19365</v>
      </c>
      <c r="D9371" t="s">
        <v>20</v>
      </c>
      <c r="E9371" t="s">
        <v>11</v>
      </c>
      <c r="F9371">
        <v>70.4</v>
      </c>
      <c r="G9371">
        <v>18</v>
      </c>
    </row>
    <row r="9372" spans="1:7" x14ac:dyDescent="0.25">
      <c r="A9372" t="s">
        <v>41</v>
      </c>
      <c r="B9372" t="s">
        <v>8270</v>
      </c>
      <c r="C9372" t="s">
        <v>17690</v>
      </c>
      <c r="D9372" t="s">
        <v>20</v>
      </c>
      <c r="E9372" t="s">
        <v>11</v>
      </c>
      <c r="F9372">
        <v>57.2</v>
      </c>
      <c r="G9372">
        <v>18</v>
      </c>
    </row>
    <row r="9373" spans="1:7" x14ac:dyDescent="0.25">
      <c r="A9373" t="s">
        <v>41</v>
      </c>
      <c r="B9373" t="s">
        <v>8273</v>
      </c>
      <c r="C9373" t="s">
        <v>17689</v>
      </c>
      <c r="D9373" t="s">
        <v>20</v>
      </c>
      <c r="E9373" t="s">
        <v>11</v>
      </c>
      <c r="F9373">
        <v>63.8</v>
      </c>
      <c r="G9373">
        <v>18</v>
      </c>
    </row>
    <row r="9374" spans="1:7" x14ac:dyDescent="0.25">
      <c r="A9374" t="s">
        <v>41</v>
      </c>
      <c r="B9374" t="s">
        <v>8276</v>
      </c>
      <c r="C9374" t="s">
        <v>18958</v>
      </c>
      <c r="D9374" t="s">
        <v>20</v>
      </c>
      <c r="E9374" t="s">
        <v>11</v>
      </c>
      <c r="F9374">
        <v>499.4</v>
      </c>
      <c r="G9374">
        <v>18</v>
      </c>
    </row>
    <row r="9375" spans="1:7" x14ac:dyDescent="0.25">
      <c r="A9375" t="s">
        <v>41</v>
      </c>
      <c r="B9375" t="s">
        <v>8279</v>
      </c>
      <c r="C9375" t="s">
        <v>19366</v>
      </c>
      <c r="D9375" t="s">
        <v>20</v>
      </c>
      <c r="E9375" t="s">
        <v>11</v>
      </c>
      <c r="F9375">
        <v>183.7</v>
      </c>
      <c r="G9375">
        <v>18</v>
      </c>
    </row>
    <row r="9376" spans="1:7" x14ac:dyDescent="0.25">
      <c r="A9376" t="s">
        <v>41</v>
      </c>
      <c r="B9376" t="s">
        <v>8282</v>
      </c>
      <c r="C9376" t="s">
        <v>19367</v>
      </c>
      <c r="D9376" t="s">
        <v>20</v>
      </c>
      <c r="E9376" t="s">
        <v>11</v>
      </c>
      <c r="F9376">
        <v>25471.6</v>
      </c>
      <c r="G9376">
        <v>18</v>
      </c>
    </row>
    <row r="9377" spans="1:7" x14ac:dyDescent="0.25">
      <c r="A9377" t="s">
        <v>41</v>
      </c>
      <c r="B9377" t="s">
        <v>8285</v>
      </c>
      <c r="C9377" t="s">
        <v>19368</v>
      </c>
      <c r="D9377" t="s">
        <v>20</v>
      </c>
      <c r="E9377" t="s">
        <v>11</v>
      </c>
      <c r="F9377">
        <v>20968.2</v>
      </c>
      <c r="G9377">
        <v>18</v>
      </c>
    </row>
    <row r="9378" spans="1:7" x14ac:dyDescent="0.25">
      <c r="A9378" t="s">
        <v>41</v>
      </c>
      <c r="B9378" t="s">
        <v>8288</v>
      </c>
      <c r="C9378" t="s">
        <v>19369</v>
      </c>
      <c r="D9378" t="s">
        <v>20</v>
      </c>
      <c r="E9378" t="s">
        <v>11</v>
      </c>
      <c r="F9378">
        <v>17459.2</v>
      </c>
      <c r="G9378">
        <v>18</v>
      </c>
    </row>
    <row r="9379" spans="1:7" x14ac:dyDescent="0.25">
      <c r="A9379" t="s">
        <v>41</v>
      </c>
      <c r="B9379" t="s">
        <v>8291</v>
      </c>
      <c r="C9379" t="s">
        <v>19370</v>
      </c>
      <c r="D9379" t="s">
        <v>20</v>
      </c>
      <c r="E9379" t="s">
        <v>11</v>
      </c>
      <c r="F9379">
        <v>3998.5</v>
      </c>
      <c r="G9379">
        <v>18</v>
      </c>
    </row>
    <row r="9380" spans="1:7" x14ac:dyDescent="0.25">
      <c r="A9380" t="s">
        <v>41</v>
      </c>
      <c r="B9380" t="s">
        <v>8294</v>
      </c>
      <c r="C9380" t="s">
        <v>18932</v>
      </c>
      <c r="D9380" t="s">
        <v>20</v>
      </c>
      <c r="E9380" t="s">
        <v>11</v>
      </c>
      <c r="F9380">
        <v>70.4</v>
      </c>
      <c r="G9380">
        <v>18</v>
      </c>
    </row>
    <row r="9381" spans="1:7" x14ac:dyDescent="0.25">
      <c r="A9381" t="s">
        <v>41</v>
      </c>
      <c r="B9381" t="s">
        <v>8297</v>
      </c>
      <c r="C9381" t="s">
        <v>18515</v>
      </c>
      <c r="D9381" t="s">
        <v>20</v>
      </c>
      <c r="E9381" t="s">
        <v>11</v>
      </c>
      <c r="F9381">
        <v>57.2</v>
      </c>
      <c r="G9381">
        <v>18</v>
      </c>
    </row>
    <row r="9382" spans="1:7" x14ac:dyDescent="0.25">
      <c r="A9382" t="s">
        <v>41</v>
      </c>
      <c r="B9382" t="s">
        <v>8300</v>
      </c>
      <c r="C9382" t="s">
        <v>17732</v>
      </c>
      <c r="D9382" t="s">
        <v>20</v>
      </c>
      <c r="E9382" t="s">
        <v>11</v>
      </c>
      <c r="F9382">
        <v>2018.5000000000002</v>
      </c>
      <c r="G9382">
        <v>18</v>
      </c>
    </row>
    <row r="9383" spans="1:7" x14ac:dyDescent="0.25">
      <c r="A9383" t="s">
        <v>41</v>
      </c>
      <c r="B9383" t="s">
        <v>8303</v>
      </c>
      <c r="C9383" t="s">
        <v>19371</v>
      </c>
      <c r="D9383" t="s">
        <v>20</v>
      </c>
      <c r="E9383" t="s">
        <v>11</v>
      </c>
      <c r="F9383">
        <v>2437.6</v>
      </c>
      <c r="G9383">
        <v>18</v>
      </c>
    </row>
    <row r="9384" spans="1:7" x14ac:dyDescent="0.25">
      <c r="A9384" t="s">
        <v>41</v>
      </c>
      <c r="B9384" t="s">
        <v>8306</v>
      </c>
      <c r="C9384" t="s">
        <v>19372</v>
      </c>
      <c r="D9384" t="s">
        <v>20</v>
      </c>
      <c r="E9384" t="s">
        <v>11</v>
      </c>
      <c r="F9384">
        <v>4412.1</v>
      </c>
      <c r="G9384">
        <v>18</v>
      </c>
    </row>
    <row r="9385" spans="1:7" x14ac:dyDescent="0.25">
      <c r="A9385" t="s">
        <v>41</v>
      </c>
      <c r="B9385" t="s">
        <v>8309</v>
      </c>
      <c r="C9385" t="s">
        <v>19373</v>
      </c>
      <c r="D9385" t="s">
        <v>20</v>
      </c>
      <c r="E9385" t="s">
        <v>11</v>
      </c>
      <c r="F9385">
        <v>12586.2</v>
      </c>
      <c r="G9385">
        <v>18</v>
      </c>
    </row>
    <row r="9386" spans="1:7" x14ac:dyDescent="0.25">
      <c r="A9386" t="s">
        <v>41</v>
      </c>
      <c r="B9386" t="s">
        <v>8312</v>
      </c>
      <c r="C9386" t="s">
        <v>19347</v>
      </c>
      <c r="D9386" t="s">
        <v>20</v>
      </c>
      <c r="E9386" t="s">
        <v>11</v>
      </c>
      <c r="F9386">
        <v>12586.2</v>
      </c>
      <c r="G9386">
        <v>18</v>
      </c>
    </row>
    <row r="9387" spans="1:7" x14ac:dyDescent="0.25">
      <c r="A9387" t="s">
        <v>41</v>
      </c>
      <c r="B9387" t="s">
        <v>8315</v>
      </c>
      <c r="C9387" t="s">
        <v>17732</v>
      </c>
      <c r="D9387" t="s">
        <v>20</v>
      </c>
      <c r="E9387" t="s">
        <v>11</v>
      </c>
      <c r="F9387">
        <v>2018.5000000000002</v>
      </c>
      <c r="G9387">
        <v>18</v>
      </c>
    </row>
    <row r="9388" spans="1:7" x14ac:dyDescent="0.25">
      <c r="A9388" t="s">
        <v>41</v>
      </c>
      <c r="B9388" t="s">
        <v>8318</v>
      </c>
      <c r="C9388" t="s">
        <v>17731</v>
      </c>
      <c r="D9388" t="s">
        <v>20</v>
      </c>
      <c r="E9388" t="s">
        <v>11</v>
      </c>
      <c r="F9388">
        <v>173.8</v>
      </c>
      <c r="G9388">
        <v>18</v>
      </c>
    </row>
    <row r="9389" spans="1:7" x14ac:dyDescent="0.25">
      <c r="A9389" t="s">
        <v>41</v>
      </c>
      <c r="B9389" t="s">
        <v>8321</v>
      </c>
      <c r="C9389" t="s">
        <v>19374</v>
      </c>
      <c r="D9389" t="s">
        <v>20</v>
      </c>
      <c r="E9389" t="s">
        <v>11</v>
      </c>
      <c r="F9389">
        <v>2205.5</v>
      </c>
      <c r="G9389">
        <v>18</v>
      </c>
    </row>
    <row r="9390" spans="1:7" x14ac:dyDescent="0.25">
      <c r="A9390" t="s">
        <v>41</v>
      </c>
      <c r="B9390" t="s">
        <v>8324</v>
      </c>
      <c r="C9390" t="s">
        <v>17736</v>
      </c>
      <c r="D9390" t="s">
        <v>20</v>
      </c>
      <c r="E9390" t="s">
        <v>11</v>
      </c>
      <c r="F9390">
        <v>57.2</v>
      </c>
      <c r="G9390">
        <v>18</v>
      </c>
    </row>
    <row r="9391" spans="1:7" x14ac:dyDescent="0.25">
      <c r="A9391" t="s">
        <v>41</v>
      </c>
      <c r="B9391" t="s">
        <v>8327</v>
      </c>
      <c r="C9391" t="s">
        <v>19375</v>
      </c>
      <c r="D9391" t="s">
        <v>20</v>
      </c>
      <c r="E9391" t="s">
        <v>11</v>
      </c>
      <c r="F9391">
        <v>201.3</v>
      </c>
      <c r="G9391">
        <v>18</v>
      </c>
    </row>
    <row r="9392" spans="1:7" x14ac:dyDescent="0.25">
      <c r="A9392" t="s">
        <v>41</v>
      </c>
      <c r="B9392" t="s">
        <v>8330</v>
      </c>
      <c r="C9392" t="s">
        <v>19376</v>
      </c>
      <c r="D9392" t="s">
        <v>20</v>
      </c>
      <c r="E9392" t="s">
        <v>11</v>
      </c>
      <c r="F9392">
        <v>732.6</v>
      </c>
      <c r="G9392">
        <v>18</v>
      </c>
    </row>
    <row r="9393" spans="1:7" x14ac:dyDescent="0.25">
      <c r="A9393" t="s">
        <v>41</v>
      </c>
      <c r="B9393" t="s">
        <v>8333</v>
      </c>
      <c r="C9393" t="s">
        <v>19377</v>
      </c>
      <c r="D9393" t="s">
        <v>20</v>
      </c>
      <c r="E9393" t="s">
        <v>11</v>
      </c>
      <c r="F9393">
        <v>3998.5</v>
      </c>
      <c r="G9393">
        <v>18</v>
      </c>
    </row>
    <row r="9394" spans="1:7" x14ac:dyDescent="0.25">
      <c r="A9394" t="s">
        <v>41</v>
      </c>
      <c r="B9394" t="s">
        <v>8336</v>
      </c>
      <c r="C9394" t="s">
        <v>19378</v>
      </c>
      <c r="D9394" t="s">
        <v>20</v>
      </c>
      <c r="E9394" t="s">
        <v>11</v>
      </c>
      <c r="F9394">
        <v>2556.3999999999996</v>
      </c>
      <c r="G9394">
        <v>18</v>
      </c>
    </row>
    <row r="9395" spans="1:7" x14ac:dyDescent="0.25">
      <c r="A9395" t="s">
        <v>41</v>
      </c>
      <c r="B9395" t="s">
        <v>8339</v>
      </c>
      <c r="C9395" t="s">
        <v>19379</v>
      </c>
      <c r="D9395" t="s">
        <v>20</v>
      </c>
      <c r="E9395" t="s">
        <v>11</v>
      </c>
      <c r="F9395">
        <v>4991.8</v>
      </c>
      <c r="G9395">
        <v>18</v>
      </c>
    </row>
    <row r="9396" spans="1:7" x14ac:dyDescent="0.25">
      <c r="A9396" t="s">
        <v>41</v>
      </c>
      <c r="B9396" t="s">
        <v>8342</v>
      </c>
      <c r="C9396" t="s">
        <v>19321</v>
      </c>
      <c r="D9396" t="s">
        <v>20</v>
      </c>
      <c r="E9396" t="s">
        <v>11</v>
      </c>
      <c r="F9396">
        <v>12586.2</v>
      </c>
      <c r="G9396">
        <v>18</v>
      </c>
    </row>
    <row r="9397" spans="1:7" x14ac:dyDescent="0.25">
      <c r="A9397" t="s">
        <v>41</v>
      </c>
      <c r="B9397" t="s">
        <v>8345</v>
      </c>
      <c r="C9397" t="s">
        <v>18121</v>
      </c>
      <c r="D9397" t="s">
        <v>20</v>
      </c>
      <c r="E9397" t="s">
        <v>11</v>
      </c>
      <c r="F9397">
        <v>2205.5</v>
      </c>
      <c r="G9397">
        <v>18</v>
      </c>
    </row>
    <row r="9398" spans="1:7" x14ac:dyDescent="0.25">
      <c r="A9398" t="s">
        <v>41</v>
      </c>
      <c r="B9398" t="s">
        <v>8348</v>
      </c>
      <c r="C9398" t="s">
        <v>19380</v>
      </c>
      <c r="D9398" t="s">
        <v>20</v>
      </c>
      <c r="E9398" t="s">
        <v>11</v>
      </c>
      <c r="F9398">
        <v>20787.8</v>
      </c>
      <c r="G9398">
        <v>18</v>
      </c>
    </row>
    <row r="9399" spans="1:7" x14ac:dyDescent="0.25">
      <c r="A9399" t="s">
        <v>41</v>
      </c>
      <c r="B9399" t="s">
        <v>8351</v>
      </c>
      <c r="C9399" t="s">
        <v>19381</v>
      </c>
      <c r="D9399" t="s">
        <v>20</v>
      </c>
      <c r="E9399" t="s">
        <v>11</v>
      </c>
      <c r="F9399">
        <v>17459.2</v>
      </c>
      <c r="G9399">
        <v>18</v>
      </c>
    </row>
    <row r="9400" spans="1:7" x14ac:dyDescent="0.25">
      <c r="A9400" t="s">
        <v>41</v>
      </c>
      <c r="B9400" t="s">
        <v>8354</v>
      </c>
      <c r="C9400" t="s">
        <v>19318</v>
      </c>
      <c r="D9400" t="s">
        <v>20</v>
      </c>
      <c r="E9400" t="s">
        <v>11</v>
      </c>
      <c r="F9400">
        <v>3998.5</v>
      </c>
      <c r="G9400">
        <v>18</v>
      </c>
    </row>
    <row r="9401" spans="1:7" x14ac:dyDescent="0.25">
      <c r="A9401" t="s">
        <v>41</v>
      </c>
      <c r="B9401" t="s">
        <v>8357</v>
      </c>
      <c r="C9401" t="s">
        <v>19382</v>
      </c>
      <c r="D9401" t="s">
        <v>20</v>
      </c>
      <c r="E9401" t="s">
        <v>11</v>
      </c>
      <c r="F9401">
        <v>3998.5</v>
      </c>
      <c r="G9401">
        <v>18</v>
      </c>
    </row>
    <row r="9402" spans="1:7" x14ac:dyDescent="0.25">
      <c r="A9402" t="s">
        <v>41</v>
      </c>
      <c r="B9402" t="s">
        <v>8360</v>
      </c>
      <c r="C9402" t="s">
        <v>19383</v>
      </c>
      <c r="D9402" t="s">
        <v>20</v>
      </c>
      <c r="E9402" t="s">
        <v>11</v>
      </c>
      <c r="F9402">
        <v>2867.7</v>
      </c>
      <c r="G9402">
        <v>18</v>
      </c>
    </row>
    <row r="9403" spans="1:7" x14ac:dyDescent="0.25">
      <c r="A9403" t="s">
        <v>41</v>
      </c>
      <c r="B9403" t="s">
        <v>8363</v>
      </c>
      <c r="C9403" t="s">
        <v>19384</v>
      </c>
      <c r="D9403" t="s">
        <v>20</v>
      </c>
      <c r="E9403" t="s">
        <v>11</v>
      </c>
      <c r="F9403">
        <v>2867.7</v>
      </c>
      <c r="G9403">
        <v>18</v>
      </c>
    </row>
    <row r="9404" spans="1:7" x14ac:dyDescent="0.25">
      <c r="A9404" t="s">
        <v>41</v>
      </c>
      <c r="B9404" t="s">
        <v>8366</v>
      </c>
      <c r="C9404" t="s">
        <v>19385</v>
      </c>
      <c r="D9404" t="s">
        <v>20</v>
      </c>
      <c r="E9404" t="s">
        <v>11</v>
      </c>
      <c r="F9404">
        <v>21969.2</v>
      </c>
      <c r="G9404">
        <v>18</v>
      </c>
    </row>
    <row r="9405" spans="1:7" x14ac:dyDescent="0.25">
      <c r="A9405" t="s">
        <v>41</v>
      </c>
      <c r="B9405" t="s">
        <v>8369</v>
      </c>
      <c r="C9405" t="s">
        <v>19386</v>
      </c>
      <c r="D9405" t="s">
        <v>20</v>
      </c>
      <c r="E9405" t="s">
        <v>11</v>
      </c>
      <c r="F9405">
        <v>19651.5</v>
      </c>
      <c r="G9405">
        <v>18</v>
      </c>
    </row>
    <row r="9406" spans="1:7" x14ac:dyDescent="0.25">
      <c r="A9406" t="s">
        <v>41</v>
      </c>
      <c r="B9406" t="s">
        <v>8372</v>
      </c>
      <c r="C9406" t="s">
        <v>19387</v>
      </c>
      <c r="D9406" t="s">
        <v>20</v>
      </c>
      <c r="E9406" t="s">
        <v>11</v>
      </c>
      <c r="F9406">
        <v>1536.7</v>
      </c>
      <c r="G9406">
        <v>18</v>
      </c>
    </row>
    <row r="9407" spans="1:7" x14ac:dyDescent="0.25">
      <c r="A9407" t="s">
        <v>41</v>
      </c>
      <c r="B9407" t="s">
        <v>8375</v>
      </c>
      <c r="C9407" t="s">
        <v>19388</v>
      </c>
      <c r="D9407" t="s">
        <v>20</v>
      </c>
      <c r="E9407" t="s">
        <v>11</v>
      </c>
      <c r="F9407">
        <v>57.2</v>
      </c>
      <c r="G9407">
        <v>18</v>
      </c>
    </row>
    <row r="9408" spans="1:7" x14ac:dyDescent="0.25">
      <c r="A9408" t="s">
        <v>41</v>
      </c>
      <c r="B9408" t="s">
        <v>8378</v>
      </c>
      <c r="C9408" t="s">
        <v>19389</v>
      </c>
      <c r="D9408" t="s">
        <v>20</v>
      </c>
      <c r="E9408" t="s">
        <v>11</v>
      </c>
      <c r="F9408">
        <v>212.29999999999998</v>
      </c>
      <c r="G9408">
        <v>18</v>
      </c>
    </row>
    <row r="9409" spans="1:7" x14ac:dyDescent="0.25">
      <c r="A9409" t="s">
        <v>41</v>
      </c>
      <c r="B9409" t="s">
        <v>8381</v>
      </c>
      <c r="C9409" t="s">
        <v>17677</v>
      </c>
      <c r="D9409" t="s">
        <v>20</v>
      </c>
      <c r="E9409" t="s">
        <v>11</v>
      </c>
      <c r="F9409">
        <v>63.8</v>
      </c>
      <c r="G9409">
        <v>18</v>
      </c>
    </row>
    <row r="9410" spans="1:7" x14ac:dyDescent="0.25">
      <c r="A9410" t="s">
        <v>41</v>
      </c>
      <c r="B9410" t="s">
        <v>8384</v>
      </c>
      <c r="C9410" t="s">
        <v>19390</v>
      </c>
      <c r="D9410" t="s">
        <v>20</v>
      </c>
      <c r="E9410" t="s">
        <v>11</v>
      </c>
      <c r="F9410">
        <v>2150.5</v>
      </c>
      <c r="G9410">
        <v>18</v>
      </c>
    </row>
    <row r="9411" spans="1:7" x14ac:dyDescent="0.25">
      <c r="A9411" t="s">
        <v>41</v>
      </c>
      <c r="B9411" t="s">
        <v>8387</v>
      </c>
      <c r="C9411" t="s">
        <v>19391</v>
      </c>
      <c r="D9411" t="s">
        <v>20</v>
      </c>
      <c r="E9411" t="s">
        <v>11</v>
      </c>
      <c r="F9411">
        <v>1092.3</v>
      </c>
      <c r="G9411">
        <v>18</v>
      </c>
    </row>
    <row r="9412" spans="1:7" x14ac:dyDescent="0.25">
      <c r="A9412" t="s">
        <v>41</v>
      </c>
      <c r="B9412" t="s">
        <v>8390</v>
      </c>
      <c r="C9412" t="s">
        <v>19392</v>
      </c>
      <c r="D9412" t="s">
        <v>20</v>
      </c>
      <c r="E9412" t="s">
        <v>11</v>
      </c>
      <c r="F9412">
        <v>10408.2</v>
      </c>
      <c r="G9412">
        <v>18</v>
      </c>
    </row>
    <row r="9413" spans="1:7" x14ac:dyDescent="0.25">
      <c r="A9413" t="s">
        <v>41</v>
      </c>
      <c r="B9413" t="s">
        <v>8393</v>
      </c>
      <c r="C9413" t="s">
        <v>19393</v>
      </c>
      <c r="D9413" t="s">
        <v>20</v>
      </c>
      <c r="E9413" t="s">
        <v>11</v>
      </c>
      <c r="F9413">
        <v>620.4</v>
      </c>
      <c r="G9413">
        <v>18</v>
      </c>
    </row>
    <row r="9414" spans="1:7" x14ac:dyDescent="0.25">
      <c r="A9414" t="s">
        <v>41</v>
      </c>
      <c r="B9414" t="s">
        <v>8396</v>
      </c>
      <c r="C9414" t="s">
        <v>19394</v>
      </c>
      <c r="D9414" t="s">
        <v>20</v>
      </c>
      <c r="E9414" t="s">
        <v>11</v>
      </c>
      <c r="F9414">
        <v>324.5</v>
      </c>
      <c r="G9414">
        <v>18</v>
      </c>
    </row>
    <row r="9415" spans="1:7" x14ac:dyDescent="0.25">
      <c r="A9415" t="s">
        <v>41</v>
      </c>
      <c r="B9415" t="s">
        <v>8399</v>
      </c>
      <c r="C9415" t="s">
        <v>19395</v>
      </c>
      <c r="D9415" t="s">
        <v>20</v>
      </c>
      <c r="E9415" t="s">
        <v>11</v>
      </c>
      <c r="F9415">
        <v>511.50000000000006</v>
      </c>
      <c r="G9415">
        <v>18</v>
      </c>
    </row>
    <row r="9416" spans="1:7" x14ac:dyDescent="0.25">
      <c r="A9416" t="s">
        <v>41</v>
      </c>
      <c r="B9416" t="s">
        <v>8402</v>
      </c>
      <c r="C9416" t="s">
        <v>19396</v>
      </c>
      <c r="D9416" t="s">
        <v>20</v>
      </c>
      <c r="E9416" t="s">
        <v>11</v>
      </c>
      <c r="F9416">
        <v>1441</v>
      </c>
      <c r="G9416">
        <v>18</v>
      </c>
    </row>
    <row r="9417" spans="1:7" x14ac:dyDescent="0.25">
      <c r="A9417" t="s">
        <v>41</v>
      </c>
      <c r="B9417" t="s">
        <v>8405</v>
      </c>
      <c r="C9417" t="s">
        <v>19397</v>
      </c>
      <c r="D9417" t="s">
        <v>20</v>
      </c>
      <c r="E9417" t="s">
        <v>11</v>
      </c>
      <c r="F9417">
        <v>355.3</v>
      </c>
      <c r="G9417">
        <v>18</v>
      </c>
    </row>
    <row r="9418" spans="1:7" x14ac:dyDescent="0.25">
      <c r="A9418" t="s">
        <v>41</v>
      </c>
      <c r="B9418" t="s">
        <v>8408</v>
      </c>
      <c r="C9418" t="s">
        <v>19398</v>
      </c>
      <c r="D9418" t="s">
        <v>20</v>
      </c>
      <c r="E9418" t="s">
        <v>11</v>
      </c>
      <c r="F9418">
        <v>694.0999999999999</v>
      </c>
      <c r="G9418">
        <v>18</v>
      </c>
    </row>
    <row r="9419" spans="1:7" x14ac:dyDescent="0.25">
      <c r="A9419" t="s">
        <v>41</v>
      </c>
      <c r="B9419" t="s">
        <v>8411</v>
      </c>
      <c r="C9419" t="s">
        <v>19130</v>
      </c>
      <c r="D9419" t="s">
        <v>20</v>
      </c>
      <c r="E9419" t="s">
        <v>11</v>
      </c>
      <c r="F9419">
        <v>57.2</v>
      </c>
      <c r="G9419">
        <v>18</v>
      </c>
    </row>
    <row r="9420" spans="1:7" x14ac:dyDescent="0.25">
      <c r="A9420" t="s">
        <v>41</v>
      </c>
      <c r="B9420" t="s">
        <v>8414</v>
      </c>
      <c r="C9420" t="s">
        <v>19399</v>
      </c>
      <c r="D9420" t="s">
        <v>20</v>
      </c>
      <c r="E9420" t="s">
        <v>11</v>
      </c>
      <c r="F9420">
        <v>982.3</v>
      </c>
      <c r="G9420">
        <v>18</v>
      </c>
    </row>
    <row r="9421" spans="1:7" x14ac:dyDescent="0.25">
      <c r="A9421" t="s">
        <v>41</v>
      </c>
      <c r="B9421" t="s">
        <v>8417</v>
      </c>
      <c r="C9421" t="s">
        <v>17731</v>
      </c>
      <c r="D9421" t="s">
        <v>20</v>
      </c>
      <c r="E9421" t="s">
        <v>11</v>
      </c>
      <c r="F9421">
        <v>173.8</v>
      </c>
      <c r="G9421">
        <v>18</v>
      </c>
    </row>
    <row r="9422" spans="1:7" x14ac:dyDescent="0.25">
      <c r="A9422" t="s">
        <v>41</v>
      </c>
      <c r="B9422" t="s">
        <v>8420</v>
      </c>
      <c r="C9422" t="s">
        <v>19400</v>
      </c>
      <c r="D9422" t="s">
        <v>20</v>
      </c>
      <c r="E9422" t="s">
        <v>11</v>
      </c>
      <c r="F9422">
        <v>2575.1</v>
      </c>
      <c r="G9422">
        <v>18</v>
      </c>
    </row>
    <row r="9423" spans="1:7" x14ac:dyDescent="0.25">
      <c r="A9423" t="s">
        <v>41</v>
      </c>
      <c r="B9423" t="s">
        <v>8423</v>
      </c>
      <c r="C9423" t="s">
        <v>19401</v>
      </c>
      <c r="D9423" t="s">
        <v>20</v>
      </c>
      <c r="E9423" t="s">
        <v>11</v>
      </c>
      <c r="F9423">
        <v>2836.9</v>
      </c>
      <c r="G9423">
        <v>18</v>
      </c>
    </row>
    <row r="9424" spans="1:7" x14ac:dyDescent="0.25">
      <c r="A9424" t="s">
        <v>41</v>
      </c>
      <c r="B9424" t="s">
        <v>8426</v>
      </c>
      <c r="C9424" t="s">
        <v>19130</v>
      </c>
      <c r="D9424" t="s">
        <v>20</v>
      </c>
      <c r="E9424" t="s">
        <v>11</v>
      </c>
      <c r="F9424">
        <v>57.2</v>
      </c>
      <c r="G9424">
        <v>18</v>
      </c>
    </row>
    <row r="9425" spans="1:7" x14ac:dyDescent="0.25">
      <c r="A9425" t="s">
        <v>41</v>
      </c>
      <c r="B9425" t="s">
        <v>8429</v>
      </c>
      <c r="C9425" t="s">
        <v>18962</v>
      </c>
      <c r="D9425" t="s">
        <v>20</v>
      </c>
      <c r="E9425" t="s">
        <v>11</v>
      </c>
      <c r="F9425">
        <v>2575.1</v>
      </c>
      <c r="G9425">
        <v>18</v>
      </c>
    </row>
    <row r="9426" spans="1:7" x14ac:dyDescent="0.25">
      <c r="A9426" t="s">
        <v>41</v>
      </c>
      <c r="B9426" t="s">
        <v>8432</v>
      </c>
      <c r="C9426" t="s">
        <v>19402</v>
      </c>
      <c r="D9426" t="s">
        <v>20</v>
      </c>
      <c r="E9426" t="s">
        <v>11</v>
      </c>
      <c r="F9426">
        <v>2575.1</v>
      </c>
      <c r="G9426">
        <v>18</v>
      </c>
    </row>
    <row r="9427" spans="1:7" x14ac:dyDescent="0.25">
      <c r="A9427" t="s">
        <v>41</v>
      </c>
      <c r="B9427" t="s">
        <v>8435</v>
      </c>
      <c r="C9427" t="s">
        <v>19403</v>
      </c>
      <c r="D9427" t="s">
        <v>20</v>
      </c>
      <c r="E9427" t="s">
        <v>11</v>
      </c>
      <c r="F9427">
        <v>192.5</v>
      </c>
      <c r="G9427">
        <v>18</v>
      </c>
    </row>
    <row r="9428" spans="1:7" x14ac:dyDescent="0.25">
      <c r="A9428" t="s">
        <v>41</v>
      </c>
      <c r="B9428" t="s">
        <v>8438</v>
      </c>
      <c r="C9428" t="s">
        <v>19404</v>
      </c>
      <c r="D9428" t="s">
        <v>20</v>
      </c>
      <c r="E9428" t="s">
        <v>11</v>
      </c>
      <c r="F9428">
        <v>1596.1</v>
      </c>
      <c r="G9428">
        <v>18</v>
      </c>
    </row>
    <row r="9429" spans="1:7" x14ac:dyDescent="0.25">
      <c r="A9429" t="s">
        <v>41</v>
      </c>
      <c r="B9429" t="s">
        <v>8441</v>
      </c>
      <c r="C9429" t="s">
        <v>19405</v>
      </c>
      <c r="D9429" t="s">
        <v>20</v>
      </c>
      <c r="E9429" t="s">
        <v>11</v>
      </c>
      <c r="F9429">
        <v>58.300000000000004</v>
      </c>
      <c r="G9429">
        <v>18</v>
      </c>
    </row>
    <row r="9430" spans="1:7" x14ac:dyDescent="0.25">
      <c r="A9430" t="s">
        <v>41</v>
      </c>
      <c r="B9430" t="s">
        <v>8444</v>
      </c>
      <c r="C9430" t="s">
        <v>19405</v>
      </c>
      <c r="D9430" t="s">
        <v>20</v>
      </c>
      <c r="E9430" t="s">
        <v>11</v>
      </c>
      <c r="F9430">
        <v>58.300000000000004</v>
      </c>
      <c r="G9430">
        <v>18</v>
      </c>
    </row>
    <row r="9431" spans="1:7" x14ac:dyDescent="0.25">
      <c r="A9431" t="s">
        <v>41</v>
      </c>
      <c r="B9431" t="s">
        <v>8447</v>
      </c>
      <c r="C9431" t="s">
        <v>19405</v>
      </c>
      <c r="D9431" t="s">
        <v>20</v>
      </c>
      <c r="E9431" t="s">
        <v>11</v>
      </c>
      <c r="F9431">
        <v>58.300000000000004</v>
      </c>
      <c r="G9431">
        <v>18</v>
      </c>
    </row>
    <row r="9432" spans="1:7" x14ac:dyDescent="0.25">
      <c r="A9432" t="s">
        <v>41</v>
      </c>
      <c r="B9432" t="s">
        <v>8450</v>
      </c>
      <c r="C9432" t="s">
        <v>19405</v>
      </c>
      <c r="D9432" t="s">
        <v>20</v>
      </c>
      <c r="E9432" t="s">
        <v>11</v>
      </c>
      <c r="F9432">
        <v>58.300000000000004</v>
      </c>
      <c r="G9432">
        <v>18</v>
      </c>
    </row>
    <row r="9433" spans="1:7" x14ac:dyDescent="0.25">
      <c r="A9433" t="s">
        <v>41</v>
      </c>
      <c r="B9433" t="s">
        <v>8453</v>
      </c>
      <c r="C9433" t="s">
        <v>19406</v>
      </c>
      <c r="D9433" t="s">
        <v>20</v>
      </c>
      <c r="E9433" t="s">
        <v>11</v>
      </c>
      <c r="F9433">
        <v>58.300000000000004</v>
      </c>
      <c r="G9433">
        <v>18</v>
      </c>
    </row>
    <row r="9434" spans="1:7" x14ac:dyDescent="0.25">
      <c r="A9434" t="s">
        <v>41</v>
      </c>
      <c r="B9434" t="s">
        <v>8456</v>
      </c>
      <c r="C9434" t="s">
        <v>18792</v>
      </c>
      <c r="D9434" t="s">
        <v>20</v>
      </c>
      <c r="E9434" t="s">
        <v>11</v>
      </c>
      <c r="F9434">
        <v>140.8</v>
      </c>
      <c r="G9434">
        <v>18</v>
      </c>
    </row>
    <row r="9435" spans="1:7" x14ac:dyDescent="0.25">
      <c r="A9435" t="s">
        <v>41</v>
      </c>
      <c r="B9435" t="s">
        <v>8459</v>
      </c>
      <c r="C9435" t="s">
        <v>19407</v>
      </c>
      <c r="D9435" t="s">
        <v>20</v>
      </c>
      <c r="E9435" t="s">
        <v>11</v>
      </c>
      <c r="F9435">
        <v>5456</v>
      </c>
      <c r="G9435">
        <v>18</v>
      </c>
    </row>
    <row r="9436" spans="1:7" x14ac:dyDescent="0.25">
      <c r="A9436" t="s">
        <v>41</v>
      </c>
      <c r="B9436" t="s">
        <v>8462</v>
      </c>
      <c r="C9436" t="s">
        <v>19408</v>
      </c>
      <c r="D9436" t="s">
        <v>20</v>
      </c>
      <c r="E9436" t="s">
        <v>11</v>
      </c>
      <c r="F9436">
        <v>5456</v>
      </c>
      <c r="G9436">
        <v>18</v>
      </c>
    </row>
    <row r="9437" spans="1:7" x14ac:dyDescent="0.25">
      <c r="A9437" t="s">
        <v>41</v>
      </c>
      <c r="B9437" t="s">
        <v>8465</v>
      </c>
      <c r="C9437" t="s">
        <v>19409</v>
      </c>
      <c r="D9437" t="s">
        <v>20</v>
      </c>
      <c r="E9437" t="s">
        <v>11</v>
      </c>
      <c r="F9437">
        <v>271.70000000000005</v>
      </c>
      <c r="G9437">
        <v>18</v>
      </c>
    </row>
    <row r="9438" spans="1:7" x14ac:dyDescent="0.25">
      <c r="A9438" t="s">
        <v>41</v>
      </c>
      <c r="B9438" t="s">
        <v>8468</v>
      </c>
      <c r="C9438" t="s">
        <v>19410</v>
      </c>
      <c r="D9438" t="s">
        <v>20</v>
      </c>
      <c r="E9438" t="s">
        <v>11</v>
      </c>
      <c r="F9438">
        <v>31.9</v>
      </c>
      <c r="G9438">
        <v>18</v>
      </c>
    </row>
    <row r="9439" spans="1:7" x14ac:dyDescent="0.25">
      <c r="A9439" t="s">
        <v>41</v>
      </c>
      <c r="B9439" t="s">
        <v>8471</v>
      </c>
      <c r="C9439" t="s">
        <v>19411</v>
      </c>
      <c r="D9439" t="s">
        <v>20</v>
      </c>
      <c r="E9439" t="s">
        <v>11</v>
      </c>
      <c r="F9439">
        <v>697.4</v>
      </c>
      <c r="G9439">
        <v>18</v>
      </c>
    </row>
    <row r="9440" spans="1:7" x14ac:dyDescent="0.25">
      <c r="A9440" t="s">
        <v>41</v>
      </c>
      <c r="B9440" t="s">
        <v>8474</v>
      </c>
      <c r="C9440" t="s">
        <v>19412</v>
      </c>
      <c r="D9440" t="s">
        <v>20</v>
      </c>
      <c r="E9440" t="s">
        <v>11</v>
      </c>
      <c r="F9440">
        <v>420.2</v>
      </c>
      <c r="G9440">
        <v>18</v>
      </c>
    </row>
    <row r="9441" spans="1:7" x14ac:dyDescent="0.25">
      <c r="A9441" t="s">
        <v>41</v>
      </c>
      <c r="B9441" t="s">
        <v>8477</v>
      </c>
      <c r="C9441" t="s">
        <v>19413</v>
      </c>
      <c r="D9441" t="s">
        <v>20</v>
      </c>
      <c r="E9441" t="s">
        <v>11</v>
      </c>
      <c r="F9441">
        <v>61.60000000000001</v>
      </c>
      <c r="G9441">
        <v>18</v>
      </c>
    </row>
    <row r="9442" spans="1:7" x14ac:dyDescent="0.25">
      <c r="A9442" t="s">
        <v>41</v>
      </c>
      <c r="B9442" t="s">
        <v>8480</v>
      </c>
      <c r="C9442" t="s">
        <v>19414</v>
      </c>
      <c r="D9442" t="s">
        <v>20</v>
      </c>
      <c r="E9442" t="s">
        <v>11</v>
      </c>
      <c r="F9442">
        <v>57.2</v>
      </c>
      <c r="G9442">
        <v>18</v>
      </c>
    </row>
    <row r="9443" spans="1:7" x14ac:dyDescent="0.25">
      <c r="A9443" t="s">
        <v>41</v>
      </c>
      <c r="B9443" t="s">
        <v>8483</v>
      </c>
      <c r="C9443" t="s">
        <v>19415</v>
      </c>
      <c r="D9443" t="s">
        <v>20</v>
      </c>
      <c r="E9443" t="s">
        <v>11</v>
      </c>
      <c r="F9443">
        <v>1173.7</v>
      </c>
      <c r="G9443">
        <v>18</v>
      </c>
    </row>
    <row r="9444" spans="1:7" x14ac:dyDescent="0.25">
      <c r="A9444" t="s">
        <v>41</v>
      </c>
      <c r="B9444" t="s">
        <v>8486</v>
      </c>
      <c r="C9444" t="s">
        <v>19416</v>
      </c>
      <c r="D9444" t="s">
        <v>20</v>
      </c>
      <c r="E9444" t="s">
        <v>11</v>
      </c>
      <c r="F9444">
        <v>57.2</v>
      </c>
      <c r="G9444">
        <v>18</v>
      </c>
    </row>
    <row r="9445" spans="1:7" x14ac:dyDescent="0.25">
      <c r="A9445" t="s">
        <v>41</v>
      </c>
      <c r="B9445" t="s">
        <v>8489</v>
      </c>
      <c r="C9445" t="s">
        <v>18399</v>
      </c>
      <c r="D9445" t="s">
        <v>20</v>
      </c>
      <c r="E9445" t="s">
        <v>11</v>
      </c>
      <c r="F9445">
        <v>220</v>
      </c>
      <c r="G9445">
        <v>18</v>
      </c>
    </row>
    <row r="9446" spans="1:7" x14ac:dyDescent="0.25">
      <c r="A9446" t="s">
        <v>41</v>
      </c>
      <c r="B9446" t="s">
        <v>8492</v>
      </c>
      <c r="C9446" t="s">
        <v>18473</v>
      </c>
      <c r="D9446" t="s">
        <v>20</v>
      </c>
      <c r="E9446" t="s">
        <v>11</v>
      </c>
      <c r="F9446">
        <v>2983.2000000000003</v>
      </c>
      <c r="G9446">
        <v>18</v>
      </c>
    </row>
    <row r="9447" spans="1:7" x14ac:dyDescent="0.25">
      <c r="A9447" t="s">
        <v>41</v>
      </c>
      <c r="B9447" t="s">
        <v>8495</v>
      </c>
      <c r="C9447" t="s">
        <v>19417</v>
      </c>
      <c r="D9447" t="s">
        <v>20</v>
      </c>
      <c r="E9447" t="s">
        <v>11</v>
      </c>
      <c r="F9447">
        <v>2983.2000000000003</v>
      </c>
      <c r="G9447">
        <v>18</v>
      </c>
    </row>
    <row r="9448" spans="1:7" x14ac:dyDescent="0.25">
      <c r="A9448" t="s">
        <v>41</v>
      </c>
      <c r="B9448" t="s">
        <v>8498</v>
      </c>
      <c r="C9448" t="s">
        <v>19418</v>
      </c>
      <c r="D9448" t="s">
        <v>20</v>
      </c>
      <c r="E9448" t="s">
        <v>11</v>
      </c>
      <c r="F9448">
        <v>25567.3</v>
      </c>
      <c r="G9448">
        <v>18</v>
      </c>
    </row>
    <row r="9449" spans="1:7" x14ac:dyDescent="0.25">
      <c r="A9449" t="s">
        <v>41</v>
      </c>
      <c r="B9449" t="s">
        <v>8501</v>
      </c>
      <c r="C9449" t="s">
        <v>19419</v>
      </c>
      <c r="D9449" t="s">
        <v>20</v>
      </c>
      <c r="E9449" t="s">
        <v>11</v>
      </c>
      <c r="F9449">
        <v>25567.3</v>
      </c>
      <c r="G9449">
        <v>18</v>
      </c>
    </row>
    <row r="9450" spans="1:7" x14ac:dyDescent="0.25">
      <c r="A9450" t="s">
        <v>41</v>
      </c>
      <c r="B9450" t="s">
        <v>8504</v>
      </c>
      <c r="C9450" t="s">
        <v>19420</v>
      </c>
      <c r="D9450" t="s">
        <v>20</v>
      </c>
      <c r="E9450" t="s">
        <v>11</v>
      </c>
      <c r="F9450">
        <v>415.79999999999995</v>
      </c>
      <c r="G9450">
        <v>18</v>
      </c>
    </row>
    <row r="9451" spans="1:7" x14ac:dyDescent="0.25">
      <c r="A9451" t="s">
        <v>41</v>
      </c>
      <c r="B9451" t="s">
        <v>8507</v>
      </c>
      <c r="C9451" t="s">
        <v>19421</v>
      </c>
      <c r="D9451" t="s">
        <v>20</v>
      </c>
      <c r="E9451" t="s">
        <v>11</v>
      </c>
      <c r="F9451">
        <v>101.2</v>
      </c>
      <c r="G9451">
        <v>18</v>
      </c>
    </row>
    <row r="9452" spans="1:7" x14ac:dyDescent="0.25">
      <c r="A9452" t="s">
        <v>41</v>
      </c>
      <c r="B9452" t="s">
        <v>8510</v>
      </c>
      <c r="C9452" t="s">
        <v>19422</v>
      </c>
      <c r="D9452" t="s">
        <v>20</v>
      </c>
      <c r="E9452" t="s">
        <v>11</v>
      </c>
      <c r="F9452">
        <v>122.10000000000001</v>
      </c>
      <c r="G9452">
        <v>18</v>
      </c>
    </row>
    <row r="9453" spans="1:7" x14ac:dyDescent="0.25">
      <c r="A9453" t="s">
        <v>41</v>
      </c>
      <c r="B9453" t="s">
        <v>8513</v>
      </c>
      <c r="C9453" t="s">
        <v>19423</v>
      </c>
      <c r="D9453" t="s">
        <v>20</v>
      </c>
      <c r="E9453" t="s">
        <v>11</v>
      </c>
      <c r="F9453">
        <v>7060.9</v>
      </c>
      <c r="G9453">
        <v>18</v>
      </c>
    </row>
    <row r="9454" spans="1:7" x14ac:dyDescent="0.25">
      <c r="A9454" t="s">
        <v>41</v>
      </c>
      <c r="B9454" t="s">
        <v>8516</v>
      </c>
      <c r="C9454" t="s">
        <v>19424</v>
      </c>
      <c r="D9454" t="s">
        <v>20</v>
      </c>
      <c r="E9454" t="s">
        <v>11</v>
      </c>
      <c r="F9454">
        <v>7060.9</v>
      </c>
      <c r="G9454">
        <v>18</v>
      </c>
    </row>
    <row r="9455" spans="1:7" x14ac:dyDescent="0.25">
      <c r="A9455" t="s">
        <v>41</v>
      </c>
      <c r="B9455" t="s">
        <v>8519</v>
      </c>
      <c r="C9455" t="s">
        <v>19425</v>
      </c>
      <c r="D9455" t="s">
        <v>20</v>
      </c>
      <c r="E9455" t="s">
        <v>11</v>
      </c>
      <c r="F9455">
        <v>19827.5</v>
      </c>
      <c r="G9455">
        <v>18</v>
      </c>
    </row>
    <row r="9456" spans="1:7" x14ac:dyDescent="0.25">
      <c r="A9456" t="s">
        <v>41</v>
      </c>
      <c r="B9456" t="s">
        <v>8522</v>
      </c>
      <c r="C9456" t="s">
        <v>19426</v>
      </c>
      <c r="D9456" t="s">
        <v>20</v>
      </c>
      <c r="E9456" t="s">
        <v>11</v>
      </c>
      <c r="F9456">
        <v>19827.5</v>
      </c>
      <c r="G9456">
        <v>18</v>
      </c>
    </row>
    <row r="9457" spans="1:7" x14ac:dyDescent="0.25">
      <c r="A9457" t="s">
        <v>41</v>
      </c>
      <c r="B9457" t="s">
        <v>8525</v>
      </c>
      <c r="C9457" t="s">
        <v>19427</v>
      </c>
      <c r="D9457" t="s">
        <v>20</v>
      </c>
      <c r="E9457" t="s">
        <v>11</v>
      </c>
      <c r="F9457">
        <v>57.2</v>
      </c>
      <c r="G9457">
        <v>18</v>
      </c>
    </row>
    <row r="9458" spans="1:7" x14ac:dyDescent="0.25">
      <c r="A9458" t="s">
        <v>41</v>
      </c>
      <c r="B9458" t="s">
        <v>8528</v>
      </c>
      <c r="C9458" t="s">
        <v>19428</v>
      </c>
      <c r="D9458" t="s">
        <v>20</v>
      </c>
      <c r="E9458" t="s">
        <v>11</v>
      </c>
      <c r="F9458">
        <v>415.79999999999995</v>
      </c>
      <c r="G9458">
        <v>18</v>
      </c>
    </row>
    <row r="9459" spans="1:7" x14ac:dyDescent="0.25">
      <c r="A9459" t="s">
        <v>41</v>
      </c>
      <c r="B9459" t="s">
        <v>8531</v>
      </c>
      <c r="C9459" t="s">
        <v>18792</v>
      </c>
      <c r="D9459" t="s">
        <v>20</v>
      </c>
      <c r="E9459" t="s">
        <v>11</v>
      </c>
      <c r="F9459">
        <v>140.8</v>
      </c>
      <c r="G9459">
        <v>18</v>
      </c>
    </row>
    <row r="9460" spans="1:7" x14ac:dyDescent="0.25">
      <c r="A9460" t="s">
        <v>41</v>
      </c>
      <c r="B9460" t="s">
        <v>8534</v>
      </c>
      <c r="C9460" t="s">
        <v>19429</v>
      </c>
      <c r="D9460" t="s">
        <v>20</v>
      </c>
      <c r="E9460" t="s">
        <v>11</v>
      </c>
      <c r="F9460">
        <v>3318.7000000000003</v>
      </c>
      <c r="G9460">
        <v>18</v>
      </c>
    </row>
    <row r="9461" spans="1:7" x14ac:dyDescent="0.25">
      <c r="A9461" t="s">
        <v>41</v>
      </c>
      <c r="B9461" t="s">
        <v>8537</v>
      </c>
      <c r="C9461" t="s">
        <v>19430</v>
      </c>
      <c r="D9461" t="s">
        <v>20</v>
      </c>
      <c r="E9461" t="s">
        <v>11</v>
      </c>
      <c r="F9461">
        <v>57.2</v>
      </c>
      <c r="G9461">
        <v>18</v>
      </c>
    </row>
    <row r="9462" spans="1:7" x14ac:dyDescent="0.25">
      <c r="A9462" t="s">
        <v>41</v>
      </c>
      <c r="B9462" t="s">
        <v>8540</v>
      </c>
      <c r="C9462" t="s">
        <v>17673</v>
      </c>
      <c r="D9462" t="s">
        <v>20</v>
      </c>
      <c r="E9462" t="s">
        <v>11</v>
      </c>
      <c r="F9462">
        <v>1908.5000000000002</v>
      </c>
      <c r="G9462">
        <v>18</v>
      </c>
    </row>
    <row r="9463" spans="1:7" x14ac:dyDescent="0.25">
      <c r="A9463" t="s">
        <v>41</v>
      </c>
      <c r="B9463" t="s">
        <v>8543</v>
      </c>
      <c r="C9463" t="s">
        <v>19405</v>
      </c>
      <c r="D9463" t="s">
        <v>20</v>
      </c>
      <c r="E9463" t="s">
        <v>11</v>
      </c>
      <c r="F9463">
        <v>58.300000000000004</v>
      </c>
      <c r="G9463">
        <v>18</v>
      </c>
    </row>
    <row r="9464" spans="1:7" x14ac:dyDescent="0.25">
      <c r="A9464" t="s">
        <v>41</v>
      </c>
      <c r="B9464" t="s">
        <v>8546</v>
      </c>
      <c r="C9464" t="s">
        <v>19431</v>
      </c>
      <c r="D9464" t="s">
        <v>20</v>
      </c>
      <c r="E9464" t="s">
        <v>11</v>
      </c>
      <c r="F9464">
        <v>4746.5</v>
      </c>
      <c r="G9464">
        <v>18</v>
      </c>
    </row>
    <row r="9465" spans="1:7" x14ac:dyDescent="0.25">
      <c r="A9465" t="s">
        <v>41</v>
      </c>
      <c r="B9465" t="s">
        <v>8549</v>
      </c>
      <c r="C9465" t="s">
        <v>19432</v>
      </c>
      <c r="D9465" t="s">
        <v>20</v>
      </c>
      <c r="E9465" t="s">
        <v>11</v>
      </c>
      <c r="F9465">
        <v>4746.5</v>
      </c>
      <c r="G9465">
        <v>18</v>
      </c>
    </row>
    <row r="9466" spans="1:7" x14ac:dyDescent="0.25">
      <c r="A9466" t="s">
        <v>41</v>
      </c>
      <c r="B9466" t="s">
        <v>8552</v>
      </c>
      <c r="C9466" t="s">
        <v>18472</v>
      </c>
      <c r="D9466" t="s">
        <v>20</v>
      </c>
      <c r="E9466" t="s">
        <v>11</v>
      </c>
      <c r="F9466">
        <v>2983.2000000000003</v>
      </c>
      <c r="G9466">
        <v>18</v>
      </c>
    </row>
    <row r="9467" spans="1:7" x14ac:dyDescent="0.25">
      <c r="A9467" t="s">
        <v>41</v>
      </c>
      <c r="B9467" t="s">
        <v>8555</v>
      </c>
      <c r="C9467" t="s">
        <v>19433</v>
      </c>
      <c r="D9467" t="s">
        <v>20</v>
      </c>
      <c r="E9467" t="s">
        <v>11</v>
      </c>
      <c r="F9467">
        <v>2983.2000000000003</v>
      </c>
      <c r="G9467">
        <v>18</v>
      </c>
    </row>
    <row r="9468" spans="1:7" x14ac:dyDescent="0.25">
      <c r="A9468" t="s">
        <v>41</v>
      </c>
      <c r="B9468" t="s">
        <v>8558</v>
      </c>
      <c r="C9468" t="s">
        <v>19434</v>
      </c>
      <c r="D9468" t="s">
        <v>20</v>
      </c>
      <c r="E9468" t="s">
        <v>11</v>
      </c>
      <c r="F9468">
        <v>1173.7</v>
      </c>
      <c r="G9468">
        <v>18</v>
      </c>
    </row>
    <row r="9469" spans="1:7" x14ac:dyDescent="0.25">
      <c r="A9469" t="s">
        <v>41</v>
      </c>
      <c r="B9469" t="s">
        <v>8561</v>
      </c>
      <c r="C9469" t="s">
        <v>19435</v>
      </c>
      <c r="D9469" t="s">
        <v>20</v>
      </c>
      <c r="E9469" t="s">
        <v>11</v>
      </c>
      <c r="F9469">
        <v>6308.5</v>
      </c>
      <c r="G9469">
        <v>18</v>
      </c>
    </row>
    <row r="9470" spans="1:7" x14ac:dyDescent="0.25">
      <c r="A9470" t="s">
        <v>41</v>
      </c>
      <c r="B9470" t="s">
        <v>8564</v>
      </c>
      <c r="C9470" t="s">
        <v>19436</v>
      </c>
      <c r="D9470" t="s">
        <v>20</v>
      </c>
      <c r="E9470" t="s">
        <v>11</v>
      </c>
      <c r="F9470">
        <v>6697.9</v>
      </c>
      <c r="G9470">
        <v>18</v>
      </c>
    </row>
    <row r="9471" spans="1:7" x14ac:dyDescent="0.25">
      <c r="A9471" t="s">
        <v>41</v>
      </c>
      <c r="B9471" t="s">
        <v>8567</v>
      </c>
      <c r="C9471" t="s">
        <v>19110</v>
      </c>
      <c r="D9471" t="s">
        <v>20</v>
      </c>
      <c r="E9471" t="s">
        <v>11</v>
      </c>
      <c r="F9471">
        <v>3810.4</v>
      </c>
      <c r="G9471">
        <v>18</v>
      </c>
    </row>
    <row r="9472" spans="1:7" x14ac:dyDescent="0.25">
      <c r="A9472" t="s">
        <v>41</v>
      </c>
      <c r="B9472" t="s">
        <v>8570</v>
      </c>
      <c r="C9472" t="s">
        <v>17680</v>
      </c>
      <c r="D9472" t="s">
        <v>20</v>
      </c>
      <c r="E9472" t="s">
        <v>11</v>
      </c>
      <c r="F9472">
        <v>2599.2999999999997</v>
      </c>
      <c r="G9472">
        <v>18</v>
      </c>
    </row>
    <row r="9473" spans="1:7" x14ac:dyDescent="0.25">
      <c r="A9473" t="s">
        <v>41</v>
      </c>
      <c r="B9473" t="s">
        <v>8573</v>
      </c>
      <c r="C9473" t="s">
        <v>19437</v>
      </c>
      <c r="D9473" t="s">
        <v>20</v>
      </c>
      <c r="E9473" t="s">
        <v>11</v>
      </c>
      <c r="F9473">
        <v>58.300000000000004</v>
      </c>
      <c r="G9473">
        <v>18</v>
      </c>
    </row>
    <row r="9474" spans="1:7" x14ac:dyDescent="0.25">
      <c r="A9474" t="s">
        <v>41</v>
      </c>
      <c r="B9474" t="s">
        <v>8576</v>
      </c>
      <c r="C9474" t="s">
        <v>19438</v>
      </c>
      <c r="D9474" t="s">
        <v>20</v>
      </c>
      <c r="E9474" t="s">
        <v>11</v>
      </c>
      <c r="F9474">
        <v>123.20000000000002</v>
      </c>
      <c r="G9474">
        <v>18</v>
      </c>
    </row>
    <row r="9475" spans="1:7" x14ac:dyDescent="0.25">
      <c r="A9475" t="s">
        <v>41</v>
      </c>
      <c r="B9475" t="s">
        <v>8579</v>
      </c>
      <c r="C9475" t="s">
        <v>19008</v>
      </c>
      <c r="D9475" t="s">
        <v>20</v>
      </c>
      <c r="E9475" t="s">
        <v>11</v>
      </c>
      <c r="F9475">
        <v>2409</v>
      </c>
      <c r="G9475">
        <v>18</v>
      </c>
    </row>
    <row r="9476" spans="1:7" x14ac:dyDescent="0.25">
      <c r="A9476" t="s">
        <v>41</v>
      </c>
      <c r="B9476" t="s">
        <v>8582</v>
      </c>
      <c r="C9476" t="s">
        <v>19439</v>
      </c>
      <c r="D9476" t="s">
        <v>20</v>
      </c>
      <c r="E9476" t="s">
        <v>11</v>
      </c>
      <c r="F9476">
        <v>2054.8</v>
      </c>
      <c r="G9476">
        <v>18</v>
      </c>
    </row>
    <row r="9477" spans="1:7" x14ac:dyDescent="0.25">
      <c r="A9477" t="s">
        <v>41</v>
      </c>
      <c r="B9477" t="s">
        <v>8585</v>
      </c>
      <c r="C9477" t="s">
        <v>19440</v>
      </c>
      <c r="D9477" t="s">
        <v>20</v>
      </c>
      <c r="E9477" t="s">
        <v>11</v>
      </c>
      <c r="F9477">
        <v>2885.3</v>
      </c>
      <c r="G9477">
        <v>18</v>
      </c>
    </row>
    <row r="9478" spans="1:7" x14ac:dyDescent="0.25">
      <c r="A9478" t="s">
        <v>41</v>
      </c>
      <c r="B9478" t="s">
        <v>8588</v>
      </c>
      <c r="C9478" t="s">
        <v>18772</v>
      </c>
      <c r="D9478" t="s">
        <v>20</v>
      </c>
      <c r="E9478" t="s">
        <v>11</v>
      </c>
      <c r="F9478">
        <v>2651</v>
      </c>
      <c r="G9478">
        <v>18</v>
      </c>
    </row>
    <row r="9479" spans="1:7" x14ac:dyDescent="0.25">
      <c r="A9479" t="s">
        <v>41</v>
      </c>
      <c r="B9479" t="s">
        <v>8591</v>
      </c>
      <c r="C9479" t="s">
        <v>18773</v>
      </c>
      <c r="D9479" t="s">
        <v>20</v>
      </c>
      <c r="E9479" t="s">
        <v>11</v>
      </c>
      <c r="F9479">
        <v>710.6</v>
      </c>
      <c r="G9479">
        <v>18</v>
      </c>
    </row>
    <row r="9480" spans="1:7" x14ac:dyDescent="0.25">
      <c r="A9480" t="s">
        <v>41</v>
      </c>
      <c r="B9480" t="s">
        <v>8594</v>
      </c>
      <c r="C9480" t="s">
        <v>19441</v>
      </c>
      <c r="D9480" t="s">
        <v>20</v>
      </c>
      <c r="E9480" t="s">
        <v>11</v>
      </c>
      <c r="F9480">
        <v>57.2</v>
      </c>
      <c r="G9480">
        <v>18</v>
      </c>
    </row>
    <row r="9481" spans="1:7" x14ac:dyDescent="0.25">
      <c r="A9481" t="s">
        <v>41</v>
      </c>
      <c r="B9481" t="s">
        <v>8597</v>
      </c>
      <c r="C9481" t="s">
        <v>19442</v>
      </c>
      <c r="D9481" t="s">
        <v>20</v>
      </c>
      <c r="E9481" t="s">
        <v>11</v>
      </c>
      <c r="F9481">
        <v>3803.7999999999997</v>
      </c>
      <c r="G9481">
        <v>18</v>
      </c>
    </row>
    <row r="9482" spans="1:7" x14ac:dyDescent="0.25">
      <c r="A9482" t="s">
        <v>41</v>
      </c>
      <c r="B9482" t="s">
        <v>8600</v>
      </c>
      <c r="C9482" t="s">
        <v>19443</v>
      </c>
      <c r="D9482" t="s">
        <v>20</v>
      </c>
      <c r="E9482" t="s">
        <v>11</v>
      </c>
      <c r="F9482">
        <v>4907.1</v>
      </c>
      <c r="G9482">
        <v>18</v>
      </c>
    </row>
    <row r="9483" spans="1:7" x14ac:dyDescent="0.25">
      <c r="A9483" t="s">
        <v>41</v>
      </c>
      <c r="B9483" t="s">
        <v>8603</v>
      </c>
      <c r="C9483" t="s">
        <v>17616</v>
      </c>
      <c r="D9483" t="s">
        <v>20</v>
      </c>
      <c r="E9483" t="s">
        <v>11</v>
      </c>
      <c r="F9483">
        <v>2993.1</v>
      </c>
      <c r="G9483">
        <v>18</v>
      </c>
    </row>
    <row r="9484" spans="1:7" x14ac:dyDescent="0.25">
      <c r="A9484" t="s">
        <v>41</v>
      </c>
      <c r="B9484" t="s">
        <v>8606</v>
      </c>
      <c r="C9484" t="s">
        <v>19444</v>
      </c>
      <c r="D9484" t="s">
        <v>20</v>
      </c>
      <c r="E9484" t="s">
        <v>11</v>
      </c>
      <c r="F9484">
        <v>1917.3</v>
      </c>
      <c r="G9484">
        <v>18</v>
      </c>
    </row>
    <row r="9485" spans="1:7" x14ac:dyDescent="0.25">
      <c r="A9485" t="s">
        <v>41</v>
      </c>
      <c r="B9485" t="s">
        <v>8609</v>
      </c>
      <c r="C9485" t="s">
        <v>19445</v>
      </c>
      <c r="D9485" t="s">
        <v>20</v>
      </c>
      <c r="E9485" t="s">
        <v>11</v>
      </c>
      <c r="F9485">
        <v>938.3</v>
      </c>
      <c r="G9485">
        <v>18</v>
      </c>
    </row>
    <row r="9486" spans="1:7" x14ac:dyDescent="0.25">
      <c r="A9486" t="s">
        <v>41</v>
      </c>
      <c r="B9486" t="s">
        <v>8612</v>
      </c>
      <c r="C9486" t="s">
        <v>19446</v>
      </c>
      <c r="D9486" t="s">
        <v>20</v>
      </c>
      <c r="E9486" t="s">
        <v>11</v>
      </c>
      <c r="F9486">
        <v>938.3</v>
      </c>
      <c r="G9486">
        <v>18</v>
      </c>
    </row>
    <row r="9487" spans="1:7" x14ac:dyDescent="0.25">
      <c r="A9487" t="s">
        <v>41</v>
      </c>
      <c r="B9487" t="s">
        <v>8615</v>
      </c>
      <c r="C9487" t="s">
        <v>19447</v>
      </c>
      <c r="D9487" t="s">
        <v>20</v>
      </c>
      <c r="E9487" t="s">
        <v>11</v>
      </c>
      <c r="F9487">
        <v>938.3</v>
      </c>
      <c r="G9487">
        <v>18</v>
      </c>
    </row>
    <row r="9488" spans="1:7" x14ac:dyDescent="0.25">
      <c r="A9488" t="s">
        <v>41</v>
      </c>
      <c r="B9488" t="s">
        <v>8618</v>
      </c>
      <c r="C9488" t="s">
        <v>18697</v>
      </c>
      <c r="D9488" t="s">
        <v>20</v>
      </c>
      <c r="E9488" t="s">
        <v>11</v>
      </c>
      <c r="F9488">
        <v>818.4000000000001</v>
      </c>
      <c r="G9488">
        <v>18</v>
      </c>
    </row>
    <row r="9489" spans="1:7" x14ac:dyDescent="0.25">
      <c r="A9489" t="s">
        <v>41</v>
      </c>
      <c r="B9489" t="s">
        <v>8621</v>
      </c>
      <c r="C9489" t="s">
        <v>19448</v>
      </c>
      <c r="D9489" t="s">
        <v>20</v>
      </c>
      <c r="E9489" t="s">
        <v>11</v>
      </c>
      <c r="F9489">
        <v>29976.1</v>
      </c>
      <c r="G9489">
        <v>18</v>
      </c>
    </row>
    <row r="9490" spans="1:7" x14ac:dyDescent="0.25">
      <c r="A9490" t="s">
        <v>41</v>
      </c>
      <c r="B9490" t="s">
        <v>8624</v>
      </c>
      <c r="C9490" t="s">
        <v>17718</v>
      </c>
      <c r="D9490" t="s">
        <v>20</v>
      </c>
      <c r="E9490" t="s">
        <v>11</v>
      </c>
      <c r="F9490">
        <v>29976.1</v>
      </c>
      <c r="G9490">
        <v>18</v>
      </c>
    </row>
    <row r="9491" spans="1:7" x14ac:dyDescent="0.25">
      <c r="A9491" t="s">
        <v>41</v>
      </c>
      <c r="B9491" t="s">
        <v>8627</v>
      </c>
      <c r="C9491" t="s">
        <v>19126</v>
      </c>
      <c r="D9491" t="s">
        <v>20</v>
      </c>
      <c r="E9491" t="s">
        <v>11</v>
      </c>
      <c r="F9491">
        <v>40.7</v>
      </c>
      <c r="G9491">
        <v>18</v>
      </c>
    </row>
    <row r="9492" spans="1:7" x14ac:dyDescent="0.25">
      <c r="A9492" t="s">
        <v>41</v>
      </c>
      <c r="B9492" t="s">
        <v>8630</v>
      </c>
      <c r="C9492" t="s">
        <v>19449</v>
      </c>
      <c r="D9492" t="s">
        <v>20</v>
      </c>
      <c r="E9492" t="s">
        <v>11</v>
      </c>
      <c r="F9492">
        <v>10564.400000000001</v>
      </c>
      <c r="G9492">
        <v>18</v>
      </c>
    </row>
    <row r="9493" spans="1:7" x14ac:dyDescent="0.25">
      <c r="A9493" t="s">
        <v>41</v>
      </c>
      <c r="B9493" t="s">
        <v>8633</v>
      </c>
      <c r="C9493" t="s">
        <v>17808</v>
      </c>
      <c r="D9493" t="s">
        <v>20</v>
      </c>
      <c r="E9493" t="s">
        <v>11</v>
      </c>
      <c r="F9493">
        <v>70.4</v>
      </c>
      <c r="G9493">
        <v>18</v>
      </c>
    </row>
    <row r="9494" spans="1:7" x14ac:dyDescent="0.25">
      <c r="A9494" t="s">
        <v>41</v>
      </c>
      <c r="B9494" t="s">
        <v>8636</v>
      </c>
      <c r="C9494" t="s">
        <v>19450</v>
      </c>
      <c r="D9494" t="s">
        <v>20</v>
      </c>
      <c r="E9494" t="s">
        <v>11</v>
      </c>
      <c r="F9494">
        <v>590.7</v>
      </c>
      <c r="G9494">
        <v>18</v>
      </c>
    </row>
    <row r="9495" spans="1:7" x14ac:dyDescent="0.25">
      <c r="A9495" t="s">
        <v>41</v>
      </c>
      <c r="B9495" t="s">
        <v>8639</v>
      </c>
      <c r="C9495" t="s">
        <v>17747</v>
      </c>
      <c r="D9495" t="s">
        <v>20</v>
      </c>
      <c r="E9495" t="s">
        <v>11</v>
      </c>
      <c r="F9495">
        <v>70.4</v>
      </c>
      <c r="G9495">
        <v>18</v>
      </c>
    </row>
    <row r="9496" spans="1:7" x14ac:dyDescent="0.25">
      <c r="A9496" t="s">
        <v>41</v>
      </c>
      <c r="B9496" t="s">
        <v>8642</v>
      </c>
      <c r="C9496" t="s">
        <v>19451</v>
      </c>
      <c r="D9496" t="s">
        <v>20</v>
      </c>
      <c r="E9496" t="s">
        <v>11</v>
      </c>
      <c r="F9496">
        <v>1358.5</v>
      </c>
      <c r="G9496">
        <v>18</v>
      </c>
    </row>
    <row r="9497" spans="1:7" x14ac:dyDescent="0.25">
      <c r="A9497" t="s">
        <v>41</v>
      </c>
      <c r="B9497" t="s">
        <v>8645</v>
      </c>
      <c r="C9497" t="s">
        <v>19452</v>
      </c>
      <c r="D9497" t="s">
        <v>20</v>
      </c>
      <c r="E9497" t="s">
        <v>11</v>
      </c>
      <c r="F9497">
        <v>1390.4</v>
      </c>
      <c r="G9497">
        <v>18</v>
      </c>
    </row>
    <row r="9498" spans="1:7" x14ac:dyDescent="0.25">
      <c r="A9498" t="s">
        <v>41</v>
      </c>
      <c r="B9498" t="s">
        <v>8648</v>
      </c>
      <c r="C9498" t="s">
        <v>19453</v>
      </c>
      <c r="D9498" t="s">
        <v>20</v>
      </c>
      <c r="E9498" t="s">
        <v>11</v>
      </c>
      <c r="F9498">
        <v>9724</v>
      </c>
      <c r="G9498">
        <v>18</v>
      </c>
    </row>
    <row r="9499" spans="1:7" x14ac:dyDescent="0.25">
      <c r="A9499" t="s">
        <v>41</v>
      </c>
      <c r="B9499" t="s">
        <v>8651</v>
      </c>
      <c r="C9499" t="s">
        <v>19454</v>
      </c>
      <c r="D9499" t="s">
        <v>20</v>
      </c>
      <c r="E9499" t="s">
        <v>11</v>
      </c>
      <c r="F9499">
        <v>9133.3</v>
      </c>
      <c r="G9499">
        <v>18</v>
      </c>
    </row>
    <row r="9500" spans="1:7" x14ac:dyDescent="0.25">
      <c r="A9500" t="s">
        <v>41</v>
      </c>
      <c r="B9500" t="s">
        <v>8654</v>
      </c>
      <c r="C9500" t="s">
        <v>19455</v>
      </c>
      <c r="D9500" t="s">
        <v>20</v>
      </c>
      <c r="E9500" t="s">
        <v>11</v>
      </c>
      <c r="F9500">
        <v>1771.0000000000002</v>
      </c>
      <c r="G9500">
        <v>18</v>
      </c>
    </row>
    <row r="9501" spans="1:7" x14ac:dyDescent="0.25">
      <c r="A9501" t="s">
        <v>41</v>
      </c>
      <c r="B9501" t="s">
        <v>8657</v>
      </c>
      <c r="C9501" t="s">
        <v>19456</v>
      </c>
      <c r="D9501" t="s">
        <v>20</v>
      </c>
      <c r="E9501" t="s">
        <v>11</v>
      </c>
      <c r="F9501">
        <v>381.70000000000005</v>
      </c>
      <c r="G9501">
        <v>18</v>
      </c>
    </row>
    <row r="9502" spans="1:7" x14ac:dyDescent="0.25">
      <c r="A9502" t="s">
        <v>41</v>
      </c>
      <c r="B9502" t="s">
        <v>8660</v>
      </c>
      <c r="C9502" t="s">
        <v>19457</v>
      </c>
      <c r="D9502" t="s">
        <v>20</v>
      </c>
      <c r="E9502" t="s">
        <v>11</v>
      </c>
      <c r="F9502">
        <v>7779.2</v>
      </c>
      <c r="G9502">
        <v>18</v>
      </c>
    </row>
    <row r="9503" spans="1:7" x14ac:dyDescent="0.25">
      <c r="A9503" t="s">
        <v>41</v>
      </c>
      <c r="B9503" t="s">
        <v>8663</v>
      </c>
      <c r="C9503" t="s">
        <v>19458</v>
      </c>
      <c r="D9503" t="s">
        <v>20</v>
      </c>
      <c r="E9503" t="s">
        <v>11</v>
      </c>
      <c r="F9503">
        <v>6998.2</v>
      </c>
      <c r="G9503">
        <v>18</v>
      </c>
    </row>
    <row r="9504" spans="1:7" x14ac:dyDescent="0.25">
      <c r="A9504" t="s">
        <v>41</v>
      </c>
      <c r="B9504" t="s">
        <v>8666</v>
      </c>
      <c r="C9504" t="s">
        <v>19459</v>
      </c>
      <c r="D9504" t="s">
        <v>20</v>
      </c>
      <c r="E9504" t="s">
        <v>11</v>
      </c>
      <c r="F9504">
        <v>2090</v>
      </c>
      <c r="G9504">
        <v>18</v>
      </c>
    </row>
    <row r="9505" spans="1:7" x14ac:dyDescent="0.25">
      <c r="A9505" t="s">
        <v>41</v>
      </c>
      <c r="B9505" t="s">
        <v>8669</v>
      </c>
      <c r="C9505" t="s">
        <v>19460</v>
      </c>
      <c r="D9505" t="s">
        <v>20</v>
      </c>
      <c r="E9505" t="s">
        <v>11</v>
      </c>
      <c r="F9505">
        <v>2090</v>
      </c>
      <c r="G9505">
        <v>18</v>
      </c>
    </row>
    <row r="9506" spans="1:7" x14ac:dyDescent="0.25">
      <c r="A9506" t="s">
        <v>41</v>
      </c>
      <c r="B9506" t="s">
        <v>8672</v>
      </c>
      <c r="C9506" t="s">
        <v>19461</v>
      </c>
      <c r="D9506" t="s">
        <v>20</v>
      </c>
      <c r="E9506" t="s">
        <v>11</v>
      </c>
      <c r="F9506">
        <v>1390.4</v>
      </c>
      <c r="G9506">
        <v>18</v>
      </c>
    </row>
    <row r="9507" spans="1:7" x14ac:dyDescent="0.25">
      <c r="A9507" t="s">
        <v>41</v>
      </c>
      <c r="B9507" t="s">
        <v>8675</v>
      </c>
      <c r="C9507" t="s">
        <v>19462</v>
      </c>
      <c r="D9507" t="s">
        <v>20</v>
      </c>
      <c r="E9507" t="s">
        <v>11</v>
      </c>
      <c r="F9507">
        <v>9179.5</v>
      </c>
      <c r="G9507">
        <v>18</v>
      </c>
    </row>
    <row r="9508" spans="1:7" x14ac:dyDescent="0.25">
      <c r="A9508" t="s">
        <v>41</v>
      </c>
      <c r="B9508" t="s">
        <v>8678</v>
      </c>
      <c r="C9508" t="s">
        <v>19463</v>
      </c>
      <c r="D9508" t="s">
        <v>20</v>
      </c>
      <c r="E9508" t="s">
        <v>11</v>
      </c>
      <c r="F9508">
        <v>70.4</v>
      </c>
      <c r="G9508">
        <v>18</v>
      </c>
    </row>
    <row r="9509" spans="1:7" x14ac:dyDescent="0.25">
      <c r="A9509" t="s">
        <v>41</v>
      </c>
      <c r="B9509" t="s">
        <v>8681</v>
      </c>
      <c r="C9509" t="s">
        <v>19464</v>
      </c>
      <c r="D9509" t="s">
        <v>20</v>
      </c>
      <c r="E9509" t="s">
        <v>11</v>
      </c>
      <c r="F9509">
        <v>522.5</v>
      </c>
      <c r="G9509">
        <v>18</v>
      </c>
    </row>
    <row r="9510" spans="1:7" x14ac:dyDescent="0.25">
      <c r="A9510" t="s">
        <v>41</v>
      </c>
      <c r="B9510" t="s">
        <v>8684</v>
      </c>
      <c r="C9510" t="s">
        <v>19465</v>
      </c>
      <c r="D9510" t="s">
        <v>20</v>
      </c>
      <c r="E9510" t="s">
        <v>11</v>
      </c>
      <c r="F9510">
        <v>6177.599999999999</v>
      </c>
      <c r="G9510">
        <v>18</v>
      </c>
    </row>
    <row r="9511" spans="1:7" x14ac:dyDescent="0.25">
      <c r="A9511" t="s">
        <v>41</v>
      </c>
      <c r="B9511" t="s">
        <v>8687</v>
      </c>
      <c r="C9511" t="s">
        <v>19466</v>
      </c>
      <c r="D9511" t="s">
        <v>20</v>
      </c>
      <c r="E9511" t="s">
        <v>11</v>
      </c>
      <c r="F9511">
        <v>61.60000000000001</v>
      </c>
      <c r="G9511">
        <v>18</v>
      </c>
    </row>
    <row r="9512" spans="1:7" x14ac:dyDescent="0.25">
      <c r="A9512" t="s">
        <v>41</v>
      </c>
      <c r="B9512" t="s">
        <v>8690</v>
      </c>
      <c r="C9512" t="s">
        <v>19467</v>
      </c>
      <c r="D9512" t="s">
        <v>20</v>
      </c>
      <c r="E9512" t="s">
        <v>11</v>
      </c>
      <c r="F9512">
        <v>5199.700000000001</v>
      </c>
      <c r="G9512">
        <v>18</v>
      </c>
    </row>
    <row r="9513" spans="1:7" x14ac:dyDescent="0.25">
      <c r="A9513" t="s">
        <v>41</v>
      </c>
      <c r="B9513" t="s">
        <v>8693</v>
      </c>
      <c r="C9513" t="s">
        <v>19468</v>
      </c>
      <c r="D9513" t="s">
        <v>20</v>
      </c>
      <c r="E9513" t="s">
        <v>11</v>
      </c>
      <c r="F9513">
        <v>5199.700000000001</v>
      </c>
      <c r="G9513">
        <v>18</v>
      </c>
    </row>
    <row r="9514" spans="1:7" x14ac:dyDescent="0.25">
      <c r="A9514" t="s">
        <v>41</v>
      </c>
      <c r="B9514" t="s">
        <v>8696</v>
      </c>
      <c r="C9514" t="s">
        <v>19469</v>
      </c>
      <c r="D9514" t="s">
        <v>20</v>
      </c>
      <c r="E9514" t="s">
        <v>11</v>
      </c>
      <c r="F9514">
        <v>3074.5</v>
      </c>
      <c r="G9514">
        <v>18</v>
      </c>
    </row>
    <row r="9515" spans="1:7" x14ac:dyDescent="0.25">
      <c r="A9515" t="s">
        <v>41</v>
      </c>
      <c r="B9515" t="s">
        <v>8699</v>
      </c>
      <c r="C9515" t="s">
        <v>19470</v>
      </c>
      <c r="D9515" t="s">
        <v>20</v>
      </c>
      <c r="E9515" t="s">
        <v>11</v>
      </c>
      <c r="F9515">
        <v>3074.5</v>
      </c>
      <c r="G9515">
        <v>18</v>
      </c>
    </row>
    <row r="9516" spans="1:7" x14ac:dyDescent="0.25">
      <c r="A9516" t="s">
        <v>41</v>
      </c>
      <c r="B9516" t="s">
        <v>8702</v>
      </c>
      <c r="C9516" t="s">
        <v>19471</v>
      </c>
      <c r="D9516" t="s">
        <v>20</v>
      </c>
      <c r="E9516" t="s">
        <v>11</v>
      </c>
      <c r="F9516">
        <v>58.300000000000004</v>
      </c>
      <c r="G9516">
        <v>18</v>
      </c>
    </row>
    <row r="9517" spans="1:7" x14ac:dyDescent="0.25">
      <c r="A9517" t="s">
        <v>41</v>
      </c>
      <c r="B9517" t="s">
        <v>8705</v>
      </c>
      <c r="C9517" t="s">
        <v>18631</v>
      </c>
      <c r="D9517" t="s">
        <v>20</v>
      </c>
      <c r="E9517" t="s">
        <v>11</v>
      </c>
      <c r="F9517">
        <v>179.29999999999998</v>
      </c>
      <c r="G9517">
        <v>18</v>
      </c>
    </row>
    <row r="9518" spans="1:7" x14ac:dyDescent="0.25">
      <c r="A9518" t="s">
        <v>41</v>
      </c>
      <c r="B9518" t="s">
        <v>8708</v>
      </c>
      <c r="C9518" t="s">
        <v>19472</v>
      </c>
      <c r="D9518" t="s">
        <v>20</v>
      </c>
      <c r="E9518" t="s">
        <v>11</v>
      </c>
      <c r="F9518">
        <v>31.9</v>
      </c>
      <c r="G9518">
        <v>18</v>
      </c>
    </row>
    <row r="9519" spans="1:7" x14ac:dyDescent="0.25">
      <c r="A9519" t="s">
        <v>41</v>
      </c>
      <c r="B9519" t="s">
        <v>8711</v>
      </c>
      <c r="C9519" t="s">
        <v>19473</v>
      </c>
      <c r="D9519" t="s">
        <v>20</v>
      </c>
      <c r="E9519" t="s">
        <v>11</v>
      </c>
      <c r="F9519">
        <v>286</v>
      </c>
      <c r="G9519">
        <v>18</v>
      </c>
    </row>
    <row r="9520" spans="1:7" x14ac:dyDescent="0.25">
      <c r="A9520" t="s">
        <v>41</v>
      </c>
      <c r="B9520" t="s">
        <v>8714</v>
      </c>
      <c r="C9520" t="s">
        <v>19474</v>
      </c>
      <c r="D9520" t="s">
        <v>20</v>
      </c>
      <c r="E9520" t="s">
        <v>11</v>
      </c>
      <c r="F9520">
        <v>479.6</v>
      </c>
      <c r="G9520">
        <v>18</v>
      </c>
    </row>
    <row r="9521" spans="1:7" x14ac:dyDescent="0.25">
      <c r="A9521" t="s">
        <v>41</v>
      </c>
      <c r="B9521" t="s">
        <v>8717</v>
      </c>
      <c r="C9521" t="s">
        <v>19475</v>
      </c>
      <c r="D9521" t="s">
        <v>20</v>
      </c>
      <c r="E9521" t="s">
        <v>11</v>
      </c>
      <c r="F9521">
        <v>555.5</v>
      </c>
      <c r="G9521">
        <v>18</v>
      </c>
    </row>
    <row r="9522" spans="1:7" x14ac:dyDescent="0.25">
      <c r="A9522" t="s">
        <v>41</v>
      </c>
      <c r="B9522" t="s">
        <v>8720</v>
      </c>
      <c r="C9522" t="s">
        <v>19476</v>
      </c>
      <c r="D9522" t="s">
        <v>20</v>
      </c>
      <c r="E9522" t="s">
        <v>11</v>
      </c>
      <c r="F9522">
        <v>2288</v>
      </c>
      <c r="G9522">
        <v>18</v>
      </c>
    </row>
    <row r="9523" spans="1:7" x14ac:dyDescent="0.25">
      <c r="A9523" t="s">
        <v>41</v>
      </c>
      <c r="B9523" t="s">
        <v>8723</v>
      </c>
      <c r="C9523" t="s">
        <v>19477</v>
      </c>
      <c r="D9523" t="s">
        <v>20</v>
      </c>
      <c r="E9523" t="s">
        <v>11</v>
      </c>
      <c r="F9523">
        <v>1687.4</v>
      </c>
      <c r="G9523">
        <v>18</v>
      </c>
    </row>
    <row r="9524" spans="1:7" x14ac:dyDescent="0.25">
      <c r="A9524" t="s">
        <v>41</v>
      </c>
      <c r="B9524" t="s">
        <v>8726</v>
      </c>
      <c r="C9524" t="s">
        <v>19478</v>
      </c>
      <c r="D9524" t="s">
        <v>20</v>
      </c>
      <c r="E9524" t="s">
        <v>11</v>
      </c>
      <c r="F9524">
        <v>57.2</v>
      </c>
      <c r="G9524">
        <v>18</v>
      </c>
    </row>
    <row r="9525" spans="1:7" x14ac:dyDescent="0.25">
      <c r="A9525" t="s">
        <v>41</v>
      </c>
      <c r="B9525" t="s">
        <v>8729</v>
      </c>
      <c r="C9525" t="s">
        <v>18355</v>
      </c>
      <c r="D9525" t="s">
        <v>20</v>
      </c>
      <c r="E9525" t="s">
        <v>11</v>
      </c>
      <c r="F9525">
        <v>2288</v>
      </c>
      <c r="G9525">
        <v>18</v>
      </c>
    </row>
    <row r="9526" spans="1:7" x14ac:dyDescent="0.25">
      <c r="A9526" t="s">
        <v>41</v>
      </c>
      <c r="B9526" t="s">
        <v>8732</v>
      </c>
      <c r="C9526" t="s">
        <v>19479</v>
      </c>
      <c r="D9526" t="s">
        <v>20</v>
      </c>
      <c r="E9526" t="s">
        <v>11</v>
      </c>
      <c r="F9526">
        <v>1687.4</v>
      </c>
      <c r="G9526">
        <v>18</v>
      </c>
    </row>
    <row r="9527" spans="1:7" x14ac:dyDescent="0.25">
      <c r="A9527" t="s">
        <v>41</v>
      </c>
      <c r="B9527" t="s">
        <v>8735</v>
      </c>
      <c r="C9527" t="s">
        <v>19480</v>
      </c>
      <c r="D9527" t="s">
        <v>20</v>
      </c>
      <c r="E9527" t="s">
        <v>11</v>
      </c>
      <c r="F9527">
        <v>61.60000000000001</v>
      </c>
      <c r="G9527">
        <v>18</v>
      </c>
    </row>
    <row r="9528" spans="1:7" x14ac:dyDescent="0.25">
      <c r="A9528" t="s">
        <v>41</v>
      </c>
      <c r="B9528" t="s">
        <v>8738</v>
      </c>
      <c r="C9528" t="s">
        <v>18219</v>
      </c>
      <c r="D9528" t="s">
        <v>20</v>
      </c>
      <c r="E9528" t="s">
        <v>11</v>
      </c>
      <c r="F9528">
        <v>573.1</v>
      </c>
      <c r="G9528">
        <v>18</v>
      </c>
    </row>
    <row r="9529" spans="1:7" x14ac:dyDescent="0.25">
      <c r="A9529" t="s">
        <v>41</v>
      </c>
      <c r="B9529" t="s">
        <v>8741</v>
      </c>
      <c r="C9529" t="s">
        <v>19481</v>
      </c>
      <c r="D9529" t="s">
        <v>20</v>
      </c>
      <c r="E9529" t="s">
        <v>11</v>
      </c>
      <c r="F9529">
        <v>435.6</v>
      </c>
      <c r="G9529">
        <v>18</v>
      </c>
    </row>
    <row r="9530" spans="1:7" x14ac:dyDescent="0.25">
      <c r="A9530" t="s">
        <v>41</v>
      </c>
      <c r="B9530" t="s">
        <v>8744</v>
      </c>
      <c r="C9530" t="s">
        <v>19482</v>
      </c>
      <c r="D9530" t="s">
        <v>20</v>
      </c>
      <c r="E9530" t="s">
        <v>11</v>
      </c>
      <c r="F9530">
        <v>586.3</v>
      </c>
      <c r="G9530">
        <v>18</v>
      </c>
    </row>
    <row r="9531" spans="1:7" x14ac:dyDescent="0.25">
      <c r="A9531" t="s">
        <v>41</v>
      </c>
      <c r="B9531" t="s">
        <v>8747</v>
      </c>
      <c r="C9531" t="s">
        <v>19300</v>
      </c>
      <c r="D9531" t="s">
        <v>20</v>
      </c>
      <c r="E9531" t="s">
        <v>11</v>
      </c>
      <c r="F9531">
        <v>334.4</v>
      </c>
      <c r="G9531">
        <v>18</v>
      </c>
    </row>
    <row r="9532" spans="1:7" x14ac:dyDescent="0.25">
      <c r="A9532" t="s">
        <v>41</v>
      </c>
      <c r="B9532" t="s">
        <v>8750</v>
      </c>
      <c r="C9532" t="s">
        <v>19483</v>
      </c>
      <c r="D9532" t="s">
        <v>20</v>
      </c>
      <c r="E9532" t="s">
        <v>11</v>
      </c>
      <c r="F9532">
        <v>334.4</v>
      </c>
      <c r="G9532">
        <v>18</v>
      </c>
    </row>
    <row r="9533" spans="1:7" x14ac:dyDescent="0.25">
      <c r="A9533" t="s">
        <v>41</v>
      </c>
      <c r="B9533" t="s">
        <v>8753</v>
      </c>
      <c r="C9533" t="s">
        <v>18153</v>
      </c>
      <c r="D9533" t="s">
        <v>20</v>
      </c>
      <c r="E9533" t="s">
        <v>11</v>
      </c>
      <c r="F9533">
        <v>2651</v>
      </c>
      <c r="G9533">
        <v>18</v>
      </c>
    </row>
    <row r="9534" spans="1:7" x14ac:dyDescent="0.25">
      <c r="A9534" t="s">
        <v>41</v>
      </c>
      <c r="B9534" t="s">
        <v>8756</v>
      </c>
      <c r="C9534" t="s">
        <v>19484</v>
      </c>
      <c r="D9534" t="s">
        <v>20</v>
      </c>
      <c r="E9534" t="s">
        <v>11</v>
      </c>
      <c r="F9534">
        <v>58.300000000000004</v>
      </c>
      <c r="G9534">
        <v>18</v>
      </c>
    </row>
    <row r="9535" spans="1:7" x14ac:dyDescent="0.25">
      <c r="A9535" t="s">
        <v>41</v>
      </c>
      <c r="B9535" t="s">
        <v>8759</v>
      </c>
      <c r="C9535" t="s">
        <v>17819</v>
      </c>
      <c r="D9535" t="s">
        <v>20</v>
      </c>
      <c r="E9535" t="s">
        <v>11</v>
      </c>
      <c r="F9535">
        <v>79.2</v>
      </c>
      <c r="G9535">
        <v>18</v>
      </c>
    </row>
    <row r="9536" spans="1:7" x14ac:dyDescent="0.25">
      <c r="A9536" t="s">
        <v>41</v>
      </c>
      <c r="B9536" t="s">
        <v>8762</v>
      </c>
      <c r="C9536" t="s">
        <v>17646</v>
      </c>
      <c r="D9536" t="s">
        <v>20</v>
      </c>
      <c r="E9536" t="s">
        <v>11</v>
      </c>
      <c r="F9536">
        <v>70.4</v>
      </c>
      <c r="G9536">
        <v>18</v>
      </c>
    </row>
    <row r="9537" spans="1:7" x14ac:dyDescent="0.25">
      <c r="A9537" t="s">
        <v>41</v>
      </c>
      <c r="B9537" t="s">
        <v>8765</v>
      </c>
      <c r="C9537" t="s">
        <v>19485</v>
      </c>
      <c r="D9537" t="s">
        <v>20</v>
      </c>
      <c r="E9537" t="s">
        <v>11</v>
      </c>
      <c r="F9537">
        <v>7944.2</v>
      </c>
      <c r="G9537">
        <v>18</v>
      </c>
    </row>
    <row r="9538" spans="1:7" x14ac:dyDescent="0.25">
      <c r="A9538" t="s">
        <v>41</v>
      </c>
      <c r="B9538" t="s">
        <v>8768</v>
      </c>
      <c r="C9538" t="s">
        <v>19486</v>
      </c>
      <c r="D9538" t="s">
        <v>20</v>
      </c>
      <c r="E9538" t="s">
        <v>11</v>
      </c>
      <c r="F9538">
        <v>7944.2</v>
      </c>
      <c r="G9538">
        <v>18</v>
      </c>
    </row>
    <row r="9539" spans="1:7" x14ac:dyDescent="0.25">
      <c r="A9539" t="s">
        <v>41</v>
      </c>
      <c r="B9539" t="s">
        <v>8771</v>
      </c>
      <c r="C9539" t="s">
        <v>19487</v>
      </c>
      <c r="D9539" t="s">
        <v>20</v>
      </c>
      <c r="E9539" t="s">
        <v>11</v>
      </c>
      <c r="F9539">
        <v>315.7</v>
      </c>
      <c r="G9539">
        <v>18</v>
      </c>
    </row>
    <row r="9540" spans="1:7" x14ac:dyDescent="0.25">
      <c r="A9540" t="s">
        <v>41</v>
      </c>
      <c r="B9540" t="s">
        <v>8774</v>
      </c>
      <c r="C9540" t="s">
        <v>19488</v>
      </c>
      <c r="D9540" t="s">
        <v>20</v>
      </c>
      <c r="E9540" t="s">
        <v>11</v>
      </c>
      <c r="F9540">
        <v>3924.8</v>
      </c>
      <c r="G9540">
        <v>18</v>
      </c>
    </row>
    <row r="9541" spans="1:7" x14ac:dyDescent="0.25">
      <c r="A9541" t="s">
        <v>41</v>
      </c>
      <c r="B9541" t="s">
        <v>8777</v>
      </c>
      <c r="C9541" t="s">
        <v>19489</v>
      </c>
      <c r="D9541" t="s">
        <v>20</v>
      </c>
      <c r="E9541" t="s">
        <v>11</v>
      </c>
      <c r="F9541">
        <v>3924.8</v>
      </c>
      <c r="G9541">
        <v>18</v>
      </c>
    </row>
    <row r="9542" spans="1:7" x14ac:dyDescent="0.25">
      <c r="A9542" t="s">
        <v>41</v>
      </c>
      <c r="B9542" t="s">
        <v>8780</v>
      </c>
      <c r="C9542" t="s">
        <v>17646</v>
      </c>
      <c r="D9542" t="s">
        <v>20</v>
      </c>
      <c r="E9542" t="s">
        <v>11</v>
      </c>
      <c r="F9542">
        <v>70.4</v>
      </c>
      <c r="G9542">
        <v>18</v>
      </c>
    </row>
    <row r="9543" spans="1:7" x14ac:dyDescent="0.25">
      <c r="A9543" t="s">
        <v>41</v>
      </c>
      <c r="B9543" t="s">
        <v>8783</v>
      </c>
      <c r="C9543" t="s">
        <v>17646</v>
      </c>
      <c r="D9543" t="s">
        <v>20</v>
      </c>
      <c r="E9543" t="s">
        <v>11</v>
      </c>
      <c r="F9543">
        <v>70.4</v>
      </c>
      <c r="G9543">
        <v>18</v>
      </c>
    </row>
    <row r="9544" spans="1:7" x14ac:dyDescent="0.25">
      <c r="A9544" t="s">
        <v>41</v>
      </c>
      <c r="B9544" t="s">
        <v>8786</v>
      </c>
      <c r="C9544" t="s">
        <v>17676</v>
      </c>
      <c r="D9544" t="s">
        <v>20</v>
      </c>
      <c r="E9544" t="s">
        <v>11</v>
      </c>
      <c r="F9544">
        <v>157.29999999999998</v>
      </c>
      <c r="G9544">
        <v>18</v>
      </c>
    </row>
    <row r="9545" spans="1:7" x14ac:dyDescent="0.25">
      <c r="A9545" t="s">
        <v>41</v>
      </c>
      <c r="B9545" t="s">
        <v>8789</v>
      </c>
      <c r="C9545" t="s">
        <v>19490</v>
      </c>
      <c r="D9545" t="s">
        <v>20</v>
      </c>
      <c r="E9545" t="s">
        <v>11</v>
      </c>
      <c r="F9545">
        <v>57.2</v>
      </c>
      <c r="G9545">
        <v>18</v>
      </c>
    </row>
    <row r="9546" spans="1:7" x14ac:dyDescent="0.25">
      <c r="A9546" t="s">
        <v>41</v>
      </c>
      <c r="B9546" t="s">
        <v>8792</v>
      </c>
      <c r="C9546" t="s">
        <v>17735</v>
      </c>
      <c r="D9546" t="s">
        <v>20</v>
      </c>
      <c r="E9546" t="s">
        <v>11</v>
      </c>
      <c r="F9546">
        <v>58.300000000000004</v>
      </c>
      <c r="G9546">
        <v>18</v>
      </c>
    </row>
    <row r="9547" spans="1:7" x14ac:dyDescent="0.25">
      <c r="A9547" t="s">
        <v>41</v>
      </c>
      <c r="B9547" t="s">
        <v>8795</v>
      </c>
      <c r="C9547" t="s">
        <v>17859</v>
      </c>
      <c r="D9547" t="s">
        <v>20</v>
      </c>
      <c r="E9547" t="s">
        <v>11</v>
      </c>
      <c r="F9547">
        <v>2443.1</v>
      </c>
      <c r="G9547">
        <v>18</v>
      </c>
    </row>
    <row r="9548" spans="1:7" x14ac:dyDescent="0.25">
      <c r="A9548" t="s">
        <v>41</v>
      </c>
      <c r="B9548" t="s">
        <v>8798</v>
      </c>
      <c r="C9548" t="s">
        <v>17680</v>
      </c>
      <c r="D9548" t="s">
        <v>20</v>
      </c>
      <c r="E9548" t="s">
        <v>11</v>
      </c>
      <c r="F9548">
        <v>2599.2999999999997</v>
      </c>
      <c r="G9548">
        <v>18</v>
      </c>
    </row>
    <row r="9549" spans="1:7" x14ac:dyDescent="0.25">
      <c r="A9549" t="s">
        <v>41</v>
      </c>
      <c r="B9549" t="s">
        <v>8801</v>
      </c>
      <c r="C9549" t="s">
        <v>17545</v>
      </c>
      <c r="D9549" t="s">
        <v>20</v>
      </c>
      <c r="E9549" t="s">
        <v>11</v>
      </c>
      <c r="F9549">
        <v>2516.7999999999997</v>
      </c>
      <c r="G9549">
        <v>18</v>
      </c>
    </row>
    <row r="9550" spans="1:7" x14ac:dyDescent="0.25">
      <c r="A9550" t="s">
        <v>41</v>
      </c>
      <c r="B9550" t="s">
        <v>8804</v>
      </c>
      <c r="C9550" t="s">
        <v>19491</v>
      </c>
      <c r="D9550" t="s">
        <v>20</v>
      </c>
      <c r="E9550" t="s">
        <v>11</v>
      </c>
      <c r="F9550">
        <v>58.300000000000004</v>
      </c>
      <c r="G9550">
        <v>18</v>
      </c>
    </row>
    <row r="9551" spans="1:7" x14ac:dyDescent="0.25">
      <c r="A9551" t="s">
        <v>41</v>
      </c>
      <c r="B9551" t="s">
        <v>8807</v>
      </c>
      <c r="C9551" t="s">
        <v>19492</v>
      </c>
      <c r="D9551" t="s">
        <v>20</v>
      </c>
      <c r="E9551" t="s">
        <v>11</v>
      </c>
      <c r="F9551">
        <v>2054.8</v>
      </c>
      <c r="G9551">
        <v>18</v>
      </c>
    </row>
    <row r="9552" spans="1:7" x14ac:dyDescent="0.25">
      <c r="A9552" t="s">
        <v>41</v>
      </c>
      <c r="B9552" t="s">
        <v>8810</v>
      </c>
      <c r="C9552" t="s">
        <v>19493</v>
      </c>
      <c r="D9552" t="s">
        <v>20</v>
      </c>
      <c r="E9552" t="s">
        <v>11</v>
      </c>
      <c r="F9552">
        <v>2054.8</v>
      </c>
      <c r="G9552">
        <v>18</v>
      </c>
    </row>
    <row r="9553" spans="1:7" x14ac:dyDescent="0.25">
      <c r="A9553" t="s">
        <v>41</v>
      </c>
      <c r="B9553" t="s">
        <v>8813</v>
      </c>
      <c r="C9553" t="s">
        <v>19494</v>
      </c>
      <c r="D9553" t="s">
        <v>20</v>
      </c>
      <c r="E9553" t="s">
        <v>11</v>
      </c>
      <c r="F9553">
        <v>58.300000000000004</v>
      </c>
      <c r="G9553">
        <v>18</v>
      </c>
    </row>
    <row r="9554" spans="1:7" x14ac:dyDescent="0.25">
      <c r="A9554" t="s">
        <v>41</v>
      </c>
      <c r="B9554" t="s">
        <v>8816</v>
      </c>
      <c r="C9554" t="s">
        <v>17676</v>
      </c>
      <c r="D9554" t="s">
        <v>20</v>
      </c>
      <c r="E9554" t="s">
        <v>11</v>
      </c>
      <c r="F9554">
        <v>157.29999999999998</v>
      </c>
      <c r="G9554">
        <v>18</v>
      </c>
    </row>
    <row r="9555" spans="1:7" x14ac:dyDescent="0.25">
      <c r="A9555" t="s">
        <v>41</v>
      </c>
      <c r="B9555" t="s">
        <v>8819</v>
      </c>
      <c r="C9555" t="s">
        <v>19495</v>
      </c>
      <c r="D9555" t="s">
        <v>20</v>
      </c>
      <c r="E9555" t="s">
        <v>11</v>
      </c>
      <c r="F9555">
        <v>3924.8</v>
      </c>
      <c r="G9555">
        <v>18</v>
      </c>
    </row>
    <row r="9556" spans="1:7" x14ac:dyDescent="0.25">
      <c r="A9556" t="s">
        <v>41</v>
      </c>
      <c r="B9556" t="s">
        <v>8822</v>
      </c>
      <c r="C9556" t="s">
        <v>19040</v>
      </c>
      <c r="D9556" t="s">
        <v>20</v>
      </c>
      <c r="E9556" t="s">
        <v>11</v>
      </c>
      <c r="F9556">
        <v>58.300000000000004</v>
      </c>
      <c r="G9556">
        <v>18</v>
      </c>
    </row>
    <row r="9557" spans="1:7" x14ac:dyDescent="0.25">
      <c r="A9557" t="s">
        <v>41</v>
      </c>
      <c r="B9557" t="s">
        <v>8825</v>
      </c>
      <c r="C9557" t="s">
        <v>19039</v>
      </c>
      <c r="D9557" t="s">
        <v>20</v>
      </c>
      <c r="E9557" t="s">
        <v>11</v>
      </c>
      <c r="F9557">
        <v>58.300000000000004</v>
      </c>
      <c r="G9557">
        <v>18</v>
      </c>
    </row>
    <row r="9558" spans="1:7" x14ac:dyDescent="0.25">
      <c r="A9558" t="s">
        <v>41</v>
      </c>
      <c r="B9558" t="s">
        <v>8828</v>
      </c>
      <c r="C9558" t="s">
        <v>18216</v>
      </c>
      <c r="D9558" t="s">
        <v>20</v>
      </c>
      <c r="E9558" t="s">
        <v>11</v>
      </c>
      <c r="F9558">
        <v>58.300000000000004</v>
      </c>
      <c r="G9558">
        <v>18</v>
      </c>
    </row>
    <row r="9559" spans="1:7" x14ac:dyDescent="0.25">
      <c r="A9559" t="s">
        <v>41</v>
      </c>
      <c r="B9559" t="s">
        <v>8831</v>
      </c>
      <c r="C9559" t="s">
        <v>19496</v>
      </c>
      <c r="D9559" t="s">
        <v>20</v>
      </c>
      <c r="E9559" t="s">
        <v>11</v>
      </c>
      <c r="F9559">
        <v>531.3</v>
      </c>
      <c r="G9559">
        <v>18</v>
      </c>
    </row>
    <row r="9560" spans="1:7" x14ac:dyDescent="0.25">
      <c r="A9560" t="s">
        <v>41</v>
      </c>
      <c r="B9560" t="s">
        <v>8834</v>
      </c>
      <c r="C9560" t="s">
        <v>19497</v>
      </c>
      <c r="D9560" t="s">
        <v>20</v>
      </c>
      <c r="E9560" t="s">
        <v>11</v>
      </c>
      <c r="F9560">
        <v>61.60000000000001</v>
      </c>
      <c r="G9560">
        <v>18</v>
      </c>
    </row>
    <row r="9561" spans="1:7" x14ac:dyDescent="0.25">
      <c r="A9561" t="s">
        <v>41</v>
      </c>
      <c r="B9561" t="s">
        <v>8837</v>
      </c>
      <c r="C9561" t="s">
        <v>19498</v>
      </c>
      <c r="D9561" t="s">
        <v>20</v>
      </c>
      <c r="E9561" t="s">
        <v>11</v>
      </c>
      <c r="F9561">
        <v>70.4</v>
      </c>
      <c r="G9561">
        <v>18</v>
      </c>
    </row>
    <row r="9562" spans="1:7" x14ac:dyDescent="0.25">
      <c r="A9562" t="s">
        <v>41</v>
      </c>
      <c r="B9562" t="s">
        <v>8840</v>
      </c>
      <c r="C9562" t="s">
        <v>19499</v>
      </c>
      <c r="D9562" t="s">
        <v>20</v>
      </c>
      <c r="E9562" t="s">
        <v>11</v>
      </c>
      <c r="F9562">
        <v>31.9</v>
      </c>
      <c r="G9562">
        <v>18</v>
      </c>
    </row>
    <row r="9563" spans="1:7" x14ac:dyDescent="0.25">
      <c r="A9563" t="s">
        <v>41</v>
      </c>
      <c r="B9563" t="s">
        <v>8843</v>
      </c>
      <c r="C9563" t="s">
        <v>19500</v>
      </c>
      <c r="D9563" t="s">
        <v>20</v>
      </c>
      <c r="E9563" t="s">
        <v>11</v>
      </c>
      <c r="F9563">
        <v>238.7</v>
      </c>
      <c r="G9563">
        <v>18</v>
      </c>
    </row>
    <row r="9564" spans="1:7" x14ac:dyDescent="0.25">
      <c r="A9564" t="s">
        <v>41</v>
      </c>
      <c r="B9564" t="s">
        <v>8846</v>
      </c>
      <c r="C9564" t="s">
        <v>18961</v>
      </c>
      <c r="D9564" t="s">
        <v>20</v>
      </c>
      <c r="E9564" t="s">
        <v>11</v>
      </c>
      <c r="F9564">
        <v>5943.3</v>
      </c>
      <c r="G9564">
        <v>18</v>
      </c>
    </row>
    <row r="9565" spans="1:7" x14ac:dyDescent="0.25">
      <c r="A9565" t="s">
        <v>41</v>
      </c>
      <c r="B9565" t="s">
        <v>8849</v>
      </c>
      <c r="C9565" t="s">
        <v>19501</v>
      </c>
      <c r="D9565" t="s">
        <v>20</v>
      </c>
      <c r="E9565" t="s">
        <v>11</v>
      </c>
      <c r="F9565">
        <v>6224.900000000001</v>
      </c>
      <c r="G9565">
        <v>18</v>
      </c>
    </row>
    <row r="9566" spans="1:7" x14ac:dyDescent="0.25">
      <c r="A9566" t="s">
        <v>41</v>
      </c>
      <c r="B9566" t="s">
        <v>8852</v>
      </c>
      <c r="C9566" t="s">
        <v>17697</v>
      </c>
      <c r="D9566" t="s">
        <v>20</v>
      </c>
      <c r="E9566" t="s">
        <v>11</v>
      </c>
      <c r="F9566">
        <v>1146.2</v>
      </c>
      <c r="G9566">
        <v>18</v>
      </c>
    </row>
    <row r="9567" spans="1:7" x14ac:dyDescent="0.25">
      <c r="A9567" t="s">
        <v>41</v>
      </c>
      <c r="B9567" t="s">
        <v>8855</v>
      </c>
      <c r="C9567" t="s">
        <v>18962</v>
      </c>
      <c r="D9567" t="s">
        <v>20</v>
      </c>
      <c r="E9567" t="s">
        <v>11</v>
      </c>
      <c r="F9567">
        <v>3128.4</v>
      </c>
      <c r="G9567">
        <v>18</v>
      </c>
    </row>
    <row r="9568" spans="1:7" x14ac:dyDescent="0.25">
      <c r="A9568" t="s">
        <v>41</v>
      </c>
      <c r="B9568" t="s">
        <v>8858</v>
      </c>
      <c r="C9568" t="s">
        <v>19502</v>
      </c>
      <c r="D9568" t="s">
        <v>20</v>
      </c>
      <c r="E9568" t="s">
        <v>11</v>
      </c>
      <c r="F9568">
        <v>3410</v>
      </c>
      <c r="G9568">
        <v>18</v>
      </c>
    </row>
    <row r="9569" spans="1:7" x14ac:dyDescent="0.25">
      <c r="A9569" t="s">
        <v>41</v>
      </c>
      <c r="B9569" t="s">
        <v>8861</v>
      </c>
      <c r="C9569" t="s">
        <v>18964</v>
      </c>
      <c r="D9569" t="s">
        <v>20</v>
      </c>
      <c r="E9569" t="s">
        <v>11</v>
      </c>
      <c r="F9569">
        <v>749.0999999999999</v>
      </c>
      <c r="G9569">
        <v>18</v>
      </c>
    </row>
    <row r="9570" spans="1:7" x14ac:dyDescent="0.25">
      <c r="A9570" t="s">
        <v>41</v>
      </c>
      <c r="B9570" t="s">
        <v>8864</v>
      </c>
      <c r="C9570" t="s">
        <v>17700</v>
      </c>
      <c r="D9570" t="s">
        <v>20</v>
      </c>
      <c r="E9570" t="s">
        <v>11</v>
      </c>
      <c r="F9570">
        <v>782.1</v>
      </c>
      <c r="G9570">
        <v>18</v>
      </c>
    </row>
    <row r="9571" spans="1:7" x14ac:dyDescent="0.25">
      <c r="A9571" t="s">
        <v>41</v>
      </c>
      <c r="B9571" t="s">
        <v>8867</v>
      </c>
      <c r="C9571" t="s">
        <v>17909</v>
      </c>
      <c r="D9571" t="s">
        <v>20</v>
      </c>
      <c r="E9571" t="s">
        <v>11</v>
      </c>
      <c r="F9571">
        <v>58.300000000000004</v>
      </c>
      <c r="G9571">
        <v>18</v>
      </c>
    </row>
    <row r="9572" spans="1:7" x14ac:dyDescent="0.25">
      <c r="A9572" t="s">
        <v>41</v>
      </c>
      <c r="B9572" t="s">
        <v>8870</v>
      </c>
      <c r="C9572" t="s">
        <v>17677</v>
      </c>
      <c r="D9572" t="s">
        <v>20</v>
      </c>
      <c r="E9572" t="s">
        <v>11</v>
      </c>
      <c r="F9572">
        <v>57.2</v>
      </c>
      <c r="G9572">
        <v>18</v>
      </c>
    </row>
    <row r="9573" spans="1:7" x14ac:dyDescent="0.25">
      <c r="A9573" t="s">
        <v>41</v>
      </c>
      <c r="B9573" t="s">
        <v>8873</v>
      </c>
      <c r="C9573" t="s">
        <v>18966</v>
      </c>
      <c r="D9573" t="s">
        <v>20</v>
      </c>
      <c r="E9573" t="s">
        <v>11</v>
      </c>
      <c r="F9573">
        <v>103.39999999999999</v>
      </c>
      <c r="G9573">
        <v>18</v>
      </c>
    </row>
    <row r="9574" spans="1:7" x14ac:dyDescent="0.25">
      <c r="A9574" t="s">
        <v>41</v>
      </c>
      <c r="B9574" t="s">
        <v>8876</v>
      </c>
      <c r="C9574" t="s">
        <v>18967</v>
      </c>
      <c r="D9574" t="s">
        <v>20</v>
      </c>
      <c r="E9574" t="s">
        <v>11</v>
      </c>
      <c r="F9574">
        <v>56.1</v>
      </c>
      <c r="G9574">
        <v>18</v>
      </c>
    </row>
    <row r="9575" spans="1:7" x14ac:dyDescent="0.25">
      <c r="A9575" t="s">
        <v>41</v>
      </c>
      <c r="B9575" t="s">
        <v>8879</v>
      </c>
      <c r="C9575" t="s">
        <v>18968</v>
      </c>
      <c r="D9575" t="s">
        <v>20</v>
      </c>
      <c r="E9575" t="s">
        <v>11</v>
      </c>
      <c r="F9575">
        <v>4800.4</v>
      </c>
      <c r="G9575">
        <v>18</v>
      </c>
    </row>
    <row r="9576" spans="1:7" x14ac:dyDescent="0.25">
      <c r="A9576" t="s">
        <v>41</v>
      </c>
      <c r="B9576" t="s">
        <v>8882</v>
      </c>
      <c r="C9576" t="s">
        <v>19503</v>
      </c>
      <c r="D9576" t="s">
        <v>20</v>
      </c>
      <c r="E9576" t="s">
        <v>11</v>
      </c>
      <c r="F9576">
        <v>5080.9</v>
      </c>
      <c r="G9576">
        <v>18</v>
      </c>
    </row>
    <row r="9577" spans="1:7" x14ac:dyDescent="0.25">
      <c r="A9577" t="s">
        <v>41</v>
      </c>
      <c r="B9577" t="s">
        <v>8885</v>
      </c>
      <c r="C9577" t="s">
        <v>19504</v>
      </c>
      <c r="D9577" t="s">
        <v>20</v>
      </c>
      <c r="E9577" t="s">
        <v>11</v>
      </c>
      <c r="F9577">
        <v>6150.099999999999</v>
      </c>
      <c r="G9577">
        <v>18</v>
      </c>
    </row>
    <row r="9578" spans="1:7" x14ac:dyDescent="0.25">
      <c r="A9578" t="s">
        <v>41</v>
      </c>
      <c r="B9578" t="s">
        <v>8888</v>
      </c>
      <c r="C9578" t="s">
        <v>19505</v>
      </c>
      <c r="D9578" t="s">
        <v>20</v>
      </c>
      <c r="E9578" t="s">
        <v>11</v>
      </c>
      <c r="F9578">
        <v>1265</v>
      </c>
      <c r="G9578">
        <v>18</v>
      </c>
    </row>
    <row r="9579" spans="1:7" x14ac:dyDescent="0.25">
      <c r="A9579" t="s">
        <v>41</v>
      </c>
      <c r="B9579" t="s">
        <v>8891</v>
      </c>
      <c r="C9579" t="s">
        <v>19506</v>
      </c>
      <c r="D9579" t="s">
        <v>20</v>
      </c>
      <c r="E9579" t="s">
        <v>11</v>
      </c>
      <c r="F9579">
        <v>4232.799999999999</v>
      </c>
      <c r="G9579">
        <v>18</v>
      </c>
    </row>
    <row r="9580" spans="1:7" x14ac:dyDescent="0.25">
      <c r="A9580" t="s">
        <v>41</v>
      </c>
      <c r="B9580" t="s">
        <v>8894</v>
      </c>
      <c r="C9580" t="s">
        <v>19507</v>
      </c>
      <c r="D9580" t="s">
        <v>20</v>
      </c>
      <c r="E9580" t="s">
        <v>11</v>
      </c>
      <c r="F9580">
        <v>457.6</v>
      </c>
      <c r="G9580">
        <v>18</v>
      </c>
    </row>
    <row r="9581" spans="1:7" x14ac:dyDescent="0.25">
      <c r="A9581" t="s">
        <v>41</v>
      </c>
      <c r="B9581" t="s">
        <v>8897</v>
      </c>
      <c r="C9581" t="s">
        <v>19427</v>
      </c>
      <c r="D9581" t="s">
        <v>20</v>
      </c>
      <c r="E9581" t="s">
        <v>11</v>
      </c>
      <c r="F9581">
        <v>57.2</v>
      </c>
      <c r="G9581">
        <v>18</v>
      </c>
    </row>
    <row r="9582" spans="1:7" x14ac:dyDescent="0.25">
      <c r="A9582" t="s">
        <v>41</v>
      </c>
      <c r="B9582" t="s">
        <v>8900</v>
      </c>
      <c r="C9582" t="s">
        <v>19508</v>
      </c>
      <c r="D9582" t="s">
        <v>20</v>
      </c>
      <c r="E9582" t="s">
        <v>11</v>
      </c>
      <c r="F9582">
        <v>5006.099999999999</v>
      </c>
      <c r="G9582">
        <v>18</v>
      </c>
    </row>
    <row r="9583" spans="1:7" x14ac:dyDescent="0.25">
      <c r="A9583" t="s">
        <v>41</v>
      </c>
      <c r="B9583" t="s">
        <v>8903</v>
      </c>
      <c r="C9583" t="s">
        <v>18970</v>
      </c>
      <c r="D9583" t="s">
        <v>20</v>
      </c>
      <c r="E9583" t="s">
        <v>11</v>
      </c>
      <c r="F9583">
        <v>14031.6</v>
      </c>
      <c r="G9583">
        <v>18</v>
      </c>
    </row>
    <row r="9584" spans="1:7" x14ac:dyDescent="0.25">
      <c r="A9584" t="s">
        <v>41</v>
      </c>
      <c r="B9584" t="s">
        <v>8906</v>
      </c>
      <c r="C9584" t="s">
        <v>18972</v>
      </c>
      <c r="D9584" t="s">
        <v>20</v>
      </c>
      <c r="E9584" t="s">
        <v>11</v>
      </c>
      <c r="F9584">
        <v>8053.099999999999</v>
      </c>
      <c r="G9584">
        <v>18</v>
      </c>
    </row>
    <row r="9585" spans="1:7" x14ac:dyDescent="0.25">
      <c r="A9585" t="s">
        <v>41</v>
      </c>
      <c r="B9585" t="s">
        <v>8909</v>
      </c>
      <c r="C9585" t="s">
        <v>19509</v>
      </c>
      <c r="D9585" t="s">
        <v>20</v>
      </c>
      <c r="E9585" t="s">
        <v>11</v>
      </c>
      <c r="F9585">
        <v>133.1</v>
      </c>
      <c r="G9585">
        <v>18</v>
      </c>
    </row>
    <row r="9586" spans="1:7" x14ac:dyDescent="0.25">
      <c r="A9586" t="s">
        <v>41</v>
      </c>
      <c r="B9586" t="s">
        <v>8912</v>
      </c>
      <c r="C9586" t="s">
        <v>18973</v>
      </c>
      <c r="D9586" t="s">
        <v>20</v>
      </c>
      <c r="E9586" t="s">
        <v>11</v>
      </c>
      <c r="F9586">
        <v>61.60000000000001</v>
      </c>
      <c r="G9586">
        <v>18</v>
      </c>
    </row>
    <row r="9587" spans="1:7" x14ac:dyDescent="0.25">
      <c r="A9587" t="s">
        <v>41</v>
      </c>
      <c r="B9587" t="s">
        <v>8915</v>
      </c>
      <c r="C9587" t="s">
        <v>18974</v>
      </c>
      <c r="D9587" t="s">
        <v>20</v>
      </c>
      <c r="E9587" t="s">
        <v>11</v>
      </c>
      <c r="F9587">
        <v>702.9</v>
      </c>
      <c r="G9587">
        <v>18</v>
      </c>
    </row>
    <row r="9588" spans="1:7" x14ac:dyDescent="0.25">
      <c r="A9588" t="s">
        <v>41</v>
      </c>
      <c r="B9588" t="s">
        <v>8918</v>
      </c>
      <c r="C9588" t="s">
        <v>19510</v>
      </c>
      <c r="D9588" t="s">
        <v>20</v>
      </c>
      <c r="E9588" t="s">
        <v>11</v>
      </c>
      <c r="F9588">
        <v>137.5</v>
      </c>
      <c r="G9588">
        <v>18</v>
      </c>
    </row>
    <row r="9589" spans="1:7" x14ac:dyDescent="0.25">
      <c r="A9589" t="s">
        <v>41</v>
      </c>
      <c r="B9589" t="s">
        <v>8921</v>
      </c>
      <c r="C9589" t="s">
        <v>19511</v>
      </c>
      <c r="D9589" t="s">
        <v>20</v>
      </c>
      <c r="E9589" t="s">
        <v>11</v>
      </c>
      <c r="F9589">
        <v>531.3</v>
      </c>
      <c r="G9589">
        <v>18</v>
      </c>
    </row>
    <row r="9590" spans="1:7" x14ac:dyDescent="0.25">
      <c r="A9590" t="s">
        <v>41</v>
      </c>
      <c r="B9590" t="s">
        <v>8924</v>
      </c>
      <c r="C9590" t="s">
        <v>19512</v>
      </c>
      <c r="D9590" t="s">
        <v>20</v>
      </c>
      <c r="E9590" t="s">
        <v>11</v>
      </c>
      <c r="F9590">
        <v>10618.3</v>
      </c>
      <c r="G9590">
        <v>18</v>
      </c>
    </row>
    <row r="9591" spans="1:7" x14ac:dyDescent="0.25">
      <c r="A9591" t="s">
        <v>41</v>
      </c>
      <c r="B9591" t="s">
        <v>8927</v>
      </c>
      <c r="C9591" t="s">
        <v>19513</v>
      </c>
      <c r="D9591" t="s">
        <v>20</v>
      </c>
      <c r="E9591" t="s">
        <v>11</v>
      </c>
      <c r="F9591">
        <v>10618.3</v>
      </c>
      <c r="G9591">
        <v>18</v>
      </c>
    </row>
    <row r="9592" spans="1:7" x14ac:dyDescent="0.25">
      <c r="A9592" t="s">
        <v>41</v>
      </c>
      <c r="B9592" t="s">
        <v>8930</v>
      </c>
      <c r="C9592" t="s">
        <v>17799</v>
      </c>
      <c r="D9592" t="s">
        <v>20</v>
      </c>
      <c r="E9592" t="s">
        <v>11</v>
      </c>
      <c r="F9592">
        <v>8259.9</v>
      </c>
      <c r="G9592">
        <v>18</v>
      </c>
    </row>
    <row r="9593" spans="1:7" x14ac:dyDescent="0.25">
      <c r="A9593" t="s">
        <v>41</v>
      </c>
      <c r="B9593" t="s">
        <v>8933</v>
      </c>
      <c r="C9593" t="s">
        <v>19100</v>
      </c>
      <c r="D9593" t="s">
        <v>20</v>
      </c>
      <c r="E9593" t="s">
        <v>11</v>
      </c>
      <c r="F9593">
        <v>114.4</v>
      </c>
      <c r="G9593">
        <v>18</v>
      </c>
    </row>
    <row r="9594" spans="1:7" x14ac:dyDescent="0.25">
      <c r="A9594" t="s">
        <v>41</v>
      </c>
      <c r="B9594" t="s">
        <v>8936</v>
      </c>
      <c r="C9594" t="s">
        <v>17848</v>
      </c>
      <c r="D9594" t="s">
        <v>20</v>
      </c>
      <c r="E9594" t="s">
        <v>11</v>
      </c>
      <c r="F9594">
        <v>58.300000000000004</v>
      </c>
      <c r="G9594">
        <v>18</v>
      </c>
    </row>
    <row r="9595" spans="1:7" x14ac:dyDescent="0.25">
      <c r="A9595" t="s">
        <v>41</v>
      </c>
      <c r="B9595" t="s">
        <v>8939</v>
      </c>
      <c r="C9595" t="s">
        <v>19514</v>
      </c>
      <c r="D9595" t="s">
        <v>20</v>
      </c>
      <c r="E9595" t="s">
        <v>11</v>
      </c>
      <c r="F9595">
        <v>286</v>
      </c>
      <c r="G9595">
        <v>18</v>
      </c>
    </row>
    <row r="9596" spans="1:7" x14ac:dyDescent="0.25">
      <c r="A9596" t="s">
        <v>41</v>
      </c>
      <c r="B9596" t="s">
        <v>8942</v>
      </c>
      <c r="C9596" t="s">
        <v>18026</v>
      </c>
      <c r="D9596" t="s">
        <v>20</v>
      </c>
      <c r="E9596" t="s">
        <v>11</v>
      </c>
      <c r="F9596">
        <v>58.300000000000004</v>
      </c>
      <c r="G9596">
        <v>18</v>
      </c>
    </row>
    <row r="9597" spans="1:7" x14ac:dyDescent="0.25">
      <c r="A9597" t="s">
        <v>41</v>
      </c>
      <c r="B9597" t="s">
        <v>8945</v>
      </c>
      <c r="C9597" t="s">
        <v>18980</v>
      </c>
      <c r="D9597" t="s">
        <v>20</v>
      </c>
      <c r="E9597" t="s">
        <v>11</v>
      </c>
      <c r="F9597">
        <v>1953.6000000000001</v>
      </c>
      <c r="G9597">
        <v>18</v>
      </c>
    </row>
    <row r="9598" spans="1:7" x14ac:dyDescent="0.25">
      <c r="A9598" t="s">
        <v>41</v>
      </c>
      <c r="B9598" t="s">
        <v>8948</v>
      </c>
      <c r="C9598" t="s">
        <v>18981</v>
      </c>
      <c r="D9598" t="s">
        <v>20</v>
      </c>
      <c r="E9598" t="s">
        <v>11</v>
      </c>
      <c r="F9598">
        <v>1711.6000000000001</v>
      </c>
      <c r="G9598">
        <v>18</v>
      </c>
    </row>
    <row r="9599" spans="1:7" x14ac:dyDescent="0.25">
      <c r="A9599" t="s">
        <v>41</v>
      </c>
      <c r="B9599" t="s">
        <v>8951</v>
      </c>
      <c r="C9599" t="s">
        <v>18982</v>
      </c>
      <c r="D9599" t="s">
        <v>20</v>
      </c>
      <c r="E9599" t="s">
        <v>11</v>
      </c>
      <c r="F9599">
        <v>217.8</v>
      </c>
      <c r="G9599">
        <v>18</v>
      </c>
    </row>
    <row r="9600" spans="1:7" x14ac:dyDescent="0.25">
      <c r="A9600" t="s">
        <v>41</v>
      </c>
      <c r="B9600" t="s">
        <v>8954</v>
      </c>
      <c r="C9600" t="s">
        <v>19515</v>
      </c>
      <c r="D9600" t="s">
        <v>20</v>
      </c>
      <c r="E9600" t="s">
        <v>11</v>
      </c>
      <c r="F9600">
        <v>800.8000000000001</v>
      </c>
      <c r="G9600">
        <v>18</v>
      </c>
    </row>
    <row r="9601" spans="1:7" x14ac:dyDescent="0.25">
      <c r="A9601" t="s">
        <v>41</v>
      </c>
      <c r="B9601" t="s">
        <v>8957</v>
      </c>
      <c r="C9601" t="s">
        <v>17677</v>
      </c>
      <c r="D9601" t="s">
        <v>20</v>
      </c>
      <c r="E9601" t="s">
        <v>11</v>
      </c>
      <c r="F9601">
        <v>56.1</v>
      </c>
      <c r="G9601">
        <v>18</v>
      </c>
    </row>
    <row r="9602" spans="1:7" x14ac:dyDescent="0.25">
      <c r="A9602" t="s">
        <v>41</v>
      </c>
      <c r="B9602" t="s">
        <v>8960</v>
      </c>
      <c r="C9602" t="s">
        <v>19516</v>
      </c>
      <c r="D9602" t="s">
        <v>20</v>
      </c>
      <c r="E9602" t="s">
        <v>11</v>
      </c>
      <c r="F9602">
        <v>54067.2</v>
      </c>
      <c r="G9602">
        <v>18</v>
      </c>
    </row>
    <row r="9603" spans="1:7" x14ac:dyDescent="0.25">
      <c r="A9603" t="s">
        <v>41</v>
      </c>
      <c r="B9603" t="s">
        <v>8963</v>
      </c>
      <c r="C9603" t="s">
        <v>19517</v>
      </c>
      <c r="D9603" t="s">
        <v>20</v>
      </c>
      <c r="E9603" t="s">
        <v>11</v>
      </c>
      <c r="F9603">
        <v>7769.299999999999</v>
      </c>
      <c r="G9603">
        <v>18</v>
      </c>
    </row>
    <row r="9604" spans="1:7" x14ac:dyDescent="0.25">
      <c r="A9604" t="s">
        <v>41</v>
      </c>
      <c r="B9604" t="s">
        <v>8966</v>
      </c>
      <c r="C9604" t="s">
        <v>19518</v>
      </c>
      <c r="D9604" t="s">
        <v>20</v>
      </c>
      <c r="E9604" t="s">
        <v>11</v>
      </c>
      <c r="F9604">
        <v>5872.9</v>
      </c>
      <c r="G9604">
        <v>18</v>
      </c>
    </row>
    <row r="9605" spans="1:7" x14ac:dyDescent="0.25">
      <c r="A9605" t="s">
        <v>41</v>
      </c>
      <c r="B9605" t="s">
        <v>8969</v>
      </c>
      <c r="C9605" t="s">
        <v>17645</v>
      </c>
      <c r="D9605" t="s">
        <v>20</v>
      </c>
      <c r="E9605" t="s">
        <v>11</v>
      </c>
      <c r="F9605">
        <v>304.7</v>
      </c>
      <c r="G9605">
        <v>18</v>
      </c>
    </row>
    <row r="9606" spans="1:7" x14ac:dyDescent="0.25">
      <c r="A9606" t="s">
        <v>41</v>
      </c>
      <c r="B9606" t="s">
        <v>8972</v>
      </c>
      <c r="C9606" t="s">
        <v>17644</v>
      </c>
      <c r="D9606" t="s">
        <v>20</v>
      </c>
      <c r="E9606" t="s">
        <v>11</v>
      </c>
      <c r="F9606">
        <v>874.5</v>
      </c>
      <c r="G9606">
        <v>18</v>
      </c>
    </row>
    <row r="9607" spans="1:7" x14ac:dyDescent="0.25">
      <c r="A9607" t="s">
        <v>41</v>
      </c>
      <c r="B9607" t="s">
        <v>8975</v>
      </c>
      <c r="C9607" t="s">
        <v>18144</v>
      </c>
      <c r="D9607" t="s">
        <v>20</v>
      </c>
      <c r="E9607" t="s">
        <v>11</v>
      </c>
      <c r="F9607">
        <v>58.300000000000004</v>
      </c>
      <c r="G9607">
        <v>18</v>
      </c>
    </row>
    <row r="9608" spans="1:7" x14ac:dyDescent="0.25">
      <c r="A9608" t="s">
        <v>41</v>
      </c>
      <c r="B9608" t="s">
        <v>8978</v>
      </c>
      <c r="C9608" t="s">
        <v>17645</v>
      </c>
      <c r="D9608" t="s">
        <v>20</v>
      </c>
      <c r="E9608" t="s">
        <v>11</v>
      </c>
      <c r="F9608">
        <v>167.2</v>
      </c>
      <c r="G9608">
        <v>18</v>
      </c>
    </row>
    <row r="9609" spans="1:7" x14ac:dyDescent="0.25">
      <c r="A9609" t="s">
        <v>41</v>
      </c>
      <c r="B9609" t="s">
        <v>8981</v>
      </c>
      <c r="C9609" t="s">
        <v>17904</v>
      </c>
      <c r="D9609" t="s">
        <v>20</v>
      </c>
      <c r="E9609" t="s">
        <v>11</v>
      </c>
      <c r="F9609">
        <v>137.5</v>
      </c>
      <c r="G9609">
        <v>18</v>
      </c>
    </row>
    <row r="9610" spans="1:7" x14ac:dyDescent="0.25">
      <c r="A9610" t="s">
        <v>41</v>
      </c>
      <c r="B9610" t="s">
        <v>8984</v>
      </c>
      <c r="C9610" t="s">
        <v>19519</v>
      </c>
      <c r="D9610" t="s">
        <v>20</v>
      </c>
      <c r="E9610" t="s">
        <v>11</v>
      </c>
      <c r="F9610">
        <v>9972.6</v>
      </c>
      <c r="G9610">
        <v>18</v>
      </c>
    </row>
    <row r="9611" spans="1:7" x14ac:dyDescent="0.25">
      <c r="A9611" t="s">
        <v>41</v>
      </c>
      <c r="B9611" t="s">
        <v>8987</v>
      </c>
      <c r="C9611" t="s">
        <v>19520</v>
      </c>
      <c r="D9611" t="s">
        <v>20</v>
      </c>
      <c r="E9611" t="s">
        <v>11</v>
      </c>
      <c r="F9611">
        <v>14859.9</v>
      </c>
      <c r="G9611">
        <v>18</v>
      </c>
    </row>
    <row r="9612" spans="1:7" x14ac:dyDescent="0.25">
      <c r="A9612" t="s">
        <v>41</v>
      </c>
      <c r="B9612" t="s">
        <v>8990</v>
      </c>
      <c r="C9612" t="s">
        <v>19521</v>
      </c>
      <c r="D9612" t="s">
        <v>20</v>
      </c>
      <c r="E9612" t="s">
        <v>11</v>
      </c>
      <c r="F9612">
        <v>5245.9</v>
      </c>
      <c r="G9612">
        <v>18</v>
      </c>
    </row>
    <row r="9613" spans="1:7" x14ac:dyDescent="0.25">
      <c r="A9613" t="s">
        <v>41</v>
      </c>
      <c r="B9613" t="s">
        <v>8993</v>
      </c>
      <c r="C9613" t="s">
        <v>19522</v>
      </c>
      <c r="D9613" t="s">
        <v>20</v>
      </c>
      <c r="E9613" t="s">
        <v>11</v>
      </c>
      <c r="F9613">
        <v>2952.4</v>
      </c>
      <c r="G9613">
        <v>18</v>
      </c>
    </row>
    <row r="9614" spans="1:7" x14ac:dyDescent="0.25">
      <c r="A9614" t="s">
        <v>41</v>
      </c>
      <c r="B9614" t="s">
        <v>8996</v>
      </c>
      <c r="C9614" t="s">
        <v>17757</v>
      </c>
      <c r="D9614" t="s">
        <v>20</v>
      </c>
      <c r="E9614" t="s">
        <v>11</v>
      </c>
      <c r="F9614">
        <v>1856.8</v>
      </c>
      <c r="G9614">
        <v>18</v>
      </c>
    </row>
    <row r="9615" spans="1:7" x14ac:dyDescent="0.25">
      <c r="A9615" t="s">
        <v>41</v>
      </c>
      <c r="B9615" t="s">
        <v>8999</v>
      </c>
      <c r="C9615" t="s">
        <v>19523</v>
      </c>
      <c r="D9615" t="s">
        <v>20</v>
      </c>
      <c r="E9615" t="s">
        <v>11</v>
      </c>
      <c r="F9615">
        <v>61.60000000000001</v>
      </c>
      <c r="G9615">
        <v>18</v>
      </c>
    </row>
    <row r="9616" spans="1:7" x14ac:dyDescent="0.25">
      <c r="A9616" t="s">
        <v>41</v>
      </c>
      <c r="B9616" t="s">
        <v>9002</v>
      </c>
      <c r="C9616" t="s">
        <v>18992</v>
      </c>
      <c r="D9616" t="s">
        <v>20</v>
      </c>
      <c r="E9616" t="s">
        <v>11</v>
      </c>
      <c r="F9616">
        <v>71.5</v>
      </c>
      <c r="G9616">
        <v>18</v>
      </c>
    </row>
    <row r="9617" spans="1:7" x14ac:dyDescent="0.25">
      <c r="A9617" t="s">
        <v>41</v>
      </c>
      <c r="B9617" t="s">
        <v>9005</v>
      </c>
      <c r="C9617" t="s">
        <v>18993</v>
      </c>
      <c r="D9617" t="s">
        <v>20</v>
      </c>
      <c r="E9617" t="s">
        <v>11</v>
      </c>
      <c r="F9617">
        <v>291.5</v>
      </c>
      <c r="G9617">
        <v>18</v>
      </c>
    </row>
    <row r="9618" spans="1:7" x14ac:dyDescent="0.25">
      <c r="A9618" t="s">
        <v>41</v>
      </c>
      <c r="B9618" t="s">
        <v>9008</v>
      </c>
      <c r="C9618" t="s">
        <v>18154</v>
      </c>
      <c r="D9618" t="s">
        <v>20</v>
      </c>
      <c r="E9618" t="s">
        <v>11</v>
      </c>
      <c r="F9618">
        <v>58.300000000000004</v>
      </c>
      <c r="G9618">
        <v>18</v>
      </c>
    </row>
    <row r="9619" spans="1:7" x14ac:dyDescent="0.25">
      <c r="A9619" t="s">
        <v>41</v>
      </c>
      <c r="B9619" t="s">
        <v>9011</v>
      </c>
      <c r="C9619" t="s">
        <v>19524</v>
      </c>
      <c r="D9619" t="s">
        <v>20</v>
      </c>
      <c r="E9619" t="s">
        <v>11</v>
      </c>
      <c r="F9619">
        <v>162.8</v>
      </c>
      <c r="G9619">
        <v>18</v>
      </c>
    </row>
    <row r="9620" spans="1:7" x14ac:dyDescent="0.25">
      <c r="A9620" t="s">
        <v>41</v>
      </c>
      <c r="B9620" t="s">
        <v>9014</v>
      </c>
      <c r="C9620" t="s">
        <v>19525</v>
      </c>
      <c r="D9620" t="s">
        <v>20</v>
      </c>
      <c r="E9620" t="s">
        <v>11</v>
      </c>
      <c r="F9620">
        <v>242.00000000000003</v>
      </c>
      <c r="G9620">
        <v>18</v>
      </c>
    </row>
    <row r="9621" spans="1:7" x14ac:dyDescent="0.25">
      <c r="A9621" t="s">
        <v>41</v>
      </c>
      <c r="B9621" t="s">
        <v>9017</v>
      </c>
      <c r="C9621" t="s">
        <v>18806</v>
      </c>
      <c r="D9621" t="s">
        <v>20</v>
      </c>
      <c r="E9621" t="s">
        <v>11</v>
      </c>
      <c r="F9621">
        <v>535.7</v>
      </c>
      <c r="G9621">
        <v>18</v>
      </c>
    </row>
    <row r="9622" spans="1:7" x14ac:dyDescent="0.25">
      <c r="A9622" t="s">
        <v>41</v>
      </c>
      <c r="B9622" t="s">
        <v>9020</v>
      </c>
      <c r="C9622" t="s">
        <v>18997</v>
      </c>
      <c r="D9622" t="s">
        <v>20</v>
      </c>
      <c r="E9622" t="s">
        <v>11</v>
      </c>
      <c r="F9622">
        <v>952.6</v>
      </c>
      <c r="G9622">
        <v>18</v>
      </c>
    </row>
    <row r="9623" spans="1:7" x14ac:dyDescent="0.25">
      <c r="A9623" t="s">
        <v>41</v>
      </c>
      <c r="B9623" t="s">
        <v>9023</v>
      </c>
      <c r="C9623" t="s">
        <v>18231</v>
      </c>
      <c r="D9623" t="s">
        <v>20</v>
      </c>
      <c r="E9623" t="s">
        <v>11</v>
      </c>
      <c r="F9623">
        <v>58.300000000000004</v>
      </c>
      <c r="G9623">
        <v>18</v>
      </c>
    </row>
    <row r="9624" spans="1:7" x14ac:dyDescent="0.25">
      <c r="A9624" t="s">
        <v>41</v>
      </c>
      <c r="B9624" t="s">
        <v>9025</v>
      </c>
      <c r="C9624" t="s">
        <v>17654</v>
      </c>
      <c r="D9624" t="s">
        <v>20</v>
      </c>
      <c r="E9624" t="s">
        <v>11</v>
      </c>
      <c r="F9624">
        <v>57.2</v>
      </c>
      <c r="G9624">
        <v>18</v>
      </c>
    </row>
    <row r="9625" spans="1:7" x14ac:dyDescent="0.25">
      <c r="A9625" t="s">
        <v>41</v>
      </c>
      <c r="B9625" t="s">
        <v>9028</v>
      </c>
      <c r="C9625" t="s">
        <v>19526</v>
      </c>
      <c r="D9625" t="s">
        <v>20</v>
      </c>
      <c r="E9625" t="s">
        <v>11</v>
      </c>
      <c r="F9625">
        <v>675.4</v>
      </c>
      <c r="G9625">
        <v>18</v>
      </c>
    </row>
    <row r="9626" spans="1:7" x14ac:dyDescent="0.25">
      <c r="A9626" t="s">
        <v>41</v>
      </c>
      <c r="B9626" t="s">
        <v>9031</v>
      </c>
      <c r="C9626" t="s">
        <v>18998</v>
      </c>
      <c r="D9626" t="s">
        <v>20</v>
      </c>
      <c r="E9626" t="s">
        <v>11</v>
      </c>
      <c r="F9626">
        <v>523.6</v>
      </c>
      <c r="G9626">
        <v>18</v>
      </c>
    </row>
    <row r="9627" spans="1:7" x14ac:dyDescent="0.25">
      <c r="A9627" t="s">
        <v>41</v>
      </c>
      <c r="B9627" t="s">
        <v>9034</v>
      </c>
      <c r="C9627" t="s">
        <v>19000</v>
      </c>
      <c r="D9627" t="s">
        <v>20</v>
      </c>
      <c r="E9627" t="s">
        <v>11</v>
      </c>
      <c r="F9627">
        <v>6177.599999999999</v>
      </c>
      <c r="G9627">
        <v>18</v>
      </c>
    </row>
    <row r="9628" spans="1:7" x14ac:dyDescent="0.25">
      <c r="A9628" t="s">
        <v>41</v>
      </c>
      <c r="B9628" t="s">
        <v>9037</v>
      </c>
      <c r="C9628" t="s">
        <v>19527</v>
      </c>
      <c r="D9628" t="s">
        <v>20</v>
      </c>
      <c r="E9628" t="s">
        <v>11</v>
      </c>
      <c r="F9628">
        <v>6177.599999999999</v>
      </c>
      <c r="G9628">
        <v>18</v>
      </c>
    </row>
    <row r="9629" spans="1:7" x14ac:dyDescent="0.25">
      <c r="A9629" t="s">
        <v>41</v>
      </c>
      <c r="B9629" t="s">
        <v>9040</v>
      </c>
      <c r="C9629" t="s">
        <v>17673</v>
      </c>
      <c r="D9629" t="s">
        <v>20</v>
      </c>
      <c r="E9629" t="s">
        <v>11</v>
      </c>
      <c r="F9629">
        <v>1803.9999999999998</v>
      </c>
      <c r="G9629">
        <v>18</v>
      </c>
    </row>
    <row r="9630" spans="1:7" x14ac:dyDescent="0.25">
      <c r="A9630" t="s">
        <v>41</v>
      </c>
      <c r="B9630" t="s">
        <v>9043</v>
      </c>
      <c r="C9630" t="s">
        <v>19528</v>
      </c>
      <c r="D9630" t="s">
        <v>20</v>
      </c>
      <c r="E9630" t="s">
        <v>11</v>
      </c>
      <c r="F9630">
        <v>2066.9</v>
      </c>
      <c r="G9630">
        <v>18</v>
      </c>
    </row>
    <row r="9631" spans="1:7" x14ac:dyDescent="0.25">
      <c r="A9631" t="s">
        <v>41</v>
      </c>
      <c r="B9631" t="s">
        <v>9046</v>
      </c>
      <c r="C9631" t="s">
        <v>18999</v>
      </c>
      <c r="D9631" t="s">
        <v>20</v>
      </c>
      <c r="E9631" t="s">
        <v>11</v>
      </c>
      <c r="F9631">
        <v>399.3</v>
      </c>
      <c r="G9631">
        <v>18</v>
      </c>
    </row>
    <row r="9632" spans="1:7" x14ac:dyDescent="0.25">
      <c r="A9632" t="s">
        <v>41</v>
      </c>
      <c r="B9632" t="s">
        <v>9049</v>
      </c>
      <c r="C9632" t="s">
        <v>19529</v>
      </c>
      <c r="D9632" t="s">
        <v>20</v>
      </c>
      <c r="E9632" t="s">
        <v>11</v>
      </c>
      <c r="F9632">
        <v>54067.2</v>
      </c>
      <c r="G9632">
        <v>18</v>
      </c>
    </row>
    <row r="9633" spans="1:7" x14ac:dyDescent="0.25">
      <c r="A9633" t="s">
        <v>41</v>
      </c>
      <c r="B9633" t="s">
        <v>9052</v>
      </c>
      <c r="C9633" t="s">
        <v>19516</v>
      </c>
      <c r="D9633" t="s">
        <v>20</v>
      </c>
      <c r="E9633" t="s">
        <v>11</v>
      </c>
      <c r="F9633">
        <v>54067.2</v>
      </c>
      <c r="G9633">
        <v>18</v>
      </c>
    </row>
    <row r="9634" spans="1:7" x14ac:dyDescent="0.25">
      <c r="A9634" t="s">
        <v>41</v>
      </c>
      <c r="B9634" t="s">
        <v>9055</v>
      </c>
      <c r="C9634" t="s">
        <v>17642</v>
      </c>
      <c r="D9634" t="s">
        <v>20</v>
      </c>
      <c r="E9634" t="s">
        <v>11</v>
      </c>
      <c r="F9634">
        <v>7769.299999999999</v>
      </c>
      <c r="G9634">
        <v>18</v>
      </c>
    </row>
    <row r="9635" spans="1:7" x14ac:dyDescent="0.25">
      <c r="A9635" t="s">
        <v>41</v>
      </c>
      <c r="B9635" t="s">
        <v>9058</v>
      </c>
      <c r="C9635" t="s">
        <v>17643</v>
      </c>
      <c r="D9635" t="s">
        <v>20</v>
      </c>
      <c r="E9635" t="s">
        <v>11</v>
      </c>
      <c r="F9635">
        <v>5872.9</v>
      </c>
      <c r="G9635">
        <v>18</v>
      </c>
    </row>
    <row r="9636" spans="1:7" x14ac:dyDescent="0.25">
      <c r="A9636" t="s">
        <v>41</v>
      </c>
      <c r="B9636" t="s">
        <v>9061</v>
      </c>
      <c r="C9636" t="s">
        <v>19001</v>
      </c>
      <c r="D9636" t="s">
        <v>20</v>
      </c>
      <c r="E9636" t="s">
        <v>11</v>
      </c>
      <c r="F9636">
        <v>9972.6</v>
      </c>
      <c r="G9636">
        <v>18</v>
      </c>
    </row>
    <row r="9637" spans="1:7" x14ac:dyDescent="0.25">
      <c r="A9637" t="s">
        <v>41</v>
      </c>
      <c r="B9637" t="s">
        <v>9064</v>
      </c>
      <c r="C9637" t="s">
        <v>18445</v>
      </c>
      <c r="D9637" t="s">
        <v>20</v>
      </c>
      <c r="E9637" t="s">
        <v>11</v>
      </c>
      <c r="F9637">
        <v>15730</v>
      </c>
      <c r="G9637">
        <v>18</v>
      </c>
    </row>
    <row r="9638" spans="1:7" x14ac:dyDescent="0.25">
      <c r="A9638" t="s">
        <v>41</v>
      </c>
      <c r="B9638" t="s">
        <v>9067</v>
      </c>
      <c r="C9638" t="s">
        <v>19520</v>
      </c>
      <c r="D9638" t="s">
        <v>20</v>
      </c>
      <c r="E9638" t="s">
        <v>11</v>
      </c>
      <c r="F9638">
        <v>14859.9</v>
      </c>
      <c r="G9638">
        <v>18</v>
      </c>
    </row>
    <row r="9639" spans="1:7" x14ac:dyDescent="0.25">
      <c r="A9639" t="s">
        <v>41</v>
      </c>
      <c r="B9639" t="s">
        <v>9070</v>
      </c>
      <c r="C9639" t="s">
        <v>18990</v>
      </c>
      <c r="D9639" t="s">
        <v>20</v>
      </c>
      <c r="E9639" t="s">
        <v>11</v>
      </c>
      <c r="F9639">
        <v>5245.9</v>
      </c>
      <c r="G9639">
        <v>18</v>
      </c>
    </row>
    <row r="9640" spans="1:7" x14ac:dyDescent="0.25">
      <c r="A9640" t="s">
        <v>41</v>
      </c>
      <c r="B9640" t="s">
        <v>9073</v>
      </c>
      <c r="C9640" t="s">
        <v>18121</v>
      </c>
      <c r="D9640" t="s">
        <v>20</v>
      </c>
      <c r="E9640" t="s">
        <v>11</v>
      </c>
      <c r="F9640">
        <v>2952.4</v>
      </c>
      <c r="G9640">
        <v>18</v>
      </c>
    </row>
    <row r="9641" spans="1:7" x14ac:dyDescent="0.25">
      <c r="A9641" t="s">
        <v>41</v>
      </c>
      <c r="B9641" t="s">
        <v>9076</v>
      </c>
      <c r="C9641" t="s">
        <v>19530</v>
      </c>
      <c r="D9641" t="s">
        <v>20</v>
      </c>
      <c r="E9641" t="s">
        <v>11</v>
      </c>
      <c r="F9641">
        <v>12883.2</v>
      </c>
      <c r="G9641">
        <v>18</v>
      </c>
    </row>
    <row r="9642" spans="1:7" x14ac:dyDescent="0.25">
      <c r="A9642" t="s">
        <v>41</v>
      </c>
      <c r="B9642" t="s">
        <v>9079</v>
      </c>
      <c r="C9642" t="s">
        <v>19531</v>
      </c>
      <c r="D9642" t="s">
        <v>20</v>
      </c>
      <c r="E9642" t="s">
        <v>11</v>
      </c>
      <c r="F9642">
        <v>12883.2</v>
      </c>
      <c r="G9642">
        <v>18</v>
      </c>
    </row>
    <row r="9643" spans="1:7" x14ac:dyDescent="0.25">
      <c r="A9643" t="s">
        <v>41</v>
      </c>
      <c r="B9643" t="s">
        <v>9082</v>
      </c>
      <c r="C9643" t="s">
        <v>18048</v>
      </c>
      <c r="D9643" t="s">
        <v>20</v>
      </c>
      <c r="E9643" t="s">
        <v>11</v>
      </c>
      <c r="F9643">
        <v>58.300000000000004</v>
      </c>
      <c r="G9643">
        <v>18</v>
      </c>
    </row>
    <row r="9644" spans="1:7" x14ac:dyDescent="0.25">
      <c r="A9644" t="s">
        <v>41</v>
      </c>
      <c r="B9644" t="s">
        <v>9085</v>
      </c>
      <c r="C9644" t="s">
        <v>19532</v>
      </c>
      <c r="D9644" t="s">
        <v>20</v>
      </c>
      <c r="E9644" t="s">
        <v>11</v>
      </c>
      <c r="F9644">
        <v>750.2</v>
      </c>
      <c r="G9644">
        <v>18</v>
      </c>
    </row>
    <row r="9645" spans="1:7" x14ac:dyDescent="0.25">
      <c r="A9645" t="s">
        <v>41</v>
      </c>
      <c r="B9645" t="s">
        <v>9088</v>
      </c>
      <c r="C9645" t="s">
        <v>19533</v>
      </c>
      <c r="D9645" t="s">
        <v>20</v>
      </c>
      <c r="E9645" t="s">
        <v>11</v>
      </c>
      <c r="F9645">
        <v>334.4</v>
      </c>
      <c r="G9645">
        <v>18</v>
      </c>
    </row>
    <row r="9646" spans="1:7" x14ac:dyDescent="0.25">
      <c r="A9646" t="s">
        <v>41</v>
      </c>
      <c r="B9646" t="s">
        <v>9091</v>
      </c>
      <c r="C9646" t="s">
        <v>19269</v>
      </c>
      <c r="D9646" t="s">
        <v>20</v>
      </c>
      <c r="E9646" t="s">
        <v>11</v>
      </c>
      <c r="F9646">
        <v>1659.9</v>
      </c>
      <c r="G9646">
        <v>18</v>
      </c>
    </row>
    <row r="9647" spans="1:7" x14ac:dyDescent="0.25">
      <c r="A9647" t="s">
        <v>41</v>
      </c>
      <c r="B9647" t="s">
        <v>9094</v>
      </c>
      <c r="C9647" t="s">
        <v>19270</v>
      </c>
      <c r="D9647" t="s">
        <v>20</v>
      </c>
      <c r="E9647" t="s">
        <v>11</v>
      </c>
      <c r="F9647">
        <v>3272.5</v>
      </c>
      <c r="G9647">
        <v>18</v>
      </c>
    </row>
    <row r="9648" spans="1:7" x14ac:dyDescent="0.25">
      <c r="A9648" t="s">
        <v>41</v>
      </c>
      <c r="B9648" t="s">
        <v>9097</v>
      </c>
      <c r="C9648" t="s">
        <v>18143</v>
      </c>
      <c r="D9648" t="s">
        <v>20</v>
      </c>
      <c r="E9648" t="s">
        <v>11</v>
      </c>
      <c r="F9648">
        <v>546.6999999999999</v>
      </c>
      <c r="G9648">
        <v>18</v>
      </c>
    </row>
    <row r="9649" spans="1:7" x14ac:dyDescent="0.25">
      <c r="A9649" t="s">
        <v>41</v>
      </c>
      <c r="B9649" t="s">
        <v>9100</v>
      </c>
      <c r="C9649" t="s">
        <v>17909</v>
      </c>
      <c r="D9649" t="s">
        <v>20</v>
      </c>
      <c r="E9649" t="s">
        <v>11</v>
      </c>
      <c r="F9649">
        <v>58.300000000000004</v>
      </c>
      <c r="G9649">
        <v>18</v>
      </c>
    </row>
    <row r="9650" spans="1:7" x14ac:dyDescent="0.25">
      <c r="A9650" t="s">
        <v>41</v>
      </c>
      <c r="B9650" t="s">
        <v>9103</v>
      </c>
      <c r="C9650" t="s">
        <v>17838</v>
      </c>
      <c r="D9650" t="s">
        <v>20</v>
      </c>
      <c r="E9650" t="s">
        <v>11</v>
      </c>
      <c r="F9650">
        <v>40.7</v>
      </c>
      <c r="G9650">
        <v>18</v>
      </c>
    </row>
    <row r="9651" spans="1:7" x14ac:dyDescent="0.25">
      <c r="A9651" t="s">
        <v>41</v>
      </c>
      <c r="B9651" t="s">
        <v>9106</v>
      </c>
      <c r="C9651" t="s">
        <v>17737</v>
      </c>
      <c r="D9651" t="s">
        <v>20</v>
      </c>
      <c r="E9651" t="s">
        <v>11</v>
      </c>
      <c r="F9651">
        <v>57.2</v>
      </c>
      <c r="G9651">
        <v>18</v>
      </c>
    </row>
    <row r="9652" spans="1:7" x14ac:dyDescent="0.25">
      <c r="A9652" t="s">
        <v>41</v>
      </c>
      <c r="B9652" t="s">
        <v>9109</v>
      </c>
      <c r="C9652" t="s">
        <v>19534</v>
      </c>
      <c r="D9652" t="s">
        <v>20</v>
      </c>
      <c r="E9652" t="s">
        <v>11</v>
      </c>
      <c r="F9652">
        <v>143</v>
      </c>
      <c r="G9652">
        <v>18</v>
      </c>
    </row>
    <row r="9653" spans="1:7" x14ac:dyDescent="0.25">
      <c r="A9653" t="s">
        <v>41</v>
      </c>
      <c r="B9653" t="s">
        <v>9112</v>
      </c>
      <c r="C9653" t="s">
        <v>17841</v>
      </c>
      <c r="D9653" t="s">
        <v>20</v>
      </c>
      <c r="E9653" t="s">
        <v>11</v>
      </c>
      <c r="F9653">
        <v>2054.8</v>
      </c>
      <c r="G9653">
        <v>18</v>
      </c>
    </row>
    <row r="9654" spans="1:7" x14ac:dyDescent="0.25">
      <c r="A9654" t="s">
        <v>41</v>
      </c>
      <c r="B9654" t="s">
        <v>9115</v>
      </c>
      <c r="C9654" t="s">
        <v>17552</v>
      </c>
      <c r="D9654" t="s">
        <v>20</v>
      </c>
      <c r="E9654" t="s">
        <v>11</v>
      </c>
      <c r="F9654">
        <v>2054.8</v>
      </c>
      <c r="G9654">
        <v>18</v>
      </c>
    </row>
    <row r="9655" spans="1:7" x14ac:dyDescent="0.25">
      <c r="A9655" t="s">
        <v>41</v>
      </c>
      <c r="B9655" t="s">
        <v>9118</v>
      </c>
      <c r="C9655" t="s">
        <v>19009</v>
      </c>
      <c r="D9655" t="s">
        <v>20</v>
      </c>
      <c r="E9655" t="s">
        <v>11</v>
      </c>
      <c r="F9655">
        <v>214.5</v>
      </c>
      <c r="G9655">
        <v>18</v>
      </c>
    </row>
    <row r="9656" spans="1:7" x14ac:dyDescent="0.25">
      <c r="A9656" t="s">
        <v>41</v>
      </c>
      <c r="B9656" t="s">
        <v>9121</v>
      </c>
      <c r="C9656" t="s">
        <v>17845</v>
      </c>
      <c r="D9656" t="s">
        <v>20</v>
      </c>
      <c r="E9656" t="s">
        <v>11</v>
      </c>
      <c r="F9656">
        <v>269.5</v>
      </c>
      <c r="G9656">
        <v>18</v>
      </c>
    </row>
    <row r="9657" spans="1:7" x14ac:dyDescent="0.25">
      <c r="A9657" t="s">
        <v>41</v>
      </c>
      <c r="B9657" t="s">
        <v>9124</v>
      </c>
      <c r="C9657" t="s">
        <v>17831</v>
      </c>
      <c r="D9657" t="s">
        <v>20</v>
      </c>
      <c r="E9657" t="s">
        <v>11</v>
      </c>
      <c r="F9657">
        <v>229.89999999999998</v>
      </c>
      <c r="G9657">
        <v>18</v>
      </c>
    </row>
    <row r="9658" spans="1:7" x14ac:dyDescent="0.25">
      <c r="A9658" t="s">
        <v>41</v>
      </c>
      <c r="B9658" t="s">
        <v>9127</v>
      </c>
      <c r="C9658" t="s">
        <v>18935</v>
      </c>
      <c r="D9658" t="s">
        <v>20</v>
      </c>
      <c r="E9658" t="s">
        <v>11</v>
      </c>
      <c r="F9658">
        <v>61.60000000000001</v>
      </c>
      <c r="G9658">
        <v>18</v>
      </c>
    </row>
    <row r="9659" spans="1:7" x14ac:dyDescent="0.25">
      <c r="A9659" t="s">
        <v>41</v>
      </c>
      <c r="B9659" t="s">
        <v>9130</v>
      </c>
      <c r="C9659" t="s">
        <v>18696</v>
      </c>
      <c r="D9659" t="s">
        <v>20</v>
      </c>
      <c r="E9659" t="s">
        <v>11</v>
      </c>
      <c r="F9659">
        <v>30.800000000000004</v>
      </c>
      <c r="G9659">
        <v>18</v>
      </c>
    </row>
    <row r="9660" spans="1:7" x14ac:dyDescent="0.25">
      <c r="A9660" t="s">
        <v>41</v>
      </c>
      <c r="B9660" t="s">
        <v>9133</v>
      </c>
      <c r="C9660" t="s">
        <v>19535</v>
      </c>
      <c r="D9660" t="s">
        <v>20</v>
      </c>
      <c r="E9660" t="s">
        <v>11</v>
      </c>
      <c r="F9660">
        <v>70.4</v>
      </c>
      <c r="G9660">
        <v>18</v>
      </c>
    </row>
    <row r="9661" spans="1:7" x14ac:dyDescent="0.25">
      <c r="A9661" t="s">
        <v>41</v>
      </c>
      <c r="B9661" t="s">
        <v>9136</v>
      </c>
      <c r="C9661" t="s">
        <v>17680</v>
      </c>
      <c r="D9661" t="s">
        <v>20</v>
      </c>
      <c r="E9661" t="s">
        <v>11</v>
      </c>
      <c r="F9661">
        <v>2599.2999999999997</v>
      </c>
      <c r="G9661">
        <v>18</v>
      </c>
    </row>
    <row r="9662" spans="1:7" x14ac:dyDescent="0.25">
      <c r="A9662" t="s">
        <v>41</v>
      </c>
      <c r="B9662" t="s">
        <v>9139</v>
      </c>
      <c r="C9662" t="s">
        <v>17545</v>
      </c>
      <c r="D9662" t="s">
        <v>20</v>
      </c>
      <c r="E9662" t="s">
        <v>11</v>
      </c>
      <c r="F9662">
        <v>2516.7999999999997</v>
      </c>
      <c r="G9662">
        <v>18</v>
      </c>
    </row>
    <row r="9663" spans="1:7" x14ac:dyDescent="0.25">
      <c r="A9663" t="s">
        <v>41</v>
      </c>
      <c r="B9663" t="s">
        <v>9142</v>
      </c>
      <c r="C9663" t="s">
        <v>19536</v>
      </c>
      <c r="D9663" t="s">
        <v>20</v>
      </c>
      <c r="E9663" t="s">
        <v>11</v>
      </c>
      <c r="F9663">
        <v>61.60000000000001</v>
      </c>
      <c r="G9663">
        <v>18</v>
      </c>
    </row>
    <row r="9664" spans="1:7" x14ac:dyDescent="0.25">
      <c r="A9664" t="s">
        <v>41</v>
      </c>
      <c r="B9664" t="s">
        <v>9145</v>
      </c>
      <c r="C9664" t="s">
        <v>19537</v>
      </c>
      <c r="D9664" t="s">
        <v>20</v>
      </c>
      <c r="E9664" t="s">
        <v>11</v>
      </c>
      <c r="F9664">
        <v>7979.400000000001</v>
      </c>
      <c r="G9664">
        <v>18</v>
      </c>
    </row>
    <row r="9665" spans="1:7" x14ac:dyDescent="0.25">
      <c r="A9665" t="s">
        <v>41</v>
      </c>
      <c r="B9665" t="s">
        <v>9148</v>
      </c>
      <c r="C9665" t="s">
        <v>19538</v>
      </c>
      <c r="D9665" t="s">
        <v>20</v>
      </c>
      <c r="E9665" t="s">
        <v>11</v>
      </c>
      <c r="F9665">
        <v>7979.400000000001</v>
      </c>
      <c r="G9665">
        <v>18</v>
      </c>
    </row>
    <row r="9666" spans="1:7" x14ac:dyDescent="0.25">
      <c r="A9666" t="s">
        <v>41</v>
      </c>
      <c r="B9666" t="s">
        <v>9151</v>
      </c>
      <c r="C9666" t="s">
        <v>18932</v>
      </c>
      <c r="D9666" t="s">
        <v>20</v>
      </c>
      <c r="E9666" t="s">
        <v>11</v>
      </c>
      <c r="F9666">
        <v>70.4</v>
      </c>
      <c r="G9666">
        <v>18</v>
      </c>
    </row>
    <row r="9667" spans="1:7" x14ac:dyDescent="0.25">
      <c r="A9667" t="s">
        <v>41</v>
      </c>
      <c r="B9667" t="s">
        <v>9154</v>
      </c>
      <c r="C9667" t="s">
        <v>17736</v>
      </c>
      <c r="D9667" t="s">
        <v>20</v>
      </c>
      <c r="E9667" t="s">
        <v>11</v>
      </c>
      <c r="F9667">
        <v>57.2</v>
      </c>
      <c r="G9667">
        <v>18</v>
      </c>
    </row>
    <row r="9668" spans="1:7" x14ac:dyDescent="0.25">
      <c r="A9668" t="s">
        <v>41</v>
      </c>
      <c r="B9668" t="s">
        <v>9157</v>
      </c>
      <c r="C9668" t="s">
        <v>18231</v>
      </c>
      <c r="D9668" t="s">
        <v>20</v>
      </c>
      <c r="E9668" t="s">
        <v>11</v>
      </c>
      <c r="F9668">
        <v>58.300000000000004</v>
      </c>
      <c r="G9668">
        <v>18</v>
      </c>
    </row>
    <row r="9669" spans="1:7" x14ac:dyDescent="0.25">
      <c r="A9669" t="s">
        <v>41</v>
      </c>
      <c r="B9669" t="s">
        <v>9160</v>
      </c>
      <c r="C9669" t="s">
        <v>17654</v>
      </c>
      <c r="D9669" t="s">
        <v>20</v>
      </c>
      <c r="E9669" t="s">
        <v>11</v>
      </c>
      <c r="F9669">
        <v>57.2</v>
      </c>
      <c r="G9669">
        <v>18</v>
      </c>
    </row>
    <row r="9670" spans="1:7" x14ac:dyDescent="0.25">
      <c r="A9670" t="s">
        <v>41</v>
      </c>
      <c r="B9670" t="s">
        <v>9163</v>
      </c>
      <c r="C9670" t="s">
        <v>19539</v>
      </c>
      <c r="D9670" t="s">
        <v>20</v>
      </c>
      <c r="E9670" t="s">
        <v>11</v>
      </c>
      <c r="F9670">
        <v>9077.199999999999</v>
      </c>
      <c r="G9670">
        <v>18</v>
      </c>
    </row>
    <row r="9671" spans="1:7" x14ac:dyDescent="0.25">
      <c r="A9671" t="s">
        <v>41</v>
      </c>
      <c r="B9671" t="s">
        <v>9166</v>
      </c>
      <c r="C9671" t="s">
        <v>18935</v>
      </c>
      <c r="D9671" t="s">
        <v>20</v>
      </c>
      <c r="E9671" t="s">
        <v>11</v>
      </c>
      <c r="F9671">
        <v>61.60000000000001</v>
      </c>
      <c r="G9671">
        <v>18</v>
      </c>
    </row>
    <row r="9672" spans="1:7" x14ac:dyDescent="0.25">
      <c r="A9672" t="s">
        <v>41</v>
      </c>
      <c r="B9672" t="s">
        <v>9169</v>
      </c>
      <c r="C9672" t="s">
        <v>19540</v>
      </c>
      <c r="D9672" t="s">
        <v>20</v>
      </c>
      <c r="E9672" t="s">
        <v>11</v>
      </c>
      <c r="F9672">
        <v>1025.2</v>
      </c>
      <c r="G9672">
        <v>18</v>
      </c>
    </row>
    <row r="9673" spans="1:7" x14ac:dyDescent="0.25">
      <c r="A9673" t="s">
        <v>41</v>
      </c>
      <c r="B9673" t="s">
        <v>9172</v>
      </c>
      <c r="C9673" t="s">
        <v>19541</v>
      </c>
      <c r="D9673" t="s">
        <v>20</v>
      </c>
      <c r="E9673" t="s">
        <v>11</v>
      </c>
      <c r="F9673">
        <v>8132.300000000001</v>
      </c>
      <c r="G9673">
        <v>18</v>
      </c>
    </row>
    <row r="9674" spans="1:7" x14ac:dyDescent="0.25">
      <c r="A9674" t="s">
        <v>41</v>
      </c>
      <c r="B9674" t="s">
        <v>9175</v>
      </c>
      <c r="C9674" t="s">
        <v>18042</v>
      </c>
      <c r="D9674" t="s">
        <v>20</v>
      </c>
      <c r="E9674" t="s">
        <v>11</v>
      </c>
      <c r="F9674">
        <v>4437.400000000001</v>
      </c>
      <c r="G9674">
        <v>18</v>
      </c>
    </row>
    <row r="9675" spans="1:7" x14ac:dyDescent="0.25">
      <c r="A9675" t="s">
        <v>41</v>
      </c>
      <c r="B9675" t="s">
        <v>9178</v>
      </c>
      <c r="C9675" t="s">
        <v>19542</v>
      </c>
      <c r="D9675" t="s">
        <v>20</v>
      </c>
      <c r="E9675" t="s">
        <v>11</v>
      </c>
      <c r="F9675">
        <v>143</v>
      </c>
      <c r="G9675">
        <v>18</v>
      </c>
    </row>
    <row r="9676" spans="1:7" x14ac:dyDescent="0.25">
      <c r="A9676" t="s">
        <v>41</v>
      </c>
      <c r="B9676" t="s">
        <v>9181</v>
      </c>
      <c r="C9676" t="s">
        <v>17749</v>
      </c>
      <c r="D9676" t="s">
        <v>20</v>
      </c>
      <c r="E9676" t="s">
        <v>11</v>
      </c>
      <c r="F9676">
        <v>58.300000000000004</v>
      </c>
      <c r="G9676">
        <v>18</v>
      </c>
    </row>
    <row r="9677" spans="1:7" x14ac:dyDescent="0.25">
      <c r="A9677" t="s">
        <v>41</v>
      </c>
      <c r="B9677" t="s">
        <v>9184</v>
      </c>
      <c r="C9677" t="s">
        <v>19543</v>
      </c>
      <c r="D9677" t="s">
        <v>20</v>
      </c>
      <c r="E9677" t="s">
        <v>11</v>
      </c>
      <c r="F9677">
        <v>32178.299999999996</v>
      </c>
      <c r="G9677">
        <v>18</v>
      </c>
    </row>
    <row r="9678" spans="1:7" x14ac:dyDescent="0.25">
      <c r="A9678" t="s">
        <v>41</v>
      </c>
      <c r="B9678" t="s">
        <v>9187</v>
      </c>
      <c r="C9678" t="s">
        <v>19544</v>
      </c>
      <c r="D9678" t="s">
        <v>20</v>
      </c>
      <c r="E9678" t="s">
        <v>11</v>
      </c>
      <c r="F9678">
        <v>36392.399999999994</v>
      </c>
      <c r="G9678">
        <v>18</v>
      </c>
    </row>
    <row r="9679" spans="1:7" x14ac:dyDescent="0.25">
      <c r="A9679" t="s">
        <v>41</v>
      </c>
      <c r="B9679" t="s">
        <v>9190</v>
      </c>
      <c r="C9679" t="s">
        <v>19545</v>
      </c>
      <c r="D9679" t="s">
        <v>20</v>
      </c>
      <c r="E9679" t="s">
        <v>11</v>
      </c>
      <c r="F9679">
        <v>32178.299999999996</v>
      </c>
      <c r="G9679">
        <v>18</v>
      </c>
    </row>
    <row r="9680" spans="1:7" x14ac:dyDescent="0.25">
      <c r="A9680" t="s">
        <v>41</v>
      </c>
      <c r="B9680" t="s">
        <v>9193</v>
      </c>
      <c r="C9680" t="s">
        <v>19546</v>
      </c>
      <c r="D9680" t="s">
        <v>20</v>
      </c>
      <c r="E9680" t="s">
        <v>11</v>
      </c>
      <c r="F9680">
        <v>25751</v>
      </c>
      <c r="G9680">
        <v>18</v>
      </c>
    </row>
    <row r="9681" spans="1:7" x14ac:dyDescent="0.25">
      <c r="A9681" t="s">
        <v>41</v>
      </c>
      <c r="B9681" t="s">
        <v>9196</v>
      </c>
      <c r="C9681" t="s">
        <v>19547</v>
      </c>
      <c r="D9681" t="s">
        <v>20</v>
      </c>
      <c r="E9681" t="s">
        <v>11</v>
      </c>
      <c r="F9681">
        <v>140.8</v>
      </c>
      <c r="G9681">
        <v>18</v>
      </c>
    </row>
    <row r="9682" spans="1:7" x14ac:dyDescent="0.25">
      <c r="A9682" t="s">
        <v>41</v>
      </c>
      <c r="B9682" t="s">
        <v>9199</v>
      </c>
      <c r="C9682" t="s">
        <v>19548</v>
      </c>
      <c r="D9682" t="s">
        <v>20</v>
      </c>
      <c r="E9682" t="s">
        <v>11</v>
      </c>
      <c r="F9682">
        <v>57.2</v>
      </c>
      <c r="G9682">
        <v>18</v>
      </c>
    </row>
    <row r="9683" spans="1:7" x14ac:dyDescent="0.25">
      <c r="A9683" t="s">
        <v>41</v>
      </c>
      <c r="B9683" t="s">
        <v>9202</v>
      </c>
      <c r="C9683" t="s">
        <v>19549</v>
      </c>
      <c r="D9683" t="s">
        <v>20</v>
      </c>
      <c r="E9683" t="s">
        <v>11</v>
      </c>
      <c r="F9683">
        <v>264</v>
      </c>
      <c r="G9683">
        <v>18</v>
      </c>
    </row>
    <row r="9684" spans="1:7" x14ac:dyDescent="0.25">
      <c r="A9684" t="s">
        <v>41</v>
      </c>
      <c r="B9684" t="s">
        <v>9205</v>
      </c>
      <c r="C9684" t="s">
        <v>19550</v>
      </c>
      <c r="D9684" t="s">
        <v>20</v>
      </c>
      <c r="E9684" t="s">
        <v>11</v>
      </c>
      <c r="F9684">
        <v>275</v>
      </c>
      <c r="G9684">
        <v>18</v>
      </c>
    </row>
    <row r="9685" spans="1:7" x14ac:dyDescent="0.25">
      <c r="A9685" t="s">
        <v>41</v>
      </c>
      <c r="B9685" t="s">
        <v>9208</v>
      </c>
      <c r="C9685" t="s">
        <v>19551</v>
      </c>
      <c r="D9685" t="s">
        <v>20</v>
      </c>
      <c r="E9685" t="s">
        <v>11</v>
      </c>
      <c r="F9685">
        <v>1756.7</v>
      </c>
      <c r="G9685">
        <v>18</v>
      </c>
    </row>
    <row r="9686" spans="1:7" x14ac:dyDescent="0.25">
      <c r="A9686" t="s">
        <v>41</v>
      </c>
      <c r="B9686" t="s">
        <v>9211</v>
      </c>
      <c r="C9686" t="s">
        <v>19552</v>
      </c>
      <c r="D9686" t="s">
        <v>20</v>
      </c>
      <c r="E9686" t="s">
        <v>11</v>
      </c>
      <c r="F9686">
        <v>184.79999999999998</v>
      </c>
      <c r="G9686">
        <v>18</v>
      </c>
    </row>
    <row r="9687" spans="1:7" x14ac:dyDescent="0.25">
      <c r="A9687" t="s">
        <v>41</v>
      </c>
      <c r="B9687" t="s">
        <v>9214</v>
      </c>
      <c r="C9687" t="s">
        <v>19018</v>
      </c>
      <c r="D9687" t="s">
        <v>20</v>
      </c>
      <c r="E9687" t="s">
        <v>11</v>
      </c>
      <c r="F9687">
        <v>1182.5</v>
      </c>
      <c r="G9687">
        <v>18</v>
      </c>
    </row>
    <row r="9688" spans="1:7" x14ac:dyDescent="0.25">
      <c r="A9688" t="s">
        <v>41</v>
      </c>
      <c r="B9688" t="s">
        <v>9217</v>
      </c>
      <c r="C9688" t="s">
        <v>19553</v>
      </c>
      <c r="D9688" t="s">
        <v>20</v>
      </c>
      <c r="E9688" t="s">
        <v>11</v>
      </c>
      <c r="F9688">
        <v>1437.7</v>
      </c>
      <c r="G9688">
        <v>18</v>
      </c>
    </row>
    <row r="9689" spans="1:7" x14ac:dyDescent="0.25">
      <c r="A9689" t="s">
        <v>41</v>
      </c>
      <c r="B9689" t="s">
        <v>9220</v>
      </c>
      <c r="C9689" t="s">
        <v>19022</v>
      </c>
      <c r="D9689" t="s">
        <v>20</v>
      </c>
      <c r="E9689" t="s">
        <v>11</v>
      </c>
      <c r="F9689">
        <v>57.2</v>
      </c>
      <c r="G9689">
        <v>18</v>
      </c>
    </row>
    <row r="9690" spans="1:7" x14ac:dyDescent="0.25">
      <c r="A9690" t="s">
        <v>41</v>
      </c>
      <c r="B9690" t="s">
        <v>9223</v>
      </c>
      <c r="C9690" t="s">
        <v>17592</v>
      </c>
      <c r="D9690" t="s">
        <v>20</v>
      </c>
      <c r="E9690" t="s">
        <v>11</v>
      </c>
      <c r="F9690">
        <v>661.1</v>
      </c>
      <c r="G9690">
        <v>18</v>
      </c>
    </row>
    <row r="9691" spans="1:7" x14ac:dyDescent="0.25">
      <c r="A9691" t="s">
        <v>41</v>
      </c>
      <c r="B9691" t="s">
        <v>9226</v>
      </c>
      <c r="C9691" t="s">
        <v>19554</v>
      </c>
      <c r="D9691" t="s">
        <v>20</v>
      </c>
      <c r="E9691" t="s">
        <v>11</v>
      </c>
      <c r="F9691">
        <v>12883.2</v>
      </c>
      <c r="G9691">
        <v>18</v>
      </c>
    </row>
    <row r="9692" spans="1:7" x14ac:dyDescent="0.25">
      <c r="A9692" t="s">
        <v>41</v>
      </c>
      <c r="B9692" t="s">
        <v>9229</v>
      </c>
      <c r="C9692" t="s">
        <v>19555</v>
      </c>
      <c r="D9692" t="s">
        <v>20</v>
      </c>
      <c r="E9692" t="s">
        <v>11</v>
      </c>
      <c r="F9692">
        <v>57.2</v>
      </c>
      <c r="G9692">
        <v>18</v>
      </c>
    </row>
    <row r="9693" spans="1:7" x14ac:dyDescent="0.25">
      <c r="A9693" t="s">
        <v>41</v>
      </c>
      <c r="B9693" t="s">
        <v>9232</v>
      </c>
      <c r="C9693" t="s">
        <v>19556</v>
      </c>
      <c r="D9693" t="s">
        <v>20</v>
      </c>
      <c r="E9693" t="s">
        <v>11</v>
      </c>
      <c r="F9693">
        <v>22770</v>
      </c>
      <c r="G9693">
        <v>18</v>
      </c>
    </row>
    <row r="9694" spans="1:7" x14ac:dyDescent="0.25">
      <c r="A9694" t="s">
        <v>41</v>
      </c>
      <c r="B9694" t="s">
        <v>9235</v>
      </c>
      <c r="C9694" t="s">
        <v>19557</v>
      </c>
      <c r="D9694" t="s">
        <v>20</v>
      </c>
      <c r="E9694" t="s">
        <v>11</v>
      </c>
      <c r="F9694">
        <v>22770</v>
      </c>
      <c r="G9694">
        <v>18</v>
      </c>
    </row>
    <row r="9695" spans="1:7" x14ac:dyDescent="0.25">
      <c r="A9695" t="s">
        <v>41</v>
      </c>
      <c r="B9695" t="s">
        <v>9238</v>
      </c>
      <c r="C9695" t="s">
        <v>19558</v>
      </c>
      <c r="D9695" t="s">
        <v>20</v>
      </c>
      <c r="E9695" t="s">
        <v>11</v>
      </c>
      <c r="F9695">
        <v>2016.2999999999997</v>
      </c>
      <c r="G9695">
        <v>18</v>
      </c>
    </row>
    <row r="9696" spans="1:7" x14ac:dyDescent="0.25">
      <c r="A9696" t="s">
        <v>41</v>
      </c>
      <c r="B9696" t="s">
        <v>9241</v>
      </c>
      <c r="C9696" t="s">
        <v>19559</v>
      </c>
      <c r="D9696" t="s">
        <v>20</v>
      </c>
      <c r="E9696" t="s">
        <v>11</v>
      </c>
      <c r="F9696">
        <v>394.9</v>
      </c>
      <c r="G9696">
        <v>18</v>
      </c>
    </row>
    <row r="9697" spans="1:7" x14ac:dyDescent="0.25">
      <c r="A9697" t="s">
        <v>41</v>
      </c>
      <c r="B9697" t="s">
        <v>9244</v>
      </c>
      <c r="C9697" t="s">
        <v>19560</v>
      </c>
      <c r="D9697" t="s">
        <v>20</v>
      </c>
      <c r="E9697" t="s">
        <v>11</v>
      </c>
      <c r="F9697">
        <v>314.59999999999997</v>
      </c>
      <c r="G9697">
        <v>18</v>
      </c>
    </row>
    <row r="9698" spans="1:7" x14ac:dyDescent="0.25">
      <c r="A9698" t="s">
        <v>41</v>
      </c>
      <c r="B9698" t="s">
        <v>9247</v>
      </c>
      <c r="C9698" t="s">
        <v>19561</v>
      </c>
      <c r="D9698" t="s">
        <v>20</v>
      </c>
      <c r="E9698" t="s">
        <v>11</v>
      </c>
      <c r="F9698">
        <v>1446.5</v>
      </c>
      <c r="G9698">
        <v>18</v>
      </c>
    </row>
    <row r="9699" spans="1:7" x14ac:dyDescent="0.25">
      <c r="A9699" t="s">
        <v>41</v>
      </c>
      <c r="B9699" t="s">
        <v>9250</v>
      </c>
      <c r="C9699" t="s">
        <v>19562</v>
      </c>
      <c r="D9699" t="s">
        <v>20</v>
      </c>
      <c r="E9699" t="s">
        <v>11</v>
      </c>
      <c r="F9699">
        <v>469.69999999999993</v>
      </c>
      <c r="G9699">
        <v>18</v>
      </c>
    </row>
    <row r="9700" spans="1:7" x14ac:dyDescent="0.25">
      <c r="A9700" t="s">
        <v>41</v>
      </c>
      <c r="B9700" t="s">
        <v>9253</v>
      </c>
      <c r="C9700" t="s">
        <v>19563</v>
      </c>
      <c r="D9700" t="s">
        <v>20</v>
      </c>
      <c r="E9700" t="s">
        <v>11</v>
      </c>
      <c r="F9700">
        <v>804.0999999999999</v>
      </c>
      <c r="G9700">
        <v>18</v>
      </c>
    </row>
    <row r="9701" spans="1:7" x14ac:dyDescent="0.25">
      <c r="A9701" t="s">
        <v>41</v>
      </c>
      <c r="B9701" t="s">
        <v>9256</v>
      </c>
      <c r="C9701" t="s">
        <v>19564</v>
      </c>
      <c r="D9701" t="s">
        <v>20</v>
      </c>
      <c r="E9701" t="s">
        <v>11</v>
      </c>
      <c r="F9701">
        <v>244.20000000000002</v>
      </c>
      <c r="G9701">
        <v>18</v>
      </c>
    </row>
    <row r="9702" spans="1:7" x14ac:dyDescent="0.25">
      <c r="A9702" t="s">
        <v>41</v>
      </c>
      <c r="B9702" t="s">
        <v>9259</v>
      </c>
      <c r="C9702" t="s">
        <v>19478</v>
      </c>
      <c r="D9702" t="s">
        <v>20</v>
      </c>
      <c r="E9702" t="s">
        <v>11</v>
      </c>
      <c r="F9702">
        <v>57.2</v>
      </c>
      <c r="G9702">
        <v>18</v>
      </c>
    </row>
    <row r="9703" spans="1:7" x14ac:dyDescent="0.25">
      <c r="A9703" t="s">
        <v>41</v>
      </c>
      <c r="B9703" t="s">
        <v>9262</v>
      </c>
      <c r="C9703" t="s">
        <v>19130</v>
      </c>
      <c r="D9703" t="s">
        <v>20</v>
      </c>
      <c r="E9703" t="s">
        <v>11</v>
      </c>
      <c r="F9703">
        <v>57.2</v>
      </c>
      <c r="G9703">
        <v>18</v>
      </c>
    </row>
    <row r="9704" spans="1:7" x14ac:dyDescent="0.25">
      <c r="A9704" t="s">
        <v>41</v>
      </c>
      <c r="B9704" t="s">
        <v>9265</v>
      </c>
      <c r="C9704" t="s">
        <v>19565</v>
      </c>
      <c r="D9704" t="s">
        <v>20</v>
      </c>
      <c r="E9704" t="s">
        <v>11</v>
      </c>
      <c r="F9704">
        <v>782.1</v>
      </c>
      <c r="G9704">
        <v>18</v>
      </c>
    </row>
    <row r="9705" spans="1:7" x14ac:dyDescent="0.25">
      <c r="A9705" t="s">
        <v>41</v>
      </c>
      <c r="B9705" t="s">
        <v>9268</v>
      </c>
      <c r="C9705" t="s">
        <v>18899</v>
      </c>
      <c r="D9705" t="s">
        <v>20</v>
      </c>
      <c r="E9705" t="s">
        <v>11</v>
      </c>
      <c r="F9705">
        <v>2366.1000000000004</v>
      </c>
      <c r="G9705">
        <v>18</v>
      </c>
    </row>
    <row r="9706" spans="1:7" x14ac:dyDescent="0.25">
      <c r="A9706" t="s">
        <v>41</v>
      </c>
      <c r="B9706" t="s">
        <v>9271</v>
      </c>
      <c r="C9706" t="s">
        <v>19566</v>
      </c>
      <c r="D9706" t="s">
        <v>20</v>
      </c>
      <c r="E9706" t="s">
        <v>11</v>
      </c>
      <c r="F9706">
        <v>8108.099999999999</v>
      </c>
      <c r="G9706">
        <v>18</v>
      </c>
    </row>
    <row r="9707" spans="1:7" x14ac:dyDescent="0.25">
      <c r="A9707" t="s">
        <v>41</v>
      </c>
      <c r="B9707" t="s">
        <v>9274</v>
      </c>
      <c r="C9707" t="s">
        <v>19567</v>
      </c>
      <c r="D9707" t="s">
        <v>20</v>
      </c>
      <c r="E9707" t="s">
        <v>11</v>
      </c>
      <c r="F9707">
        <v>444.4</v>
      </c>
      <c r="G9707">
        <v>18</v>
      </c>
    </row>
    <row r="9708" spans="1:7" x14ac:dyDescent="0.25">
      <c r="A9708" t="s">
        <v>41</v>
      </c>
      <c r="B9708" t="s">
        <v>9277</v>
      </c>
      <c r="C9708" t="s">
        <v>19568</v>
      </c>
      <c r="D9708" t="s">
        <v>20</v>
      </c>
      <c r="E9708" t="s">
        <v>11</v>
      </c>
      <c r="F9708">
        <v>61.60000000000001</v>
      </c>
      <c r="G9708">
        <v>18</v>
      </c>
    </row>
    <row r="9709" spans="1:7" x14ac:dyDescent="0.25">
      <c r="A9709" t="s">
        <v>41</v>
      </c>
      <c r="B9709" t="s">
        <v>9280</v>
      </c>
      <c r="C9709" t="s">
        <v>18696</v>
      </c>
      <c r="D9709" t="s">
        <v>20</v>
      </c>
      <c r="E9709" t="s">
        <v>11</v>
      </c>
      <c r="F9709">
        <v>30.800000000000004</v>
      </c>
      <c r="G9709">
        <v>18</v>
      </c>
    </row>
    <row r="9710" spans="1:7" x14ac:dyDescent="0.25">
      <c r="A9710" t="s">
        <v>41</v>
      </c>
      <c r="B9710" t="s">
        <v>9283</v>
      </c>
      <c r="C9710" t="s">
        <v>19569</v>
      </c>
      <c r="D9710" t="s">
        <v>20</v>
      </c>
      <c r="E9710" t="s">
        <v>11</v>
      </c>
      <c r="F9710">
        <v>529.0999999999999</v>
      </c>
      <c r="G9710">
        <v>18</v>
      </c>
    </row>
    <row r="9711" spans="1:7" x14ac:dyDescent="0.25">
      <c r="A9711" t="s">
        <v>41</v>
      </c>
      <c r="B9711" t="s">
        <v>9286</v>
      </c>
      <c r="C9711" t="s">
        <v>19570</v>
      </c>
      <c r="D9711" t="s">
        <v>20</v>
      </c>
      <c r="E9711" t="s">
        <v>11</v>
      </c>
      <c r="F9711">
        <v>1944.8</v>
      </c>
      <c r="G9711">
        <v>18</v>
      </c>
    </row>
    <row r="9712" spans="1:7" x14ac:dyDescent="0.25">
      <c r="A9712" t="s">
        <v>41</v>
      </c>
      <c r="B9712" t="s">
        <v>9289</v>
      </c>
      <c r="C9712" t="s">
        <v>17736</v>
      </c>
      <c r="D9712" t="s">
        <v>20</v>
      </c>
      <c r="E9712" t="s">
        <v>11</v>
      </c>
      <c r="F9712">
        <v>57.2</v>
      </c>
      <c r="G9712">
        <v>18</v>
      </c>
    </row>
    <row r="9713" spans="1:7" x14ac:dyDescent="0.25">
      <c r="A9713" t="s">
        <v>41</v>
      </c>
      <c r="B9713" t="s">
        <v>9292</v>
      </c>
      <c r="C9713" t="s">
        <v>19478</v>
      </c>
      <c r="D9713" t="s">
        <v>20</v>
      </c>
      <c r="E9713" t="s">
        <v>11</v>
      </c>
      <c r="F9713">
        <v>57.2</v>
      </c>
      <c r="G9713">
        <v>18</v>
      </c>
    </row>
    <row r="9714" spans="1:7" x14ac:dyDescent="0.25">
      <c r="A9714" t="s">
        <v>41</v>
      </c>
      <c r="B9714" t="s">
        <v>9295</v>
      </c>
      <c r="C9714" t="s">
        <v>19571</v>
      </c>
      <c r="D9714" t="s">
        <v>20</v>
      </c>
      <c r="E9714" t="s">
        <v>11</v>
      </c>
      <c r="F9714">
        <v>454.3</v>
      </c>
      <c r="G9714">
        <v>18</v>
      </c>
    </row>
    <row r="9715" spans="1:7" x14ac:dyDescent="0.25">
      <c r="A9715" t="s">
        <v>41</v>
      </c>
      <c r="B9715" t="s">
        <v>9298</v>
      </c>
      <c r="C9715" t="s">
        <v>19572</v>
      </c>
      <c r="D9715" t="s">
        <v>20</v>
      </c>
      <c r="E9715" t="s">
        <v>11</v>
      </c>
      <c r="F9715">
        <v>1873.3000000000002</v>
      </c>
      <c r="G9715">
        <v>18</v>
      </c>
    </row>
    <row r="9716" spans="1:7" x14ac:dyDescent="0.25">
      <c r="A9716" t="s">
        <v>41</v>
      </c>
      <c r="B9716" t="s">
        <v>9301</v>
      </c>
      <c r="C9716" t="s">
        <v>18239</v>
      </c>
      <c r="D9716" t="s">
        <v>20</v>
      </c>
      <c r="E9716" t="s">
        <v>11</v>
      </c>
      <c r="F9716">
        <v>201.3</v>
      </c>
      <c r="G9716">
        <v>18</v>
      </c>
    </row>
    <row r="9717" spans="1:7" x14ac:dyDescent="0.25">
      <c r="A9717" t="s">
        <v>41</v>
      </c>
      <c r="B9717" t="s">
        <v>9304</v>
      </c>
      <c r="C9717" t="s">
        <v>19573</v>
      </c>
      <c r="D9717" t="s">
        <v>20</v>
      </c>
      <c r="E9717" t="s">
        <v>11</v>
      </c>
      <c r="F9717">
        <v>1067</v>
      </c>
      <c r="G9717">
        <v>18</v>
      </c>
    </row>
    <row r="9718" spans="1:7" x14ac:dyDescent="0.25">
      <c r="A9718" t="s">
        <v>41</v>
      </c>
      <c r="B9718" t="s">
        <v>9307</v>
      </c>
      <c r="C9718" t="s">
        <v>19574</v>
      </c>
      <c r="D9718" t="s">
        <v>20</v>
      </c>
      <c r="E9718" t="s">
        <v>11</v>
      </c>
      <c r="F9718">
        <v>201.3</v>
      </c>
      <c r="G9718">
        <v>18</v>
      </c>
    </row>
    <row r="9719" spans="1:7" x14ac:dyDescent="0.25">
      <c r="A9719" t="s">
        <v>41</v>
      </c>
      <c r="B9719" t="s">
        <v>9310</v>
      </c>
      <c r="C9719" t="s">
        <v>19575</v>
      </c>
      <c r="D9719" t="s">
        <v>20</v>
      </c>
      <c r="E9719" t="s">
        <v>11</v>
      </c>
      <c r="F9719">
        <v>602.8000000000001</v>
      </c>
      <c r="G9719">
        <v>18</v>
      </c>
    </row>
    <row r="9720" spans="1:7" x14ac:dyDescent="0.25">
      <c r="A9720" t="s">
        <v>41</v>
      </c>
      <c r="B9720" t="s">
        <v>9313</v>
      </c>
      <c r="C9720" t="s">
        <v>19466</v>
      </c>
      <c r="D9720" t="s">
        <v>20</v>
      </c>
      <c r="E9720" t="s">
        <v>11</v>
      </c>
      <c r="F9720">
        <v>61.60000000000001</v>
      </c>
      <c r="G9720">
        <v>18</v>
      </c>
    </row>
    <row r="9721" spans="1:7" x14ac:dyDescent="0.25">
      <c r="A9721" t="s">
        <v>41</v>
      </c>
      <c r="B9721" t="s">
        <v>9316</v>
      </c>
      <c r="C9721" t="s">
        <v>19576</v>
      </c>
      <c r="D9721" t="s">
        <v>20</v>
      </c>
      <c r="E9721" t="s">
        <v>11</v>
      </c>
      <c r="F9721">
        <v>268.4</v>
      </c>
      <c r="G9721">
        <v>18</v>
      </c>
    </row>
    <row r="9722" spans="1:7" x14ac:dyDescent="0.25">
      <c r="A9722" t="s">
        <v>41</v>
      </c>
      <c r="B9722" t="s">
        <v>9319</v>
      </c>
      <c r="C9722" t="s">
        <v>19577</v>
      </c>
      <c r="D9722" t="s">
        <v>20</v>
      </c>
      <c r="E9722" t="s">
        <v>11</v>
      </c>
      <c r="F9722">
        <v>70.4</v>
      </c>
      <c r="G9722">
        <v>18</v>
      </c>
    </row>
    <row r="9723" spans="1:7" x14ac:dyDescent="0.25">
      <c r="A9723" t="s">
        <v>41</v>
      </c>
      <c r="B9723" t="s">
        <v>9322</v>
      </c>
      <c r="C9723" t="s">
        <v>19578</v>
      </c>
      <c r="D9723" t="s">
        <v>20</v>
      </c>
      <c r="E9723" t="s">
        <v>11</v>
      </c>
      <c r="F9723">
        <v>4259.2</v>
      </c>
      <c r="G9723">
        <v>18</v>
      </c>
    </row>
    <row r="9724" spans="1:7" x14ac:dyDescent="0.25">
      <c r="A9724" t="s">
        <v>41</v>
      </c>
      <c r="B9724" t="s">
        <v>9325</v>
      </c>
      <c r="C9724" t="s">
        <v>19579</v>
      </c>
      <c r="D9724" t="s">
        <v>20</v>
      </c>
      <c r="E9724" t="s">
        <v>11</v>
      </c>
      <c r="F9724">
        <v>4886.2</v>
      </c>
      <c r="G9724">
        <v>18</v>
      </c>
    </row>
    <row r="9725" spans="1:7" x14ac:dyDescent="0.25">
      <c r="A9725" t="s">
        <v>41</v>
      </c>
      <c r="B9725" t="s">
        <v>9328</v>
      </c>
      <c r="C9725" t="s">
        <v>19580</v>
      </c>
      <c r="D9725" t="s">
        <v>20</v>
      </c>
      <c r="E9725" t="s">
        <v>11</v>
      </c>
      <c r="F9725">
        <v>3814.8</v>
      </c>
      <c r="G9725">
        <v>18</v>
      </c>
    </row>
    <row r="9726" spans="1:7" x14ac:dyDescent="0.25">
      <c r="A9726" t="s">
        <v>41</v>
      </c>
      <c r="B9726" t="s">
        <v>9331</v>
      </c>
      <c r="C9726" t="s">
        <v>19581</v>
      </c>
      <c r="D9726" t="s">
        <v>20</v>
      </c>
      <c r="E9726" t="s">
        <v>11</v>
      </c>
      <c r="F9726">
        <v>2755.5</v>
      </c>
      <c r="G9726">
        <v>18</v>
      </c>
    </row>
    <row r="9727" spans="1:7" x14ac:dyDescent="0.25">
      <c r="A9727" t="s">
        <v>41</v>
      </c>
      <c r="B9727" t="s">
        <v>9334</v>
      </c>
      <c r="C9727" t="s">
        <v>19577</v>
      </c>
      <c r="D9727" t="s">
        <v>20</v>
      </c>
      <c r="E9727" t="s">
        <v>11</v>
      </c>
      <c r="F9727">
        <v>70.4</v>
      </c>
      <c r="G9727">
        <v>18</v>
      </c>
    </row>
    <row r="9728" spans="1:7" x14ac:dyDescent="0.25">
      <c r="A9728" t="s">
        <v>41</v>
      </c>
      <c r="B9728" t="s">
        <v>9337</v>
      </c>
      <c r="C9728" t="s">
        <v>19582</v>
      </c>
      <c r="D9728" t="s">
        <v>20</v>
      </c>
      <c r="E9728" t="s">
        <v>11</v>
      </c>
      <c r="F9728">
        <v>57.2</v>
      </c>
      <c r="G9728">
        <v>18</v>
      </c>
    </row>
    <row r="9729" spans="1:7" x14ac:dyDescent="0.25">
      <c r="A9729" t="s">
        <v>41</v>
      </c>
      <c r="B9729" t="s">
        <v>9340</v>
      </c>
      <c r="C9729" t="s">
        <v>18232</v>
      </c>
      <c r="D9729" t="s">
        <v>20</v>
      </c>
      <c r="E9729" t="s">
        <v>11</v>
      </c>
      <c r="F9729">
        <v>70.4</v>
      </c>
      <c r="G9729">
        <v>18</v>
      </c>
    </row>
    <row r="9730" spans="1:7" x14ac:dyDescent="0.25">
      <c r="A9730" t="s">
        <v>41</v>
      </c>
      <c r="B9730" t="s">
        <v>9343</v>
      </c>
      <c r="C9730" t="s">
        <v>19583</v>
      </c>
      <c r="D9730" t="s">
        <v>20</v>
      </c>
      <c r="E9730" t="s">
        <v>11</v>
      </c>
      <c r="F9730">
        <v>1156.1</v>
      </c>
      <c r="G9730">
        <v>18</v>
      </c>
    </row>
    <row r="9731" spans="1:7" x14ac:dyDescent="0.25">
      <c r="A9731" t="s">
        <v>41</v>
      </c>
      <c r="B9731" t="s">
        <v>9346</v>
      </c>
      <c r="C9731" t="s">
        <v>19478</v>
      </c>
      <c r="D9731" t="s">
        <v>20</v>
      </c>
      <c r="E9731" t="s">
        <v>11</v>
      </c>
      <c r="F9731">
        <v>57.2</v>
      </c>
      <c r="G9731">
        <v>18</v>
      </c>
    </row>
    <row r="9732" spans="1:7" x14ac:dyDescent="0.25">
      <c r="A9732" t="s">
        <v>41</v>
      </c>
      <c r="B9732" t="s">
        <v>9349</v>
      </c>
      <c r="C9732" t="s">
        <v>19584</v>
      </c>
      <c r="D9732" t="s">
        <v>20</v>
      </c>
      <c r="E9732" t="s">
        <v>11</v>
      </c>
      <c r="F9732">
        <v>1049.3999999999999</v>
      </c>
      <c r="G9732">
        <v>18</v>
      </c>
    </row>
    <row r="9733" spans="1:7" x14ac:dyDescent="0.25">
      <c r="A9733" t="s">
        <v>41</v>
      </c>
      <c r="B9733" t="s">
        <v>9352</v>
      </c>
      <c r="C9733" t="s">
        <v>19585</v>
      </c>
      <c r="D9733" t="s">
        <v>20</v>
      </c>
      <c r="E9733" t="s">
        <v>11</v>
      </c>
      <c r="F9733">
        <v>2249.5</v>
      </c>
      <c r="G9733">
        <v>18</v>
      </c>
    </row>
    <row r="9734" spans="1:7" x14ac:dyDescent="0.25">
      <c r="A9734" t="s">
        <v>41</v>
      </c>
      <c r="B9734" t="s">
        <v>9356</v>
      </c>
      <c r="C9734" t="s">
        <v>19586</v>
      </c>
      <c r="D9734" t="s">
        <v>20</v>
      </c>
      <c r="E9734" t="s">
        <v>11</v>
      </c>
      <c r="F9734">
        <v>2539.9</v>
      </c>
      <c r="G9734">
        <v>18</v>
      </c>
    </row>
    <row r="9735" spans="1:7" x14ac:dyDescent="0.25">
      <c r="A9735" t="s">
        <v>41</v>
      </c>
      <c r="B9735" t="s">
        <v>9359</v>
      </c>
      <c r="C9735" t="s">
        <v>18166</v>
      </c>
      <c r="D9735" t="s">
        <v>20</v>
      </c>
      <c r="E9735" t="s">
        <v>11</v>
      </c>
      <c r="F9735">
        <v>958.1000000000001</v>
      </c>
      <c r="G9735">
        <v>18</v>
      </c>
    </row>
    <row r="9736" spans="1:7" x14ac:dyDescent="0.25">
      <c r="A9736" t="s">
        <v>41</v>
      </c>
      <c r="B9736" t="s">
        <v>9362</v>
      </c>
      <c r="C9736" t="s">
        <v>18165</v>
      </c>
      <c r="D9736" t="s">
        <v>20</v>
      </c>
      <c r="E9736" t="s">
        <v>11</v>
      </c>
      <c r="F9736">
        <v>958.1000000000001</v>
      </c>
      <c r="G9736">
        <v>18</v>
      </c>
    </row>
    <row r="9737" spans="1:7" x14ac:dyDescent="0.25">
      <c r="A9737" t="s">
        <v>41</v>
      </c>
      <c r="B9737" t="s">
        <v>9365</v>
      </c>
      <c r="C9737" t="s">
        <v>19587</v>
      </c>
      <c r="D9737" t="s">
        <v>20</v>
      </c>
      <c r="E9737" t="s">
        <v>11</v>
      </c>
      <c r="F9737">
        <v>958.1000000000001</v>
      </c>
      <c r="G9737">
        <v>18</v>
      </c>
    </row>
    <row r="9738" spans="1:7" x14ac:dyDescent="0.25">
      <c r="A9738" t="s">
        <v>41</v>
      </c>
      <c r="B9738" t="s">
        <v>9368</v>
      </c>
      <c r="C9738" t="s">
        <v>18168</v>
      </c>
      <c r="D9738" t="s">
        <v>20</v>
      </c>
      <c r="E9738" t="s">
        <v>11</v>
      </c>
      <c r="F9738">
        <v>152.89999999999998</v>
      </c>
      <c r="G9738">
        <v>18</v>
      </c>
    </row>
    <row r="9739" spans="1:7" x14ac:dyDescent="0.25">
      <c r="A9739" t="s">
        <v>41</v>
      </c>
      <c r="B9739" t="s">
        <v>9371</v>
      </c>
      <c r="C9739" t="s">
        <v>19588</v>
      </c>
      <c r="D9739" t="s">
        <v>20</v>
      </c>
      <c r="E9739" t="s">
        <v>11</v>
      </c>
      <c r="F9739">
        <v>251.9</v>
      </c>
      <c r="G9739">
        <v>18</v>
      </c>
    </row>
    <row r="9740" spans="1:7" x14ac:dyDescent="0.25">
      <c r="A9740" t="s">
        <v>41</v>
      </c>
      <c r="B9740" t="s">
        <v>9374</v>
      </c>
      <c r="C9740" t="s">
        <v>19589</v>
      </c>
      <c r="D9740" t="s">
        <v>20</v>
      </c>
      <c r="E9740" t="s">
        <v>11</v>
      </c>
      <c r="F9740">
        <v>235.4</v>
      </c>
      <c r="G9740">
        <v>18</v>
      </c>
    </row>
    <row r="9741" spans="1:7" x14ac:dyDescent="0.25">
      <c r="A9741" t="s">
        <v>41</v>
      </c>
      <c r="B9741" t="s">
        <v>9377</v>
      </c>
      <c r="C9741" t="s">
        <v>19590</v>
      </c>
      <c r="D9741" t="s">
        <v>20</v>
      </c>
      <c r="E9741" t="s">
        <v>11</v>
      </c>
      <c r="F9741">
        <v>806.3</v>
      </c>
      <c r="G9741">
        <v>18</v>
      </c>
    </row>
    <row r="9742" spans="1:7" x14ac:dyDescent="0.25">
      <c r="A9742" t="s">
        <v>41</v>
      </c>
      <c r="B9742" t="s">
        <v>9380</v>
      </c>
      <c r="C9742" t="s">
        <v>19591</v>
      </c>
      <c r="D9742" t="s">
        <v>20</v>
      </c>
      <c r="E9742" t="s">
        <v>11</v>
      </c>
      <c r="F9742">
        <v>1104.3999999999999</v>
      </c>
      <c r="G9742">
        <v>18</v>
      </c>
    </row>
    <row r="9743" spans="1:7" x14ac:dyDescent="0.25">
      <c r="A9743" t="s">
        <v>41</v>
      </c>
      <c r="B9743" t="s">
        <v>9383</v>
      </c>
      <c r="C9743" t="s">
        <v>19427</v>
      </c>
      <c r="D9743" t="s">
        <v>20</v>
      </c>
      <c r="E9743" t="s">
        <v>11</v>
      </c>
      <c r="F9743">
        <v>57.2</v>
      </c>
      <c r="G9743">
        <v>18</v>
      </c>
    </row>
    <row r="9744" spans="1:7" x14ac:dyDescent="0.25">
      <c r="A9744" t="s">
        <v>41</v>
      </c>
      <c r="B9744" t="s">
        <v>9386</v>
      </c>
      <c r="C9744" t="s">
        <v>19130</v>
      </c>
      <c r="D9744" t="s">
        <v>20</v>
      </c>
      <c r="E9744" t="s">
        <v>11</v>
      </c>
      <c r="F9744">
        <v>57.2</v>
      </c>
      <c r="G9744">
        <v>18</v>
      </c>
    </row>
    <row r="9745" spans="1:7" x14ac:dyDescent="0.25">
      <c r="A9745" t="s">
        <v>41</v>
      </c>
      <c r="B9745" t="s">
        <v>9389</v>
      </c>
      <c r="C9745" t="s">
        <v>19592</v>
      </c>
      <c r="D9745" t="s">
        <v>20</v>
      </c>
      <c r="E9745" t="s">
        <v>11</v>
      </c>
      <c r="F9745">
        <v>4845.5</v>
      </c>
      <c r="G9745">
        <v>18</v>
      </c>
    </row>
    <row r="9746" spans="1:7" x14ac:dyDescent="0.25">
      <c r="A9746" t="s">
        <v>41</v>
      </c>
      <c r="B9746" t="s">
        <v>9392</v>
      </c>
      <c r="C9746" t="s">
        <v>17747</v>
      </c>
      <c r="D9746" t="s">
        <v>20</v>
      </c>
      <c r="E9746" t="s">
        <v>11</v>
      </c>
      <c r="F9746">
        <v>70.4</v>
      </c>
      <c r="G9746">
        <v>18</v>
      </c>
    </row>
    <row r="9747" spans="1:7" x14ac:dyDescent="0.25">
      <c r="A9747" t="s">
        <v>41</v>
      </c>
      <c r="B9747" t="s">
        <v>9395</v>
      </c>
      <c r="C9747" t="s">
        <v>18964</v>
      </c>
      <c r="D9747" t="s">
        <v>20</v>
      </c>
      <c r="E9747" t="s">
        <v>11</v>
      </c>
      <c r="F9747">
        <v>749.0999999999999</v>
      </c>
      <c r="G9747">
        <v>18</v>
      </c>
    </row>
    <row r="9748" spans="1:7" x14ac:dyDescent="0.25">
      <c r="A9748" t="s">
        <v>41</v>
      </c>
      <c r="B9748" t="s">
        <v>9398</v>
      </c>
      <c r="C9748" t="s">
        <v>17700</v>
      </c>
      <c r="D9748" t="s">
        <v>20</v>
      </c>
      <c r="E9748" t="s">
        <v>11</v>
      </c>
      <c r="F9748">
        <v>782.1</v>
      </c>
      <c r="G9748">
        <v>18</v>
      </c>
    </row>
    <row r="9749" spans="1:7" x14ac:dyDescent="0.25">
      <c r="A9749" t="s">
        <v>41</v>
      </c>
      <c r="B9749" t="s">
        <v>9401</v>
      </c>
      <c r="C9749" t="s">
        <v>17909</v>
      </c>
      <c r="D9749" t="s">
        <v>20</v>
      </c>
      <c r="E9749" t="s">
        <v>11</v>
      </c>
      <c r="F9749">
        <v>58.300000000000004</v>
      </c>
      <c r="G9749">
        <v>18</v>
      </c>
    </row>
    <row r="9750" spans="1:7" x14ac:dyDescent="0.25">
      <c r="A9750" t="s">
        <v>41</v>
      </c>
      <c r="B9750" t="s">
        <v>9404</v>
      </c>
      <c r="C9750" t="s">
        <v>17677</v>
      </c>
      <c r="D9750" t="s">
        <v>20</v>
      </c>
      <c r="E9750" t="s">
        <v>11</v>
      </c>
      <c r="F9750">
        <v>57.2</v>
      </c>
      <c r="G9750">
        <v>18</v>
      </c>
    </row>
    <row r="9751" spans="1:7" x14ac:dyDescent="0.25">
      <c r="A9751" t="s">
        <v>41</v>
      </c>
      <c r="B9751" t="s">
        <v>9407</v>
      </c>
      <c r="C9751" t="s">
        <v>18966</v>
      </c>
      <c r="D9751" t="s">
        <v>20</v>
      </c>
      <c r="E9751" t="s">
        <v>11</v>
      </c>
      <c r="F9751">
        <v>103.39999999999999</v>
      </c>
      <c r="G9751">
        <v>18</v>
      </c>
    </row>
    <row r="9752" spans="1:7" x14ac:dyDescent="0.25">
      <c r="A9752" t="s">
        <v>41</v>
      </c>
      <c r="B9752" t="s">
        <v>9410</v>
      </c>
      <c r="C9752" t="s">
        <v>18967</v>
      </c>
      <c r="D9752" t="s">
        <v>20</v>
      </c>
      <c r="E9752" t="s">
        <v>11</v>
      </c>
      <c r="F9752">
        <v>56.1</v>
      </c>
      <c r="G9752">
        <v>18</v>
      </c>
    </row>
    <row r="9753" spans="1:7" x14ac:dyDescent="0.25">
      <c r="A9753" t="s">
        <v>41</v>
      </c>
      <c r="B9753" t="s">
        <v>9413</v>
      </c>
      <c r="C9753" t="s">
        <v>19504</v>
      </c>
      <c r="D9753" t="s">
        <v>20</v>
      </c>
      <c r="E9753" t="s">
        <v>11</v>
      </c>
      <c r="F9753">
        <v>6150.099999999999</v>
      </c>
      <c r="G9753">
        <v>18</v>
      </c>
    </row>
    <row r="9754" spans="1:7" x14ac:dyDescent="0.25">
      <c r="A9754" t="s">
        <v>41</v>
      </c>
      <c r="B9754" t="s">
        <v>9416</v>
      </c>
      <c r="C9754" t="s">
        <v>19505</v>
      </c>
      <c r="D9754" t="s">
        <v>20</v>
      </c>
      <c r="E9754" t="s">
        <v>11</v>
      </c>
      <c r="F9754">
        <v>1265</v>
      </c>
      <c r="G9754">
        <v>18</v>
      </c>
    </row>
    <row r="9755" spans="1:7" x14ac:dyDescent="0.25">
      <c r="A9755" t="s">
        <v>41</v>
      </c>
      <c r="B9755" t="s">
        <v>9419</v>
      </c>
      <c r="C9755" t="s">
        <v>19506</v>
      </c>
      <c r="D9755" t="s">
        <v>20</v>
      </c>
      <c r="E9755" t="s">
        <v>11</v>
      </c>
      <c r="F9755">
        <v>4232.799999999999</v>
      </c>
      <c r="G9755">
        <v>18</v>
      </c>
    </row>
    <row r="9756" spans="1:7" x14ac:dyDescent="0.25">
      <c r="A9756" t="s">
        <v>41</v>
      </c>
      <c r="B9756" t="s">
        <v>9422</v>
      </c>
      <c r="C9756" t="s">
        <v>19507</v>
      </c>
      <c r="D9756" t="s">
        <v>20</v>
      </c>
      <c r="E9756" t="s">
        <v>11</v>
      </c>
      <c r="F9756">
        <v>457.6</v>
      </c>
      <c r="G9756">
        <v>18</v>
      </c>
    </row>
    <row r="9757" spans="1:7" x14ac:dyDescent="0.25">
      <c r="A9757" t="s">
        <v>41</v>
      </c>
      <c r="B9757" t="s">
        <v>9425</v>
      </c>
      <c r="C9757" t="s">
        <v>19427</v>
      </c>
      <c r="D9757" t="s">
        <v>20</v>
      </c>
      <c r="E9757" t="s">
        <v>11</v>
      </c>
      <c r="F9757">
        <v>57.2</v>
      </c>
      <c r="G9757">
        <v>18</v>
      </c>
    </row>
    <row r="9758" spans="1:7" x14ac:dyDescent="0.25">
      <c r="A9758" t="s">
        <v>41</v>
      </c>
      <c r="B9758" t="s">
        <v>9428</v>
      </c>
      <c r="C9758" t="s">
        <v>19508</v>
      </c>
      <c r="D9758" t="s">
        <v>20</v>
      </c>
      <c r="E9758" t="s">
        <v>11</v>
      </c>
      <c r="F9758">
        <v>5006.099999999999</v>
      </c>
      <c r="G9758">
        <v>18</v>
      </c>
    </row>
    <row r="9759" spans="1:7" x14ac:dyDescent="0.25">
      <c r="A9759" t="s">
        <v>41</v>
      </c>
      <c r="B9759" t="s">
        <v>9431</v>
      </c>
      <c r="C9759" t="s">
        <v>19593</v>
      </c>
      <c r="D9759" t="s">
        <v>20</v>
      </c>
      <c r="E9759" t="s">
        <v>11</v>
      </c>
      <c r="F9759">
        <v>14031.6</v>
      </c>
      <c r="G9759">
        <v>18</v>
      </c>
    </row>
    <row r="9760" spans="1:7" x14ac:dyDescent="0.25">
      <c r="A9760" t="s">
        <v>41</v>
      </c>
      <c r="B9760" t="s">
        <v>9434</v>
      </c>
      <c r="C9760" t="s">
        <v>19594</v>
      </c>
      <c r="D9760" t="s">
        <v>20</v>
      </c>
      <c r="E9760" t="s">
        <v>11</v>
      </c>
      <c r="F9760">
        <v>14031.6</v>
      </c>
      <c r="G9760">
        <v>18</v>
      </c>
    </row>
    <row r="9761" spans="1:7" x14ac:dyDescent="0.25">
      <c r="A9761" t="s">
        <v>41</v>
      </c>
      <c r="B9761" t="s">
        <v>9437</v>
      </c>
      <c r="C9761" t="s">
        <v>18972</v>
      </c>
      <c r="D9761" t="s">
        <v>20</v>
      </c>
      <c r="E9761" t="s">
        <v>11</v>
      </c>
      <c r="F9761">
        <v>8053.099999999999</v>
      </c>
      <c r="G9761">
        <v>18</v>
      </c>
    </row>
    <row r="9762" spans="1:7" x14ac:dyDescent="0.25">
      <c r="A9762" t="s">
        <v>41</v>
      </c>
      <c r="B9762" t="s">
        <v>9440</v>
      </c>
      <c r="C9762" t="s">
        <v>19595</v>
      </c>
      <c r="D9762" t="s">
        <v>20</v>
      </c>
      <c r="E9762" t="s">
        <v>11</v>
      </c>
      <c r="F9762">
        <v>133.1</v>
      </c>
      <c r="G9762">
        <v>18</v>
      </c>
    </row>
    <row r="9763" spans="1:7" x14ac:dyDescent="0.25">
      <c r="A9763" t="s">
        <v>41</v>
      </c>
      <c r="B9763" t="s">
        <v>9443</v>
      </c>
      <c r="C9763" t="s">
        <v>18973</v>
      </c>
      <c r="D9763" t="s">
        <v>20</v>
      </c>
      <c r="E9763" t="s">
        <v>11</v>
      </c>
      <c r="F9763">
        <v>61.60000000000001</v>
      </c>
      <c r="G9763">
        <v>18</v>
      </c>
    </row>
    <row r="9764" spans="1:7" x14ac:dyDescent="0.25">
      <c r="A9764" t="s">
        <v>41</v>
      </c>
      <c r="B9764" t="s">
        <v>9446</v>
      </c>
      <c r="C9764" t="s">
        <v>18974</v>
      </c>
      <c r="D9764" t="s">
        <v>20</v>
      </c>
      <c r="E9764" t="s">
        <v>11</v>
      </c>
      <c r="F9764">
        <v>702.9</v>
      </c>
      <c r="G9764">
        <v>18</v>
      </c>
    </row>
    <row r="9765" spans="1:7" x14ac:dyDescent="0.25">
      <c r="A9765" t="s">
        <v>41</v>
      </c>
      <c r="B9765" t="s">
        <v>9449</v>
      </c>
      <c r="C9765" t="s">
        <v>19510</v>
      </c>
      <c r="D9765" t="s">
        <v>20</v>
      </c>
      <c r="E9765" t="s">
        <v>11</v>
      </c>
      <c r="F9765">
        <v>137.5</v>
      </c>
      <c r="G9765">
        <v>18</v>
      </c>
    </row>
    <row r="9766" spans="1:7" x14ac:dyDescent="0.25">
      <c r="A9766" t="s">
        <v>41</v>
      </c>
      <c r="B9766" t="s">
        <v>9452</v>
      </c>
      <c r="C9766" t="s">
        <v>19511</v>
      </c>
      <c r="D9766" t="s">
        <v>20</v>
      </c>
      <c r="E9766" t="s">
        <v>11</v>
      </c>
      <c r="F9766">
        <v>531.3</v>
      </c>
      <c r="G9766">
        <v>18</v>
      </c>
    </row>
    <row r="9767" spans="1:7" x14ac:dyDescent="0.25">
      <c r="A9767" t="s">
        <v>41</v>
      </c>
      <c r="B9767" t="s">
        <v>9455</v>
      </c>
      <c r="C9767" t="s">
        <v>19061</v>
      </c>
      <c r="D9767" t="s">
        <v>20</v>
      </c>
      <c r="E9767" t="s">
        <v>11</v>
      </c>
      <c r="F9767">
        <v>10618.3</v>
      </c>
      <c r="G9767">
        <v>18</v>
      </c>
    </row>
    <row r="9768" spans="1:7" x14ac:dyDescent="0.25">
      <c r="A9768" t="s">
        <v>41</v>
      </c>
      <c r="B9768" t="s">
        <v>9458</v>
      </c>
      <c r="C9768" t="s">
        <v>17578</v>
      </c>
      <c r="D9768" t="s">
        <v>20</v>
      </c>
      <c r="E9768" t="s">
        <v>11</v>
      </c>
      <c r="F9768">
        <v>10618.3</v>
      </c>
      <c r="G9768">
        <v>18</v>
      </c>
    </row>
    <row r="9769" spans="1:7" x14ac:dyDescent="0.25">
      <c r="A9769" t="s">
        <v>41</v>
      </c>
      <c r="B9769" t="s">
        <v>9461</v>
      </c>
      <c r="C9769" t="s">
        <v>17799</v>
      </c>
      <c r="D9769" t="s">
        <v>20</v>
      </c>
      <c r="E9769" t="s">
        <v>11</v>
      </c>
      <c r="F9769">
        <v>8259.9</v>
      </c>
      <c r="G9769">
        <v>18</v>
      </c>
    </row>
    <row r="9770" spans="1:7" x14ac:dyDescent="0.25">
      <c r="A9770" t="s">
        <v>41</v>
      </c>
      <c r="B9770" t="s">
        <v>9464</v>
      </c>
      <c r="C9770" t="s">
        <v>19596</v>
      </c>
      <c r="D9770" t="s">
        <v>20</v>
      </c>
      <c r="E9770" t="s">
        <v>11</v>
      </c>
      <c r="F9770">
        <v>114.4</v>
      </c>
      <c r="G9770">
        <v>18</v>
      </c>
    </row>
    <row r="9771" spans="1:7" x14ac:dyDescent="0.25">
      <c r="A9771" t="s">
        <v>41</v>
      </c>
      <c r="B9771" t="s">
        <v>9467</v>
      </c>
      <c r="C9771" t="s">
        <v>19597</v>
      </c>
      <c r="D9771" t="s">
        <v>20</v>
      </c>
      <c r="E9771" t="s">
        <v>11</v>
      </c>
      <c r="F9771">
        <v>58.300000000000004</v>
      </c>
      <c r="G9771">
        <v>18</v>
      </c>
    </row>
    <row r="9772" spans="1:7" x14ac:dyDescent="0.25">
      <c r="A9772" t="s">
        <v>41</v>
      </c>
      <c r="B9772" t="s">
        <v>9470</v>
      </c>
      <c r="C9772" t="s">
        <v>19514</v>
      </c>
      <c r="D9772" t="s">
        <v>20</v>
      </c>
      <c r="E9772" t="s">
        <v>11</v>
      </c>
      <c r="F9772">
        <v>286</v>
      </c>
      <c r="G9772">
        <v>18</v>
      </c>
    </row>
    <row r="9773" spans="1:7" x14ac:dyDescent="0.25">
      <c r="A9773" t="s">
        <v>41</v>
      </c>
      <c r="B9773" t="s">
        <v>9473</v>
      </c>
      <c r="C9773" t="s">
        <v>19598</v>
      </c>
      <c r="D9773" t="s">
        <v>20</v>
      </c>
      <c r="E9773" t="s">
        <v>11</v>
      </c>
      <c r="F9773">
        <v>58.300000000000004</v>
      </c>
      <c r="G9773">
        <v>18</v>
      </c>
    </row>
    <row r="9774" spans="1:7" x14ac:dyDescent="0.25">
      <c r="A9774" t="s">
        <v>41</v>
      </c>
      <c r="B9774" t="s">
        <v>9476</v>
      </c>
      <c r="C9774" t="s">
        <v>18980</v>
      </c>
      <c r="D9774" t="s">
        <v>20</v>
      </c>
      <c r="E9774" t="s">
        <v>11</v>
      </c>
      <c r="F9774">
        <v>1953.6000000000001</v>
      </c>
      <c r="G9774">
        <v>18</v>
      </c>
    </row>
    <row r="9775" spans="1:7" x14ac:dyDescent="0.25">
      <c r="A9775" t="s">
        <v>41</v>
      </c>
      <c r="B9775" t="s">
        <v>9479</v>
      </c>
      <c r="C9775" t="s">
        <v>18981</v>
      </c>
      <c r="D9775" t="s">
        <v>20</v>
      </c>
      <c r="E9775" t="s">
        <v>11</v>
      </c>
      <c r="F9775">
        <v>1711.6000000000001</v>
      </c>
      <c r="G9775">
        <v>18</v>
      </c>
    </row>
    <row r="9776" spans="1:7" x14ac:dyDescent="0.25">
      <c r="A9776" t="s">
        <v>41</v>
      </c>
      <c r="B9776" t="s">
        <v>9482</v>
      </c>
      <c r="C9776" t="s">
        <v>18982</v>
      </c>
      <c r="D9776" t="s">
        <v>20</v>
      </c>
      <c r="E9776" t="s">
        <v>11</v>
      </c>
      <c r="F9776">
        <v>217.8</v>
      </c>
      <c r="G9776">
        <v>18</v>
      </c>
    </row>
    <row r="9777" spans="1:7" x14ac:dyDescent="0.25">
      <c r="A9777" t="s">
        <v>41</v>
      </c>
      <c r="B9777" t="s">
        <v>9485</v>
      </c>
      <c r="C9777" t="s">
        <v>19515</v>
      </c>
      <c r="D9777" t="s">
        <v>20</v>
      </c>
      <c r="E9777" t="s">
        <v>11</v>
      </c>
      <c r="F9777">
        <v>800.8000000000001</v>
      </c>
      <c r="G9777">
        <v>18</v>
      </c>
    </row>
    <row r="9778" spans="1:7" x14ac:dyDescent="0.25">
      <c r="A9778" t="s">
        <v>41</v>
      </c>
      <c r="B9778" t="s">
        <v>9488</v>
      </c>
      <c r="C9778" t="s">
        <v>17677</v>
      </c>
      <c r="D9778" t="s">
        <v>20</v>
      </c>
      <c r="E9778" t="s">
        <v>11</v>
      </c>
      <c r="F9778">
        <v>56.1</v>
      </c>
      <c r="G9778">
        <v>18</v>
      </c>
    </row>
    <row r="9779" spans="1:7" x14ac:dyDescent="0.25">
      <c r="A9779" t="s">
        <v>41</v>
      </c>
      <c r="B9779" t="s">
        <v>9491</v>
      </c>
      <c r="C9779" t="s">
        <v>19516</v>
      </c>
      <c r="D9779" t="s">
        <v>20</v>
      </c>
      <c r="E9779" t="s">
        <v>11</v>
      </c>
      <c r="F9779">
        <v>54067.2</v>
      </c>
      <c r="G9779">
        <v>18</v>
      </c>
    </row>
    <row r="9780" spans="1:7" x14ac:dyDescent="0.25">
      <c r="A9780" t="s">
        <v>41</v>
      </c>
      <c r="B9780" t="s">
        <v>9494</v>
      </c>
      <c r="C9780" t="s">
        <v>19599</v>
      </c>
      <c r="D9780" t="s">
        <v>20</v>
      </c>
      <c r="E9780" t="s">
        <v>11</v>
      </c>
      <c r="F9780">
        <v>7769.299999999999</v>
      </c>
      <c r="G9780">
        <v>18</v>
      </c>
    </row>
    <row r="9781" spans="1:7" x14ac:dyDescent="0.25">
      <c r="A9781" t="s">
        <v>41</v>
      </c>
      <c r="B9781" t="s">
        <v>9497</v>
      </c>
      <c r="C9781" t="s">
        <v>19518</v>
      </c>
      <c r="D9781" t="s">
        <v>20</v>
      </c>
      <c r="E9781" t="s">
        <v>11</v>
      </c>
      <c r="F9781">
        <v>5872.9</v>
      </c>
      <c r="G9781">
        <v>18</v>
      </c>
    </row>
    <row r="9782" spans="1:7" x14ac:dyDescent="0.25">
      <c r="A9782" t="s">
        <v>41</v>
      </c>
      <c r="B9782" t="s">
        <v>9500</v>
      </c>
      <c r="C9782" t="s">
        <v>17645</v>
      </c>
      <c r="D9782" t="s">
        <v>20</v>
      </c>
      <c r="E9782" t="s">
        <v>11</v>
      </c>
      <c r="F9782">
        <v>304.7</v>
      </c>
      <c r="G9782">
        <v>18</v>
      </c>
    </row>
    <row r="9783" spans="1:7" x14ac:dyDescent="0.25">
      <c r="A9783" t="s">
        <v>41</v>
      </c>
      <c r="B9783" t="s">
        <v>9503</v>
      </c>
      <c r="C9783" t="s">
        <v>17644</v>
      </c>
      <c r="D9783" t="s">
        <v>20</v>
      </c>
      <c r="E9783" t="s">
        <v>11</v>
      </c>
      <c r="F9783">
        <v>874.5</v>
      </c>
      <c r="G9783">
        <v>18</v>
      </c>
    </row>
    <row r="9784" spans="1:7" x14ac:dyDescent="0.25">
      <c r="A9784" t="s">
        <v>41</v>
      </c>
      <c r="B9784" t="s">
        <v>9506</v>
      </c>
      <c r="C9784" t="s">
        <v>18144</v>
      </c>
      <c r="D9784" t="s">
        <v>20</v>
      </c>
      <c r="E9784" t="s">
        <v>11</v>
      </c>
      <c r="F9784">
        <v>58.300000000000004</v>
      </c>
      <c r="G9784">
        <v>18</v>
      </c>
    </row>
    <row r="9785" spans="1:7" x14ac:dyDescent="0.25">
      <c r="A9785" t="s">
        <v>41</v>
      </c>
      <c r="B9785" t="s">
        <v>9509</v>
      </c>
      <c r="C9785" t="s">
        <v>17645</v>
      </c>
      <c r="D9785" t="s">
        <v>20</v>
      </c>
      <c r="E9785" t="s">
        <v>11</v>
      </c>
      <c r="F9785">
        <v>167.2</v>
      </c>
      <c r="G9785">
        <v>18</v>
      </c>
    </row>
    <row r="9786" spans="1:7" x14ac:dyDescent="0.25">
      <c r="A9786" t="s">
        <v>41</v>
      </c>
      <c r="B9786" t="s">
        <v>9512</v>
      </c>
      <c r="C9786" t="s">
        <v>17904</v>
      </c>
      <c r="D9786" t="s">
        <v>20</v>
      </c>
      <c r="E9786" t="s">
        <v>11</v>
      </c>
      <c r="F9786">
        <v>137.5</v>
      </c>
      <c r="G9786">
        <v>18</v>
      </c>
    </row>
    <row r="9787" spans="1:7" x14ac:dyDescent="0.25">
      <c r="A9787" t="s">
        <v>41</v>
      </c>
      <c r="B9787" t="s">
        <v>9515</v>
      </c>
      <c r="C9787" t="s">
        <v>19600</v>
      </c>
      <c r="D9787" t="s">
        <v>20</v>
      </c>
      <c r="E9787" t="s">
        <v>11</v>
      </c>
      <c r="F9787">
        <v>9952.800000000001</v>
      </c>
      <c r="G9787">
        <v>18</v>
      </c>
    </row>
    <row r="9788" spans="1:7" x14ac:dyDescent="0.25">
      <c r="A9788" t="s">
        <v>41</v>
      </c>
      <c r="B9788" t="s">
        <v>9518</v>
      </c>
      <c r="C9788" t="s">
        <v>19520</v>
      </c>
      <c r="D9788" t="s">
        <v>20</v>
      </c>
      <c r="E9788" t="s">
        <v>11</v>
      </c>
      <c r="F9788">
        <v>14859.9</v>
      </c>
      <c r="G9788">
        <v>18</v>
      </c>
    </row>
    <row r="9789" spans="1:7" x14ac:dyDescent="0.25">
      <c r="A9789" t="s">
        <v>41</v>
      </c>
      <c r="B9789" t="s">
        <v>9521</v>
      </c>
      <c r="C9789" t="s">
        <v>19601</v>
      </c>
      <c r="D9789" t="s">
        <v>20</v>
      </c>
      <c r="E9789" t="s">
        <v>11</v>
      </c>
      <c r="F9789">
        <v>5245.9</v>
      </c>
      <c r="G9789">
        <v>18</v>
      </c>
    </row>
    <row r="9790" spans="1:7" x14ac:dyDescent="0.25">
      <c r="A9790" t="s">
        <v>41</v>
      </c>
      <c r="B9790" t="s">
        <v>9524</v>
      </c>
      <c r="C9790" t="s">
        <v>19602</v>
      </c>
      <c r="D9790" t="s">
        <v>20</v>
      </c>
      <c r="E9790" t="s">
        <v>11</v>
      </c>
      <c r="F9790">
        <v>2952.4</v>
      </c>
      <c r="G9790">
        <v>18</v>
      </c>
    </row>
    <row r="9791" spans="1:7" x14ac:dyDescent="0.25">
      <c r="A9791" t="s">
        <v>41</v>
      </c>
      <c r="B9791" t="s">
        <v>9527</v>
      </c>
      <c r="C9791" t="s">
        <v>17757</v>
      </c>
      <c r="D9791" t="s">
        <v>20</v>
      </c>
      <c r="E9791" t="s">
        <v>11</v>
      </c>
      <c r="F9791">
        <v>1856.8</v>
      </c>
      <c r="G9791">
        <v>18</v>
      </c>
    </row>
    <row r="9792" spans="1:7" x14ac:dyDescent="0.25">
      <c r="A9792" t="s">
        <v>41</v>
      </c>
      <c r="B9792" t="s">
        <v>9530</v>
      </c>
      <c r="C9792" t="s">
        <v>19523</v>
      </c>
      <c r="D9792" t="s">
        <v>20</v>
      </c>
      <c r="E9792" t="s">
        <v>11</v>
      </c>
      <c r="F9792">
        <v>61.60000000000001</v>
      </c>
      <c r="G9792">
        <v>18</v>
      </c>
    </row>
    <row r="9793" spans="1:7" x14ac:dyDescent="0.25">
      <c r="A9793" t="s">
        <v>41</v>
      </c>
      <c r="B9793" t="s">
        <v>9533</v>
      </c>
      <c r="C9793" t="s">
        <v>18992</v>
      </c>
      <c r="D9793" t="s">
        <v>20</v>
      </c>
      <c r="E9793" t="s">
        <v>11</v>
      </c>
      <c r="F9793">
        <v>71.5</v>
      </c>
      <c r="G9793">
        <v>18</v>
      </c>
    </row>
    <row r="9794" spans="1:7" x14ac:dyDescent="0.25">
      <c r="A9794" t="s">
        <v>41</v>
      </c>
      <c r="B9794" t="s">
        <v>9536</v>
      </c>
      <c r="C9794" t="s">
        <v>18993</v>
      </c>
      <c r="D9794" t="s">
        <v>20</v>
      </c>
      <c r="E9794" t="s">
        <v>11</v>
      </c>
      <c r="F9794">
        <v>291.5</v>
      </c>
      <c r="G9794">
        <v>18</v>
      </c>
    </row>
    <row r="9795" spans="1:7" x14ac:dyDescent="0.25">
      <c r="A9795" t="s">
        <v>41</v>
      </c>
      <c r="B9795" t="s">
        <v>9539</v>
      </c>
      <c r="C9795" t="s">
        <v>18154</v>
      </c>
      <c r="D9795" t="s">
        <v>20</v>
      </c>
      <c r="E9795" t="s">
        <v>11</v>
      </c>
      <c r="F9795">
        <v>58.300000000000004</v>
      </c>
      <c r="G9795">
        <v>18</v>
      </c>
    </row>
    <row r="9796" spans="1:7" x14ac:dyDescent="0.25">
      <c r="A9796" t="s">
        <v>41</v>
      </c>
      <c r="B9796" t="s">
        <v>9542</v>
      </c>
      <c r="C9796" t="s">
        <v>19524</v>
      </c>
      <c r="D9796" t="s">
        <v>20</v>
      </c>
      <c r="E9796" t="s">
        <v>11</v>
      </c>
      <c r="F9796">
        <v>162.8</v>
      </c>
      <c r="G9796">
        <v>18</v>
      </c>
    </row>
    <row r="9797" spans="1:7" x14ac:dyDescent="0.25">
      <c r="A9797" t="s">
        <v>41</v>
      </c>
      <c r="B9797" t="s">
        <v>9545</v>
      </c>
      <c r="C9797" t="s">
        <v>19603</v>
      </c>
      <c r="D9797" t="s">
        <v>20</v>
      </c>
      <c r="E9797" t="s">
        <v>11</v>
      </c>
      <c r="F9797">
        <v>242.00000000000003</v>
      </c>
      <c r="G9797">
        <v>18</v>
      </c>
    </row>
    <row r="9798" spans="1:7" x14ac:dyDescent="0.25">
      <c r="A9798" t="s">
        <v>41</v>
      </c>
      <c r="B9798" t="s">
        <v>9548</v>
      </c>
      <c r="C9798" t="s">
        <v>18806</v>
      </c>
      <c r="D9798" t="s">
        <v>20</v>
      </c>
      <c r="E9798" t="s">
        <v>11</v>
      </c>
      <c r="F9798">
        <v>535.7</v>
      </c>
      <c r="G9798">
        <v>18</v>
      </c>
    </row>
    <row r="9799" spans="1:7" x14ac:dyDescent="0.25">
      <c r="A9799" t="s">
        <v>41</v>
      </c>
      <c r="B9799" t="s">
        <v>9551</v>
      </c>
      <c r="C9799" t="s">
        <v>18997</v>
      </c>
      <c r="D9799" t="s">
        <v>20</v>
      </c>
      <c r="E9799" t="s">
        <v>11</v>
      </c>
      <c r="F9799">
        <v>952.6</v>
      </c>
      <c r="G9799">
        <v>18</v>
      </c>
    </row>
    <row r="9800" spans="1:7" x14ac:dyDescent="0.25">
      <c r="A9800" t="s">
        <v>41</v>
      </c>
      <c r="B9800" t="s">
        <v>9554</v>
      </c>
      <c r="C9800" t="s">
        <v>18231</v>
      </c>
      <c r="D9800" t="s">
        <v>20</v>
      </c>
      <c r="E9800" t="s">
        <v>11</v>
      </c>
      <c r="F9800">
        <v>58.300000000000004</v>
      </c>
      <c r="G9800">
        <v>18</v>
      </c>
    </row>
    <row r="9801" spans="1:7" x14ac:dyDescent="0.25">
      <c r="A9801" t="s">
        <v>41</v>
      </c>
      <c r="B9801" t="s">
        <v>9557</v>
      </c>
      <c r="C9801" t="s">
        <v>17654</v>
      </c>
      <c r="D9801" t="s">
        <v>20</v>
      </c>
      <c r="E9801" t="s">
        <v>11</v>
      </c>
      <c r="F9801">
        <v>57.2</v>
      </c>
      <c r="G9801">
        <v>18</v>
      </c>
    </row>
    <row r="9802" spans="1:7" x14ac:dyDescent="0.25">
      <c r="A9802" t="s">
        <v>41</v>
      </c>
      <c r="B9802" t="s">
        <v>9560</v>
      </c>
      <c r="C9802" t="s">
        <v>19526</v>
      </c>
      <c r="D9802" t="s">
        <v>20</v>
      </c>
      <c r="E9802" t="s">
        <v>11</v>
      </c>
      <c r="F9802">
        <v>675.4</v>
      </c>
      <c r="G9802">
        <v>18</v>
      </c>
    </row>
    <row r="9803" spans="1:7" x14ac:dyDescent="0.25">
      <c r="A9803" t="s">
        <v>41</v>
      </c>
      <c r="B9803" t="s">
        <v>9563</v>
      </c>
      <c r="C9803" t="s">
        <v>18998</v>
      </c>
      <c r="D9803" t="s">
        <v>20</v>
      </c>
      <c r="E9803" t="s">
        <v>11</v>
      </c>
      <c r="F9803">
        <v>523.6</v>
      </c>
      <c r="G9803">
        <v>18</v>
      </c>
    </row>
    <row r="9804" spans="1:7" x14ac:dyDescent="0.25">
      <c r="A9804" t="s">
        <v>41</v>
      </c>
      <c r="B9804" t="s">
        <v>9566</v>
      </c>
      <c r="C9804" t="s">
        <v>19000</v>
      </c>
      <c r="D9804" t="s">
        <v>20</v>
      </c>
      <c r="E9804" t="s">
        <v>11</v>
      </c>
      <c r="F9804">
        <v>6177.599999999999</v>
      </c>
      <c r="G9804">
        <v>18</v>
      </c>
    </row>
    <row r="9805" spans="1:7" x14ac:dyDescent="0.25">
      <c r="A9805" t="s">
        <v>41</v>
      </c>
      <c r="B9805" t="s">
        <v>9569</v>
      </c>
      <c r="C9805" t="s">
        <v>17673</v>
      </c>
      <c r="D9805" t="s">
        <v>20</v>
      </c>
      <c r="E9805" t="s">
        <v>11</v>
      </c>
      <c r="F9805">
        <v>1803.9999999999998</v>
      </c>
      <c r="G9805">
        <v>18</v>
      </c>
    </row>
    <row r="9806" spans="1:7" x14ac:dyDescent="0.25">
      <c r="A9806" t="s">
        <v>41</v>
      </c>
      <c r="B9806" t="s">
        <v>9572</v>
      </c>
      <c r="C9806" t="s">
        <v>18999</v>
      </c>
      <c r="D9806" t="s">
        <v>20</v>
      </c>
      <c r="E9806" t="s">
        <v>11</v>
      </c>
      <c r="F9806">
        <v>399.3</v>
      </c>
      <c r="G9806">
        <v>18</v>
      </c>
    </row>
    <row r="9807" spans="1:7" x14ac:dyDescent="0.25">
      <c r="A9807" t="s">
        <v>41</v>
      </c>
      <c r="B9807" t="s">
        <v>9575</v>
      </c>
      <c r="C9807" t="s">
        <v>19529</v>
      </c>
      <c r="D9807" t="s">
        <v>20</v>
      </c>
      <c r="E9807" t="s">
        <v>11</v>
      </c>
      <c r="F9807">
        <v>54067.2</v>
      </c>
      <c r="G9807">
        <v>18</v>
      </c>
    </row>
    <row r="9808" spans="1:7" x14ac:dyDescent="0.25">
      <c r="A9808" t="s">
        <v>41</v>
      </c>
      <c r="B9808" t="s">
        <v>9578</v>
      </c>
      <c r="C9808" t="s">
        <v>19604</v>
      </c>
      <c r="D9808" t="s">
        <v>20</v>
      </c>
      <c r="E9808" t="s">
        <v>11</v>
      </c>
      <c r="F9808">
        <v>54067.2</v>
      </c>
      <c r="G9808">
        <v>18</v>
      </c>
    </row>
    <row r="9809" spans="1:7" x14ac:dyDescent="0.25">
      <c r="A9809" t="s">
        <v>41</v>
      </c>
      <c r="B9809" t="s">
        <v>9581</v>
      </c>
      <c r="C9809" t="s">
        <v>17642</v>
      </c>
      <c r="D9809" t="s">
        <v>20</v>
      </c>
      <c r="E9809" t="s">
        <v>11</v>
      </c>
      <c r="F9809">
        <v>9711.900000000001</v>
      </c>
      <c r="G9809">
        <v>18</v>
      </c>
    </row>
    <row r="9810" spans="1:7" x14ac:dyDescent="0.25">
      <c r="A9810" t="s">
        <v>41</v>
      </c>
      <c r="B9810" t="s">
        <v>9584</v>
      </c>
      <c r="C9810" t="s">
        <v>17643</v>
      </c>
      <c r="D9810" t="s">
        <v>20</v>
      </c>
      <c r="E9810" t="s">
        <v>11</v>
      </c>
      <c r="F9810">
        <v>5872.9</v>
      </c>
      <c r="G9810">
        <v>18</v>
      </c>
    </row>
    <row r="9811" spans="1:7" x14ac:dyDescent="0.25">
      <c r="A9811" t="s">
        <v>41</v>
      </c>
      <c r="B9811" t="s">
        <v>9587</v>
      </c>
      <c r="C9811" t="s">
        <v>19001</v>
      </c>
      <c r="D9811" t="s">
        <v>20</v>
      </c>
      <c r="E9811" t="s">
        <v>11</v>
      </c>
      <c r="F9811">
        <v>9972.6</v>
      </c>
      <c r="G9811">
        <v>18</v>
      </c>
    </row>
    <row r="9812" spans="1:7" x14ac:dyDescent="0.25">
      <c r="A9812" t="s">
        <v>41</v>
      </c>
      <c r="B9812" t="s">
        <v>9590</v>
      </c>
      <c r="C9812" t="s">
        <v>18445</v>
      </c>
      <c r="D9812" t="s">
        <v>20</v>
      </c>
      <c r="E9812" t="s">
        <v>11</v>
      </c>
      <c r="F9812">
        <v>15730</v>
      </c>
      <c r="G9812">
        <v>18</v>
      </c>
    </row>
    <row r="9813" spans="1:7" x14ac:dyDescent="0.25">
      <c r="A9813" t="s">
        <v>41</v>
      </c>
      <c r="B9813" t="s">
        <v>9593</v>
      </c>
      <c r="C9813" t="s">
        <v>19520</v>
      </c>
      <c r="D9813" t="s">
        <v>20</v>
      </c>
      <c r="E9813" t="s">
        <v>11</v>
      </c>
      <c r="F9813">
        <v>14859.9</v>
      </c>
      <c r="G9813">
        <v>18</v>
      </c>
    </row>
    <row r="9814" spans="1:7" x14ac:dyDescent="0.25">
      <c r="A9814" t="s">
        <v>41</v>
      </c>
      <c r="B9814" t="s">
        <v>9596</v>
      </c>
      <c r="C9814" t="s">
        <v>18990</v>
      </c>
      <c r="D9814" t="s">
        <v>20</v>
      </c>
      <c r="E9814" t="s">
        <v>11</v>
      </c>
      <c r="F9814">
        <v>5245.9</v>
      </c>
      <c r="G9814">
        <v>18</v>
      </c>
    </row>
    <row r="9815" spans="1:7" x14ac:dyDescent="0.25">
      <c r="A9815" t="s">
        <v>41</v>
      </c>
      <c r="B9815" t="s">
        <v>9599</v>
      </c>
      <c r="C9815" t="s">
        <v>18121</v>
      </c>
      <c r="D9815" t="s">
        <v>20</v>
      </c>
      <c r="E9815" t="s">
        <v>11</v>
      </c>
      <c r="F9815">
        <v>2952.4</v>
      </c>
      <c r="G9815">
        <v>18</v>
      </c>
    </row>
    <row r="9816" spans="1:7" x14ac:dyDescent="0.25">
      <c r="A9816" t="s">
        <v>41</v>
      </c>
      <c r="B9816" t="s">
        <v>9602</v>
      </c>
      <c r="C9816" t="s">
        <v>19605</v>
      </c>
      <c r="D9816" t="s">
        <v>20</v>
      </c>
      <c r="E9816" t="s">
        <v>11</v>
      </c>
      <c r="F9816">
        <v>12883.2</v>
      </c>
      <c r="G9816">
        <v>18</v>
      </c>
    </row>
    <row r="9817" spans="1:7" x14ac:dyDescent="0.25">
      <c r="A9817" t="s">
        <v>41</v>
      </c>
      <c r="B9817" t="s">
        <v>9605</v>
      </c>
      <c r="C9817" t="s">
        <v>19531</v>
      </c>
      <c r="D9817" t="s">
        <v>20</v>
      </c>
      <c r="E9817" t="s">
        <v>11</v>
      </c>
      <c r="F9817">
        <v>12883.2</v>
      </c>
      <c r="G9817">
        <v>18</v>
      </c>
    </row>
    <row r="9818" spans="1:7" x14ac:dyDescent="0.25">
      <c r="A9818" t="s">
        <v>41</v>
      </c>
      <c r="B9818" t="s">
        <v>9608</v>
      </c>
      <c r="C9818" t="s">
        <v>18048</v>
      </c>
      <c r="D9818" t="s">
        <v>20</v>
      </c>
      <c r="E9818" t="s">
        <v>11</v>
      </c>
      <c r="F9818">
        <v>58.300000000000004</v>
      </c>
      <c r="G9818">
        <v>18</v>
      </c>
    </row>
    <row r="9819" spans="1:7" x14ac:dyDescent="0.25">
      <c r="A9819" t="s">
        <v>41</v>
      </c>
      <c r="B9819" t="s">
        <v>9611</v>
      </c>
      <c r="C9819" t="s">
        <v>19532</v>
      </c>
      <c r="D9819" t="s">
        <v>20</v>
      </c>
      <c r="E9819" t="s">
        <v>11</v>
      </c>
      <c r="F9819">
        <v>750.2</v>
      </c>
      <c r="G9819">
        <v>18</v>
      </c>
    </row>
    <row r="9820" spans="1:7" x14ac:dyDescent="0.25">
      <c r="A9820" t="s">
        <v>41</v>
      </c>
      <c r="B9820" t="s">
        <v>9614</v>
      </c>
      <c r="C9820" t="s">
        <v>19533</v>
      </c>
      <c r="D9820" t="s">
        <v>20</v>
      </c>
      <c r="E9820" t="s">
        <v>11</v>
      </c>
      <c r="F9820">
        <v>334.4</v>
      </c>
      <c r="G9820">
        <v>18</v>
      </c>
    </row>
    <row r="9821" spans="1:7" x14ac:dyDescent="0.25">
      <c r="A9821" t="s">
        <v>41</v>
      </c>
      <c r="B9821" t="s">
        <v>9617</v>
      </c>
      <c r="C9821" t="s">
        <v>19269</v>
      </c>
      <c r="D9821" t="s">
        <v>20</v>
      </c>
      <c r="E9821" t="s">
        <v>11</v>
      </c>
      <c r="F9821">
        <v>1659.9</v>
      </c>
      <c r="G9821">
        <v>18</v>
      </c>
    </row>
    <row r="9822" spans="1:7" x14ac:dyDescent="0.25">
      <c r="A9822" t="s">
        <v>41</v>
      </c>
      <c r="B9822" t="s">
        <v>9620</v>
      </c>
      <c r="C9822" t="s">
        <v>19270</v>
      </c>
      <c r="D9822" t="s">
        <v>20</v>
      </c>
      <c r="E9822" t="s">
        <v>11</v>
      </c>
      <c r="F9822">
        <v>3272.5</v>
      </c>
      <c r="G9822">
        <v>18</v>
      </c>
    </row>
    <row r="9823" spans="1:7" x14ac:dyDescent="0.25">
      <c r="A9823" t="s">
        <v>41</v>
      </c>
      <c r="B9823" t="s">
        <v>9623</v>
      </c>
      <c r="C9823" t="s">
        <v>18143</v>
      </c>
      <c r="D9823" t="s">
        <v>20</v>
      </c>
      <c r="E9823" t="s">
        <v>11</v>
      </c>
      <c r="F9823">
        <v>546.6999999999999</v>
      </c>
      <c r="G9823">
        <v>18</v>
      </c>
    </row>
    <row r="9824" spans="1:7" x14ac:dyDescent="0.25">
      <c r="A9824" t="s">
        <v>41</v>
      </c>
      <c r="B9824" t="s">
        <v>9626</v>
      </c>
      <c r="C9824" t="s">
        <v>17909</v>
      </c>
      <c r="D9824" t="s">
        <v>20</v>
      </c>
      <c r="E9824" t="s">
        <v>11</v>
      </c>
      <c r="F9824">
        <v>58.300000000000004</v>
      </c>
      <c r="G9824">
        <v>18</v>
      </c>
    </row>
    <row r="9825" spans="1:7" x14ac:dyDescent="0.25">
      <c r="A9825" t="s">
        <v>41</v>
      </c>
      <c r="B9825" t="s">
        <v>9629</v>
      </c>
      <c r="C9825" t="s">
        <v>17838</v>
      </c>
      <c r="D9825" t="s">
        <v>20</v>
      </c>
      <c r="E9825" t="s">
        <v>11</v>
      </c>
      <c r="F9825">
        <v>40.7</v>
      </c>
      <c r="G9825">
        <v>18</v>
      </c>
    </row>
    <row r="9826" spans="1:7" x14ac:dyDescent="0.25">
      <c r="A9826" t="s">
        <v>41</v>
      </c>
      <c r="B9826" t="s">
        <v>9632</v>
      </c>
      <c r="C9826" t="s">
        <v>17737</v>
      </c>
      <c r="D9826" t="s">
        <v>20</v>
      </c>
      <c r="E9826" t="s">
        <v>11</v>
      </c>
      <c r="F9826">
        <v>57.2</v>
      </c>
      <c r="G9826">
        <v>18</v>
      </c>
    </row>
    <row r="9827" spans="1:7" x14ac:dyDescent="0.25">
      <c r="A9827" t="s">
        <v>41</v>
      </c>
      <c r="B9827" t="s">
        <v>9635</v>
      </c>
      <c r="C9827" t="s">
        <v>17646</v>
      </c>
      <c r="D9827" t="s">
        <v>20</v>
      </c>
      <c r="E9827" t="s">
        <v>11</v>
      </c>
      <c r="F9827">
        <v>70.4</v>
      </c>
      <c r="G9827">
        <v>18</v>
      </c>
    </row>
    <row r="9828" spans="1:7" x14ac:dyDescent="0.25">
      <c r="A9828" t="s">
        <v>41</v>
      </c>
      <c r="B9828" t="s">
        <v>9638</v>
      </c>
      <c r="C9828" t="s">
        <v>19534</v>
      </c>
      <c r="D9828" t="s">
        <v>20</v>
      </c>
      <c r="E9828" t="s">
        <v>11</v>
      </c>
      <c r="F9828">
        <v>143</v>
      </c>
      <c r="G9828">
        <v>18</v>
      </c>
    </row>
    <row r="9829" spans="1:7" x14ac:dyDescent="0.25">
      <c r="A9829" t="s">
        <v>41</v>
      </c>
      <c r="B9829" t="s">
        <v>9641</v>
      </c>
      <c r="C9829" t="s">
        <v>17841</v>
      </c>
      <c r="D9829" t="s">
        <v>20</v>
      </c>
      <c r="E9829" t="s">
        <v>11</v>
      </c>
      <c r="F9829">
        <v>2054.8</v>
      </c>
      <c r="G9829">
        <v>18</v>
      </c>
    </row>
    <row r="9830" spans="1:7" x14ac:dyDescent="0.25">
      <c r="A9830" t="s">
        <v>41</v>
      </c>
      <c r="B9830" t="s">
        <v>9644</v>
      </c>
      <c r="C9830" t="s">
        <v>17552</v>
      </c>
      <c r="D9830" t="s">
        <v>20</v>
      </c>
      <c r="E9830" t="s">
        <v>11</v>
      </c>
      <c r="F9830">
        <v>2054.8</v>
      </c>
      <c r="G9830">
        <v>18</v>
      </c>
    </row>
    <row r="9831" spans="1:7" x14ac:dyDescent="0.25">
      <c r="A9831" t="s">
        <v>41</v>
      </c>
      <c r="B9831" t="s">
        <v>9647</v>
      </c>
      <c r="C9831" t="s">
        <v>19009</v>
      </c>
      <c r="D9831" t="s">
        <v>20</v>
      </c>
      <c r="E9831" t="s">
        <v>11</v>
      </c>
      <c r="F9831">
        <v>214.5</v>
      </c>
      <c r="G9831">
        <v>18</v>
      </c>
    </row>
    <row r="9832" spans="1:7" x14ac:dyDescent="0.25">
      <c r="A9832" t="s">
        <v>41</v>
      </c>
      <c r="B9832" t="s">
        <v>9650</v>
      </c>
      <c r="C9832" t="s">
        <v>17845</v>
      </c>
      <c r="D9832" t="s">
        <v>20</v>
      </c>
      <c r="E9832" t="s">
        <v>11</v>
      </c>
      <c r="F9832">
        <v>269.5</v>
      </c>
      <c r="G9832">
        <v>18</v>
      </c>
    </row>
    <row r="9833" spans="1:7" x14ac:dyDescent="0.25">
      <c r="A9833" t="s">
        <v>41</v>
      </c>
      <c r="B9833" t="s">
        <v>9653</v>
      </c>
      <c r="C9833" t="s">
        <v>17831</v>
      </c>
      <c r="D9833" t="s">
        <v>20</v>
      </c>
      <c r="E9833" t="s">
        <v>11</v>
      </c>
      <c r="F9833">
        <v>229.89999999999998</v>
      </c>
      <c r="G9833">
        <v>18</v>
      </c>
    </row>
    <row r="9834" spans="1:7" x14ac:dyDescent="0.25">
      <c r="A9834" t="s">
        <v>41</v>
      </c>
      <c r="B9834" t="s">
        <v>9656</v>
      </c>
      <c r="C9834" t="s">
        <v>18935</v>
      </c>
      <c r="D9834" t="s">
        <v>20</v>
      </c>
      <c r="E9834" t="s">
        <v>11</v>
      </c>
      <c r="F9834">
        <v>61.60000000000001</v>
      </c>
      <c r="G9834">
        <v>18</v>
      </c>
    </row>
    <row r="9835" spans="1:7" x14ac:dyDescent="0.25">
      <c r="A9835" t="s">
        <v>41</v>
      </c>
      <c r="B9835" t="s">
        <v>9659</v>
      </c>
      <c r="C9835" t="s">
        <v>18696</v>
      </c>
      <c r="D9835" t="s">
        <v>20</v>
      </c>
      <c r="E9835" t="s">
        <v>11</v>
      </c>
      <c r="F9835">
        <v>30.800000000000004</v>
      </c>
      <c r="G9835">
        <v>18</v>
      </c>
    </row>
    <row r="9836" spans="1:7" x14ac:dyDescent="0.25">
      <c r="A9836" t="s">
        <v>41</v>
      </c>
      <c r="B9836" t="s">
        <v>9662</v>
      </c>
      <c r="C9836" t="s">
        <v>19535</v>
      </c>
      <c r="D9836" t="s">
        <v>20</v>
      </c>
      <c r="E9836" t="s">
        <v>11</v>
      </c>
      <c r="F9836">
        <v>70.4</v>
      </c>
      <c r="G9836">
        <v>18</v>
      </c>
    </row>
    <row r="9837" spans="1:7" x14ac:dyDescent="0.25">
      <c r="A9837" t="s">
        <v>41</v>
      </c>
      <c r="B9837" t="s">
        <v>9665</v>
      </c>
      <c r="C9837" t="s">
        <v>17680</v>
      </c>
      <c r="D9837" t="s">
        <v>20</v>
      </c>
      <c r="E9837" t="s">
        <v>11</v>
      </c>
      <c r="F9837">
        <v>2599.2999999999997</v>
      </c>
      <c r="G9837">
        <v>18</v>
      </c>
    </row>
    <row r="9838" spans="1:7" x14ac:dyDescent="0.25">
      <c r="A9838" t="s">
        <v>41</v>
      </c>
      <c r="B9838" t="s">
        <v>9668</v>
      </c>
      <c r="C9838" t="s">
        <v>17545</v>
      </c>
      <c r="D9838" t="s">
        <v>20</v>
      </c>
      <c r="E9838" t="s">
        <v>11</v>
      </c>
      <c r="F9838">
        <v>2516.7999999999997</v>
      </c>
      <c r="G9838">
        <v>18</v>
      </c>
    </row>
    <row r="9839" spans="1:7" x14ac:dyDescent="0.25">
      <c r="A9839" t="s">
        <v>41</v>
      </c>
      <c r="B9839" t="s">
        <v>9671</v>
      </c>
      <c r="C9839" t="s">
        <v>19536</v>
      </c>
      <c r="D9839" t="s">
        <v>20</v>
      </c>
      <c r="E9839" t="s">
        <v>11</v>
      </c>
      <c r="F9839">
        <v>61.60000000000001</v>
      </c>
      <c r="G9839">
        <v>18</v>
      </c>
    </row>
    <row r="9840" spans="1:7" x14ac:dyDescent="0.25">
      <c r="A9840" t="s">
        <v>41</v>
      </c>
      <c r="B9840" t="s">
        <v>9674</v>
      </c>
      <c r="C9840" t="s">
        <v>19537</v>
      </c>
      <c r="D9840" t="s">
        <v>20</v>
      </c>
      <c r="E9840" t="s">
        <v>11</v>
      </c>
      <c r="F9840">
        <v>7979.400000000001</v>
      </c>
      <c r="G9840">
        <v>18</v>
      </c>
    </row>
    <row r="9841" spans="1:7" x14ac:dyDescent="0.25">
      <c r="A9841" t="s">
        <v>41</v>
      </c>
      <c r="B9841" t="s">
        <v>9677</v>
      </c>
      <c r="C9841" t="s">
        <v>19538</v>
      </c>
      <c r="D9841" t="s">
        <v>20</v>
      </c>
      <c r="E9841" t="s">
        <v>11</v>
      </c>
      <c r="F9841">
        <v>7979.400000000001</v>
      </c>
      <c r="G9841">
        <v>18</v>
      </c>
    </row>
    <row r="9842" spans="1:7" x14ac:dyDescent="0.25">
      <c r="A9842" t="s">
        <v>41</v>
      </c>
      <c r="B9842" t="s">
        <v>9680</v>
      </c>
      <c r="C9842" t="s">
        <v>18042</v>
      </c>
      <c r="D9842" t="s">
        <v>20</v>
      </c>
      <c r="E9842" t="s">
        <v>11</v>
      </c>
      <c r="F9842">
        <v>4437.400000000001</v>
      </c>
      <c r="G9842">
        <v>18</v>
      </c>
    </row>
    <row r="9843" spans="1:7" x14ac:dyDescent="0.25">
      <c r="A9843" t="s">
        <v>41</v>
      </c>
      <c r="B9843" t="s">
        <v>9683</v>
      </c>
      <c r="C9843" t="s">
        <v>19542</v>
      </c>
      <c r="D9843" t="s">
        <v>20</v>
      </c>
      <c r="E9843" t="s">
        <v>11</v>
      </c>
      <c r="F9843">
        <v>143</v>
      </c>
      <c r="G9843">
        <v>18</v>
      </c>
    </row>
    <row r="9844" spans="1:7" x14ac:dyDescent="0.25">
      <c r="A9844" t="s">
        <v>41</v>
      </c>
      <c r="B9844" t="s">
        <v>9686</v>
      </c>
      <c r="C9844" t="s">
        <v>19606</v>
      </c>
      <c r="D9844" t="s">
        <v>20</v>
      </c>
      <c r="E9844" t="s">
        <v>11</v>
      </c>
      <c r="F9844">
        <v>58.300000000000004</v>
      </c>
      <c r="G9844">
        <v>18</v>
      </c>
    </row>
    <row r="9845" spans="1:7" x14ac:dyDescent="0.25">
      <c r="A9845" t="s">
        <v>41</v>
      </c>
      <c r="B9845" t="s">
        <v>9689</v>
      </c>
      <c r="C9845" t="s">
        <v>19546</v>
      </c>
      <c r="D9845" t="s">
        <v>20</v>
      </c>
      <c r="E9845" t="s">
        <v>11</v>
      </c>
      <c r="F9845">
        <v>25751</v>
      </c>
      <c r="G9845">
        <v>18</v>
      </c>
    </row>
    <row r="9846" spans="1:7" x14ac:dyDescent="0.25">
      <c r="A9846" t="s">
        <v>41</v>
      </c>
      <c r="B9846" t="s">
        <v>9692</v>
      </c>
      <c r="C9846" t="s">
        <v>19607</v>
      </c>
      <c r="D9846" t="s">
        <v>20</v>
      </c>
      <c r="E9846" t="s">
        <v>11</v>
      </c>
      <c r="F9846">
        <v>25751</v>
      </c>
      <c r="G9846">
        <v>18</v>
      </c>
    </row>
    <row r="9847" spans="1:7" x14ac:dyDescent="0.25">
      <c r="A9847" t="s">
        <v>41</v>
      </c>
      <c r="B9847" t="s">
        <v>9695</v>
      </c>
      <c r="C9847" t="s">
        <v>19547</v>
      </c>
      <c r="D9847" t="s">
        <v>20</v>
      </c>
      <c r="E9847" t="s">
        <v>11</v>
      </c>
      <c r="F9847">
        <v>140.8</v>
      </c>
      <c r="G9847">
        <v>18</v>
      </c>
    </row>
    <row r="9848" spans="1:7" x14ac:dyDescent="0.25">
      <c r="A9848" t="s">
        <v>41</v>
      </c>
      <c r="B9848" t="s">
        <v>9698</v>
      </c>
      <c r="C9848" t="s">
        <v>19548</v>
      </c>
      <c r="D9848" t="s">
        <v>20</v>
      </c>
      <c r="E9848" t="s">
        <v>11</v>
      </c>
      <c r="F9848">
        <v>57.2</v>
      </c>
      <c r="G9848">
        <v>18</v>
      </c>
    </row>
    <row r="9849" spans="1:7" x14ac:dyDescent="0.25">
      <c r="A9849" t="s">
        <v>41</v>
      </c>
      <c r="B9849" t="s">
        <v>9701</v>
      </c>
      <c r="C9849" t="s">
        <v>19549</v>
      </c>
      <c r="D9849" t="s">
        <v>20</v>
      </c>
      <c r="E9849" t="s">
        <v>11</v>
      </c>
      <c r="F9849">
        <v>264</v>
      </c>
      <c r="G9849">
        <v>18</v>
      </c>
    </row>
    <row r="9850" spans="1:7" x14ac:dyDescent="0.25">
      <c r="A9850" t="s">
        <v>41</v>
      </c>
      <c r="B9850" t="s">
        <v>9704</v>
      </c>
      <c r="C9850" t="s">
        <v>19018</v>
      </c>
      <c r="D9850" t="s">
        <v>20</v>
      </c>
      <c r="E9850" t="s">
        <v>11</v>
      </c>
      <c r="F9850">
        <v>1182.5</v>
      </c>
      <c r="G9850">
        <v>18</v>
      </c>
    </row>
    <row r="9851" spans="1:7" x14ac:dyDescent="0.25">
      <c r="A9851" t="s">
        <v>41</v>
      </c>
      <c r="B9851" t="s">
        <v>9707</v>
      </c>
      <c r="C9851" t="s">
        <v>19608</v>
      </c>
      <c r="D9851" t="s">
        <v>20</v>
      </c>
      <c r="E9851" t="s">
        <v>11</v>
      </c>
      <c r="F9851">
        <v>1311.2</v>
      </c>
      <c r="G9851">
        <v>18</v>
      </c>
    </row>
    <row r="9852" spans="1:7" x14ac:dyDescent="0.25">
      <c r="A9852" t="s">
        <v>41</v>
      </c>
      <c r="B9852" t="s">
        <v>9710</v>
      </c>
      <c r="C9852" t="s">
        <v>19022</v>
      </c>
      <c r="D9852" t="s">
        <v>20</v>
      </c>
      <c r="E9852" t="s">
        <v>11</v>
      </c>
      <c r="F9852">
        <v>57.2</v>
      </c>
      <c r="G9852">
        <v>18</v>
      </c>
    </row>
    <row r="9853" spans="1:7" x14ac:dyDescent="0.25">
      <c r="A9853" t="s">
        <v>41</v>
      </c>
      <c r="B9853" t="s">
        <v>9713</v>
      </c>
      <c r="C9853" t="s">
        <v>17592</v>
      </c>
      <c r="D9853" t="s">
        <v>20</v>
      </c>
      <c r="E9853" t="s">
        <v>11</v>
      </c>
      <c r="F9853">
        <v>661.1</v>
      </c>
      <c r="G9853">
        <v>18</v>
      </c>
    </row>
    <row r="9854" spans="1:7" x14ac:dyDescent="0.25">
      <c r="A9854" t="s">
        <v>41</v>
      </c>
      <c r="B9854" t="s">
        <v>9716</v>
      </c>
      <c r="C9854" t="s">
        <v>19554</v>
      </c>
      <c r="D9854" t="s">
        <v>20</v>
      </c>
      <c r="E9854" t="s">
        <v>11</v>
      </c>
      <c r="F9854">
        <v>12883.2</v>
      </c>
      <c r="G9854">
        <v>18</v>
      </c>
    </row>
    <row r="9855" spans="1:7" x14ac:dyDescent="0.25">
      <c r="A9855" t="s">
        <v>41</v>
      </c>
      <c r="B9855" t="s">
        <v>9719</v>
      </c>
      <c r="C9855" t="s">
        <v>19609</v>
      </c>
      <c r="D9855" t="s">
        <v>20</v>
      </c>
      <c r="E9855" t="s">
        <v>11</v>
      </c>
      <c r="F9855">
        <v>19800</v>
      </c>
      <c r="G9855">
        <v>18</v>
      </c>
    </row>
    <row r="9856" spans="1:7" x14ac:dyDescent="0.25">
      <c r="A9856" t="s">
        <v>41</v>
      </c>
      <c r="B9856" t="s">
        <v>9722</v>
      </c>
      <c r="C9856" t="s">
        <v>19610</v>
      </c>
      <c r="D9856" t="s">
        <v>20</v>
      </c>
      <c r="E9856" t="s">
        <v>11</v>
      </c>
      <c r="F9856">
        <v>3986.4</v>
      </c>
      <c r="G9856">
        <v>18</v>
      </c>
    </row>
    <row r="9857" spans="1:7" x14ac:dyDescent="0.25">
      <c r="A9857" t="s">
        <v>41</v>
      </c>
      <c r="B9857" t="s">
        <v>9725</v>
      </c>
      <c r="C9857" t="s">
        <v>19611</v>
      </c>
      <c r="D9857" t="s">
        <v>20</v>
      </c>
      <c r="E9857" t="s">
        <v>11</v>
      </c>
      <c r="F9857">
        <v>911.8999999999999</v>
      </c>
      <c r="G9857">
        <v>18</v>
      </c>
    </row>
    <row r="9858" spans="1:7" x14ac:dyDescent="0.25">
      <c r="A9858" t="s">
        <v>41</v>
      </c>
      <c r="B9858" t="s">
        <v>9728</v>
      </c>
      <c r="C9858" t="s">
        <v>19612</v>
      </c>
      <c r="D9858" t="s">
        <v>20</v>
      </c>
      <c r="E9858" t="s">
        <v>11</v>
      </c>
      <c r="F9858">
        <v>1122</v>
      </c>
      <c r="G9858">
        <v>18</v>
      </c>
    </row>
    <row r="9859" spans="1:7" x14ac:dyDescent="0.25">
      <c r="A9859" t="s">
        <v>41</v>
      </c>
      <c r="B9859" t="s">
        <v>9731</v>
      </c>
      <c r="C9859" t="s">
        <v>19478</v>
      </c>
      <c r="D9859" t="s">
        <v>20</v>
      </c>
      <c r="E9859" t="s">
        <v>11</v>
      </c>
      <c r="F9859">
        <v>57.2</v>
      </c>
      <c r="G9859">
        <v>18</v>
      </c>
    </row>
    <row r="9860" spans="1:7" x14ac:dyDescent="0.25">
      <c r="A9860" t="s">
        <v>41</v>
      </c>
      <c r="B9860" t="s">
        <v>9734</v>
      </c>
      <c r="C9860" t="s">
        <v>19563</v>
      </c>
      <c r="D9860" t="s">
        <v>20</v>
      </c>
      <c r="E9860" t="s">
        <v>11</v>
      </c>
      <c r="F9860">
        <v>804.0999999999999</v>
      </c>
      <c r="G9860">
        <v>18</v>
      </c>
    </row>
    <row r="9861" spans="1:7" x14ac:dyDescent="0.25">
      <c r="A9861" t="s">
        <v>41</v>
      </c>
      <c r="B9861" t="s">
        <v>9737</v>
      </c>
      <c r="C9861" t="s">
        <v>19613</v>
      </c>
      <c r="D9861" t="s">
        <v>20</v>
      </c>
      <c r="E9861" t="s">
        <v>11</v>
      </c>
      <c r="F9861">
        <v>69.3</v>
      </c>
      <c r="G9861">
        <v>18</v>
      </c>
    </row>
    <row r="9862" spans="1:7" x14ac:dyDescent="0.25">
      <c r="A9862" t="s">
        <v>41</v>
      </c>
      <c r="B9862" t="s">
        <v>9740</v>
      </c>
      <c r="C9862" t="s">
        <v>19614</v>
      </c>
      <c r="D9862" t="s">
        <v>20</v>
      </c>
      <c r="E9862" t="s">
        <v>11</v>
      </c>
      <c r="F9862">
        <v>18917.8</v>
      </c>
      <c r="G9862">
        <v>18</v>
      </c>
    </row>
    <row r="9863" spans="1:7" x14ac:dyDescent="0.25">
      <c r="A9863" t="s">
        <v>41</v>
      </c>
      <c r="B9863" t="s">
        <v>9743</v>
      </c>
      <c r="C9863" t="s">
        <v>19615</v>
      </c>
      <c r="D9863" t="s">
        <v>20</v>
      </c>
      <c r="E9863" t="s">
        <v>11</v>
      </c>
      <c r="F9863">
        <v>3279.1</v>
      </c>
      <c r="G9863">
        <v>18</v>
      </c>
    </row>
    <row r="9864" spans="1:7" x14ac:dyDescent="0.25">
      <c r="A9864" t="s">
        <v>41</v>
      </c>
      <c r="B9864" t="s">
        <v>9746</v>
      </c>
      <c r="C9864" t="s">
        <v>19616</v>
      </c>
      <c r="D9864" t="s">
        <v>20</v>
      </c>
      <c r="E9864" t="s">
        <v>11</v>
      </c>
      <c r="F9864">
        <v>1540</v>
      </c>
      <c r="G9864">
        <v>18</v>
      </c>
    </row>
    <row r="9865" spans="1:7" x14ac:dyDescent="0.25">
      <c r="A9865" t="s">
        <v>41</v>
      </c>
      <c r="B9865" t="s">
        <v>9749</v>
      </c>
      <c r="C9865" t="s">
        <v>19617</v>
      </c>
      <c r="D9865" t="s">
        <v>20</v>
      </c>
      <c r="E9865" t="s">
        <v>11</v>
      </c>
      <c r="F9865">
        <v>950.4000000000001</v>
      </c>
      <c r="G9865">
        <v>18</v>
      </c>
    </row>
    <row r="9866" spans="1:7" x14ac:dyDescent="0.25">
      <c r="A9866" t="s">
        <v>41</v>
      </c>
      <c r="B9866" t="s">
        <v>9752</v>
      </c>
      <c r="C9866" t="s">
        <v>19618</v>
      </c>
      <c r="D9866" t="s">
        <v>20</v>
      </c>
      <c r="E9866" t="s">
        <v>11</v>
      </c>
      <c r="F9866">
        <v>101.2</v>
      </c>
      <c r="G9866">
        <v>18</v>
      </c>
    </row>
    <row r="9867" spans="1:7" x14ac:dyDescent="0.25">
      <c r="A9867" t="s">
        <v>41</v>
      </c>
      <c r="B9867" t="s">
        <v>9755</v>
      </c>
      <c r="C9867" t="s">
        <v>18000</v>
      </c>
      <c r="D9867" t="s">
        <v>20</v>
      </c>
      <c r="E9867" t="s">
        <v>11</v>
      </c>
      <c r="F9867">
        <v>185.9</v>
      </c>
      <c r="G9867">
        <v>18</v>
      </c>
    </row>
    <row r="9868" spans="1:7" x14ac:dyDescent="0.25">
      <c r="A9868" t="s">
        <v>41</v>
      </c>
      <c r="B9868" t="s">
        <v>9758</v>
      </c>
      <c r="C9868" t="s">
        <v>19589</v>
      </c>
      <c r="D9868" t="s">
        <v>20</v>
      </c>
      <c r="E9868" t="s">
        <v>11</v>
      </c>
      <c r="F9868">
        <v>114.4</v>
      </c>
      <c r="G9868">
        <v>18</v>
      </c>
    </row>
    <row r="9869" spans="1:7" x14ac:dyDescent="0.25">
      <c r="A9869" t="s">
        <v>41</v>
      </c>
      <c r="B9869" t="s">
        <v>9761</v>
      </c>
      <c r="C9869" t="s">
        <v>19619</v>
      </c>
      <c r="D9869" t="s">
        <v>20</v>
      </c>
      <c r="E9869" t="s">
        <v>11</v>
      </c>
      <c r="F9869">
        <v>57.2</v>
      </c>
      <c r="G9869">
        <v>18</v>
      </c>
    </row>
    <row r="9870" spans="1:7" x14ac:dyDescent="0.25">
      <c r="A9870" t="s">
        <v>41</v>
      </c>
      <c r="B9870" t="s">
        <v>9764</v>
      </c>
      <c r="C9870" t="s">
        <v>18161</v>
      </c>
      <c r="D9870" t="s">
        <v>20</v>
      </c>
      <c r="E9870" t="s">
        <v>11</v>
      </c>
      <c r="F9870">
        <v>5186.5</v>
      </c>
      <c r="G9870">
        <v>18</v>
      </c>
    </row>
    <row r="9871" spans="1:7" x14ac:dyDescent="0.25">
      <c r="A9871" t="s">
        <v>41</v>
      </c>
      <c r="B9871" t="s">
        <v>9767</v>
      </c>
      <c r="C9871" t="s">
        <v>19620</v>
      </c>
      <c r="D9871" t="s">
        <v>20</v>
      </c>
      <c r="E9871" t="s">
        <v>11</v>
      </c>
      <c r="F9871">
        <v>952.6</v>
      </c>
      <c r="G9871">
        <v>18</v>
      </c>
    </row>
    <row r="9872" spans="1:7" x14ac:dyDescent="0.25">
      <c r="A9872" t="s">
        <v>41</v>
      </c>
      <c r="B9872" t="s">
        <v>9770</v>
      </c>
      <c r="C9872" t="s">
        <v>17952</v>
      </c>
      <c r="D9872" t="s">
        <v>20</v>
      </c>
      <c r="E9872" t="s">
        <v>11</v>
      </c>
      <c r="F9872">
        <v>70.4</v>
      </c>
      <c r="G9872">
        <v>18</v>
      </c>
    </row>
    <row r="9873" spans="1:7" x14ac:dyDescent="0.25">
      <c r="A9873" t="s">
        <v>41</v>
      </c>
      <c r="B9873" t="s">
        <v>9773</v>
      </c>
      <c r="C9873" t="s">
        <v>19621</v>
      </c>
      <c r="D9873" t="s">
        <v>20</v>
      </c>
      <c r="E9873" t="s">
        <v>11</v>
      </c>
      <c r="F9873">
        <v>404.8</v>
      </c>
      <c r="G9873">
        <v>18</v>
      </c>
    </row>
    <row r="9874" spans="1:7" x14ac:dyDescent="0.25">
      <c r="A9874" t="s">
        <v>41</v>
      </c>
      <c r="B9874" t="s">
        <v>9776</v>
      </c>
      <c r="C9874" t="s">
        <v>19622</v>
      </c>
      <c r="D9874" t="s">
        <v>20</v>
      </c>
      <c r="E9874" t="s">
        <v>11</v>
      </c>
      <c r="F9874">
        <v>404.8</v>
      </c>
      <c r="G9874">
        <v>18</v>
      </c>
    </row>
    <row r="9875" spans="1:7" x14ac:dyDescent="0.25">
      <c r="A9875" t="s">
        <v>41</v>
      </c>
      <c r="B9875" t="s">
        <v>9779</v>
      </c>
      <c r="C9875" t="s">
        <v>19623</v>
      </c>
      <c r="D9875" t="s">
        <v>20</v>
      </c>
      <c r="E9875" t="s">
        <v>11</v>
      </c>
      <c r="F9875">
        <v>404.8</v>
      </c>
      <c r="G9875">
        <v>18</v>
      </c>
    </row>
    <row r="9876" spans="1:7" x14ac:dyDescent="0.25">
      <c r="A9876" t="s">
        <v>41</v>
      </c>
      <c r="B9876" t="s">
        <v>9782</v>
      </c>
      <c r="C9876" t="s">
        <v>19130</v>
      </c>
      <c r="D9876" t="s">
        <v>20</v>
      </c>
      <c r="E9876" t="s">
        <v>11</v>
      </c>
      <c r="F9876">
        <v>57.2</v>
      </c>
      <c r="G9876">
        <v>18</v>
      </c>
    </row>
    <row r="9877" spans="1:7" x14ac:dyDescent="0.25">
      <c r="A9877" t="s">
        <v>41</v>
      </c>
      <c r="B9877" t="s">
        <v>9785</v>
      </c>
      <c r="C9877" t="s">
        <v>19624</v>
      </c>
      <c r="D9877" t="s">
        <v>20</v>
      </c>
      <c r="E9877" t="s">
        <v>11</v>
      </c>
      <c r="F9877">
        <v>619.3</v>
      </c>
      <c r="G9877">
        <v>18</v>
      </c>
    </row>
    <row r="9878" spans="1:7" x14ac:dyDescent="0.25">
      <c r="A9878" t="s">
        <v>41</v>
      </c>
      <c r="B9878" t="s">
        <v>9788</v>
      </c>
      <c r="C9878" t="s">
        <v>19567</v>
      </c>
      <c r="D9878" t="s">
        <v>20</v>
      </c>
      <c r="E9878" t="s">
        <v>11</v>
      </c>
      <c r="F9878">
        <v>444.4</v>
      </c>
      <c r="G9878">
        <v>18</v>
      </c>
    </row>
    <row r="9879" spans="1:7" x14ac:dyDescent="0.25">
      <c r="A9879" t="s">
        <v>41</v>
      </c>
      <c r="B9879" t="s">
        <v>9791</v>
      </c>
      <c r="C9879" t="s">
        <v>19568</v>
      </c>
      <c r="D9879" t="s">
        <v>20</v>
      </c>
      <c r="E9879" t="s">
        <v>11</v>
      </c>
      <c r="F9879">
        <v>61.60000000000001</v>
      </c>
      <c r="G9879">
        <v>18</v>
      </c>
    </row>
    <row r="9880" spans="1:7" x14ac:dyDescent="0.25">
      <c r="A9880" t="s">
        <v>41</v>
      </c>
      <c r="B9880" t="s">
        <v>9794</v>
      </c>
      <c r="C9880" t="s">
        <v>18696</v>
      </c>
      <c r="D9880" t="s">
        <v>20</v>
      </c>
      <c r="E9880" t="s">
        <v>11</v>
      </c>
      <c r="F9880">
        <v>30.800000000000004</v>
      </c>
      <c r="G9880">
        <v>18</v>
      </c>
    </row>
    <row r="9881" spans="1:7" x14ac:dyDescent="0.25">
      <c r="A9881" t="s">
        <v>41</v>
      </c>
      <c r="B9881" t="s">
        <v>9797</v>
      </c>
      <c r="C9881" t="s">
        <v>19569</v>
      </c>
      <c r="D9881" t="s">
        <v>20</v>
      </c>
      <c r="E9881" t="s">
        <v>11</v>
      </c>
      <c r="F9881">
        <v>529.0999999999999</v>
      </c>
      <c r="G9881">
        <v>18</v>
      </c>
    </row>
    <row r="9882" spans="1:7" x14ac:dyDescent="0.25">
      <c r="A9882" t="s">
        <v>41</v>
      </c>
      <c r="B9882" t="s">
        <v>9800</v>
      </c>
      <c r="C9882" t="s">
        <v>19570</v>
      </c>
      <c r="D9882" t="s">
        <v>20</v>
      </c>
      <c r="E9882" t="s">
        <v>11</v>
      </c>
      <c r="F9882">
        <v>1277.1</v>
      </c>
      <c r="G9882">
        <v>18</v>
      </c>
    </row>
    <row r="9883" spans="1:7" x14ac:dyDescent="0.25">
      <c r="A9883" t="s">
        <v>41</v>
      </c>
      <c r="B9883" t="s">
        <v>9803</v>
      </c>
      <c r="C9883" t="s">
        <v>17736</v>
      </c>
      <c r="D9883" t="s">
        <v>20</v>
      </c>
      <c r="E9883" t="s">
        <v>11</v>
      </c>
      <c r="F9883">
        <v>57.2</v>
      </c>
      <c r="G9883">
        <v>18</v>
      </c>
    </row>
    <row r="9884" spans="1:7" x14ac:dyDescent="0.25">
      <c r="A9884" t="s">
        <v>41</v>
      </c>
      <c r="B9884" t="s">
        <v>9806</v>
      </c>
      <c r="C9884" t="s">
        <v>19478</v>
      </c>
      <c r="D9884" t="s">
        <v>20</v>
      </c>
      <c r="E9884" t="s">
        <v>11</v>
      </c>
      <c r="F9884">
        <v>57.2</v>
      </c>
      <c r="G9884">
        <v>18</v>
      </c>
    </row>
    <row r="9885" spans="1:7" x14ac:dyDescent="0.25">
      <c r="A9885" t="s">
        <v>41</v>
      </c>
      <c r="B9885" t="s">
        <v>9809</v>
      </c>
      <c r="C9885" t="s">
        <v>19571</v>
      </c>
      <c r="D9885" t="s">
        <v>20</v>
      </c>
      <c r="E9885" t="s">
        <v>11</v>
      </c>
      <c r="F9885">
        <v>454.3</v>
      </c>
      <c r="G9885">
        <v>18</v>
      </c>
    </row>
    <row r="9886" spans="1:7" x14ac:dyDescent="0.25">
      <c r="A9886" t="s">
        <v>41</v>
      </c>
      <c r="B9886" t="s">
        <v>9812</v>
      </c>
      <c r="C9886" t="s">
        <v>19572</v>
      </c>
      <c r="D9886" t="s">
        <v>20</v>
      </c>
      <c r="E9886" t="s">
        <v>11</v>
      </c>
      <c r="F9886">
        <v>1873.3000000000002</v>
      </c>
      <c r="G9886">
        <v>18</v>
      </c>
    </row>
    <row r="9887" spans="1:7" x14ac:dyDescent="0.25">
      <c r="A9887" t="s">
        <v>41</v>
      </c>
      <c r="B9887" t="s">
        <v>9815</v>
      </c>
      <c r="C9887" t="s">
        <v>18239</v>
      </c>
      <c r="D9887" t="s">
        <v>20</v>
      </c>
      <c r="E9887" t="s">
        <v>11</v>
      </c>
      <c r="F9887">
        <v>201.3</v>
      </c>
      <c r="G9887">
        <v>18</v>
      </c>
    </row>
    <row r="9888" spans="1:7" x14ac:dyDescent="0.25">
      <c r="A9888" t="s">
        <v>41</v>
      </c>
      <c r="B9888" t="s">
        <v>9818</v>
      </c>
      <c r="C9888" t="s">
        <v>19573</v>
      </c>
      <c r="D9888" t="s">
        <v>20</v>
      </c>
      <c r="E9888" t="s">
        <v>11</v>
      </c>
      <c r="F9888">
        <v>1067</v>
      </c>
      <c r="G9888">
        <v>18</v>
      </c>
    </row>
    <row r="9889" spans="1:7" x14ac:dyDescent="0.25">
      <c r="A9889" t="s">
        <v>41</v>
      </c>
      <c r="B9889" t="s">
        <v>9821</v>
      </c>
      <c r="C9889" t="s">
        <v>19574</v>
      </c>
      <c r="D9889" t="s">
        <v>20</v>
      </c>
      <c r="E9889" t="s">
        <v>11</v>
      </c>
      <c r="F9889">
        <v>201.3</v>
      </c>
      <c r="G9889">
        <v>18</v>
      </c>
    </row>
    <row r="9890" spans="1:7" x14ac:dyDescent="0.25">
      <c r="A9890" t="s">
        <v>41</v>
      </c>
      <c r="B9890" t="s">
        <v>9824</v>
      </c>
      <c r="C9890" t="s">
        <v>19575</v>
      </c>
      <c r="D9890" t="s">
        <v>20</v>
      </c>
      <c r="E9890" t="s">
        <v>11</v>
      </c>
      <c r="F9890">
        <v>602.8000000000001</v>
      </c>
      <c r="G9890">
        <v>18</v>
      </c>
    </row>
    <row r="9891" spans="1:7" x14ac:dyDescent="0.25">
      <c r="A9891" t="s">
        <v>41</v>
      </c>
      <c r="B9891" t="s">
        <v>9827</v>
      </c>
      <c r="C9891" t="s">
        <v>19466</v>
      </c>
      <c r="D9891" t="s">
        <v>20</v>
      </c>
      <c r="E9891" t="s">
        <v>11</v>
      </c>
      <c r="F9891">
        <v>61.60000000000001</v>
      </c>
      <c r="G9891">
        <v>18</v>
      </c>
    </row>
    <row r="9892" spans="1:7" x14ac:dyDescent="0.25">
      <c r="A9892" t="s">
        <v>41</v>
      </c>
      <c r="B9892" t="s">
        <v>9830</v>
      </c>
      <c r="C9892" t="s">
        <v>19576</v>
      </c>
      <c r="D9892" t="s">
        <v>20</v>
      </c>
      <c r="E9892" t="s">
        <v>11</v>
      </c>
      <c r="F9892">
        <v>268.4</v>
      </c>
      <c r="G9892">
        <v>18</v>
      </c>
    </row>
    <row r="9893" spans="1:7" x14ac:dyDescent="0.25">
      <c r="A9893" t="s">
        <v>41</v>
      </c>
      <c r="B9893" t="s">
        <v>9833</v>
      </c>
      <c r="C9893" t="s">
        <v>18157</v>
      </c>
      <c r="D9893" t="s">
        <v>20</v>
      </c>
      <c r="E9893" t="s">
        <v>11</v>
      </c>
      <c r="F9893">
        <v>3001.9</v>
      </c>
      <c r="G9893">
        <v>18</v>
      </c>
    </row>
    <row r="9894" spans="1:7" x14ac:dyDescent="0.25">
      <c r="A9894" t="s">
        <v>41</v>
      </c>
      <c r="B9894" t="s">
        <v>9836</v>
      </c>
      <c r="C9894" t="s">
        <v>19547</v>
      </c>
      <c r="D9894" t="s">
        <v>20</v>
      </c>
      <c r="E9894" t="s">
        <v>11</v>
      </c>
      <c r="F9894">
        <v>140.8</v>
      </c>
      <c r="G9894">
        <v>18</v>
      </c>
    </row>
    <row r="9895" spans="1:7" x14ac:dyDescent="0.25">
      <c r="A9895" t="s">
        <v>41</v>
      </c>
      <c r="B9895" t="s">
        <v>9839</v>
      </c>
      <c r="C9895" t="s">
        <v>19625</v>
      </c>
      <c r="D9895" t="s">
        <v>20</v>
      </c>
      <c r="E9895" t="s">
        <v>11</v>
      </c>
      <c r="F9895">
        <v>367.4</v>
      </c>
      <c r="G9895">
        <v>18</v>
      </c>
    </row>
    <row r="9896" spans="1:7" x14ac:dyDescent="0.25">
      <c r="A9896" t="s">
        <v>41</v>
      </c>
      <c r="B9896" t="s">
        <v>9842</v>
      </c>
      <c r="C9896" t="s">
        <v>19626</v>
      </c>
      <c r="D9896" t="s">
        <v>20</v>
      </c>
      <c r="E9896" t="s">
        <v>11</v>
      </c>
      <c r="F9896">
        <v>2755.5</v>
      </c>
      <c r="G9896">
        <v>18</v>
      </c>
    </row>
    <row r="9897" spans="1:7" x14ac:dyDescent="0.25">
      <c r="A9897" t="s">
        <v>41</v>
      </c>
      <c r="B9897" t="s">
        <v>9845</v>
      </c>
      <c r="C9897" t="s">
        <v>19535</v>
      </c>
      <c r="D9897" t="s">
        <v>20</v>
      </c>
      <c r="E9897" t="s">
        <v>11</v>
      </c>
      <c r="F9897">
        <v>70.4</v>
      </c>
      <c r="G9897">
        <v>18</v>
      </c>
    </row>
    <row r="9898" spans="1:7" x14ac:dyDescent="0.25">
      <c r="A9898" t="s">
        <v>41</v>
      </c>
      <c r="B9898" t="s">
        <v>9848</v>
      </c>
      <c r="C9898" t="s">
        <v>19627</v>
      </c>
      <c r="D9898" t="s">
        <v>20</v>
      </c>
      <c r="E9898" t="s">
        <v>11</v>
      </c>
      <c r="F9898">
        <v>5448.3</v>
      </c>
      <c r="G9898">
        <v>18</v>
      </c>
    </row>
    <row r="9899" spans="1:7" x14ac:dyDescent="0.25">
      <c r="A9899" t="s">
        <v>41</v>
      </c>
      <c r="B9899" t="s">
        <v>9851</v>
      </c>
      <c r="C9899" t="s">
        <v>19628</v>
      </c>
      <c r="D9899" t="s">
        <v>20</v>
      </c>
      <c r="E9899" t="s">
        <v>11</v>
      </c>
      <c r="F9899">
        <v>1311.2</v>
      </c>
      <c r="G9899">
        <v>18</v>
      </c>
    </row>
    <row r="9900" spans="1:7" x14ac:dyDescent="0.25">
      <c r="A9900" t="s">
        <v>41</v>
      </c>
      <c r="B9900" t="s">
        <v>9854</v>
      </c>
      <c r="C9900" t="s">
        <v>19478</v>
      </c>
      <c r="D9900" t="s">
        <v>20</v>
      </c>
      <c r="E9900" t="s">
        <v>11</v>
      </c>
      <c r="F9900">
        <v>57.2</v>
      </c>
      <c r="G9900">
        <v>18</v>
      </c>
    </row>
    <row r="9901" spans="1:7" x14ac:dyDescent="0.25">
      <c r="A9901" t="s">
        <v>41</v>
      </c>
      <c r="B9901" t="s">
        <v>9857</v>
      </c>
      <c r="C9901" t="s">
        <v>19629</v>
      </c>
      <c r="D9901" t="s">
        <v>20</v>
      </c>
      <c r="E9901" t="s">
        <v>11</v>
      </c>
      <c r="F9901">
        <v>21450</v>
      </c>
      <c r="G9901">
        <v>18</v>
      </c>
    </row>
    <row r="9902" spans="1:7" x14ac:dyDescent="0.25">
      <c r="A9902" t="s">
        <v>41</v>
      </c>
      <c r="B9902" t="s">
        <v>9860</v>
      </c>
      <c r="C9902" t="s">
        <v>19630</v>
      </c>
      <c r="D9902" t="s">
        <v>20</v>
      </c>
      <c r="E9902" t="s">
        <v>11</v>
      </c>
      <c r="F9902">
        <v>19672.4</v>
      </c>
      <c r="G9902">
        <v>18</v>
      </c>
    </row>
    <row r="9903" spans="1:7" x14ac:dyDescent="0.25">
      <c r="A9903" t="s">
        <v>41</v>
      </c>
      <c r="B9903" t="s">
        <v>9863</v>
      </c>
      <c r="C9903" t="s">
        <v>19631</v>
      </c>
      <c r="D9903" t="s">
        <v>20</v>
      </c>
      <c r="E9903" t="s">
        <v>11</v>
      </c>
      <c r="F9903">
        <v>21450</v>
      </c>
      <c r="G9903">
        <v>18</v>
      </c>
    </row>
    <row r="9904" spans="1:7" x14ac:dyDescent="0.25">
      <c r="A9904" t="s">
        <v>41</v>
      </c>
      <c r="B9904" t="s">
        <v>9866</v>
      </c>
      <c r="C9904" t="s">
        <v>19632</v>
      </c>
      <c r="D9904" t="s">
        <v>20</v>
      </c>
      <c r="E9904" t="s">
        <v>11</v>
      </c>
      <c r="F9904">
        <v>19672.4</v>
      </c>
      <c r="G9904">
        <v>18</v>
      </c>
    </row>
    <row r="9905" spans="1:7" x14ac:dyDescent="0.25">
      <c r="A9905" t="s">
        <v>41</v>
      </c>
      <c r="B9905" t="s">
        <v>9869</v>
      </c>
      <c r="C9905" t="s">
        <v>19633</v>
      </c>
      <c r="D9905" t="s">
        <v>20</v>
      </c>
      <c r="E9905" t="s">
        <v>11</v>
      </c>
      <c r="F9905">
        <v>22550</v>
      </c>
      <c r="G9905">
        <v>18</v>
      </c>
    </row>
    <row r="9906" spans="1:7" x14ac:dyDescent="0.25">
      <c r="A9906" t="s">
        <v>41</v>
      </c>
      <c r="B9906" t="s">
        <v>9872</v>
      </c>
      <c r="C9906" t="s">
        <v>19634</v>
      </c>
      <c r="D9906" t="s">
        <v>20</v>
      </c>
      <c r="E9906" t="s">
        <v>11</v>
      </c>
      <c r="F9906">
        <v>23566.4</v>
      </c>
      <c r="G9906">
        <v>18</v>
      </c>
    </row>
    <row r="9907" spans="1:7" x14ac:dyDescent="0.25">
      <c r="A9907" t="s">
        <v>41</v>
      </c>
      <c r="B9907" t="s">
        <v>9875</v>
      </c>
      <c r="C9907" t="s">
        <v>19635</v>
      </c>
      <c r="D9907" t="s">
        <v>20</v>
      </c>
      <c r="E9907" t="s">
        <v>11</v>
      </c>
      <c r="F9907">
        <v>22550</v>
      </c>
      <c r="G9907">
        <v>18</v>
      </c>
    </row>
    <row r="9908" spans="1:7" x14ac:dyDescent="0.25">
      <c r="A9908" t="s">
        <v>41</v>
      </c>
      <c r="B9908" t="s">
        <v>9878</v>
      </c>
      <c r="C9908" t="s">
        <v>19636</v>
      </c>
      <c r="D9908" t="s">
        <v>20</v>
      </c>
      <c r="E9908" t="s">
        <v>11</v>
      </c>
      <c r="F9908">
        <v>23566.4</v>
      </c>
      <c r="G9908">
        <v>18</v>
      </c>
    </row>
    <row r="9909" spans="1:7" x14ac:dyDescent="0.25">
      <c r="A9909" t="s">
        <v>41</v>
      </c>
      <c r="B9909" t="s">
        <v>9881</v>
      </c>
      <c r="C9909" t="s">
        <v>19637</v>
      </c>
      <c r="D9909" t="s">
        <v>20</v>
      </c>
      <c r="E9909" t="s">
        <v>11</v>
      </c>
      <c r="F9909">
        <v>8466.7</v>
      </c>
      <c r="G9909">
        <v>18</v>
      </c>
    </row>
    <row r="9910" spans="1:7" x14ac:dyDescent="0.25">
      <c r="A9910" t="s">
        <v>41</v>
      </c>
      <c r="B9910" t="s">
        <v>9884</v>
      </c>
      <c r="C9910" t="s">
        <v>19638</v>
      </c>
      <c r="D9910" t="s">
        <v>20</v>
      </c>
      <c r="E9910" t="s">
        <v>11</v>
      </c>
      <c r="F9910">
        <v>10035.300000000001</v>
      </c>
      <c r="G9910">
        <v>18</v>
      </c>
    </row>
    <row r="9911" spans="1:7" x14ac:dyDescent="0.25">
      <c r="A9911" t="s">
        <v>41</v>
      </c>
      <c r="B9911" t="s">
        <v>9887</v>
      </c>
      <c r="C9911" t="s">
        <v>19639</v>
      </c>
      <c r="D9911" t="s">
        <v>20</v>
      </c>
      <c r="E9911" t="s">
        <v>11</v>
      </c>
      <c r="F9911">
        <v>10035.300000000001</v>
      </c>
      <c r="G9911">
        <v>18</v>
      </c>
    </row>
    <row r="9912" spans="1:7" x14ac:dyDescent="0.25">
      <c r="A9912" t="s">
        <v>41</v>
      </c>
      <c r="B9912" t="s">
        <v>9890</v>
      </c>
      <c r="C9912" t="s">
        <v>19640</v>
      </c>
      <c r="D9912" t="s">
        <v>20</v>
      </c>
      <c r="E9912" t="s">
        <v>11</v>
      </c>
      <c r="F9912">
        <v>2098.7999999999997</v>
      </c>
      <c r="G9912">
        <v>18</v>
      </c>
    </row>
    <row r="9913" spans="1:7" x14ac:dyDescent="0.25">
      <c r="A9913" t="s">
        <v>41</v>
      </c>
      <c r="B9913" t="s">
        <v>9893</v>
      </c>
      <c r="C9913" t="s">
        <v>19641</v>
      </c>
      <c r="D9913" t="s">
        <v>20</v>
      </c>
      <c r="E9913" t="s">
        <v>11</v>
      </c>
      <c r="F9913">
        <v>3432</v>
      </c>
      <c r="G9913">
        <v>18</v>
      </c>
    </row>
    <row r="9914" spans="1:7" x14ac:dyDescent="0.25">
      <c r="A9914" t="s">
        <v>41</v>
      </c>
      <c r="B9914" t="s">
        <v>9896</v>
      </c>
      <c r="C9914" t="s">
        <v>19642</v>
      </c>
      <c r="D9914" t="s">
        <v>20</v>
      </c>
      <c r="E9914" t="s">
        <v>11</v>
      </c>
      <c r="F9914">
        <v>3432</v>
      </c>
      <c r="G9914">
        <v>18</v>
      </c>
    </row>
    <row r="9915" spans="1:7" x14ac:dyDescent="0.25">
      <c r="A9915" t="s">
        <v>41</v>
      </c>
      <c r="B9915" t="s">
        <v>9899</v>
      </c>
      <c r="C9915" t="s">
        <v>19643</v>
      </c>
      <c r="D9915" t="s">
        <v>20</v>
      </c>
      <c r="E9915" t="s">
        <v>11</v>
      </c>
      <c r="F9915">
        <v>3181.2000000000003</v>
      </c>
      <c r="G9915">
        <v>18</v>
      </c>
    </row>
    <row r="9916" spans="1:7" x14ac:dyDescent="0.25">
      <c r="A9916" t="s">
        <v>41</v>
      </c>
      <c r="B9916" t="s">
        <v>9902</v>
      </c>
      <c r="C9916" t="s">
        <v>19644</v>
      </c>
      <c r="D9916" t="s">
        <v>20</v>
      </c>
      <c r="E9916" t="s">
        <v>11</v>
      </c>
      <c r="F9916">
        <v>233.20000000000002</v>
      </c>
      <c r="G9916">
        <v>18</v>
      </c>
    </row>
    <row r="9917" spans="1:7" x14ac:dyDescent="0.25">
      <c r="A9917" t="s">
        <v>41</v>
      </c>
      <c r="B9917" t="s">
        <v>9905</v>
      </c>
      <c r="C9917" t="s">
        <v>19645</v>
      </c>
      <c r="D9917" t="s">
        <v>20</v>
      </c>
      <c r="E9917" t="s">
        <v>11</v>
      </c>
      <c r="F9917">
        <v>7060.9</v>
      </c>
      <c r="G9917">
        <v>18</v>
      </c>
    </row>
    <row r="9918" spans="1:7" x14ac:dyDescent="0.25">
      <c r="A9918" t="s">
        <v>41</v>
      </c>
      <c r="B9918" t="s">
        <v>9908</v>
      </c>
      <c r="C9918" t="s">
        <v>19646</v>
      </c>
      <c r="D9918" t="s">
        <v>20</v>
      </c>
      <c r="E9918" t="s">
        <v>11</v>
      </c>
      <c r="F9918">
        <v>14110.8</v>
      </c>
      <c r="G9918">
        <v>18</v>
      </c>
    </row>
    <row r="9919" spans="1:7" x14ac:dyDescent="0.25">
      <c r="A9919" t="s">
        <v>41</v>
      </c>
      <c r="B9919" t="s">
        <v>9911</v>
      </c>
      <c r="C9919" t="s">
        <v>19647</v>
      </c>
      <c r="D9919" t="s">
        <v>20</v>
      </c>
      <c r="E9919" t="s">
        <v>11</v>
      </c>
      <c r="F9919">
        <v>14757.6</v>
      </c>
      <c r="G9919">
        <v>18</v>
      </c>
    </row>
    <row r="9920" spans="1:7" x14ac:dyDescent="0.25">
      <c r="A9920" t="s">
        <v>41</v>
      </c>
      <c r="B9920" t="s">
        <v>9914</v>
      </c>
      <c r="C9920" t="s">
        <v>19644</v>
      </c>
      <c r="D9920" t="s">
        <v>20</v>
      </c>
      <c r="E9920" t="s">
        <v>11</v>
      </c>
      <c r="F9920">
        <v>313.5</v>
      </c>
      <c r="G9920">
        <v>18</v>
      </c>
    </row>
    <row r="9921" spans="1:7" x14ac:dyDescent="0.25">
      <c r="A9921" t="s">
        <v>41</v>
      </c>
      <c r="B9921" t="s">
        <v>9917</v>
      </c>
      <c r="C9921" t="s">
        <v>19648</v>
      </c>
      <c r="D9921" t="s">
        <v>20</v>
      </c>
      <c r="E9921" t="s">
        <v>11</v>
      </c>
      <c r="F9921">
        <v>220</v>
      </c>
      <c r="G9921">
        <v>18</v>
      </c>
    </row>
    <row r="9922" spans="1:7" x14ac:dyDescent="0.25">
      <c r="A9922" t="s">
        <v>41</v>
      </c>
      <c r="B9922" t="s">
        <v>9919</v>
      </c>
      <c r="C9922" t="s">
        <v>19649</v>
      </c>
      <c r="D9922" t="s">
        <v>20</v>
      </c>
      <c r="E9922" t="s">
        <v>11</v>
      </c>
      <c r="F9922">
        <v>964.6999999999999</v>
      </c>
      <c r="G9922">
        <v>18</v>
      </c>
    </row>
    <row r="9923" spans="1:7" x14ac:dyDescent="0.25">
      <c r="A9923" t="s">
        <v>41</v>
      </c>
      <c r="B9923" t="s">
        <v>9922</v>
      </c>
      <c r="C9923" t="s">
        <v>19650</v>
      </c>
      <c r="D9923" t="s">
        <v>20</v>
      </c>
      <c r="E9923" t="s">
        <v>11</v>
      </c>
      <c r="F9923">
        <v>2897.4</v>
      </c>
      <c r="G9923">
        <v>18</v>
      </c>
    </row>
    <row r="9924" spans="1:7" x14ac:dyDescent="0.25">
      <c r="A9924" t="s">
        <v>41</v>
      </c>
      <c r="B9924" t="s">
        <v>9925</v>
      </c>
      <c r="C9924" t="s">
        <v>19651</v>
      </c>
      <c r="D9924" t="s">
        <v>20</v>
      </c>
      <c r="E9924" t="s">
        <v>11</v>
      </c>
      <c r="F9924">
        <v>5036.9</v>
      </c>
      <c r="G9924">
        <v>18</v>
      </c>
    </row>
    <row r="9925" spans="1:7" x14ac:dyDescent="0.25">
      <c r="A9925" t="s">
        <v>41</v>
      </c>
      <c r="B9925" t="s">
        <v>9928</v>
      </c>
      <c r="C9925" t="s">
        <v>19652</v>
      </c>
      <c r="D9925" t="s">
        <v>20</v>
      </c>
      <c r="E9925" t="s">
        <v>11</v>
      </c>
      <c r="F9925">
        <v>21771.199999999997</v>
      </c>
      <c r="G9925">
        <v>18</v>
      </c>
    </row>
    <row r="9926" spans="1:7" x14ac:dyDescent="0.25">
      <c r="A9926" t="s">
        <v>41</v>
      </c>
      <c r="B9926" t="s">
        <v>9931</v>
      </c>
      <c r="C9926" t="s">
        <v>19653</v>
      </c>
      <c r="D9926" t="s">
        <v>20</v>
      </c>
      <c r="E9926" t="s">
        <v>11</v>
      </c>
      <c r="F9926">
        <v>8466.7</v>
      </c>
      <c r="G9926">
        <v>18</v>
      </c>
    </row>
    <row r="9927" spans="1:7" x14ac:dyDescent="0.25">
      <c r="A9927" t="s">
        <v>41</v>
      </c>
      <c r="B9927" t="s">
        <v>9934</v>
      </c>
      <c r="C9927" t="s">
        <v>19654</v>
      </c>
      <c r="D9927" t="s">
        <v>20</v>
      </c>
      <c r="E9927" t="s">
        <v>11</v>
      </c>
      <c r="F9927">
        <v>1932.7</v>
      </c>
      <c r="G9927">
        <v>18</v>
      </c>
    </row>
    <row r="9928" spans="1:7" x14ac:dyDescent="0.25">
      <c r="A9928" t="s">
        <v>41</v>
      </c>
      <c r="B9928" t="s">
        <v>9937</v>
      </c>
      <c r="C9928" t="s">
        <v>19655</v>
      </c>
      <c r="D9928" t="s">
        <v>20</v>
      </c>
      <c r="E9928" t="s">
        <v>11</v>
      </c>
      <c r="F9928">
        <v>588.5</v>
      </c>
      <c r="G9928">
        <v>18</v>
      </c>
    </row>
    <row r="9929" spans="1:7" x14ac:dyDescent="0.25">
      <c r="A9929" t="s">
        <v>41</v>
      </c>
      <c r="B9929" t="s">
        <v>9940</v>
      </c>
      <c r="C9929" t="s">
        <v>19656</v>
      </c>
      <c r="D9929" t="s">
        <v>20</v>
      </c>
      <c r="E9929" t="s">
        <v>11</v>
      </c>
      <c r="F9929">
        <v>8466.7</v>
      </c>
      <c r="G9929">
        <v>18</v>
      </c>
    </row>
    <row r="9930" spans="1:7" x14ac:dyDescent="0.25">
      <c r="A9930" t="s">
        <v>41</v>
      </c>
      <c r="B9930" t="s">
        <v>9943</v>
      </c>
      <c r="C9930" t="s">
        <v>19497</v>
      </c>
      <c r="D9930" t="s">
        <v>20</v>
      </c>
      <c r="E9930" t="s">
        <v>11</v>
      </c>
      <c r="F9930">
        <v>137.5</v>
      </c>
      <c r="G9930">
        <v>18</v>
      </c>
    </row>
    <row r="9931" spans="1:7" x14ac:dyDescent="0.25">
      <c r="A9931" t="s">
        <v>41</v>
      </c>
      <c r="B9931" t="s">
        <v>9946</v>
      </c>
      <c r="C9931" t="s">
        <v>19657</v>
      </c>
      <c r="D9931" t="s">
        <v>20</v>
      </c>
      <c r="E9931" t="s">
        <v>11</v>
      </c>
      <c r="F9931">
        <v>2338.6000000000004</v>
      </c>
      <c r="G9931">
        <v>18</v>
      </c>
    </row>
    <row r="9932" spans="1:7" x14ac:dyDescent="0.25">
      <c r="A9932" t="s">
        <v>41</v>
      </c>
      <c r="B9932" t="s">
        <v>9949</v>
      </c>
      <c r="C9932" t="s">
        <v>19658</v>
      </c>
      <c r="D9932" t="s">
        <v>20</v>
      </c>
      <c r="E9932" t="s">
        <v>11</v>
      </c>
      <c r="F9932">
        <v>691.9</v>
      </c>
      <c r="G9932">
        <v>18</v>
      </c>
    </row>
    <row r="9933" spans="1:7" x14ac:dyDescent="0.25">
      <c r="A9933" t="s">
        <v>41</v>
      </c>
      <c r="B9933" t="s">
        <v>9952</v>
      </c>
      <c r="C9933" t="s">
        <v>19659</v>
      </c>
      <c r="D9933" t="s">
        <v>20</v>
      </c>
      <c r="E9933" t="s">
        <v>11</v>
      </c>
      <c r="F9933">
        <v>2062.5</v>
      </c>
      <c r="G9933">
        <v>18</v>
      </c>
    </row>
    <row r="9934" spans="1:7" x14ac:dyDescent="0.25">
      <c r="A9934" t="s">
        <v>41</v>
      </c>
      <c r="B9934" t="s">
        <v>9955</v>
      </c>
      <c r="C9934" t="s">
        <v>19660</v>
      </c>
      <c r="D9934" t="s">
        <v>20</v>
      </c>
      <c r="E9934" t="s">
        <v>11</v>
      </c>
      <c r="F9934">
        <v>4588.1</v>
      </c>
      <c r="G9934">
        <v>18</v>
      </c>
    </row>
    <row r="9935" spans="1:7" x14ac:dyDescent="0.25">
      <c r="A9935" t="s">
        <v>41</v>
      </c>
      <c r="B9935" t="s">
        <v>9958</v>
      </c>
      <c r="C9935" t="s">
        <v>19661</v>
      </c>
      <c r="D9935" t="s">
        <v>20</v>
      </c>
      <c r="E9935" t="s">
        <v>11</v>
      </c>
      <c r="F9935">
        <v>3181.2000000000003</v>
      </c>
      <c r="G9935">
        <v>18</v>
      </c>
    </row>
    <row r="9936" spans="1:7" x14ac:dyDescent="0.25">
      <c r="A9936" t="s">
        <v>41</v>
      </c>
      <c r="B9936" t="s">
        <v>9961</v>
      </c>
      <c r="C9936" t="s">
        <v>19656</v>
      </c>
      <c r="D9936" t="s">
        <v>20</v>
      </c>
      <c r="E9936" t="s">
        <v>11</v>
      </c>
      <c r="F9936">
        <v>8466.7</v>
      </c>
      <c r="G9936">
        <v>18</v>
      </c>
    </row>
    <row r="9937" spans="1:7" x14ac:dyDescent="0.25">
      <c r="A9937" t="s">
        <v>41</v>
      </c>
      <c r="B9937" t="s">
        <v>9964</v>
      </c>
      <c r="C9937" t="s">
        <v>19662</v>
      </c>
      <c r="D9937" t="s">
        <v>20</v>
      </c>
      <c r="E9937" t="s">
        <v>11</v>
      </c>
      <c r="F9937">
        <v>148720</v>
      </c>
      <c r="G9937">
        <v>18</v>
      </c>
    </row>
    <row r="9938" spans="1:7" x14ac:dyDescent="0.25">
      <c r="A9938" t="s">
        <v>41</v>
      </c>
      <c r="B9938" t="s">
        <v>9967</v>
      </c>
      <c r="C9938" t="s">
        <v>19663</v>
      </c>
      <c r="D9938" t="s">
        <v>20</v>
      </c>
      <c r="E9938" t="s">
        <v>11</v>
      </c>
      <c r="F9938">
        <v>148720</v>
      </c>
      <c r="G9938">
        <v>18</v>
      </c>
    </row>
    <row r="9939" spans="1:7" x14ac:dyDescent="0.25">
      <c r="A9939" t="s">
        <v>41</v>
      </c>
      <c r="B9939" t="s">
        <v>9970</v>
      </c>
      <c r="C9939" t="s">
        <v>19664</v>
      </c>
      <c r="D9939" t="s">
        <v>20</v>
      </c>
      <c r="E9939" t="s">
        <v>11</v>
      </c>
      <c r="F9939">
        <v>17160</v>
      </c>
      <c r="G9939">
        <v>18</v>
      </c>
    </row>
    <row r="9940" spans="1:7" x14ac:dyDescent="0.25">
      <c r="A9940" t="s">
        <v>41</v>
      </c>
      <c r="B9940" t="s">
        <v>9973</v>
      </c>
      <c r="C9940" t="s">
        <v>19665</v>
      </c>
      <c r="D9940" t="s">
        <v>20</v>
      </c>
      <c r="E9940" t="s">
        <v>11</v>
      </c>
      <c r="F9940">
        <v>1842.5</v>
      </c>
      <c r="G9940">
        <v>18</v>
      </c>
    </row>
    <row r="9941" spans="1:7" x14ac:dyDescent="0.25">
      <c r="A9941" t="s">
        <v>41</v>
      </c>
      <c r="B9941" t="s">
        <v>9976</v>
      </c>
      <c r="C9941" t="s">
        <v>19666</v>
      </c>
      <c r="D9941" t="s">
        <v>20</v>
      </c>
      <c r="E9941" t="s">
        <v>11</v>
      </c>
      <c r="F9941">
        <v>80.3</v>
      </c>
      <c r="G9941">
        <v>18</v>
      </c>
    </row>
    <row r="9942" spans="1:7" x14ac:dyDescent="0.25">
      <c r="A9942" t="s">
        <v>41</v>
      </c>
      <c r="B9942" t="s">
        <v>9979</v>
      </c>
      <c r="C9942" t="s">
        <v>17592</v>
      </c>
      <c r="D9942" t="s">
        <v>20</v>
      </c>
      <c r="E9942" t="s">
        <v>11</v>
      </c>
      <c r="F9942">
        <v>645.7</v>
      </c>
      <c r="G9942">
        <v>18</v>
      </c>
    </row>
    <row r="9943" spans="1:7" x14ac:dyDescent="0.25">
      <c r="A9943" t="s">
        <v>41</v>
      </c>
      <c r="B9943" t="s">
        <v>9982</v>
      </c>
      <c r="C9943" t="s">
        <v>19667</v>
      </c>
      <c r="D9943" t="s">
        <v>20</v>
      </c>
      <c r="E9943" t="s">
        <v>11</v>
      </c>
      <c r="F9943">
        <v>55173.799999999996</v>
      </c>
      <c r="G9943">
        <v>18</v>
      </c>
    </row>
    <row r="9944" spans="1:7" x14ac:dyDescent="0.25">
      <c r="A9944" t="s">
        <v>41</v>
      </c>
      <c r="B9944" t="s">
        <v>9985</v>
      </c>
      <c r="C9944" t="s">
        <v>19668</v>
      </c>
      <c r="D9944" t="s">
        <v>20</v>
      </c>
      <c r="E9944" t="s">
        <v>11</v>
      </c>
      <c r="F9944">
        <v>114628.79999999999</v>
      </c>
      <c r="G9944">
        <v>18</v>
      </c>
    </row>
    <row r="9945" spans="1:7" x14ac:dyDescent="0.25">
      <c r="A9945" t="s">
        <v>41</v>
      </c>
      <c r="B9945" t="s">
        <v>9988</v>
      </c>
      <c r="C9945" t="s">
        <v>19669</v>
      </c>
      <c r="D9945" t="s">
        <v>20</v>
      </c>
      <c r="E9945" t="s">
        <v>11</v>
      </c>
      <c r="F9945">
        <v>973.5</v>
      </c>
      <c r="G9945">
        <v>18</v>
      </c>
    </row>
    <row r="9946" spans="1:7" x14ac:dyDescent="0.25">
      <c r="A9946" t="s">
        <v>41</v>
      </c>
      <c r="B9946" t="s">
        <v>9991</v>
      </c>
      <c r="C9946" t="s">
        <v>19670</v>
      </c>
      <c r="D9946" t="s">
        <v>20</v>
      </c>
      <c r="E9946" t="s">
        <v>11</v>
      </c>
      <c r="F9946">
        <v>22040.7</v>
      </c>
      <c r="G9946">
        <v>18</v>
      </c>
    </row>
    <row r="9947" spans="1:7" x14ac:dyDescent="0.25">
      <c r="A9947" t="s">
        <v>41</v>
      </c>
      <c r="B9947" t="s">
        <v>9994</v>
      </c>
      <c r="C9947" t="s">
        <v>19671</v>
      </c>
      <c r="D9947" t="s">
        <v>20</v>
      </c>
      <c r="E9947" t="s">
        <v>11</v>
      </c>
      <c r="F9947">
        <v>40.7</v>
      </c>
      <c r="G9947">
        <v>18</v>
      </c>
    </row>
    <row r="9948" spans="1:7" x14ac:dyDescent="0.25">
      <c r="A9948" t="s">
        <v>41</v>
      </c>
      <c r="B9948" t="s">
        <v>9997</v>
      </c>
      <c r="C9948" t="s">
        <v>19672</v>
      </c>
      <c r="D9948" t="s">
        <v>20</v>
      </c>
      <c r="E9948" t="s">
        <v>11</v>
      </c>
      <c r="F9948">
        <v>4988.5</v>
      </c>
      <c r="G9948">
        <v>18</v>
      </c>
    </row>
    <row r="9949" spans="1:7" x14ac:dyDescent="0.25">
      <c r="A9949" t="s">
        <v>41</v>
      </c>
      <c r="B9949" t="s">
        <v>10000</v>
      </c>
      <c r="C9949" t="s">
        <v>19673</v>
      </c>
      <c r="D9949" t="s">
        <v>20</v>
      </c>
      <c r="E9949" t="s">
        <v>11</v>
      </c>
      <c r="F9949">
        <v>22040.7</v>
      </c>
      <c r="G9949">
        <v>18</v>
      </c>
    </row>
    <row r="9950" spans="1:7" x14ac:dyDescent="0.25">
      <c r="A9950" t="s">
        <v>41</v>
      </c>
      <c r="B9950" t="s">
        <v>10003</v>
      </c>
      <c r="C9950" t="s">
        <v>19674</v>
      </c>
      <c r="D9950" t="s">
        <v>20</v>
      </c>
      <c r="E9950" t="s">
        <v>11</v>
      </c>
      <c r="F9950">
        <v>92.39999999999999</v>
      </c>
      <c r="G9950">
        <v>18</v>
      </c>
    </row>
    <row r="9951" spans="1:7" x14ac:dyDescent="0.25">
      <c r="A9951" t="s">
        <v>41</v>
      </c>
      <c r="B9951" t="s">
        <v>10006</v>
      </c>
      <c r="C9951" t="s">
        <v>19675</v>
      </c>
      <c r="D9951" t="s">
        <v>20</v>
      </c>
      <c r="E9951" t="s">
        <v>11</v>
      </c>
      <c r="F9951">
        <v>58572.8</v>
      </c>
      <c r="G9951">
        <v>18</v>
      </c>
    </row>
    <row r="9952" spans="1:7" x14ac:dyDescent="0.25">
      <c r="A9952" t="s">
        <v>41</v>
      </c>
      <c r="B9952" t="s">
        <v>10009</v>
      </c>
      <c r="C9952" t="s">
        <v>19676</v>
      </c>
      <c r="D9952" t="s">
        <v>20</v>
      </c>
      <c r="E9952" t="s">
        <v>11</v>
      </c>
      <c r="F9952">
        <v>74038.8</v>
      </c>
      <c r="G9952">
        <v>18</v>
      </c>
    </row>
    <row r="9953" spans="1:7" x14ac:dyDescent="0.25">
      <c r="A9953" t="s">
        <v>41</v>
      </c>
      <c r="B9953" t="s">
        <v>10012</v>
      </c>
      <c r="C9953" t="s">
        <v>19677</v>
      </c>
      <c r="D9953" t="s">
        <v>20</v>
      </c>
      <c r="E9953" t="s">
        <v>11</v>
      </c>
      <c r="F9953">
        <v>400.40000000000003</v>
      </c>
      <c r="G9953">
        <v>18</v>
      </c>
    </row>
    <row r="9954" spans="1:7" x14ac:dyDescent="0.25">
      <c r="A9954" t="s">
        <v>41</v>
      </c>
      <c r="B9954" t="s">
        <v>10015</v>
      </c>
      <c r="C9954" t="s">
        <v>19678</v>
      </c>
      <c r="D9954" t="s">
        <v>20</v>
      </c>
      <c r="E9954" t="s">
        <v>11</v>
      </c>
      <c r="F9954">
        <v>2827</v>
      </c>
      <c r="G9954">
        <v>18</v>
      </c>
    </row>
    <row r="9955" spans="1:7" x14ac:dyDescent="0.25">
      <c r="A9955" t="s">
        <v>41</v>
      </c>
      <c r="B9955" t="s">
        <v>10018</v>
      </c>
      <c r="C9955" t="s">
        <v>18399</v>
      </c>
      <c r="D9955" t="s">
        <v>20</v>
      </c>
      <c r="E9955" t="s">
        <v>11</v>
      </c>
      <c r="F9955">
        <v>355.3</v>
      </c>
      <c r="G9955">
        <v>18</v>
      </c>
    </row>
    <row r="9956" spans="1:7" x14ac:dyDescent="0.25">
      <c r="A9956" t="s">
        <v>41</v>
      </c>
      <c r="B9956" t="s">
        <v>10021</v>
      </c>
      <c r="C9956" t="s">
        <v>17845</v>
      </c>
      <c r="D9956" t="s">
        <v>20</v>
      </c>
      <c r="E9956" t="s">
        <v>11</v>
      </c>
      <c r="F9956">
        <v>61.60000000000001</v>
      </c>
      <c r="G9956">
        <v>18</v>
      </c>
    </row>
    <row r="9957" spans="1:7" x14ac:dyDescent="0.25">
      <c r="A9957" t="s">
        <v>41</v>
      </c>
      <c r="B9957" t="s">
        <v>10024</v>
      </c>
      <c r="C9957" t="s">
        <v>17680</v>
      </c>
      <c r="D9957" t="s">
        <v>20</v>
      </c>
      <c r="E9957" t="s">
        <v>11</v>
      </c>
      <c r="F9957">
        <v>2599.2999999999997</v>
      </c>
      <c r="G9957">
        <v>18</v>
      </c>
    </row>
    <row r="9958" spans="1:7" x14ac:dyDescent="0.25">
      <c r="A9958" t="s">
        <v>41</v>
      </c>
      <c r="B9958" t="s">
        <v>10027</v>
      </c>
      <c r="C9958" t="s">
        <v>17545</v>
      </c>
      <c r="D9958" t="s">
        <v>20</v>
      </c>
      <c r="E9958" t="s">
        <v>11</v>
      </c>
      <c r="F9958">
        <v>2516.7999999999997</v>
      </c>
      <c r="G9958">
        <v>18</v>
      </c>
    </row>
    <row r="9959" spans="1:7" x14ac:dyDescent="0.25">
      <c r="A9959" t="s">
        <v>41</v>
      </c>
      <c r="B9959" t="s">
        <v>10030</v>
      </c>
      <c r="C9959" t="s">
        <v>17845</v>
      </c>
      <c r="D9959" t="s">
        <v>20</v>
      </c>
      <c r="E9959" t="s">
        <v>11</v>
      </c>
      <c r="F9959">
        <v>58.300000000000004</v>
      </c>
      <c r="G9959">
        <v>18</v>
      </c>
    </row>
    <row r="9960" spans="1:7" x14ac:dyDescent="0.25">
      <c r="A9960" t="s">
        <v>41</v>
      </c>
      <c r="B9960" t="s">
        <v>10033</v>
      </c>
      <c r="C9960" t="s">
        <v>18152</v>
      </c>
      <c r="D9960" t="s">
        <v>20</v>
      </c>
      <c r="E9960" t="s">
        <v>11</v>
      </c>
      <c r="F9960">
        <v>1153.9</v>
      </c>
      <c r="G9960">
        <v>18</v>
      </c>
    </row>
    <row r="9961" spans="1:7" x14ac:dyDescent="0.25">
      <c r="A9961" t="s">
        <v>41</v>
      </c>
      <c r="B9961" t="s">
        <v>10036</v>
      </c>
      <c r="C9961" t="s">
        <v>17677</v>
      </c>
      <c r="D9961" t="s">
        <v>20</v>
      </c>
      <c r="E9961" t="s">
        <v>11</v>
      </c>
      <c r="F9961">
        <v>30.800000000000004</v>
      </c>
      <c r="G9961">
        <v>18</v>
      </c>
    </row>
    <row r="9962" spans="1:7" x14ac:dyDescent="0.25">
      <c r="A9962" t="s">
        <v>41</v>
      </c>
      <c r="B9962" t="s">
        <v>10039</v>
      </c>
      <c r="C9962" t="s">
        <v>17845</v>
      </c>
      <c r="D9962" t="s">
        <v>20</v>
      </c>
      <c r="E9962" t="s">
        <v>11</v>
      </c>
      <c r="F9962">
        <v>70.4</v>
      </c>
      <c r="G9962">
        <v>18</v>
      </c>
    </row>
    <row r="9963" spans="1:7" x14ac:dyDescent="0.25">
      <c r="A9963" t="s">
        <v>41</v>
      </c>
      <c r="B9963" t="s">
        <v>10042</v>
      </c>
      <c r="C9963" t="s">
        <v>18399</v>
      </c>
      <c r="D9963" t="s">
        <v>20</v>
      </c>
      <c r="E9963" t="s">
        <v>11</v>
      </c>
      <c r="F9963">
        <v>355.3</v>
      </c>
      <c r="G9963">
        <v>18</v>
      </c>
    </row>
    <row r="9964" spans="1:7" x14ac:dyDescent="0.25">
      <c r="A9964" t="s">
        <v>41</v>
      </c>
      <c r="B9964" t="s">
        <v>10045</v>
      </c>
      <c r="C9964" t="s">
        <v>19679</v>
      </c>
      <c r="D9964" t="s">
        <v>20</v>
      </c>
      <c r="E9964" t="s">
        <v>11</v>
      </c>
      <c r="F9964">
        <v>2618</v>
      </c>
      <c r="G9964">
        <v>18</v>
      </c>
    </row>
    <row r="9965" spans="1:7" x14ac:dyDescent="0.25">
      <c r="A9965" t="s">
        <v>41</v>
      </c>
      <c r="B9965" t="s">
        <v>10048</v>
      </c>
      <c r="C9965" t="s">
        <v>19680</v>
      </c>
      <c r="D9965" t="s">
        <v>20</v>
      </c>
      <c r="E9965" t="s">
        <v>11</v>
      </c>
      <c r="F9965">
        <v>40.7</v>
      </c>
      <c r="G9965">
        <v>18</v>
      </c>
    </row>
    <row r="9966" spans="1:7" x14ac:dyDescent="0.25">
      <c r="A9966" t="s">
        <v>41</v>
      </c>
      <c r="B9966" t="s">
        <v>10051</v>
      </c>
      <c r="C9966" t="s">
        <v>19681</v>
      </c>
      <c r="D9966" t="s">
        <v>20</v>
      </c>
      <c r="E9966" t="s">
        <v>11</v>
      </c>
      <c r="F9966">
        <v>92.39999999999999</v>
      </c>
      <c r="G9966">
        <v>18</v>
      </c>
    </row>
    <row r="9967" spans="1:7" x14ac:dyDescent="0.25">
      <c r="A9967" t="s">
        <v>41</v>
      </c>
      <c r="B9967" t="s">
        <v>10054</v>
      </c>
      <c r="C9967" t="s">
        <v>19682</v>
      </c>
      <c r="D9967" t="s">
        <v>20</v>
      </c>
      <c r="E9967" t="s">
        <v>11</v>
      </c>
      <c r="F9967">
        <v>70.4</v>
      </c>
      <c r="G9967">
        <v>18</v>
      </c>
    </row>
    <row r="9968" spans="1:7" x14ac:dyDescent="0.25">
      <c r="A9968" t="s">
        <v>41</v>
      </c>
      <c r="B9968" t="s">
        <v>10057</v>
      </c>
      <c r="C9968" t="s">
        <v>19683</v>
      </c>
      <c r="D9968" t="s">
        <v>20</v>
      </c>
      <c r="E9968" t="s">
        <v>11</v>
      </c>
      <c r="F9968">
        <v>80.3</v>
      </c>
      <c r="G9968">
        <v>18</v>
      </c>
    </row>
    <row r="9969" spans="1:7" x14ac:dyDescent="0.25">
      <c r="A9969" t="s">
        <v>41</v>
      </c>
      <c r="B9969" t="s">
        <v>10060</v>
      </c>
      <c r="C9969" t="s">
        <v>19684</v>
      </c>
      <c r="D9969" t="s">
        <v>20</v>
      </c>
      <c r="E9969" t="s">
        <v>11</v>
      </c>
      <c r="F9969">
        <v>474.09999999999997</v>
      </c>
      <c r="G9969">
        <v>18</v>
      </c>
    </row>
    <row r="9970" spans="1:7" x14ac:dyDescent="0.25">
      <c r="A9970" t="s">
        <v>41</v>
      </c>
      <c r="B9970" t="s">
        <v>10063</v>
      </c>
      <c r="C9970" t="s">
        <v>19685</v>
      </c>
      <c r="D9970" t="s">
        <v>20</v>
      </c>
      <c r="E9970" t="s">
        <v>11</v>
      </c>
      <c r="F9970">
        <v>1601.6000000000001</v>
      </c>
      <c r="G9970">
        <v>18</v>
      </c>
    </row>
    <row r="9971" spans="1:7" x14ac:dyDescent="0.25">
      <c r="A9971" t="s">
        <v>41</v>
      </c>
      <c r="B9971" t="s">
        <v>10066</v>
      </c>
      <c r="C9971" t="s">
        <v>19686</v>
      </c>
      <c r="D9971" t="s">
        <v>20</v>
      </c>
      <c r="E9971" t="s">
        <v>11</v>
      </c>
      <c r="F9971">
        <v>71.5</v>
      </c>
      <c r="G9971">
        <v>18</v>
      </c>
    </row>
    <row r="9972" spans="1:7" x14ac:dyDescent="0.25">
      <c r="A9972" t="s">
        <v>41</v>
      </c>
      <c r="B9972" t="s">
        <v>10069</v>
      </c>
      <c r="C9972" t="s">
        <v>18231</v>
      </c>
      <c r="D9972" t="s">
        <v>20</v>
      </c>
      <c r="E9972" t="s">
        <v>11</v>
      </c>
      <c r="F9972">
        <v>58.300000000000004</v>
      </c>
      <c r="G9972">
        <v>18</v>
      </c>
    </row>
    <row r="9973" spans="1:7" x14ac:dyDescent="0.25">
      <c r="A9973" t="s">
        <v>41</v>
      </c>
      <c r="B9973" t="s">
        <v>10072</v>
      </c>
      <c r="C9973" t="s">
        <v>18074</v>
      </c>
      <c r="D9973" t="s">
        <v>20</v>
      </c>
      <c r="E9973" t="s">
        <v>11</v>
      </c>
      <c r="F9973">
        <v>70.4</v>
      </c>
      <c r="G9973">
        <v>18</v>
      </c>
    </row>
    <row r="9974" spans="1:7" x14ac:dyDescent="0.25">
      <c r="A9974" t="s">
        <v>41</v>
      </c>
      <c r="B9974" t="s">
        <v>10075</v>
      </c>
      <c r="C9974" t="s">
        <v>18409</v>
      </c>
      <c r="D9974" t="s">
        <v>20</v>
      </c>
      <c r="E9974" t="s">
        <v>11</v>
      </c>
      <c r="F9974">
        <v>2054.8</v>
      </c>
      <c r="G9974">
        <v>18</v>
      </c>
    </row>
    <row r="9975" spans="1:7" x14ac:dyDescent="0.25">
      <c r="A9975" t="s">
        <v>41</v>
      </c>
      <c r="B9975" t="s">
        <v>10078</v>
      </c>
      <c r="C9975" t="s">
        <v>17552</v>
      </c>
      <c r="D9975" t="s">
        <v>20</v>
      </c>
      <c r="E9975" t="s">
        <v>11</v>
      </c>
      <c r="F9975">
        <v>2054.8</v>
      </c>
      <c r="G9975">
        <v>18</v>
      </c>
    </row>
    <row r="9976" spans="1:7" x14ac:dyDescent="0.25">
      <c r="A9976" t="s">
        <v>41</v>
      </c>
      <c r="B9976" t="s">
        <v>10081</v>
      </c>
      <c r="C9976" t="s">
        <v>18793</v>
      </c>
      <c r="D9976" t="s">
        <v>20</v>
      </c>
      <c r="E9976" t="s">
        <v>11</v>
      </c>
      <c r="F9976">
        <v>570.9000000000001</v>
      </c>
      <c r="G9976">
        <v>18</v>
      </c>
    </row>
    <row r="9977" spans="1:7" x14ac:dyDescent="0.25">
      <c r="A9977" t="s">
        <v>41</v>
      </c>
      <c r="B9977" t="s">
        <v>10084</v>
      </c>
      <c r="C9977" t="s">
        <v>19687</v>
      </c>
      <c r="D9977" t="s">
        <v>20</v>
      </c>
      <c r="E9977" t="s">
        <v>11</v>
      </c>
      <c r="F9977">
        <v>963.6</v>
      </c>
      <c r="G9977">
        <v>18</v>
      </c>
    </row>
    <row r="9978" spans="1:7" x14ac:dyDescent="0.25">
      <c r="A9978" t="s">
        <v>41</v>
      </c>
      <c r="B9978" t="s">
        <v>10087</v>
      </c>
      <c r="C9978" t="s">
        <v>18154</v>
      </c>
      <c r="D9978" t="s">
        <v>20</v>
      </c>
      <c r="E9978" t="s">
        <v>11</v>
      </c>
      <c r="F9978">
        <v>58.300000000000004</v>
      </c>
      <c r="G9978">
        <v>18</v>
      </c>
    </row>
    <row r="9979" spans="1:7" x14ac:dyDescent="0.25">
      <c r="A9979" t="s">
        <v>41</v>
      </c>
      <c r="B9979" t="s">
        <v>10090</v>
      </c>
      <c r="C9979" t="s">
        <v>19688</v>
      </c>
      <c r="D9979" t="s">
        <v>20</v>
      </c>
      <c r="E9979" t="s">
        <v>11</v>
      </c>
      <c r="F9979">
        <v>51808.9</v>
      </c>
      <c r="G9979">
        <v>18</v>
      </c>
    </row>
    <row r="9980" spans="1:7" x14ac:dyDescent="0.25">
      <c r="A9980" t="s">
        <v>41</v>
      </c>
      <c r="B9980" t="s">
        <v>10093</v>
      </c>
      <c r="C9980" t="s">
        <v>19668</v>
      </c>
      <c r="D9980" t="s">
        <v>20</v>
      </c>
      <c r="E9980" t="s">
        <v>11</v>
      </c>
      <c r="F9980">
        <v>115315.2</v>
      </c>
      <c r="G9980">
        <v>18</v>
      </c>
    </row>
    <row r="9981" spans="1:7" x14ac:dyDescent="0.25">
      <c r="A9981" t="s">
        <v>41</v>
      </c>
      <c r="B9981" t="s">
        <v>10096</v>
      </c>
      <c r="C9981" t="s">
        <v>19689</v>
      </c>
      <c r="D9981" t="s">
        <v>20</v>
      </c>
      <c r="E9981" t="s">
        <v>11</v>
      </c>
      <c r="F9981">
        <v>349.8</v>
      </c>
      <c r="G9981">
        <v>18</v>
      </c>
    </row>
    <row r="9982" spans="1:7" x14ac:dyDescent="0.25">
      <c r="A9982" t="s">
        <v>41</v>
      </c>
      <c r="B9982" t="s">
        <v>10099</v>
      </c>
      <c r="C9982" t="s">
        <v>17910</v>
      </c>
      <c r="D9982" t="s">
        <v>20</v>
      </c>
      <c r="E9982" t="s">
        <v>11</v>
      </c>
      <c r="F9982">
        <v>57.2</v>
      </c>
      <c r="G9982">
        <v>18</v>
      </c>
    </row>
    <row r="9983" spans="1:7" x14ac:dyDescent="0.25">
      <c r="A9983" t="s">
        <v>41</v>
      </c>
      <c r="B9983" t="s">
        <v>10102</v>
      </c>
      <c r="C9983" t="s">
        <v>17747</v>
      </c>
      <c r="D9983" t="s">
        <v>20</v>
      </c>
      <c r="E9983" t="s">
        <v>11</v>
      </c>
      <c r="F9983">
        <v>70.4</v>
      </c>
      <c r="G9983">
        <v>18</v>
      </c>
    </row>
    <row r="9984" spans="1:7" x14ac:dyDescent="0.25">
      <c r="A9984" t="s">
        <v>41</v>
      </c>
      <c r="B9984" t="s">
        <v>10105</v>
      </c>
      <c r="C9984" t="s">
        <v>17778</v>
      </c>
      <c r="D9984" t="s">
        <v>20</v>
      </c>
      <c r="E9984" t="s">
        <v>11</v>
      </c>
      <c r="F9984">
        <v>61.60000000000001</v>
      </c>
      <c r="G9984">
        <v>18</v>
      </c>
    </row>
    <row r="9985" spans="1:7" x14ac:dyDescent="0.25">
      <c r="A9985" t="s">
        <v>41</v>
      </c>
      <c r="B9985" t="s">
        <v>10108</v>
      </c>
      <c r="C9985" t="s">
        <v>19690</v>
      </c>
      <c r="D9985" t="s">
        <v>20</v>
      </c>
      <c r="E9985" t="s">
        <v>11</v>
      </c>
      <c r="F9985">
        <v>55173.799999999996</v>
      </c>
      <c r="G9985">
        <v>18</v>
      </c>
    </row>
    <row r="9986" spans="1:7" x14ac:dyDescent="0.25">
      <c r="A9986" t="s">
        <v>41</v>
      </c>
      <c r="B9986" t="s">
        <v>10111</v>
      </c>
      <c r="C9986" t="s">
        <v>19691</v>
      </c>
      <c r="D9986" t="s">
        <v>20</v>
      </c>
      <c r="E9986" t="s">
        <v>11</v>
      </c>
      <c r="F9986">
        <v>37456.1</v>
      </c>
      <c r="G9986">
        <v>18</v>
      </c>
    </row>
    <row r="9987" spans="1:7" x14ac:dyDescent="0.25">
      <c r="A9987" t="s">
        <v>41</v>
      </c>
      <c r="B9987" t="s">
        <v>10114</v>
      </c>
      <c r="C9987" t="s">
        <v>19692</v>
      </c>
      <c r="D9987" t="s">
        <v>20</v>
      </c>
      <c r="E9987" t="s">
        <v>11</v>
      </c>
      <c r="F9987">
        <v>61.60000000000001</v>
      </c>
      <c r="G9987">
        <v>18</v>
      </c>
    </row>
    <row r="9988" spans="1:7" x14ac:dyDescent="0.25">
      <c r="A9988" t="s">
        <v>41</v>
      </c>
      <c r="B9988" t="s">
        <v>10117</v>
      </c>
      <c r="C9988" t="s">
        <v>18925</v>
      </c>
      <c r="D9988" t="s">
        <v>20</v>
      </c>
      <c r="E9988" t="s">
        <v>11</v>
      </c>
      <c r="F9988">
        <v>224.4</v>
      </c>
      <c r="G9988">
        <v>18</v>
      </c>
    </row>
    <row r="9989" spans="1:7" x14ac:dyDescent="0.25">
      <c r="A9989" t="s">
        <v>41</v>
      </c>
      <c r="B9989" t="s">
        <v>10120</v>
      </c>
      <c r="C9989" t="s">
        <v>18411</v>
      </c>
      <c r="D9989" t="s">
        <v>20</v>
      </c>
      <c r="E9989" t="s">
        <v>11</v>
      </c>
      <c r="F9989">
        <v>58.300000000000004</v>
      </c>
      <c r="G9989">
        <v>18</v>
      </c>
    </row>
    <row r="9990" spans="1:7" x14ac:dyDescent="0.25">
      <c r="A9990" t="s">
        <v>41</v>
      </c>
      <c r="B9990" t="s">
        <v>10123</v>
      </c>
      <c r="C9990" t="s">
        <v>19693</v>
      </c>
      <c r="D9990" t="s">
        <v>20</v>
      </c>
      <c r="E9990" t="s">
        <v>11</v>
      </c>
      <c r="F9990">
        <v>58.300000000000004</v>
      </c>
      <c r="G9990">
        <v>18</v>
      </c>
    </row>
    <row r="9991" spans="1:7" x14ac:dyDescent="0.25">
      <c r="A9991" t="s">
        <v>41</v>
      </c>
      <c r="B9991" t="s">
        <v>10126</v>
      </c>
      <c r="C9991" t="s">
        <v>19694</v>
      </c>
      <c r="D9991" t="s">
        <v>20</v>
      </c>
      <c r="E9991" t="s">
        <v>11</v>
      </c>
      <c r="F9991">
        <v>650.1</v>
      </c>
      <c r="G9991">
        <v>18</v>
      </c>
    </row>
    <row r="9992" spans="1:7" x14ac:dyDescent="0.25">
      <c r="A9992" t="s">
        <v>41</v>
      </c>
      <c r="B9992" t="s">
        <v>10129</v>
      </c>
      <c r="C9992" t="s">
        <v>18806</v>
      </c>
      <c r="D9992" t="s">
        <v>20</v>
      </c>
      <c r="E9992" t="s">
        <v>11</v>
      </c>
      <c r="F9992">
        <v>535.7</v>
      </c>
      <c r="G9992">
        <v>18</v>
      </c>
    </row>
    <row r="9993" spans="1:7" x14ac:dyDescent="0.25">
      <c r="A9993" t="s">
        <v>41</v>
      </c>
      <c r="B9993" t="s">
        <v>10132</v>
      </c>
      <c r="C9993" t="s">
        <v>19695</v>
      </c>
      <c r="D9993" t="s">
        <v>20</v>
      </c>
      <c r="E9993" t="s">
        <v>11</v>
      </c>
      <c r="F9993">
        <v>22040.7</v>
      </c>
      <c r="G9993">
        <v>18</v>
      </c>
    </row>
    <row r="9994" spans="1:7" x14ac:dyDescent="0.25">
      <c r="A9994" t="s">
        <v>41</v>
      </c>
      <c r="B9994" t="s">
        <v>10135</v>
      </c>
      <c r="C9994" t="s">
        <v>19696</v>
      </c>
      <c r="D9994" t="s">
        <v>20</v>
      </c>
      <c r="E9994" t="s">
        <v>11</v>
      </c>
      <c r="F9994">
        <v>391.6</v>
      </c>
      <c r="G9994">
        <v>18</v>
      </c>
    </row>
    <row r="9995" spans="1:7" x14ac:dyDescent="0.25">
      <c r="A9995" t="s">
        <v>41</v>
      </c>
      <c r="B9995" t="s">
        <v>10138</v>
      </c>
      <c r="C9995" t="s">
        <v>19697</v>
      </c>
      <c r="D9995" t="s">
        <v>20</v>
      </c>
      <c r="E9995" t="s">
        <v>11</v>
      </c>
      <c r="F9995">
        <v>783.2</v>
      </c>
      <c r="G9995">
        <v>18</v>
      </c>
    </row>
    <row r="9996" spans="1:7" x14ac:dyDescent="0.25">
      <c r="A9996" t="s">
        <v>41</v>
      </c>
      <c r="B9996" t="s">
        <v>10141</v>
      </c>
      <c r="C9996" t="s">
        <v>19698</v>
      </c>
      <c r="D9996" t="s">
        <v>20</v>
      </c>
      <c r="E9996" t="s">
        <v>11</v>
      </c>
      <c r="F9996">
        <v>694.0999999999999</v>
      </c>
      <c r="G9996">
        <v>18</v>
      </c>
    </row>
    <row r="9997" spans="1:7" x14ac:dyDescent="0.25">
      <c r="A9997" t="s">
        <v>41</v>
      </c>
      <c r="B9997" t="s">
        <v>10144</v>
      </c>
      <c r="C9997" t="s">
        <v>19699</v>
      </c>
      <c r="D9997" t="s">
        <v>20</v>
      </c>
      <c r="E9997" t="s">
        <v>11</v>
      </c>
      <c r="F9997">
        <v>657.8000000000001</v>
      </c>
      <c r="G9997">
        <v>18</v>
      </c>
    </row>
    <row r="9998" spans="1:7" x14ac:dyDescent="0.25">
      <c r="A9998" t="s">
        <v>41</v>
      </c>
      <c r="B9998" t="s">
        <v>10147</v>
      </c>
      <c r="C9998" t="s">
        <v>19700</v>
      </c>
      <c r="D9998" t="s">
        <v>20</v>
      </c>
      <c r="E9998" t="s">
        <v>11</v>
      </c>
      <c r="F9998">
        <v>2170.3</v>
      </c>
      <c r="G9998">
        <v>18</v>
      </c>
    </row>
    <row r="9999" spans="1:7" x14ac:dyDescent="0.25">
      <c r="A9999" t="s">
        <v>41</v>
      </c>
      <c r="B9999" t="s">
        <v>10150</v>
      </c>
      <c r="C9999" t="s">
        <v>19701</v>
      </c>
      <c r="D9999" t="s">
        <v>20</v>
      </c>
      <c r="E9999" t="s">
        <v>11</v>
      </c>
      <c r="F9999">
        <v>37456.1</v>
      </c>
      <c r="G9999">
        <v>18</v>
      </c>
    </row>
    <row r="10000" spans="1:7" x14ac:dyDescent="0.25">
      <c r="A10000" t="s">
        <v>41</v>
      </c>
      <c r="B10000" t="s">
        <v>10153</v>
      </c>
      <c r="C10000" t="s">
        <v>19667</v>
      </c>
      <c r="D10000" t="s">
        <v>20</v>
      </c>
      <c r="E10000" t="s">
        <v>11</v>
      </c>
      <c r="F10000">
        <v>55173.799999999996</v>
      </c>
      <c r="G10000">
        <v>18</v>
      </c>
    </row>
    <row r="10001" spans="1:7" x14ac:dyDescent="0.25">
      <c r="A10001" t="s">
        <v>41</v>
      </c>
      <c r="B10001" t="s">
        <v>10156</v>
      </c>
      <c r="C10001" t="s">
        <v>19702</v>
      </c>
      <c r="D10001" t="s">
        <v>20</v>
      </c>
      <c r="E10001" t="s">
        <v>11</v>
      </c>
      <c r="F10001">
        <v>3532.1</v>
      </c>
      <c r="G10001">
        <v>18</v>
      </c>
    </row>
    <row r="10002" spans="1:7" x14ac:dyDescent="0.25">
      <c r="A10002" t="s">
        <v>41</v>
      </c>
      <c r="B10002" t="s">
        <v>10159</v>
      </c>
      <c r="C10002" t="s">
        <v>19703</v>
      </c>
      <c r="D10002" t="s">
        <v>20</v>
      </c>
      <c r="E10002" t="s">
        <v>11</v>
      </c>
      <c r="F10002">
        <v>2827</v>
      </c>
      <c r="G10002">
        <v>18</v>
      </c>
    </row>
    <row r="10003" spans="1:7" x14ac:dyDescent="0.25">
      <c r="A10003" t="s">
        <v>41</v>
      </c>
      <c r="B10003" t="s">
        <v>10162</v>
      </c>
      <c r="C10003" t="s">
        <v>19704</v>
      </c>
      <c r="D10003" t="s">
        <v>20</v>
      </c>
      <c r="E10003" t="s">
        <v>11</v>
      </c>
      <c r="F10003">
        <v>58.300000000000004</v>
      </c>
      <c r="G10003">
        <v>18</v>
      </c>
    </row>
    <row r="10004" spans="1:7" x14ac:dyDescent="0.25">
      <c r="A10004" t="s">
        <v>41</v>
      </c>
      <c r="B10004" t="s">
        <v>10164</v>
      </c>
      <c r="C10004" t="s">
        <v>19705</v>
      </c>
      <c r="D10004" t="s">
        <v>20</v>
      </c>
      <c r="E10004" t="s">
        <v>11</v>
      </c>
      <c r="F10004">
        <v>812.9</v>
      </c>
      <c r="G10004">
        <v>18</v>
      </c>
    </row>
    <row r="10005" spans="1:7" x14ac:dyDescent="0.25">
      <c r="A10005" t="s">
        <v>41</v>
      </c>
      <c r="B10005" t="s">
        <v>10166</v>
      </c>
      <c r="C10005" t="s">
        <v>19706</v>
      </c>
      <c r="D10005" t="s">
        <v>20</v>
      </c>
      <c r="E10005" t="s">
        <v>11</v>
      </c>
      <c r="F10005">
        <v>41800</v>
      </c>
      <c r="G10005">
        <v>18</v>
      </c>
    </row>
    <row r="10006" spans="1:7" x14ac:dyDescent="0.25">
      <c r="A10006" t="s">
        <v>41</v>
      </c>
      <c r="B10006" t="s">
        <v>10169</v>
      </c>
      <c r="C10006" t="s">
        <v>19707</v>
      </c>
      <c r="D10006" t="s">
        <v>20</v>
      </c>
      <c r="E10006" t="s">
        <v>11</v>
      </c>
      <c r="F10006">
        <v>3808.2</v>
      </c>
      <c r="G10006">
        <v>18</v>
      </c>
    </row>
    <row r="10007" spans="1:7" x14ac:dyDescent="0.25">
      <c r="A10007" t="s">
        <v>41</v>
      </c>
      <c r="B10007" t="s">
        <v>10172</v>
      </c>
      <c r="C10007" t="s">
        <v>19708</v>
      </c>
      <c r="D10007" t="s">
        <v>20</v>
      </c>
      <c r="E10007" t="s">
        <v>11</v>
      </c>
      <c r="F10007">
        <v>56127.5</v>
      </c>
      <c r="G10007">
        <v>18</v>
      </c>
    </row>
    <row r="10008" spans="1:7" x14ac:dyDescent="0.25">
      <c r="A10008" t="s">
        <v>41</v>
      </c>
      <c r="B10008" t="s">
        <v>10175</v>
      </c>
      <c r="C10008" t="s">
        <v>18961</v>
      </c>
      <c r="D10008" t="s">
        <v>20</v>
      </c>
      <c r="E10008" t="s">
        <v>11</v>
      </c>
      <c r="F10008">
        <v>14038.2</v>
      </c>
      <c r="G10008">
        <v>18</v>
      </c>
    </row>
    <row r="10009" spans="1:7" x14ac:dyDescent="0.25">
      <c r="A10009" t="s">
        <v>41</v>
      </c>
      <c r="B10009" t="s">
        <v>10178</v>
      </c>
      <c r="C10009" t="s">
        <v>18962</v>
      </c>
      <c r="D10009" t="s">
        <v>20</v>
      </c>
      <c r="E10009" t="s">
        <v>11</v>
      </c>
      <c r="F10009">
        <v>5106.2</v>
      </c>
      <c r="G10009">
        <v>18</v>
      </c>
    </row>
    <row r="10010" spans="1:7" x14ac:dyDescent="0.25">
      <c r="A10010" t="s">
        <v>41</v>
      </c>
      <c r="B10010" t="s">
        <v>10181</v>
      </c>
      <c r="C10010" t="s">
        <v>19427</v>
      </c>
      <c r="D10010" t="s">
        <v>20</v>
      </c>
      <c r="E10010" t="s">
        <v>11</v>
      </c>
      <c r="F10010">
        <v>57.2</v>
      </c>
      <c r="G10010">
        <v>18</v>
      </c>
    </row>
    <row r="10011" spans="1:7" x14ac:dyDescent="0.25">
      <c r="A10011" t="s">
        <v>41</v>
      </c>
      <c r="B10011" t="s">
        <v>10184</v>
      </c>
      <c r="C10011" t="s">
        <v>19709</v>
      </c>
      <c r="D10011" t="s">
        <v>20</v>
      </c>
      <c r="E10011" t="s">
        <v>11</v>
      </c>
      <c r="F10011">
        <v>785.4</v>
      </c>
      <c r="G10011">
        <v>18</v>
      </c>
    </row>
    <row r="10012" spans="1:7" x14ac:dyDescent="0.25">
      <c r="A10012" t="s">
        <v>41</v>
      </c>
      <c r="B10012" t="s">
        <v>10187</v>
      </c>
      <c r="C10012" t="s">
        <v>19710</v>
      </c>
      <c r="D10012" t="s">
        <v>20</v>
      </c>
      <c r="E10012" t="s">
        <v>11</v>
      </c>
      <c r="F10012">
        <v>179.29999999999998</v>
      </c>
      <c r="G10012">
        <v>18</v>
      </c>
    </row>
    <row r="10013" spans="1:7" x14ac:dyDescent="0.25">
      <c r="A10013" t="s">
        <v>41</v>
      </c>
      <c r="B10013" t="s">
        <v>10190</v>
      </c>
      <c r="C10013" t="s">
        <v>19711</v>
      </c>
      <c r="D10013" t="s">
        <v>20</v>
      </c>
      <c r="E10013" t="s">
        <v>11</v>
      </c>
      <c r="F10013">
        <v>503.8</v>
      </c>
      <c r="G10013">
        <v>18</v>
      </c>
    </row>
    <row r="10014" spans="1:7" x14ac:dyDescent="0.25">
      <c r="A10014" t="s">
        <v>41</v>
      </c>
      <c r="B10014" t="s">
        <v>10193</v>
      </c>
      <c r="C10014" t="s">
        <v>19712</v>
      </c>
      <c r="D10014" t="s">
        <v>20</v>
      </c>
      <c r="E10014" t="s">
        <v>11</v>
      </c>
      <c r="F10014">
        <v>5619.900000000001</v>
      </c>
      <c r="G10014">
        <v>18</v>
      </c>
    </row>
    <row r="10015" spans="1:7" x14ac:dyDescent="0.25">
      <c r="A10015" t="s">
        <v>41</v>
      </c>
      <c r="B10015" t="s">
        <v>10196</v>
      </c>
      <c r="C10015" t="s">
        <v>19713</v>
      </c>
      <c r="D10015" t="s">
        <v>20</v>
      </c>
      <c r="E10015" t="s">
        <v>11</v>
      </c>
      <c r="F10015">
        <v>1700.6000000000001</v>
      </c>
      <c r="G10015">
        <v>18</v>
      </c>
    </row>
    <row r="10016" spans="1:7" x14ac:dyDescent="0.25">
      <c r="A10016" t="s">
        <v>41</v>
      </c>
      <c r="B10016" t="s">
        <v>10199</v>
      </c>
      <c r="C10016" t="s">
        <v>17697</v>
      </c>
      <c r="D10016" t="s">
        <v>20</v>
      </c>
      <c r="E10016" t="s">
        <v>11</v>
      </c>
      <c r="F10016">
        <v>3318.7000000000003</v>
      </c>
      <c r="G10016">
        <v>18</v>
      </c>
    </row>
    <row r="10017" spans="1:7" x14ac:dyDescent="0.25">
      <c r="A10017" t="s">
        <v>41</v>
      </c>
      <c r="B10017" t="s">
        <v>10202</v>
      </c>
      <c r="C10017" t="s">
        <v>19714</v>
      </c>
      <c r="D10017" t="s">
        <v>20</v>
      </c>
      <c r="E10017" t="s">
        <v>11</v>
      </c>
      <c r="F10017">
        <v>57.2</v>
      </c>
      <c r="G10017">
        <v>18</v>
      </c>
    </row>
    <row r="10018" spans="1:7" x14ac:dyDescent="0.25">
      <c r="A10018" t="s">
        <v>41</v>
      </c>
      <c r="B10018" t="s">
        <v>10205</v>
      </c>
      <c r="C10018" t="s">
        <v>19715</v>
      </c>
      <c r="D10018" t="s">
        <v>20</v>
      </c>
      <c r="E10018" t="s">
        <v>11</v>
      </c>
      <c r="F10018">
        <v>1189.1000000000001</v>
      </c>
      <c r="G10018">
        <v>18</v>
      </c>
    </row>
    <row r="10019" spans="1:7" x14ac:dyDescent="0.25">
      <c r="A10019" t="s">
        <v>41</v>
      </c>
      <c r="B10019" t="s">
        <v>10208</v>
      </c>
      <c r="C10019" t="s">
        <v>19478</v>
      </c>
      <c r="D10019" t="s">
        <v>20</v>
      </c>
      <c r="E10019" t="s">
        <v>11</v>
      </c>
      <c r="F10019">
        <v>57.2</v>
      </c>
      <c r="G10019">
        <v>18</v>
      </c>
    </row>
    <row r="10020" spans="1:7" x14ac:dyDescent="0.25">
      <c r="A10020" t="s">
        <v>41</v>
      </c>
      <c r="B10020" t="s">
        <v>10211</v>
      </c>
      <c r="C10020" t="s">
        <v>19716</v>
      </c>
      <c r="D10020" t="s">
        <v>20</v>
      </c>
      <c r="E10020" t="s">
        <v>11</v>
      </c>
      <c r="F10020">
        <v>828.3000000000001</v>
      </c>
      <c r="G10020">
        <v>18</v>
      </c>
    </row>
    <row r="10021" spans="1:7" x14ac:dyDescent="0.25">
      <c r="A10021" t="s">
        <v>41</v>
      </c>
      <c r="B10021" t="s">
        <v>10214</v>
      </c>
      <c r="C10021" t="s">
        <v>19717</v>
      </c>
      <c r="D10021" t="s">
        <v>20</v>
      </c>
      <c r="E10021" t="s">
        <v>11</v>
      </c>
      <c r="F10021">
        <v>2062.5</v>
      </c>
      <c r="G10021">
        <v>18</v>
      </c>
    </row>
    <row r="10022" spans="1:7" x14ac:dyDescent="0.25">
      <c r="A10022" t="s">
        <v>41</v>
      </c>
      <c r="B10022" t="s">
        <v>10217</v>
      </c>
      <c r="C10022" t="s">
        <v>19718</v>
      </c>
      <c r="D10022" t="s">
        <v>20</v>
      </c>
      <c r="E10022" t="s">
        <v>11</v>
      </c>
      <c r="F10022">
        <v>1204.5</v>
      </c>
      <c r="G10022">
        <v>18</v>
      </c>
    </row>
    <row r="10023" spans="1:7" x14ac:dyDescent="0.25">
      <c r="A10023" t="s">
        <v>41</v>
      </c>
      <c r="B10023" t="s">
        <v>10220</v>
      </c>
      <c r="C10023" t="s">
        <v>19719</v>
      </c>
      <c r="D10023" t="s">
        <v>20</v>
      </c>
      <c r="E10023" t="s">
        <v>11</v>
      </c>
      <c r="F10023">
        <v>70.4</v>
      </c>
      <c r="G10023">
        <v>18</v>
      </c>
    </row>
    <row r="10024" spans="1:7" x14ac:dyDescent="0.25">
      <c r="A10024" t="s">
        <v>41</v>
      </c>
      <c r="B10024" t="s">
        <v>10223</v>
      </c>
      <c r="C10024" t="s">
        <v>19720</v>
      </c>
      <c r="D10024" t="s">
        <v>20</v>
      </c>
      <c r="E10024" t="s">
        <v>11</v>
      </c>
      <c r="F10024">
        <v>70.4</v>
      </c>
      <c r="G10024">
        <v>18</v>
      </c>
    </row>
    <row r="10025" spans="1:7" x14ac:dyDescent="0.25">
      <c r="A10025" t="s">
        <v>41</v>
      </c>
      <c r="B10025" t="s">
        <v>10226</v>
      </c>
      <c r="C10025" t="s">
        <v>19721</v>
      </c>
      <c r="D10025" t="s">
        <v>20</v>
      </c>
      <c r="E10025" t="s">
        <v>11</v>
      </c>
      <c r="F10025">
        <v>220768.9</v>
      </c>
      <c r="G10025">
        <v>18</v>
      </c>
    </row>
    <row r="10026" spans="1:7" x14ac:dyDescent="0.25">
      <c r="A10026" t="s">
        <v>41</v>
      </c>
      <c r="B10026" t="s">
        <v>10229</v>
      </c>
      <c r="C10026" t="s">
        <v>19722</v>
      </c>
      <c r="D10026" t="s">
        <v>20</v>
      </c>
      <c r="E10026" t="s">
        <v>11</v>
      </c>
      <c r="F10026">
        <v>212326.4</v>
      </c>
      <c r="G10026">
        <v>18</v>
      </c>
    </row>
    <row r="10027" spans="1:7" x14ac:dyDescent="0.25">
      <c r="A10027" t="s">
        <v>41</v>
      </c>
      <c r="B10027" t="s">
        <v>10232</v>
      </c>
      <c r="C10027" t="s">
        <v>19723</v>
      </c>
      <c r="D10027" t="s">
        <v>20</v>
      </c>
      <c r="E10027" t="s">
        <v>11</v>
      </c>
      <c r="F10027">
        <v>212326.4</v>
      </c>
      <c r="G10027">
        <v>18</v>
      </c>
    </row>
    <row r="10028" spans="1:7" x14ac:dyDescent="0.25">
      <c r="A10028" t="s">
        <v>41</v>
      </c>
      <c r="B10028" t="s">
        <v>10235</v>
      </c>
      <c r="C10028" t="s">
        <v>19724</v>
      </c>
      <c r="D10028" t="s">
        <v>20</v>
      </c>
      <c r="E10028" t="s">
        <v>11</v>
      </c>
      <c r="F10028">
        <v>7587.8</v>
      </c>
      <c r="G10028">
        <v>18</v>
      </c>
    </row>
    <row r="10029" spans="1:7" x14ac:dyDescent="0.25">
      <c r="A10029" t="s">
        <v>41</v>
      </c>
      <c r="B10029" t="s">
        <v>10238</v>
      </c>
      <c r="C10029" t="s">
        <v>19725</v>
      </c>
      <c r="D10029" t="s">
        <v>20</v>
      </c>
      <c r="E10029" t="s">
        <v>11</v>
      </c>
      <c r="F10029">
        <v>70.4</v>
      </c>
      <c r="G10029">
        <v>18</v>
      </c>
    </row>
    <row r="10030" spans="1:7" x14ac:dyDescent="0.25">
      <c r="A10030" t="s">
        <v>41</v>
      </c>
      <c r="B10030" t="s">
        <v>10241</v>
      </c>
      <c r="C10030" t="s">
        <v>19726</v>
      </c>
      <c r="D10030" t="s">
        <v>20</v>
      </c>
      <c r="E10030" t="s">
        <v>11</v>
      </c>
      <c r="F10030">
        <v>57.2</v>
      </c>
      <c r="G10030">
        <v>18</v>
      </c>
    </row>
    <row r="10031" spans="1:7" x14ac:dyDescent="0.25">
      <c r="A10031" t="s">
        <v>41</v>
      </c>
      <c r="B10031" t="s">
        <v>10244</v>
      </c>
      <c r="C10031" t="s">
        <v>19727</v>
      </c>
      <c r="D10031" t="s">
        <v>20</v>
      </c>
      <c r="E10031" t="s">
        <v>11</v>
      </c>
      <c r="F10031">
        <v>173.8</v>
      </c>
      <c r="G10031">
        <v>18</v>
      </c>
    </row>
    <row r="10032" spans="1:7" x14ac:dyDescent="0.25">
      <c r="A10032" t="s">
        <v>41</v>
      </c>
      <c r="B10032" t="s">
        <v>10247</v>
      </c>
      <c r="C10032" t="s">
        <v>19728</v>
      </c>
      <c r="D10032" t="s">
        <v>20</v>
      </c>
      <c r="E10032" t="s">
        <v>11</v>
      </c>
      <c r="F10032">
        <v>220768.9</v>
      </c>
      <c r="G10032">
        <v>18</v>
      </c>
    </row>
    <row r="10033" spans="1:7" x14ac:dyDescent="0.25">
      <c r="A10033" t="s">
        <v>41</v>
      </c>
      <c r="B10033" t="s">
        <v>10250</v>
      </c>
      <c r="C10033" t="s">
        <v>19729</v>
      </c>
      <c r="D10033" t="s">
        <v>20</v>
      </c>
      <c r="E10033" t="s">
        <v>11</v>
      </c>
      <c r="F10033">
        <v>220768.9</v>
      </c>
      <c r="G10033">
        <v>18</v>
      </c>
    </row>
    <row r="10034" spans="1:7" x14ac:dyDescent="0.25">
      <c r="A10034" t="s">
        <v>41</v>
      </c>
      <c r="B10034" t="s">
        <v>10253</v>
      </c>
      <c r="C10034" t="s">
        <v>19730</v>
      </c>
      <c r="D10034" t="s">
        <v>20</v>
      </c>
      <c r="E10034" t="s">
        <v>11</v>
      </c>
      <c r="F10034">
        <v>220768.9</v>
      </c>
      <c r="G10034">
        <v>18</v>
      </c>
    </row>
    <row r="10035" spans="1:7" x14ac:dyDescent="0.25">
      <c r="A10035" t="s">
        <v>41</v>
      </c>
      <c r="B10035" t="s">
        <v>10256</v>
      </c>
      <c r="C10035" t="s">
        <v>19731</v>
      </c>
      <c r="D10035" t="s">
        <v>20</v>
      </c>
      <c r="E10035" t="s">
        <v>11</v>
      </c>
      <c r="F10035">
        <v>19176.300000000003</v>
      </c>
      <c r="G10035">
        <v>18</v>
      </c>
    </row>
    <row r="10036" spans="1:7" x14ac:dyDescent="0.25">
      <c r="A10036" t="s">
        <v>41</v>
      </c>
      <c r="B10036" t="s">
        <v>10259</v>
      </c>
      <c r="C10036" t="s">
        <v>19732</v>
      </c>
      <c r="D10036" t="s">
        <v>20</v>
      </c>
      <c r="E10036" t="s">
        <v>11</v>
      </c>
      <c r="F10036">
        <v>30800</v>
      </c>
      <c r="G10036">
        <v>18</v>
      </c>
    </row>
    <row r="10037" spans="1:7" x14ac:dyDescent="0.25">
      <c r="A10037" t="s">
        <v>41</v>
      </c>
      <c r="B10037" t="s">
        <v>10262</v>
      </c>
      <c r="C10037" t="s">
        <v>19733</v>
      </c>
      <c r="D10037" t="s">
        <v>20</v>
      </c>
      <c r="E10037" t="s">
        <v>11</v>
      </c>
      <c r="F10037">
        <v>236500</v>
      </c>
      <c r="G10037">
        <v>18</v>
      </c>
    </row>
    <row r="10038" spans="1:7" x14ac:dyDescent="0.25">
      <c r="A10038" t="s">
        <v>41</v>
      </c>
      <c r="B10038" t="s">
        <v>10265</v>
      </c>
      <c r="C10038" t="s">
        <v>19734</v>
      </c>
      <c r="D10038" t="s">
        <v>20</v>
      </c>
      <c r="E10038" t="s">
        <v>11</v>
      </c>
      <c r="F10038">
        <v>80.3</v>
      </c>
      <c r="G10038">
        <v>18</v>
      </c>
    </row>
    <row r="10039" spans="1:7" x14ac:dyDescent="0.25">
      <c r="A10039" t="s">
        <v>41</v>
      </c>
      <c r="B10039" t="s">
        <v>10268</v>
      </c>
      <c r="C10039" t="s">
        <v>18179</v>
      </c>
      <c r="D10039" t="s">
        <v>20</v>
      </c>
      <c r="E10039" t="s">
        <v>11</v>
      </c>
      <c r="F10039">
        <v>63.8</v>
      </c>
      <c r="G10039">
        <v>18</v>
      </c>
    </row>
    <row r="10040" spans="1:7" x14ac:dyDescent="0.25">
      <c r="A10040" t="s">
        <v>41</v>
      </c>
      <c r="B10040" t="s">
        <v>10271</v>
      </c>
      <c r="C10040" t="s">
        <v>19735</v>
      </c>
      <c r="D10040" t="s">
        <v>20</v>
      </c>
      <c r="E10040" t="s">
        <v>11</v>
      </c>
      <c r="F10040">
        <v>92.39999999999999</v>
      </c>
      <c r="G10040">
        <v>18</v>
      </c>
    </row>
    <row r="10041" spans="1:7" x14ac:dyDescent="0.25">
      <c r="A10041" t="s">
        <v>41</v>
      </c>
      <c r="B10041" t="s">
        <v>10274</v>
      </c>
      <c r="C10041" t="s">
        <v>19736</v>
      </c>
      <c r="D10041" t="s">
        <v>20</v>
      </c>
      <c r="E10041" t="s">
        <v>11</v>
      </c>
      <c r="F10041">
        <v>8224.699999999999</v>
      </c>
      <c r="G10041">
        <v>18</v>
      </c>
    </row>
    <row r="10042" spans="1:7" x14ac:dyDescent="0.25">
      <c r="A10042" t="s">
        <v>41</v>
      </c>
      <c r="B10042" t="s">
        <v>10277</v>
      </c>
      <c r="C10042" t="s">
        <v>17864</v>
      </c>
      <c r="D10042" t="s">
        <v>20</v>
      </c>
      <c r="E10042" t="s">
        <v>11</v>
      </c>
      <c r="F10042">
        <v>555.5</v>
      </c>
      <c r="G10042">
        <v>18</v>
      </c>
    </row>
    <row r="10043" spans="1:7" x14ac:dyDescent="0.25">
      <c r="A10043" t="s">
        <v>41</v>
      </c>
      <c r="B10043" t="s">
        <v>10280</v>
      </c>
      <c r="C10043" t="s">
        <v>17643</v>
      </c>
      <c r="D10043" t="s">
        <v>20</v>
      </c>
      <c r="E10043" t="s">
        <v>11</v>
      </c>
      <c r="F10043">
        <v>19176.300000000003</v>
      </c>
      <c r="G10043">
        <v>18</v>
      </c>
    </row>
    <row r="10044" spans="1:7" x14ac:dyDescent="0.25">
      <c r="A10044" t="s">
        <v>41</v>
      </c>
      <c r="B10044" t="s">
        <v>10283</v>
      </c>
      <c r="C10044" t="s">
        <v>19737</v>
      </c>
      <c r="D10044" t="s">
        <v>20</v>
      </c>
      <c r="E10044" t="s">
        <v>11</v>
      </c>
      <c r="F10044">
        <v>264</v>
      </c>
      <c r="G10044">
        <v>18</v>
      </c>
    </row>
    <row r="10045" spans="1:7" x14ac:dyDescent="0.25">
      <c r="A10045" t="s">
        <v>41</v>
      </c>
      <c r="B10045" t="s">
        <v>10286</v>
      </c>
      <c r="C10045" t="s">
        <v>19738</v>
      </c>
      <c r="D10045" t="s">
        <v>20</v>
      </c>
      <c r="E10045" t="s">
        <v>11</v>
      </c>
      <c r="F10045">
        <v>13270.4</v>
      </c>
      <c r="G10045">
        <v>18</v>
      </c>
    </row>
    <row r="10046" spans="1:7" x14ac:dyDescent="0.25">
      <c r="A10046" t="s">
        <v>41</v>
      </c>
      <c r="B10046" t="s">
        <v>10289</v>
      </c>
      <c r="C10046" t="s">
        <v>19739</v>
      </c>
      <c r="D10046" t="s">
        <v>20</v>
      </c>
      <c r="E10046" t="s">
        <v>11</v>
      </c>
      <c r="F10046">
        <v>1912.9</v>
      </c>
      <c r="G10046">
        <v>18</v>
      </c>
    </row>
    <row r="10047" spans="1:7" x14ac:dyDescent="0.25">
      <c r="A10047" t="s">
        <v>41</v>
      </c>
      <c r="B10047" t="s">
        <v>10292</v>
      </c>
      <c r="C10047" t="s">
        <v>17876</v>
      </c>
      <c r="D10047" t="s">
        <v>20</v>
      </c>
      <c r="E10047" t="s">
        <v>11</v>
      </c>
      <c r="F10047">
        <v>10448.9</v>
      </c>
      <c r="G10047">
        <v>18</v>
      </c>
    </row>
    <row r="10048" spans="1:7" x14ac:dyDescent="0.25">
      <c r="A10048" t="s">
        <v>41</v>
      </c>
      <c r="B10048" t="s">
        <v>10295</v>
      </c>
      <c r="C10048" t="s">
        <v>17643</v>
      </c>
      <c r="D10048" t="s">
        <v>20</v>
      </c>
      <c r="E10048" t="s">
        <v>11</v>
      </c>
      <c r="F10048">
        <v>33176</v>
      </c>
      <c r="G10048">
        <v>18</v>
      </c>
    </row>
    <row r="10049" spans="1:7" x14ac:dyDescent="0.25">
      <c r="A10049" t="s">
        <v>41</v>
      </c>
      <c r="B10049" t="s">
        <v>10298</v>
      </c>
      <c r="C10049" t="s">
        <v>19740</v>
      </c>
      <c r="D10049" t="s">
        <v>20</v>
      </c>
      <c r="E10049" t="s">
        <v>11</v>
      </c>
      <c r="F10049">
        <v>12320</v>
      </c>
      <c r="G10049">
        <v>18</v>
      </c>
    </row>
    <row r="10050" spans="1:7" x14ac:dyDescent="0.25">
      <c r="A10050" t="s">
        <v>41</v>
      </c>
      <c r="B10050" t="s">
        <v>10301</v>
      </c>
      <c r="C10050" t="s">
        <v>19346</v>
      </c>
      <c r="D10050" t="s">
        <v>20</v>
      </c>
      <c r="E10050" t="s">
        <v>11</v>
      </c>
      <c r="F10050">
        <v>36608</v>
      </c>
      <c r="G10050">
        <v>18</v>
      </c>
    </row>
    <row r="10051" spans="1:7" x14ac:dyDescent="0.25">
      <c r="A10051" t="s">
        <v>41</v>
      </c>
      <c r="B10051" t="s">
        <v>10304</v>
      </c>
      <c r="C10051" t="s">
        <v>19219</v>
      </c>
      <c r="D10051" t="s">
        <v>20</v>
      </c>
      <c r="E10051" t="s">
        <v>11</v>
      </c>
      <c r="F10051">
        <v>48048</v>
      </c>
      <c r="G10051">
        <v>18</v>
      </c>
    </row>
    <row r="10052" spans="1:7" x14ac:dyDescent="0.25">
      <c r="A10052" t="s">
        <v>41</v>
      </c>
      <c r="B10052" t="s">
        <v>10307</v>
      </c>
      <c r="C10052" t="s">
        <v>19305</v>
      </c>
      <c r="D10052" t="s">
        <v>20</v>
      </c>
      <c r="E10052" t="s">
        <v>11</v>
      </c>
      <c r="F10052">
        <v>91520</v>
      </c>
      <c r="G10052">
        <v>18</v>
      </c>
    </row>
    <row r="10053" spans="1:7" x14ac:dyDescent="0.25">
      <c r="A10053" t="s">
        <v>41</v>
      </c>
      <c r="B10053" t="s">
        <v>10310</v>
      </c>
      <c r="C10053" t="s">
        <v>19741</v>
      </c>
      <c r="D10053" t="s">
        <v>20</v>
      </c>
      <c r="E10053" t="s">
        <v>11</v>
      </c>
      <c r="F10053">
        <v>58704.799999999996</v>
      </c>
      <c r="G10053">
        <v>18</v>
      </c>
    </row>
    <row r="10054" spans="1:7" x14ac:dyDescent="0.25">
      <c r="A10054" t="s">
        <v>41</v>
      </c>
      <c r="B10054" t="s">
        <v>10313</v>
      </c>
      <c r="C10054" t="s">
        <v>19742</v>
      </c>
      <c r="D10054" t="s">
        <v>20</v>
      </c>
      <c r="E10054" t="s">
        <v>11</v>
      </c>
      <c r="F10054">
        <v>56627.99999999999</v>
      </c>
      <c r="G10054">
        <v>18</v>
      </c>
    </row>
    <row r="10055" spans="1:7" x14ac:dyDescent="0.25">
      <c r="A10055" t="s">
        <v>41</v>
      </c>
      <c r="B10055" t="s">
        <v>10316</v>
      </c>
      <c r="C10055" t="s">
        <v>19743</v>
      </c>
      <c r="D10055" t="s">
        <v>20</v>
      </c>
      <c r="E10055" t="s">
        <v>11</v>
      </c>
      <c r="F10055">
        <v>212.29999999999998</v>
      </c>
      <c r="G10055">
        <v>18</v>
      </c>
    </row>
    <row r="10056" spans="1:7" x14ac:dyDescent="0.25">
      <c r="A10056" t="s">
        <v>41</v>
      </c>
      <c r="B10056" t="s">
        <v>10319</v>
      </c>
      <c r="C10056" t="s">
        <v>18231</v>
      </c>
      <c r="D10056" t="s">
        <v>20</v>
      </c>
      <c r="E10056" t="s">
        <v>11</v>
      </c>
      <c r="F10056">
        <v>58.300000000000004</v>
      </c>
      <c r="G10056">
        <v>18</v>
      </c>
    </row>
    <row r="10057" spans="1:7" x14ac:dyDescent="0.25">
      <c r="A10057" t="s">
        <v>41</v>
      </c>
      <c r="B10057" t="s">
        <v>10322</v>
      </c>
      <c r="C10057" t="s">
        <v>19744</v>
      </c>
      <c r="D10057" t="s">
        <v>20</v>
      </c>
      <c r="E10057" t="s">
        <v>11</v>
      </c>
      <c r="F10057">
        <v>57.2</v>
      </c>
      <c r="G10057">
        <v>18</v>
      </c>
    </row>
    <row r="10058" spans="1:7" x14ac:dyDescent="0.25">
      <c r="A10058" t="s">
        <v>41</v>
      </c>
      <c r="B10058" t="s">
        <v>10325</v>
      </c>
      <c r="C10058" t="s">
        <v>19745</v>
      </c>
      <c r="D10058" t="s">
        <v>20</v>
      </c>
      <c r="E10058" t="s">
        <v>11</v>
      </c>
      <c r="F10058">
        <v>5491.2</v>
      </c>
      <c r="G10058">
        <v>18</v>
      </c>
    </row>
    <row r="10059" spans="1:7" x14ac:dyDescent="0.25">
      <c r="A10059" t="s">
        <v>41</v>
      </c>
      <c r="B10059" t="s">
        <v>10328</v>
      </c>
      <c r="C10059" t="s">
        <v>19746</v>
      </c>
      <c r="D10059" t="s">
        <v>20</v>
      </c>
      <c r="E10059" t="s">
        <v>11</v>
      </c>
      <c r="F10059">
        <v>4800.4</v>
      </c>
      <c r="G10059">
        <v>18</v>
      </c>
    </row>
    <row r="10060" spans="1:7" x14ac:dyDescent="0.25">
      <c r="A10060" t="s">
        <v>41</v>
      </c>
      <c r="B10060" t="s">
        <v>10331</v>
      </c>
      <c r="C10060" t="s">
        <v>18121</v>
      </c>
      <c r="D10060" t="s">
        <v>20</v>
      </c>
      <c r="E10060" t="s">
        <v>11</v>
      </c>
      <c r="F10060">
        <v>7435.999999999999</v>
      </c>
      <c r="G10060">
        <v>18</v>
      </c>
    </row>
    <row r="10061" spans="1:7" x14ac:dyDescent="0.25">
      <c r="A10061" t="s">
        <v>41</v>
      </c>
      <c r="B10061" t="s">
        <v>10334</v>
      </c>
      <c r="C10061" t="s">
        <v>19747</v>
      </c>
      <c r="D10061" t="s">
        <v>20</v>
      </c>
      <c r="E10061" t="s">
        <v>11</v>
      </c>
      <c r="F10061">
        <v>1204.5</v>
      </c>
      <c r="G10061">
        <v>18</v>
      </c>
    </row>
    <row r="10062" spans="1:7" x14ac:dyDescent="0.25">
      <c r="A10062" t="s">
        <v>41</v>
      </c>
      <c r="B10062" t="s">
        <v>10337</v>
      </c>
      <c r="C10062" t="s">
        <v>19748</v>
      </c>
      <c r="D10062" t="s">
        <v>20</v>
      </c>
      <c r="E10062" t="s">
        <v>11</v>
      </c>
      <c r="F10062">
        <v>1912.9</v>
      </c>
      <c r="G10062">
        <v>18</v>
      </c>
    </row>
    <row r="10063" spans="1:7" x14ac:dyDescent="0.25">
      <c r="A10063" t="s">
        <v>41</v>
      </c>
      <c r="B10063" t="s">
        <v>10340</v>
      </c>
      <c r="C10063" t="s">
        <v>19749</v>
      </c>
      <c r="D10063" t="s">
        <v>20</v>
      </c>
      <c r="E10063" t="s">
        <v>11</v>
      </c>
      <c r="F10063">
        <v>1267.2</v>
      </c>
      <c r="G10063">
        <v>18</v>
      </c>
    </row>
    <row r="10064" spans="1:7" x14ac:dyDescent="0.25">
      <c r="A10064" t="s">
        <v>41</v>
      </c>
      <c r="B10064" t="s">
        <v>10343</v>
      </c>
      <c r="C10064" t="s">
        <v>19750</v>
      </c>
      <c r="D10064" t="s">
        <v>20</v>
      </c>
      <c r="E10064" t="s">
        <v>11</v>
      </c>
      <c r="F10064">
        <v>385</v>
      </c>
      <c r="G10064">
        <v>18</v>
      </c>
    </row>
    <row r="10065" spans="1:7" x14ac:dyDescent="0.25">
      <c r="A10065" t="s">
        <v>41</v>
      </c>
      <c r="B10065" t="s">
        <v>10346</v>
      </c>
      <c r="C10065" t="s">
        <v>19751</v>
      </c>
      <c r="D10065" t="s">
        <v>20</v>
      </c>
      <c r="E10065" t="s">
        <v>11</v>
      </c>
      <c r="F10065">
        <v>1849.1</v>
      </c>
      <c r="G10065">
        <v>18</v>
      </c>
    </row>
    <row r="10066" spans="1:7" x14ac:dyDescent="0.25">
      <c r="A10066" t="s">
        <v>41</v>
      </c>
      <c r="B10066" t="s">
        <v>10349</v>
      </c>
      <c r="C10066" t="s">
        <v>19752</v>
      </c>
      <c r="D10066" t="s">
        <v>20</v>
      </c>
      <c r="E10066" t="s">
        <v>11</v>
      </c>
      <c r="F10066">
        <v>57.2</v>
      </c>
      <c r="G10066">
        <v>18</v>
      </c>
    </row>
    <row r="10067" spans="1:7" x14ac:dyDescent="0.25">
      <c r="A10067" t="s">
        <v>41</v>
      </c>
      <c r="B10067" t="s">
        <v>10352</v>
      </c>
      <c r="C10067" t="s">
        <v>18450</v>
      </c>
      <c r="D10067" t="s">
        <v>20</v>
      </c>
      <c r="E10067" t="s">
        <v>11</v>
      </c>
      <c r="F10067">
        <v>1434.3999999999999</v>
      </c>
      <c r="G10067">
        <v>18</v>
      </c>
    </row>
    <row r="10068" spans="1:7" x14ac:dyDescent="0.25">
      <c r="A10068" t="s">
        <v>41</v>
      </c>
      <c r="B10068" t="s">
        <v>10355</v>
      </c>
      <c r="C10068" t="s">
        <v>19753</v>
      </c>
      <c r="D10068" t="s">
        <v>20</v>
      </c>
      <c r="E10068" t="s">
        <v>11</v>
      </c>
      <c r="F10068">
        <v>137.5</v>
      </c>
      <c r="G10068">
        <v>18</v>
      </c>
    </row>
    <row r="10069" spans="1:7" x14ac:dyDescent="0.25">
      <c r="A10069" t="s">
        <v>41</v>
      </c>
      <c r="B10069" t="s">
        <v>10358</v>
      </c>
      <c r="C10069" t="s">
        <v>19754</v>
      </c>
      <c r="D10069" t="s">
        <v>20</v>
      </c>
      <c r="E10069" t="s">
        <v>11</v>
      </c>
      <c r="F10069">
        <v>2018.5000000000002</v>
      </c>
      <c r="G10069">
        <v>18</v>
      </c>
    </row>
    <row r="10070" spans="1:7" x14ac:dyDescent="0.25">
      <c r="A10070" t="s">
        <v>41</v>
      </c>
      <c r="B10070" t="s">
        <v>10361</v>
      </c>
      <c r="C10070" t="s">
        <v>19755</v>
      </c>
      <c r="D10070" t="s">
        <v>20</v>
      </c>
      <c r="E10070" t="s">
        <v>11</v>
      </c>
      <c r="F10070">
        <v>117.7</v>
      </c>
      <c r="G10070">
        <v>18</v>
      </c>
    </row>
    <row r="10071" spans="1:7" x14ac:dyDescent="0.25">
      <c r="A10071" t="s">
        <v>41</v>
      </c>
      <c r="B10071" t="s">
        <v>10364</v>
      </c>
      <c r="C10071" t="s">
        <v>19756</v>
      </c>
      <c r="D10071" t="s">
        <v>20</v>
      </c>
      <c r="E10071" t="s">
        <v>11</v>
      </c>
      <c r="F10071">
        <v>809.6</v>
      </c>
      <c r="G10071">
        <v>18</v>
      </c>
    </row>
    <row r="10072" spans="1:7" x14ac:dyDescent="0.25">
      <c r="A10072" t="s">
        <v>41</v>
      </c>
      <c r="B10072" t="s">
        <v>10367</v>
      </c>
      <c r="C10072" t="s">
        <v>19757</v>
      </c>
      <c r="D10072" t="s">
        <v>20</v>
      </c>
      <c r="E10072" t="s">
        <v>11</v>
      </c>
      <c r="F10072">
        <v>58.300000000000004</v>
      </c>
      <c r="G10072">
        <v>18</v>
      </c>
    </row>
    <row r="10073" spans="1:7" x14ac:dyDescent="0.25">
      <c r="A10073" t="s">
        <v>41</v>
      </c>
      <c r="B10073" t="s">
        <v>10370</v>
      </c>
      <c r="C10073" t="s">
        <v>19758</v>
      </c>
      <c r="D10073" t="s">
        <v>20</v>
      </c>
      <c r="E10073" t="s">
        <v>11</v>
      </c>
      <c r="F10073">
        <v>70.4</v>
      </c>
      <c r="G10073">
        <v>18</v>
      </c>
    </row>
    <row r="10074" spans="1:7" x14ac:dyDescent="0.25">
      <c r="A10074" t="s">
        <v>41</v>
      </c>
      <c r="B10074" t="s">
        <v>10373</v>
      </c>
      <c r="C10074" t="s">
        <v>19759</v>
      </c>
      <c r="D10074" t="s">
        <v>20</v>
      </c>
      <c r="E10074" t="s">
        <v>11</v>
      </c>
      <c r="F10074">
        <v>796.4</v>
      </c>
      <c r="G10074">
        <v>18</v>
      </c>
    </row>
    <row r="10075" spans="1:7" x14ac:dyDescent="0.25">
      <c r="A10075" t="s">
        <v>41</v>
      </c>
      <c r="B10075" t="s">
        <v>10376</v>
      </c>
      <c r="C10075" t="s">
        <v>19760</v>
      </c>
      <c r="D10075" t="s">
        <v>20</v>
      </c>
      <c r="E10075" t="s">
        <v>11</v>
      </c>
      <c r="F10075">
        <v>1238.6</v>
      </c>
      <c r="G10075">
        <v>18</v>
      </c>
    </row>
    <row r="10076" spans="1:7" x14ac:dyDescent="0.25">
      <c r="A10076" t="s">
        <v>41</v>
      </c>
      <c r="B10076" t="s">
        <v>10379</v>
      </c>
      <c r="C10076" t="s">
        <v>19567</v>
      </c>
      <c r="D10076" t="s">
        <v>20</v>
      </c>
      <c r="E10076" t="s">
        <v>11</v>
      </c>
      <c r="F10076">
        <v>1086.8000000000002</v>
      </c>
      <c r="G10076">
        <v>18</v>
      </c>
    </row>
    <row r="10077" spans="1:7" x14ac:dyDescent="0.25">
      <c r="A10077" t="s">
        <v>41</v>
      </c>
      <c r="B10077" t="s">
        <v>10382</v>
      </c>
      <c r="C10077" t="s">
        <v>19761</v>
      </c>
      <c r="D10077" t="s">
        <v>20</v>
      </c>
      <c r="E10077" t="s">
        <v>11</v>
      </c>
      <c r="F10077">
        <v>70.4</v>
      </c>
      <c r="G10077">
        <v>18</v>
      </c>
    </row>
    <row r="10078" spans="1:7" x14ac:dyDescent="0.25">
      <c r="A10078" t="s">
        <v>41</v>
      </c>
      <c r="B10078" t="s">
        <v>10385</v>
      </c>
      <c r="C10078" t="s">
        <v>18231</v>
      </c>
      <c r="D10078" t="s">
        <v>20</v>
      </c>
      <c r="E10078" t="s">
        <v>11</v>
      </c>
      <c r="F10078">
        <v>58.300000000000004</v>
      </c>
      <c r="G10078">
        <v>18</v>
      </c>
    </row>
    <row r="10079" spans="1:7" x14ac:dyDescent="0.25">
      <c r="A10079" t="s">
        <v>41</v>
      </c>
      <c r="B10079" t="s">
        <v>10388</v>
      </c>
      <c r="C10079" t="s">
        <v>19569</v>
      </c>
      <c r="D10079" t="s">
        <v>20</v>
      </c>
      <c r="E10079" t="s">
        <v>11</v>
      </c>
      <c r="F10079">
        <v>973.5</v>
      </c>
      <c r="G10079">
        <v>18</v>
      </c>
    </row>
    <row r="10080" spans="1:7" x14ac:dyDescent="0.25">
      <c r="A10080" t="s">
        <v>41</v>
      </c>
      <c r="B10080" t="s">
        <v>10391</v>
      </c>
      <c r="C10080" t="s">
        <v>19762</v>
      </c>
      <c r="D10080" t="s">
        <v>20</v>
      </c>
      <c r="E10080" t="s">
        <v>11</v>
      </c>
      <c r="F10080">
        <v>79.2</v>
      </c>
      <c r="G10080">
        <v>18</v>
      </c>
    </row>
    <row r="10081" spans="1:7" x14ac:dyDescent="0.25">
      <c r="A10081" t="s">
        <v>41</v>
      </c>
      <c r="B10081" t="s">
        <v>10394</v>
      </c>
      <c r="C10081" t="s">
        <v>19187</v>
      </c>
      <c r="D10081" t="s">
        <v>20</v>
      </c>
      <c r="E10081" t="s">
        <v>11</v>
      </c>
      <c r="F10081">
        <v>58.300000000000004</v>
      </c>
      <c r="G10081">
        <v>18</v>
      </c>
    </row>
    <row r="10082" spans="1:7" x14ac:dyDescent="0.25">
      <c r="A10082" t="s">
        <v>41</v>
      </c>
      <c r="B10082" t="s">
        <v>10397</v>
      </c>
      <c r="C10082" t="s">
        <v>18806</v>
      </c>
      <c r="D10082" t="s">
        <v>20</v>
      </c>
      <c r="E10082" t="s">
        <v>11</v>
      </c>
      <c r="F10082">
        <v>1450.8999999999999</v>
      </c>
      <c r="G10082">
        <v>18</v>
      </c>
    </row>
    <row r="10083" spans="1:7" x14ac:dyDescent="0.25">
      <c r="A10083" t="s">
        <v>41</v>
      </c>
      <c r="B10083" t="s">
        <v>10400</v>
      </c>
      <c r="C10083" t="s">
        <v>19763</v>
      </c>
      <c r="D10083" t="s">
        <v>20</v>
      </c>
      <c r="E10083" t="s">
        <v>11</v>
      </c>
      <c r="F10083">
        <v>70.4</v>
      </c>
      <c r="G10083">
        <v>18</v>
      </c>
    </row>
    <row r="10084" spans="1:7" x14ac:dyDescent="0.25">
      <c r="A10084" t="s">
        <v>41</v>
      </c>
      <c r="B10084" t="s">
        <v>10403</v>
      </c>
      <c r="C10084" t="s">
        <v>18898</v>
      </c>
      <c r="D10084" t="s">
        <v>20</v>
      </c>
      <c r="E10084" t="s">
        <v>11</v>
      </c>
      <c r="F10084">
        <v>151.79999999999998</v>
      </c>
      <c r="G10084">
        <v>18</v>
      </c>
    </row>
    <row r="10085" spans="1:7" x14ac:dyDescent="0.25">
      <c r="A10085" t="s">
        <v>41</v>
      </c>
      <c r="B10085" t="s">
        <v>10406</v>
      </c>
      <c r="C10085" t="s">
        <v>19764</v>
      </c>
      <c r="D10085" t="s">
        <v>20</v>
      </c>
      <c r="E10085" t="s">
        <v>11</v>
      </c>
      <c r="F10085">
        <v>4291.099999999999</v>
      </c>
      <c r="G10085">
        <v>18</v>
      </c>
    </row>
    <row r="10086" spans="1:7" x14ac:dyDescent="0.25">
      <c r="A10086" t="s">
        <v>41</v>
      </c>
      <c r="B10086" t="s">
        <v>10409</v>
      </c>
      <c r="C10086" t="s">
        <v>19765</v>
      </c>
      <c r="D10086" t="s">
        <v>20</v>
      </c>
      <c r="E10086" t="s">
        <v>11</v>
      </c>
      <c r="F10086">
        <v>24478.3</v>
      </c>
      <c r="G10086">
        <v>18</v>
      </c>
    </row>
    <row r="10087" spans="1:7" x14ac:dyDescent="0.25">
      <c r="A10087" t="s">
        <v>41</v>
      </c>
      <c r="B10087" t="s">
        <v>10412</v>
      </c>
      <c r="C10087" t="s">
        <v>19766</v>
      </c>
      <c r="D10087" t="s">
        <v>20</v>
      </c>
      <c r="E10087" t="s">
        <v>11</v>
      </c>
      <c r="F10087">
        <v>3378.1</v>
      </c>
      <c r="G10087">
        <v>18</v>
      </c>
    </row>
    <row r="10088" spans="1:7" x14ac:dyDescent="0.25">
      <c r="A10088" t="s">
        <v>41</v>
      </c>
      <c r="B10088" t="s">
        <v>10415</v>
      </c>
      <c r="C10088" t="s">
        <v>17758</v>
      </c>
      <c r="D10088" t="s">
        <v>20</v>
      </c>
      <c r="E10088" t="s">
        <v>11</v>
      </c>
      <c r="F10088">
        <v>520.3000000000001</v>
      </c>
      <c r="G10088">
        <v>18</v>
      </c>
    </row>
    <row r="10089" spans="1:7" x14ac:dyDescent="0.25">
      <c r="A10089" t="s">
        <v>41</v>
      </c>
      <c r="B10089" t="s">
        <v>10418</v>
      </c>
      <c r="C10089" t="s">
        <v>19767</v>
      </c>
      <c r="D10089" t="s">
        <v>20</v>
      </c>
      <c r="E10089" t="s">
        <v>11</v>
      </c>
      <c r="F10089">
        <v>5690.299999999999</v>
      </c>
      <c r="G10089">
        <v>18</v>
      </c>
    </row>
    <row r="10090" spans="1:7" x14ac:dyDescent="0.25">
      <c r="A10090" t="s">
        <v>41</v>
      </c>
      <c r="B10090" t="s">
        <v>10421</v>
      </c>
      <c r="C10090" t="s">
        <v>19768</v>
      </c>
      <c r="D10090" t="s">
        <v>20</v>
      </c>
      <c r="E10090" t="s">
        <v>11</v>
      </c>
      <c r="F10090">
        <v>588.5</v>
      </c>
      <c r="G10090">
        <v>18</v>
      </c>
    </row>
    <row r="10091" spans="1:7" x14ac:dyDescent="0.25">
      <c r="A10091" t="s">
        <v>41</v>
      </c>
      <c r="B10091" t="s">
        <v>10424</v>
      </c>
      <c r="C10091" t="s">
        <v>19769</v>
      </c>
      <c r="D10091" t="s">
        <v>20</v>
      </c>
      <c r="E10091" t="s">
        <v>11</v>
      </c>
      <c r="F10091">
        <v>862.4</v>
      </c>
      <c r="G10091">
        <v>18</v>
      </c>
    </row>
    <row r="10092" spans="1:7" x14ac:dyDescent="0.25">
      <c r="A10092" t="s">
        <v>41</v>
      </c>
      <c r="B10092" t="s">
        <v>10427</v>
      </c>
      <c r="C10092" t="s">
        <v>17754</v>
      </c>
      <c r="D10092" t="s">
        <v>20</v>
      </c>
      <c r="E10092" t="s">
        <v>11</v>
      </c>
      <c r="F10092">
        <v>14554.1</v>
      </c>
      <c r="G10092">
        <v>18</v>
      </c>
    </row>
    <row r="10093" spans="1:7" x14ac:dyDescent="0.25">
      <c r="A10093" t="s">
        <v>41</v>
      </c>
      <c r="B10093" t="s">
        <v>10430</v>
      </c>
      <c r="C10093" t="s">
        <v>17874</v>
      </c>
      <c r="D10093" t="s">
        <v>20</v>
      </c>
      <c r="E10093" t="s">
        <v>11</v>
      </c>
      <c r="F10093">
        <v>157.29999999999998</v>
      </c>
      <c r="G10093">
        <v>18</v>
      </c>
    </row>
    <row r="10094" spans="1:7" x14ac:dyDescent="0.25">
      <c r="A10094" t="s">
        <v>41</v>
      </c>
      <c r="B10094" t="s">
        <v>10433</v>
      </c>
      <c r="C10094" t="s">
        <v>17754</v>
      </c>
      <c r="D10094" t="s">
        <v>20</v>
      </c>
      <c r="E10094" t="s">
        <v>11</v>
      </c>
      <c r="F10094">
        <v>24478.3</v>
      </c>
      <c r="G10094">
        <v>18</v>
      </c>
    </row>
    <row r="10095" spans="1:7" x14ac:dyDescent="0.25">
      <c r="A10095" t="s">
        <v>41</v>
      </c>
      <c r="B10095" t="s">
        <v>10436</v>
      </c>
      <c r="C10095" t="s">
        <v>17776</v>
      </c>
      <c r="D10095" t="s">
        <v>20</v>
      </c>
      <c r="E10095" t="s">
        <v>11</v>
      </c>
      <c r="F10095">
        <v>3378.1</v>
      </c>
      <c r="G10095">
        <v>18</v>
      </c>
    </row>
    <row r="10096" spans="1:7" x14ac:dyDescent="0.25">
      <c r="A10096" t="s">
        <v>41</v>
      </c>
      <c r="B10096" t="s">
        <v>10439</v>
      </c>
      <c r="C10096" t="s">
        <v>17699</v>
      </c>
      <c r="D10096" t="s">
        <v>20</v>
      </c>
      <c r="E10096" t="s">
        <v>11</v>
      </c>
      <c r="F10096">
        <v>1376.1</v>
      </c>
      <c r="G10096">
        <v>18</v>
      </c>
    </row>
    <row r="10097" spans="1:7" x14ac:dyDescent="0.25">
      <c r="A10097" t="s">
        <v>41</v>
      </c>
      <c r="B10097" t="s">
        <v>10442</v>
      </c>
      <c r="C10097" t="s">
        <v>19770</v>
      </c>
      <c r="D10097" t="s">
        <v>20</v>
      </c>
      <c r="E10097" t="s">
        <v>11</v>
      </c>
      <c r="F10097">
        <v>486.2</v>
      </c>
      <c r="G10097">
        <v>18</v>
      </c>
    </row>
    <row r="10098" spans="1:7" x14ac:dyDescent="0.25">
      <c r="A10098" t="s">
        <v>41</v>
      </c>
      <c r="B10098" t="s">
        <v>10445</v>
      </c>
      <c r="C10098" t="s">
        <v>19771</v>
      </c>
      <c r="D10098" t="s">
        <v>20</v>
      </c>
      <c r="E10098" t="s">
        <v>11</v>
      </c>
      <c r="F10098">
        <v>536.8</v>
      </c>
      <c r="G10098">
        <v>18</v>
      </c>
    </row>
    <row r="10099" spans="1:7" x14ac:dyDescent="0.25">
      <c r="A10099" t="s">
        <v>41</v>
      </c>
      <c r="B10099" t="s">
        <v>10448</v>
      </c>
      <c r="C10099" t="s">
        <v>19772</v>
      </c>
      <c r="D10099" t="s">
        <v>20</v>
      </c>
      <c r="E10099" t="s">
        <v>11</v>
      </c>
      <c r="F10099">
        <v>486.2</v>
      </c>
      <c r="G10099">
        <v>18</v>
      </c>
    </row>
    <row r="10100" spans="1:7" x14ac:dyDescent="0.25">
      <c r="A10100" t="s">
        <v>41</v>
      </c>
      <c r="B10100" t="s">
        <v>10451</v>
      </c>
      <c r="C10100" t="s">
        <v>19773</v>
      </c>
      <c r="D10100" t="s">
        <v>20</v>
      </c>
      <c r="E10100" t="s">
        <v>11</v>
      </c>
      <c r="F10100">
        <v>80.3</v>
      </c>
      <c r="G10100">
        <v>18</v>
      </c>
    </row>
    <row r="10101" spans="1:7" x14ac:dyDescent="0.25">
      <c r="A10101" t="s">
        <v>41</v>
      </c>
      <c r="B10101" t="s">
        <v>10454</v>
      </c>
      <c r="C10101" t="s">
        <v>19774</v>
      </c>
      <c r="D10101" t="s">
        <v>20</v>
      </c>
      <c r="E10101" t="s">
        <v>11</v>
      </c>
      <c r="F10101">
        <v>71.5</v>
      </c>
      <c r="G10101">
        <v>18</v>
      </c>
    </row>
    <row r="10102" spans="1:7" x14ac:dyDescent="0.25">
      <c r="A10102" t="s">
        <v>41</v>
      </c>
      <c r="B10102" t="s">
        <v>10457</v>
      </c>
      <c r="C10102" t="s">
        <v>19775</v>
      </c>
      <c r="D10102" t="s">
        <v>20</v>
      </c>
      <c r="E10102" t="s">
        <v>11</v>
      </c>
      <c r="F10102">
        <v>57.2</v>
      </c>
      <c r="G10102">
        <v>18</v>
      </c>
    </row>
    <row r="10103" spans="1:7" x14ac:dyDescent="0.25">
      <c r="A10103" t="s">
        <v>41</v>
      </c>
      <c r="B10103" t="s">
        <v>10460</v>
      </c>
      <c r="C10103" t="s">
        <v>18231</v>
      </c>
      <c r="D10103" t="s">
        <v>20</v>
      </c>
      <c r="E10103" t="s">
        <v>11</v>
      </c>
      <c r="F10103">
        <v>58.300000000000004</v>
      </c>
      <c r="G10103">
        <v>18</v>
      </c>
    </row>
    <row r="10104" spans="1:7" x14ac:dyDescent="0.25">
      <c r="A10104" t="s">
        <v>41</v>
      </c>
      <c r="B10104" t="s">
        <v>10463</v>
      </c>
      <c r="C10104" t="s">
        <v>19776</v>
      </c>
      <c r="D10104" t="s">
        <v>20</v>
      </c>
      <c r="E10104" t="s">
        <v>11</v>
      </c>
      <c r="F10104">
        <v>80.3</v>
      </c>
      <c r="G10104">
        <v>18</v>
      </c>
    </row>
    <row r="10105" spans="1:7" x14ac:dyDescent="0.25">
      <c r="A10105" t="s">
        <v>41</v>
      </c>
      <c r="B10105" t="s">
        <v>10466</v>
      </c>
      <c r="C10105" t="s">
        <v>19777</v>
      </c>
      <c r="D10105" t="s">
        <v>20</v>
      </c>
      <c r="E10105" t="s">
        <v>11</v>
      </c>
      <c r="F10105">
        <v>123.20000000000002</v>
      </c>
      <c r="G10105">
        <v>18</v>
      </c>
    </row>
    <row r="10106" spans="1:7" x14ac:dyDescent="0.25">
      <c r="A10106" t="s">
        <v>41</v>
      </c>
      <c r="B10106" t="s">
        <v>10469</v>
      </c>
      <c r="C10106" t="s">
        <v>18327</v>
      </c>
      <c r="D10106" t="s">
        <v>20</v>
      </c>
      <c r="E10106" t="s">
        <v>11</v>
      </c>
      <c r="F10106">
        <v>289.3</v>
      </c>
      <c r="G10106">
        <v>18</v>
      </c>
    </row>
    <row r="10107" spans="1:7" x14ac:dyDescent="0.25">
      <c r="A10107" t="s">
        <v>41</v>
      </c>
      <c r="B10107" t="s">
        <v>10472</v>
      </c>
      <c r="C10107" t="s">
        <v>19778</v>
      </c>
      <c r="D10107" t="s">
        <v>20</v>
      </c>
      <c r="E10107" t="s">
        <v>11</v>
      </c>
      <c r="F10107">
        <v>22550</v>
      </c>
      <c r="G10107">
        <v>18</v>
      </c>
    </row>
    <row r="10108" spans="1:7" x14ac:dyDescent="0.25">
      <c r="A10108" t="s">
        <v>41</v>
      </c>
      <c r="B10108" t="s">
        <v>10475</v>
      </c>
      <c r="C10108" t="s">
        <v>19779</v>
      </c>
      <c r="D10108" t="s">
        <v>20</v>
      </c>
      <c r="E10108" t="s">
        <v>11</v>
      </c>
      <c r="F10108">
        <v>28028</v>
      </c>
      <c r="G10108">
        <v>18</v>
      </c>
    </row>
    <row r="10109" spans="1:7" x14ac:dyDescent="0.25">
      <c r="A10109" t="s">
        <v>41</v>
      </c>
      <c r="B10109" t="s">
        <v>10478</v>
      </c>
      <c r="C10109" t="s">
        <v>19780</v>
      </c>
      <c r="D10109" t="s">
        <v>20</v>
      </c>
      <c r="E10109" t="s">
        <v>11</v>
      </c>
      <c r="F10109">
        <v>25520</v>
      </c>
      <c r="G10109">
        <v>18</v>
      </c>
    </row>
    <row r="10110" spans="1:7" x14ac:dyDescent="0.25">
      <c r="A10110" t="s">
        <v>41</v>
      </c>
      <c r="B10110" t="s">
        <v>10481</v>
      </c>
      <c r="C10110" t="s">
        <v>19781</v>
      </c>
      <c r="D10110" t="s">
        <v>20</v>
      </c>
      <c r="E10110" t="s">
        <v>11</v>
      </c>
      <c r="F10110">
        <v>25520</v>
      </c>
      <c r="G10110">
        <v>18</v>
      </c>
    </row>
    <row r="10111" spans="1:7" x14ac:dyDescent="0.25">
      <c r="A10111" t="s">
        <v>41</v>
      </c>
      <c r="B10111" t="s">
        <v>10484</v>
      </c>
      <c r="C10111" t="s">
        <v>19782</v>
      </c>
      <c r="D10111" t="s">
        <v>20</v>
      </c>
      <c r="E10111" t="s">
        <v>11</v>
      </c>
      <c r="F10111">
        <v>18304</v>
      </c>
      <c r="G10111">
        <v>18</v>
      </c>
    </row>
    <row r="10112" spans="1:7" x14ac:dyDescent="0.25">
      <c r="A10112" t="s">
        <v>41</v>
      </c>
      <c r="B10112" t="s">
        <v>10487</v>
      </c>
      <c r="C10112" t="s">
        <v>19783</v>
      </c>
      <c r="D10112" t="s">
        <v>20</v>
      </c>
      <c r="E10112" t="s">
        <v>11</v>
      </c>
      <c r="F10112">
        <v>27456</v>
      </c>
      <c r="G10112">
        <v>18</v>
      </c>
    </row>
    <row r="10113" spans="1:7" x14ac:dyDescent="0.25">
      <c r="A10113" t="s">
        <v>41</v>
      </c>
      <c r="B10113" t="s">
        <v>10490</v>
      </c>
      <c r="C10113" t="s">
        <v>19761</v>
      </c>
      <c r="D10113" t="s">
        <v>20</v>
      </c>
      <c r="E10113" t="s">
        <v>11</v>
      </c>
      <c r="F10113">
        <v>70.4</v>
      </c>
      <c r="G10113">
        <v>18</v>
      </c>
    </row>
    <row r="10114" spans="1:7" x14ac:dyDescent="0.25">
      <c r="A10114" t="s">
        <v>41</v>
      </c>
      <c r="B10114" t="s">
        <v>10493</v>
      </c>
      <c r="C10114" t="s">
        <v>18231</v>
      </c>
      <c r="D10114" t="s">
        <v>20</v>
      </c>
      <c r="E10114" t="s">
        <v>11</v>
      </c>
      <c r="F10114">
        <v>58.300000000000004</v>
      </c>
      <c r="G10114">
        <v>18</v>
      </c>
    </row>
    <row r="10115" spans="1:7" x14ac:dyDescent="0.25">
      <c r="A10115" t="s">
        <v>41</v>
      </c>
      <c r="B10115" t="s">
        <v>10496</v>
      </c>
      <c r="C10115" t="s">
        <v>19784</v>
      </c>
      <c r="D10115" t="s">
        <v>20</v>
      </c>
      <c r="E10115" t="s">
        <v>11</v>
      </c>
      <c r="F10115">
        <v>501.59999999999997</v>
      </c>
      <c r="G10115">
        <v>18</v>
      </c>
    </row>
    <row r="10116" spans="1:7" x14ac:dyDescent="0.25">
      <c r="A10116" t="s">
        <v>41</v>
      </c>
      <c r="B10116" t="s">
        <v>10499</v>
      </c>
      <c r="C10116" t="s">
        <v>17937</v>
      </c>
      <c r="D10116" t="s">
        <v>20</v>
      </c>
      <c r="E10116" t="s">
        <v>11</v>
      </c>
      <c r="F10116">
        <v>8904.5</v>
      </c>
      <c r="G10116">
        <v>18</v>
      </c>
    </row>
    <row r="10117" spans="1:7" x14ac:dyDescent="0.25">
      <c r="A10117" t="s">
        <v>41</v>
      </c>
      <c r="B10117" t="s">
        <v>10502</v>
      </c>
      <c r="C10117" t="s">
        <v>19785</v>
      </c>
      <c r="D10117" t="s">
        <v>20</v>
      </c>
      <c r="E10117" t="s">
        <v>11</v>
      </c>
      <c r="F10117">
        <v>8465.599999999999</v>
      </c>
      <c r="G10117">
        <v>18</v>
      </c>
    </row>
    <row r="10118" spans="1:7" x14ac:dyDescent="0.25">
      <c r="A10118" t="s">
        <v>41</v>
      </c>
      <c r="B10118" t="s">
        <v>10505</v>
      </c>
      <c r="C10118" t="s">
        <v>19786</v>
      </c>
      <c r="D10118" t="s">
        <v>20</v>
      </c>
      <c r="E10118" t="s">
        <v>11</v>
      </c>
      <c r="F10118">
        <v>12698.4</v>
      </c>
      <c r="G10118">
        <v>18</v>
      </c>
    </row>
    <row r="10119" spans="1:7" x14ac:dyDescent="0.25">
      <c r="A10119" t="s">
        <v>41</v>
      </c>
      <c r="B10119" t="s">
        <v>10508</v>
      </c>
      <c r="C10119" t="s">
        <v>19787</v>
      </c>
      <c r="D10119" t="s">
        <v>20</v>
      </c>
      <c r="E10119" t="s">
        <v>11</v>
      </c>
      <c r="F10119">
        <v>58.300000000000004</v>
      </c>
      <c r="G10119">
        <v>18</v>
      </c>
    </row>
    <row r="10120" spans="1:7" x14ac:dyDescent="0.25">
      <c r="A10120" t="s">
        <v>41</v>
      </c>
      <c r="B10120" t="s">
        <v>10511</v>
      </c>
      <c r="C10120" t="s">
        <v>17737</v>
      </c>
      <c r="D10120" t="s">
        <v>20</v>
      </c>
      <c r="E10120" t="s">
        <v>11</v>
      </c>
      <c r="F10120">
        <v>57.2</v>
      </c>
      <c r="G10120">
        <v>18</v>
      </c>
    </row>
    <row r="10121" spans="1:7" x14ac:dyDescent="0.25">
      <c r="A10121" t="s">
        <v>41</v>
      </c>
      <c r="B10121" t="s">
        <v>10514</v>
      </c>
      <c r="C10121" t="s">
        <v>19788</v>
      </c>
      <c r="D10121" t="s">
        <v>20</v>
      </c>
      <c r="E10121" t="s">
        <v>11</v>
      </c>
      <c r="F10121">
        <v>71.5</v>
      </c>
      <c r="G10121">
        <v>18</v>
      </c>
    </row>
    <row r="10122" spans="1:7" x14ac:dyDescent="0.25">
      <c r="A10122" t="s">
        <v>41</v>
      </c>
      <c r="B10122" t="s">
        <v>10517</v>
      </c>
      <c r="C10122" t="s">
        <v>19789</v>
      </c>
      <c r="D10122" t="s">
        <v>20</v>
      </c>
      <c r="E10122" t="s">
        <v>11</v>
      </c>
      <c r="F10122">
        <v>1497.1</v>
      </c>
      <c r="G10122">
        <v>18</v>
      </c>
    </row>
    <row r="10123" spans="1:7" x14ac:dyDescent="0.25">
      <c r="A10123" t="s">
        <v>41</v>
      </c>
      <c r="B10123" t="s">
        <v>10520</v>
      </c>
      <c r="C10123" t="s">
        <v>19790</v>
      </c>
      <c r="D10123" t="s">
        <v>20</v>
      </c>
      <c r="E10123" t="s">
        <v>11</v>
      </c>
      <c r="F10123">
        <v>435.6</v>
      </c>
      <c r="G10123">
        <v>18</v>
      </c>
    </row>
    <row r="10124" spans="1:7" x14ac:dyDescent="0.25">
      <c r="A10124" t="s">
        <v>41</v>
      </c>
      <c r="B10124" t="s">
        <v>10523</v>
      </c>
      <c r="C10124" t="s">
        <v>18932</v>
      </c>
      <c r="D10124" t="s">
        <v>20</v>
      </c>
      <c r="E10124" t="s">
        <v>11</v>
      </c>
      <c r="F10124">
        <v>70.4</v>
      </c>
      <c r="G10124">
        <v>18</v>
      </c>
    </row>
    <row r="10125" spans="1:7" x14ac:dyDescent="0.25">
      <c r="A10125" t="s">
        <v>41</v>
      </c>
      <c r="B10125" t="s">
        <v>10526</v>
      </c>
      <c r="C10125" t="s">
        <v>19791</v>
      </c>
      <c r="D10125" t="s">
        <v>20</v>
      </c>
      <c r="E10125" t="s">
        <v>11</v>
      </c>
      <c r="F10125">
        <v>1046.1</v>
      </c>
      <c r="G10125">
        <v>18</v>
      </c>
    </row>
    <row r="10126" spans="1:7" x14ac:dyDescent="0.25">
      <c r="A10126" t="s">
        <v>41</v>
      </c>
      <c r="B10126" t="s">
        <v>10529</v>
      </c>
      <c r="C10126" t="s">
        <v>19792</v>
      </c>
      <c r="D10126" t="s">
        <v>20</v>
      </c>
      <c r="E10126" t="s">
        <v>11</v>
      </c>
      <c r="F10126">
        <v>5720</v>
      </c>
      <c r="G10126">
        <v>18</v>
      </c>
    </row>
    <row r="10127" spans="1:7" x14ac:dyDescent="0.25">
      <c r="A10127" t="s">
        <v>41</v>
      </c>
      <c r="B10127" t="s">
        <v>10532</v>
      </c>
      <c r="C10127" t="s">
        <v>19793</v>
      </c>
      <c r="D10127" t="s">
        <v>20</v>
      </c>
      <c r="E10127" t="s">
        <v>11</v>
      </c>
      <c r="F10127">
        <v>1651.1</v>
      </c>
      <c r="G10127">
        <v>18</v>
      </c>
    </row>
    <row r="10128" spans="1:7" x14ac:dyDescent="0.25">
      <c r="A10128" t="s">
        <v>41</v>
      </c>
      <c r="B10128" t="s">
        <v>10535</v>
      </c>
      <c r="C10128" t="s">
        <v>18155</v>
      </c>
      <c r="D10128" t="s">
        <v>20</v>
      </c>
      <c r="E10128" t="s">
        <v>11</v>
      </c>
      <c r="F10128">
        <v>70.4</v>
      </c>
      <c r="G10128">
        <v>18</v>
      </c>
    </row>
    <row r="10129" spans="1:7" x14ac:dyDescent="0.25">
      <c r="A10129" t="s">
        <v>41</v>
      </c>
      <c r="B10129" t="s">
        <v>10538</v>
      </c>
      <c r="C10129" t="s">
        <v>18404</v>
      </c>
      <c r="D10129" t="s">
        <v>20</v>
      </c>
      <c r="E10129" t="s">
        <v>11</v>
      </c>
      <c r="F10129">
        <v>4461.6</v>
      </c>
      <c r="G10129">
        <v>18</v>
      </c>
    </row>
    <row r="10130" spans="1:7" x14ac:dyDescent="0.25">
      <c r="A10130" t="s">
        <v>41</v>
      </c>
      <c r="B10130" t="s">
        <v>10541</v>
      </c>
      <c r="C10130" t="s">
        <v>18932</v>
      </c>
      <c r="D10130" t="s">
        <v>20</v>
      </c>
      <c r="E10130" t="s">
        <v>11</v>
      </c>
      <c r="F10130">
        <v>70.4</v>
      </c>
      <c r="G10130">
        <v>18</v>
      </c>
    </row>
    <row r="10131" spans="1:7" x14ac:dyDescent="0.25">
      <c r="A10131" t="s">
        <v>41</v>
      </c>
      <c r="B10131" t="s">
        <v>10544</v>
      </c>
      <c r="C10131" t="s">
        <v>19794</v>
      </c>
      <c r="D10131" t="s">
        <v>20</v>
      </c>
      <c r="E10131" t="s">
        <v>11</v>
      </c>
      <c r="F10131">
        <v>5033.599999999999</v>
      </c>
      <c r="G10131">
        <v>18</v>
      </c>
    </row>
    <row r="10132" spans="1:7" x14ac:dyDescent="0.25">
      <c r="A10132" t="s">
        <v>41</v>
      </c>
      <c r="B10132" t="s">
        <v>10547</v>
      </c>
      <c r="C10132" t="s">
        <v>18143</v>
      </c>
      <c r="D10132" t="s">
        <v>20</v>
      </c>
      <c r="E10132" t="s">
        <v>11</v>
      </c>
      <c r="F10132">
        <v>546.6999999999999</v>
      </c>
      <c r="G10132">
        <v>18</v>
      </c>
    </row>
    <row r="10133" spans="1:7" x14ac:dyDescent="0.25">
      <c r="A10133" t="s">
        <v>41</v>
      </c>
      <c r="B10133" t="s">
        <v>10550</v>
      </c>
      <c r="C10133" t="s">
        <v>17649</v>
      </c>
      <c r="D10133" t="s">
        <v>20</v>
      </c>
      <c r="E10133" t="s">
        <v>11</v>
      </c>
      <c r="F10133">
        <v>70.4</v>
      </c>
      <c r="G10133">
        <v>18</v>
      </c>
    </row>
    <row r="10134" spans="1:7" x14ac:dyDescent="0.25">
      <c r="A10134" t="s">
        <v>41</v>
      </c>
      <c r="B10134" t="s">
        <v>10553</v>
      </c>
      <c r="C10134" t="s">
        <v>19608</v>
      </c>
      <c r="D10134" t="s">
        <v>20</v>
      </c>
      <c r="E10134" t="s">
        <v>11</v>
      </c>
      <c r="F10134">
        <v>2968.8999999999996</v>
      </c>
      <c r="G10134">
        <v>18</v>
      </c>
    </row>
    <row r="10135" spans="1:7" x14ac:dyDescent="0.25">
      <c r="A10135" t="s">
        <v>41</v>
      </c>
      <c r="B10135" t="s">
        <v>10556</v>
      </c>
      <c r="C10135" t="s">
        <v>19710</v>
      </c>
      <c r="D10135" t="s">
        <v>20</v>
      </c>
      <c r="E10135" t="s">
        <v>11</v>
      </c>
      <c r="F10135">
        <v>229.89999999999998</v>
      </c>
      <c r="G10135">
        <v>18</v>
      </c>
    </row>
    <row r="10136" spans="1:7" x14ac:dyDescent="0.25">
      <c r="A10136" t="s">
        <v>41</v>
      </c>
      <c r="B10136" t="s">
        <v>10559</v>
      </c>
      <c r="C10136" t="s">
        <v>19795</v>
      </c>
      <c r="D10136" t="s">
        <v>20</v>
      </c>
      <c r="E10136" t="s">
        <v>11</v>
      </c>
      <c r="F10136">
        <v>862.4</v>
      </c>
      <c r="G10136">
        <v>18</v>
      </c>
    </row>
    <row r="10137" spans="1:7" x14ac:dyDescent="0.25">
      <c r="A10137" t="s">
        <v>41</v>
      </c>
      <c r="B10137" t="s">
        <v>10562</v>
      </c>
      <c r="C10137" t="s">
        <v>19478</v>
      </c>
      <c r="D10137" t="s">
        <v>20</v>
      </c>
      <c r="E10137" t="s">
        <v>11</v>
      </c>
      <c r="F10137">
        <v>80.3</v>
      </c>
      <c r="G10137">
        <v>18</v>
      </c>
    </row>
    <row r="10138" spans="1:7" x14ac:dyDescent="0.25">
      <c r="A10138" t="s">
        <v>41</v>
      </c>
      <c r="B10138" t="s">
        <v>10565</v>
      </c>
      <c r="C10138" t="s">
        <v>19796</v>
      </c>
      <c r="D10138" t="s">
        <v>20</v>
      </c>
      <c r="E10138" t="s">
        <v>11</v>
      </c>
      <c r="F10138">
        <v>183.7</v>
      </c>
      <c r="G10138">
        <v>18</v>
      </c>
    </row>
    <row r="10139" spans="1:7" x14ac:dyDescent="0.25">
      <c r="A10139" t="s">
        <v>41</v>
      </c>
      <c r="B10139" t="s">
        <v>10568</v>
      </c>
      <c r="C10139" t="s">
        <v>19797</v>
      </c>
      <c r="D10139" t="s">
        <v>20</v>
      </c>
      <c r="E10139" t="s">
        <v>11</v>
      </c>
      <c r="F10139">
        <v>1687.4</v>
      </c>
      <c r="G10139">
        <v>18</v>
      </c>
    </row>
    <row r="10140" spans="1:7" x14ac:dyDescent="0.25">
      <c r="A10140" t="s">
        <v>41</v>
      </c>
      <c r="B10140" t="s">
        <v>10571</v>
      </c>
      <c r="C10140" t="s">
        <v>19798</v>
      </c>
      <c r="D10140" t="s">
        <v>20</v>
      </c>
      <c r="E10140" t="s">
        <v>11</v>
      </c>
      <c r="F10140">
        <v>862.4</v>
      </c>
      <c r="G10140">
        <v>18</v>
      </c>
    </row>
    <row r="10141" spans="1:7" x14ac:dyDescent="0.25">
      <c r="A10141" t="s">
        <v>41</v>
      </c>
      <c r="B10141" t="s">
        <v>10574</v>
      </c>
      <c r="C10141" t="s">
        <v>19799</v>
      </c>
      <c r="D10141" t="s">
        <v>20</v>
      </c>
      <c r="E10141" t="s">
        <v>11</v>
      </c>
      <c r="F10141">
        <v>5998.3</v>
      </c>
      <c r="G10141">
        <v>18</v>
      </c>
    </row>
    <row r="10142" spans="1:7" x14ac:dyDescent="0.25">
      <c r="A10142" t="s">
        <v>41</v>
      </c>
      <c r="B10142" t="s">
        <v>10577</v>
      </c>
      <c r="C10142" t="s">
        <v>19800</v>
      </c>
      <c r="D10142" t="s">
        <v>20</v>
      </c>
      <c r="E10142" t="s">
        <v>11</v>
      </c>
      <c r="F10142">
        <v>5998.3</v>
      </c>
      <c r="G10142">
        <v>18</v>
      </c>
    </row>
    <row r="10143" spans="1:7" x14ac:dyDescent="0.25">
      <c r="A10143" t="s">
        <v>41</v>
      </c>
      <c r="B10143" t="s">
        <v>10580</v>
      </c>
      <c r="C10143" t="s">
        <v>17592</v>
      </c>
      <c r="D10143" t="s">
        <v>20</v>
      </c>
      <c r="E10143" t="s">
        <v>11</v>
      </c>
      <c r="F10143">
        <v>315.7</v>
      </c>
      <c r="G10143">
        <v>18</v>
      </c>
    </row>
    <row r="10144" spans="1:7" x14ac:dyDescent="0.25">
      <c r="A10144" t="s">
        <v>41</v>
      </c>
      <c r="B10144" t="s">
        <v>10583</v>
      </c>
      <c r="C10144" t="s">
        <v>19582</v>
      </c>
      <c r="D10144" t="s">
        <v>20</v>
      </c>
      <c r="E10144" t="s">
        <v>11</v>
      </c>
      <c r="F10144">
        <v>57.2</v>
      </c>
      <c r="G10144">
        <v>18</v>
      </c>
    </row>
    <row r="10145" spans="1:7" x14ac:dyDescent="0.25">
      <c r="A10145" t="s">
        <v>41</v>
      </c>
      <c r="B10145" t="s">
        <v>10586</v>
      </c>
      <c r="C10145" t="s">
        <v>19801</v>
      </c>
      <c r="D10145" t="s">
        <v>20</v>
      </c>
      <c r="E10145" t="s">
        <v>11</v>
      </c>
      <c r="F10145">
        <v>80.3</v>
      </c>
      <c r="G10145">
        <v>18</v>
      </c>
    </row>
    <row r="10146" spans="1:7" x14ac:dyDescent="0.25">
      <c r="A10146" t="s">
        <v>41</v>
      </c>
      <c r="B10146" t="s">
        <v>10589</v>
      </c>
      <c r="C10146" t="s">
        <v>19802</v>
      </c>
      <c r="D10146" t="s">
        <v>20</v>
      </c>
      <c r="E10146" t="s">
        <v>11</v>
      </c>
      <c r="F10146">
        <v>25092.100000000002</v>
      </c>
      <c r="G10146">
        <v>18</v>
      </c>
    </row>
    <row r="10147" spans="1:7" x14ac:dyDescent="0.25">
      <c r="A10147" t="s">
        <v>41</v>
      </c>
      <c r="B10147" t="s">
        <v>10592</v>
      </c>
      <c r="C10147" t="s">
        <v>19803</v>
      </c>
      <c r="D10147" t="s">
        <v>20</v>
      </c>
      <c r="E10147" t="s">
        <v>11</v>
      </c>
      <c r="F10147">
        <v>22613.800000000003</v>
      </c>
      <c r="G10147">
        <v>18</v>
      </c>
    </row>
    <row r="10148" spans="1:7" x14ac:dyDescent="0.25">
      <c r="A10148" t="s">
        <v>41</v>
      </c>
      <c r="B10148" t="s">
        <v>10595</v>
      </c>
      <c r="C10148" t="s">
        <v>17966</v>
      </c>
      <c r="D10148" t="s">
        <v>20</v>
      </c>
      <c r="E10148" t="s">
        <v>11</v>
      </c>
      <c r="F10148">
        <v>22441.1</v>
      </c>
      <c r="G10148">
        <v>18</v>
      </c>
    </row>
    <row r="10149" spans="1:7" x14ac:dyDescent="0.25">
      <c r="A10149" t="s">
        <v>41</v>
      </c>
      <c r="B10149" t="s">
        <v>10598</v>
      </c>
      <c r="C10149" t="s">
        <v>18183</v>
      </c>
      <c r="D10149" t="s">
        <v>20</v>
      </c>
      <c r="E10149" t="s">
        <v>11</v>
      </c>
      <c r="F10149">
        <v>136.4</v>
      </c>
      <c r="G10149">
        <v>18</v>
      </c>
    </row>
    <row r="10150" spans="1:7" x14ac:dyDescent="0.25">
      <c r="A10150" t="s">
        <v>41</v>
      </c>
      <c r="B10150" t="s">
        <v>10601</v>
      </c>
      <c r="C10150" t="s">
        <v>19804</v>
      </c>
      <c r="D10150" t="s">
        <v>20</v>
      </c>
      <c r="E10150" t="s">
        <v>11</v>
      </c>
      <c r="F10150">
        <v>546.6999999999999</v>
      </c>
      <c r="G10150">
        <v>18</v>
      </c>
    </row>
    <row r="10151" spans="1:7" x14ac:dyDescent="0.25">
      <c r="A10151" t="s">
        <v>41</v>
      </c>
      <c r="B10151" t="s">
        <v>10604</v>
      </c>
      <c r="C10151" t="s">
        <v>19805</v>
      </c>
      <c r="D10151" t="s">
        <v>20</v>
      </c>
      <c r="E10151" t="s">
        <v>11</v>
      </c>
      <c r="F10151">
        <v>555.5</v>
      </c>
      <c r="G10151">
        <v>18</v>
      </c>
    </row>
    <row r="10152" spans="1:7" x14ac:dyDescent="0.25">
      <c r="A10152" t="s">
        <v>41</v>
      </c>
      <c r="B10152" t="s">
        <v>10607</v>
      </c>
      <c r="C10152" t="s">
        <v>19806</v>
      </c>
      <c r="D10152" t="s">
        <v>20</v>
      </c>
      <c r="E10152" t="s">
        <v>11</v>
      </c>
      <c r="F10152">
        <v>555.5</v>
      </c>
      <c r="G10152">
        <v>18</v>
      </c>
    </row>
    <row r="10153" spans="1:7" x14ac:dyDescent="0.25">
      <c r="A10153" t="s">
        <v>41</v>
      </c>
      <c r="B10153" t="s">
        <v>10610</v>
      </c>
      <c r="C10153" t="s">
        <v>19807</v>
      </c>
      <c r="D10153" t="s">
        <v>20</v>
      </c>
      <c r="E10153" t="s">
        <v>11</v>
      </c>
      <c r="F10153">
        <v>4284.5</v>
      </c>
      <c r="G10153">
        <v>18</v>
      </c>
    </row>
    <row r="10154" spans="1:7" x14ac:dyDescent="0.25">
      <c r="A10154" t="s">
        <v>41</v>
      </c>
      <c r="B10154" t="s">
        <v>10613</v>
      </c>
      <c r="C10154" t="s">
        <v>19808</v>
      </c>
      <c r="D10154" t="s">
        <v>20</v>
      </c>
      <c r="E10154" t="s">
        <v>11</v>
      </c>
      <c r="F10154">
        <v>4284.5</v>
      </c>
      <c r="G10154">
        <v>18</v>
      </c>
    </row>
    <row r="10155" spans="1:7" x14ac:dyDescent="0.25">
      <c r="A10155" t="s">
        <v>41</v>
      </c>
      <c r="B10155" t="s">
        <v>10616</v>
      </c>
      <c r="C10155" t="s">
        <v>19809</v>
      </c>
      <c r="D10155" t="s">
        <v>20</v>
      </c>
      <c r="E10155" t="s">
        <v>11</v>
      </c>
      <c r="F10155">
        <v>137.5</v>
      </c>
      <c r="G10155">
        <v>18</v>
      </c>
    </row>
    <row r="10156" spans="1:7" x14ac:dyDescent="0.25">
      <c r="A10156" t="s">
        <v>41</v>
      </c>
      <c r="B10156" t="s">
        <v>10619</v>
      </c>
      <c r="C10156" t="s">
        <v>19810</v>
      </c>
      <c r="D10156" t="s">
        <v>20</v>
      </c>
      <c r="E10156" t="s">
        <v>11</v>
      </c>
      <c r="F10156">
        <v>6169.900000000001</v>
      </c>
      <c r="G10156">
        <v>18</v>
      </c>
    </row>
    <row r="10157" spans="1:7" x14ac:dyDescent="0.25">
      <c r="A10157" t="s">
        <v>41</v>
      </c>
      <c r="B10157" t="s">
        <v>10622</v>
      </c>
      <c r="C10157" t="s">
        <v>19811</v>
      </c>
      <c r="D10157" t="s">
        <v>20</v>
      </c>
      <c r="E10157" t="s">
        <v>11</v>
      </c>
      <c r="F10157">
        <v>6169.900000000001</v>
      </c>
      <c r="G10157">
        <v>18</v>
      </c>
    </row>
    <row r="10158" spans="1:7" x14ac:dyDescent="0.25">
      <c r="A10158" t="s">
        <v>41</v>
      </c>
      <c r="B10158" t="s">
        <v>10625</v>
      </c>
      <c r="C10158" t="s">
        <v>17859</v>
      </c>
      <c r="D10158" t="s">
        <v>20</v>
      </c>
      <c r="E10158" t="s">
        <v>11</v>
      </c>
      <c r="F10158">
        <v>3660.8</v>
      </c>
      <c r="G10158">
        <v>18</v>
      </c>
    </row>
    <row r="10159" spans="1:7" x14ac:dyDescent="0.25">
      <c r="A10159" t="s">
        <v>41</v>
      </c>
      <c r="B10159" t="s">
        <v>10628</v>
      </c>
      <c r="C10159" t="s">
        <v>17680</v>
      </c>
      <c r="D10159" t="s">
        <v>20</v>
      </c>
      <c r="E10159" t="s">
        <v>11</v>
      </c>
      <c r="F10159">
        <v>2599.2999999999997</v>
      </c>
      <c r="G10159">
        <v>18</v>
      </c>
    </row>
    <row r="10160" spans="1:7" x14ac:dyDescent="0.25">
      <c r="A10160" t="s">
        <v>41</v>
      </c>
      <c r="B10160" t="s">
        <v>10631</v>
      </c>
      <c r="C10160" t="s">
        <v>19812</v>
      </c>
      <c r="D10160" t="s">
        <v>20</v>
      </c>
      <c r="E10160" t="s">
        <v>11</v>
      </c>
      <c r="F10160">
        <v>2598.2000000000003</v>
      </c>
      <c r="G10160">
        <v>18</v>
      </c>
    </row>
    <row r="10161" spans="1:7" x14ac:dyDescent="0.25">
      <c r="A10161" t="s">
        <v>41</v>
      </c>
      <c r="B10161" t="s">
        <v>10634</v>
      </c>
      <c r="C10161" t="s">
        <v>19813</v>
      </c>
      <c r="D10161" t="s">
        <v>20</v>
      </c>
      <c r="E10161" t="s">
        <v>11</v>
      </c>
      <c r="F10161">
        <v>58.300000000000004</v>
      </c>
      <c r="G10161">
        <v>18</v>
      </c>
    </row>
    <row r="10162" spans="1:7" x14ac:dyDescent="0.25">
      <c r="A10162" t="s">
        <v>41</v>
      </c>
      <c r="B10162" t="s">
        <v>10637</v>
      </c>
      <c r="C10162" t="s">
        <v>18409</v>
      </c>
      <c r="D10162" t="s">
        <v>20</v>
      </c>
      <c r="E10162" t="s">
        <v>11</v>
      </c>
      <c r="F10162">
        <v>2054.8</v>
      </c>
      <c r="G10162">
        <v>18</v>
      </c>
    </row>
    <row r="10163" spans="1:7" x14ac:dyDescent="0.25">
      <c r="A10163" t="s">
        <v>41</v>
      </c>
      <c r="B10163" t="s">
        <v>10640</v>
      </c>
      <c r="C10163" t="s">
        <v>19814</v>
      </c>
      <c r="D10163" t="s">
        <v>20</v>
      </c>
      <c r="E10163" t="s">
        <v>11</v>
      </c>
      <c r="F10163">
        <v>645.7</v>
      </c>
      <c r="G10163">
        <v>18</v>
      </c>
    </row>
    <row r="10164" spans="1:7" x14ac:dyDescent="0.25">
      <c r="A10164" t="s">
        <v>41</v>
      </c>
      <c r="B10164" t="s">
        <v>10643</v>
      </c>
      <c r="C10164" t="s">
        <v>19814</v>
      </c>
      <c r="D10164" t="s">
        <v>20</v>
      </c>
      <c r="E10164" t="s">
        <v>11</v>
      </c>
      <c r="F10164">
        <v>2159.2999999999997</v>
      </c>
      <c r="G10164">
        <v>18</v>
      </c>
    </row>
    <row r="10165" spans="1:7" x14ac:dyDescent="0.25">
      <c r="A10165" t="s">
        <v>41</v>
      </c>
      <c r="B10165" t="s">
        <v>10646</v>
      </c>
      <c r="C10165" t="s">
        <v>18501</v>
      </c>
      <c r="D10165" t="s">
        <v>20</v>
      </c>
      <c r="E10165" t="s">
        <v>11</v>
      </c>
      <c r="F10165">
        <v>70.4</v>
      </c>
      <c r="G10165">
        <v>18</v>
      </c>
    </row>
    <row r="10166" spans="1:7" x14ac:dyDescent="0.25">
      <c r="A10166" t="s">
        <v>41</v>
      </c>
      <c r="B10166" t="s">
        <v>10649</v>
      </c>
      <c r="C10166" t="s">
        <v>19815</v>
      </c>
      <c r="D10166" t="s">
        <v>20</v>
      </c>
      <c r="E10166" t="s">
        <v>11</v>
      </c>
      <c r="F10166">
        <v>21736</v>
      </c>
      <c r="G10166">
        <v>18</v>
      </c>
    </row>
    <row r="10167" spans="1:7" x14ac:dyDescent="0.25">
      <c r="A10167" t="s">
        <v>41</v>
      </c>
      <c r="B10167" t="s">
        <v>10652</v>
      </c>
      <c r="C10167" t="s">
        <v>19694</v>
      </c>
      <c r="D10167" t="s">
        <v>20</v>
      </c>
      <c r="E10167" t="s">
        <v>11</v>
      </c>
      <c r="F10167">
        <v>2745.6</v>
      </c>
      <c r="G10167">
        <v>18</v>
      </c>
    </row>
    <row r="10168" spans="1:7" x14ac:dyDescent="0.25">
      <c r="A10168" t="s">
        <v>41</v>
      </c>
      <c r="B10168" t="s">
        <v>10655</v>
      </c>
      <c r="C10168" t="s">
        <v>19816</v>
      </c>
      <c r="D10168" t="s">
        <v>20</v>
      </c>
      <c r="E10168" t="s">
        <v>11</v>
      </c>
      <c r="F10168">
        <v>29970.6</v>
      </c>
      <c r="G10168">
        <v>18</v>
      </c>
    </row>
    <row r="10169" spans="1:7" x14ac:dyDescent="0.25">
      <c r="A10169" t="s">
        <v>41</v>
      </c>
      <c r="B10169" t="s">
        <v>10658</v>
      </c>
      <c r="C10169" t="s">
        <v>19817</v>
      </c>
      <c r="D10169" t="s">
        <v>20</v>
      </c>
      <c r="E10169" t="s">
        <v>11</v>
      </c>
      <c r="F10169">
        <v>2745.6</v>
      </c>
      <c r="G10169">
        <v>18</v>
      </c>
    </row>
    <row r="10170" spans="1:7" x14ac:dyDescent="0.25">
      <c r="A10170" t="s">
        <v>41</v>
      </c>
      <c r="B10170" t="s">
        <v>10661</v>
      </c>
      <c r="C10170" t="s">
        <v>19818</v>
      </c>
      <c r="D10170" t="s">
        <v>20</v>
      </c>
      <c r="E10170" t="s">
        <v>11</v>
      </c>
      <c r="F10170">
        <v>809.6</v>
      </c>
      <c r="G10170">
        <v>18</v>
      </c>
    </row>
    <row r="10171" spans="1:7" x14ac:dyDescent="0.25">
      <c r="A10171" t="s">
        <v>41</v>
      </c>
      <c r="B10171" t="s">
        <v>10664</v>
      </c>
      <c r="C10171" t="s">
        <v>19819</v>
      </c>
      <c r="D10171" t="s">
        <v>20</v>
      </c>
      <c r="E10171" t="s">
        <v>11</v>
      </c>
      <c r="F10171">
        <v>796.4</v>
      </c>
      <c r="G10171">
        <v>18</v>
      </c>
    </row>
    <row r="10172" spans="1:7" x14ac:dyDescent="0.25">
      <c r="A10172" t="s">
        <v>41</v>
      </c>
      <c r="B10172" t="s">
        <v>10667</v>
      </c>
      <c r="C10172" t="s">
        <v>19820</v>
      </c>
      <c r="D10172" t="s">
        <v>20</v>
      </c>
      <c r="E10172" t="s">
        <v>11</v>
      </c>
      <c r="F10172">
        <v>796.4</v>
      </c>
      <c r="G10172">
        <v>18</v>
      </c>
    </row>
    <row r="10173" spans="1:7" x14ac:dyDescent="0.25">
      <c r="A10173" t="s">
        <v>41</v>
      </c>
      <c r="B10173" t="s">
        <v>10670</v>
      </c>
      <c r="C10173" t="s">
        <v>19821</v>
      </c>
      <c r="D10173" t="s">
        <v>20</v>
      </c>
      <c r="E10173" t="s">
        <v>11</v>
      </c>
      <c r="F10173">
        <v>1059.3000000000002</v>
      </c>
      <c r="G10173">
        <v>18</v>
      </c>
    </row>
    <row r="10174" spans="1:7" x14ac:dyDescent="0.25">
      <c r="A10174" t="s">
        <v>41</v>
      </c>
      <c r="B10174" t="s">
        <v>10673</v>
      </c>
      <c r="C10174" t="s">
        <v>19822</v>
      </c>
      <c r="D10174" t="s">
        <v>20</v>
      </c>
      <c r="E10174" t="s">
        <v>11</v>
      </c>
      <c r="F10174">
        <v>1450.8999999999999</v>
      </c>
      <c r="G10174">
        <v>18</v>
      </c>
    </row>
    <row r="10175" spans="1:7" x14ac:dyDescent="0.25">
      <c r="A10175" t="s">
        <v>41</v>
      </c>
      <c r="B10175" t="s">
        <v>10676</v>
      </c>
      <c r="C10175" t="s">
        <v>18806</v>
      </c>
      <c r="D10175" t="s">
        <v>20</v>
      </c>
      <c r="E10175" t="s">
        <v>11</v>
      </c>
      <c r="F10175">
        <v>607.1999999999999</v>
      </c>
      <c r="G10175">
        <v>18</v>
      </c>
    </row>
    <row r="10176" spans="1:7" x14ac:dyDescent="0.25">
      <c r="A10176" t="s">
        <v>41</v>
      </c>
      <c r="B10176" t="s">
        <v>10679</v>
      </c>
      <c r="C10176" t="s">
        <v>19823</v>
      </c>
      <c r="D10176" t="s">
        <v>20</v>
      </c>
      <c r="E10176" t="s">
        <v>11</v>
      </c>
      <c r="F10176">
        <v>5310.8</v>
      </c>
      <c r="G10176">
        <v>18</v>
      </c>
    </row>
    <row r="10177" spans="1:7" x14ac:dyDescent="0.25">
      <c r="A10177" t="s">
        <v>41</v>
      </c>
      <c r="B10177" t="s">
        <v>10682</v>
      </c>
      <c r="C10177" t="s">
        <v>19824</v>
      </c>
      <c r="D10177" t="s">
        <v>20</v>
      </c>
      <c r="E10177" t="s">
        <v>11</v>
      </c>
      <c r="F10177">
        <v>2745.6</v>
      </c>
      <c r="G10177">
        <v>18</v>
      </c>
    </row>
    <row r="10178" spans="1:7" x14ac:dyDescent="0.25">
      <c r="A10178" t="s">
        <v>41</v>
      </c>
      <c r="B10178" t="s">
        <v>10685</v>
      </c>
      <c r="C10178" t="s">
        <v>19825</v>
      </c>
      <c r="D10178" t="s">
        <v>20</v>
      </c>
      <c r="E10178" t="s">
        <v>11</v>
      </c>
      <c r="F10178">
        <v>1487.2</v>
      </c>
      <c r="G10178">
        <v>18</v>
      </c>
    </row>
    <row r="10179" spans="1:7" x14ac:dyDescent="0.25">
      <c r="A10179" t="s">
        <v>41</v>
      </c>
      <c r="B10179" t="s">
        <v>10688</v>
      </c>
      <c r="C10179" t="s">
        <v>19826</v>
      </c>
      <c r="D10179" t="s">
        <v>20</v>
      </c>
      <c r="E10179" t="s">
        <v>11</v>
      </c>
      <c r="F10179">
        <v>7779.2</v>
      </c>
      <c r="G10179">
        <v>18</v>
      </c>
    </row>
    <row r="10180" spans="1:7" x14ac:dyDescent="0.25">
      <c r="A10180" t="s">
        <v>41</v>
      </c>
      <c r="B10180" t="s">
        <v>10691</v>
      </c>
      <c r="C10180" t="s">
        <v>19827</v>
      </c>
      <c r="D10180" t="s">
        <v>20</v>
      </c>
      <c r="E10180" t="s">
        <v>11</v>
      </c>
      <c r="F10180">
        <v>71.5</v>
      </c>
      <c r="G10180">
        <v>18</v>
      </c>
    </row>
    <row r="10181" spans="1:7" x14ac:dyDescent="0.25">
      <c r="A10181" t="s">
        <v>41</v>
      </c>
      <c r="B10181" t="s">
        <v>10694</v>
      </c>
      <c r="C10181" t="s">
        <v>19828</v>
      </c>
      <c r="D10181" t="s">
        <v>20</v>
      </c>
      <c r="E10181" t="s">
        <v>11</v>
      </c>
      <c r="F10181">
        <v>71.5</v>
      </c>
      <c r="G10181">
        <v>18</v>
      </c>
    </row>
    <row r="10182" spans="1:7" x14ac:dyDescent="0.25">
      <c r="A10182" t="s">
        <v>41</v>
      </c>
      <c r="B10182" t="s">
        <v>10697</v>
      </c>
      <c r="C10182" t="s">
        <v>18069</v>
      </c>
      <c r="D10182" t="s">
        <v>20</v>
      </c>
      <c r="E10182" t="s">
        <v>11</v>
      </c>
      <c r="F10182">
        <v>140.8</v>
      </c>
      <c r="G10182">
        <v>18</v>
      </c>
    </row>
    <row r="10183" spans="1:7" x14ac:dyDescent="0.25">
      <c r="A10183" t="s">
        <v>41</v>
      </c>
      <c r="B10183" t="s">
        <v>10700</v>
      </c>
      <c r="C10183" t="s">
        <v>19829</v>
      </c>
      <c r="D10183" t="s">
        <v>20</v>
      </c>
      <c r="E10183" t="s">
        <v>11</v>
      </c>
      <c r="F10183">
        <v>71.5</v>
      </c>
      <c r="G10183">
        <v>18</v>
      </c>
    </row>
    <row r="10184" spans="1:7" x14ac:dyDescent="0.25">
      <c r="A10184" t="s">
        <v>41</v>
      </c>
      <c r="B10184" t="s">
        <v>10703</v>
      </c>
      <c r="C10184" t="s">
        <v>17774</v>
      </c>
      <c r="D10184" t="s">
        <v>20</v>
      </c>
      <c r="E10184" t="s">
        <v>11</v>
      </c>
      <c r="F10184">
        <v>1259.5</v>
      </c>
      <c r="G10184">
        <v>18</v>
      </c>
    </row>
    <row r="10185" spans="1:7" x14ac:dyDescent="0.25">
      <c r="A10185" t="s">
        <v>41</v>
      </c>
      <c r="B10185" t="s">
        <v>10706</v>
      </c>
      <c r="C10185" t="s">
        <v>19830</v>
      </c>
      <c r="D10185" t="s">
        <v>20</v>
      </c>
      <c r="E10185" t="s">
        <v>11</v>
      </c>
      <c r="F10185">
        <v>3758.7000000000003</v>
      </c>
      <c r="G10185">
        <v>18</v>
      </c>
    </row>
    <row r="10186" spans="1:7" x14ac:dyDescent="0.25">
      <c r="A10186" t="s">
        <v>41</v>
      </c>
      <c r="B10186" t="s">
        <v>10709</v>
      </c>
      <c r="C10186" t="s">
        <v>19831</v>
      </c>
      <c r="D10186" t="s">
        <v>20</v>
      </c>
      <c r="E10186" t="s">
        <v>11</v>
      </c>
      <c r="F10186">
        <v>6490</v>
      </c>
      <c r="G10186">
        <v>18</v>
      </c>
    </row>
    <row r="10187" spans="1:7" x14ac:dyDescent="0.25">
      <c r="A10187" t="s">
        <v>41</v>
      </c>
      <c r="B10187" t="s">
        <v>10712</v>
      </c>
      <c r="C10187" t="s">
        <v>19832</v>
      </c>
      <c r="D10187" t="s">
        <v>20</v>
      </c>
      <c r="E10187" t="s">
        <v>11</v>
      </c>
      <c r="F10187">
        <v>9465.5</v>
      </c>
      <c r="G10187">
        <v>18</v>
      </c>
    </row>
    <row r="10188" spans="1:7" x14ac:dyDescent="0.25">
      <c r="A10188" t="s">
        <v>41</v>
      </c>
      <c r="B10188" t="s">
        <v>10715</v>
      </c>
      <c r="C10188" t="s">
        <v>19833</v>
      </c>
      <c r="D10188" t="s">
        <v>20</v>
      </c>
      <c r="E10188" t="s">
        <v>11</v>
      </c>
      <c r="F10188">
        <v>2011.8999999999999</v>
      </c>
      <c r="G10188">
        <v>18</v>
      </c>
    </row>
    <row r="10189" spans="1:7" x14ac:dyDescent="0.25">
      <c r="A10189" t="s">
        <v>41</v>
      </c>
      <c r="B10189" t="s">
        <v>10718</v>
      </c>
      <c r="C10189" t="s">
        <v>18461</v>
      </c>
      <c r="D10189" t="s">
        <v>20</v>
      </c>
      <c r="E10189" t="s">
        <v>11</v>
      </c>
      <c r="F10189">
        <v>2115.3</v>
      </c>
      <c r="G10189">
        <v>18</v>
      </c>
    </row>
    <row r="10190" spans="1:7" x14ac:dyDescent="0.25">
      <c r="A10190" t="s">
        <v>41</v>
      </c>
      <c r="B10190" t="s">
        <v>10721</v>
      </c>
      <c r="C10190" t="s">
        <v>19834</v>
      </c>
      <c r="D10190" t="s">
        <v>20</v>
      </c>
      <c r="E10190" t="s">
        <v>11</v>
      </c>
      <c r="F10190">
        <v>5254.700000000001</v>
      </c>
      <c r="G10190">
        <v>18</v>
      </c>
    </row>
    <row r="10191" spans="1:7" x14ac:dyDescent="0.25">
      <c r="A10191" t="s">
        <v>41</v>
      </c>
      <c r="B10191" t="s">
        <v>10724</v>
      </c>
      <c r="C10191" t="s">
        <v>18456</v>
      </c>
      <c r="D10191" t="s">
        <v>20</v>
      </c>
      <c r="E10191" t="s">
        <v>11</v>
      </c>
      <c r="F10191">
        <v>114.4</v>
      </c>
      <c r="G10191">
        <v>18</v>
      </c>
    </row>
    <row r="10192" spans="1:7" x14ac:dyDescent="0.25">
      <c r="A10192" t="s">
        <v>41</v>
      </c>
      <c r="B10192" t="s">
        <v>10727</v>
      </c>
      <c r="C10192" t="s">
        <v>19835</v>
      </c>
      <c r="D10192" t="s">
        <v>20</v>
      </c>
      <c r="E10192" t="s">
        <v>11</v>
      </c>
      <c r="F10192">
        <v>46200</v>
      </c>
      <c r="G10192">
        <v>18</v>
      </c>
    </row>
    <row r="10193" spans="1:7" x14ac:dyDescent="0.25">
      <c r="A10193" t="s">
        <v>41</v>
      </c>
      <c r="B10193" t="s">
        <v>10730</v>
      </c>
      <c r="C10193" t="s">
        <v>18533</v>
      </c>
      <c r="D10193" t="s">
        <v>20</v>
      </c>
      <c r="E10193" t="s">
        <v>11</v>
      </c>
      <c r="F10193">
        <v>110</v>
      </c>
      <c r="G10193">
        <v>18</v>
      </c>
    </row>
    <row r="10194" spans="1:7" x14ac:dyDescent="0.25">
      <c r="A10194" t="s">
        <v>41</v>
      </c>
      <c r="B10194" t="s">
        <v>10733</v>
      </c>
      <c r="C10194" t="s">
        <v>19836</v>
      </c>
      <c r="D10194" t="s">
        <v>20</v>
      </c>
      <c r="E10194" t="s">
        <v>11</v>
      </c>
      <c r="F10194">
        <v>1179.2</v>
      </c>
      <c r="G10194">
        <v>18</v>
      </c>
    </row>
    <row r="10195" spans="1:7" x14ac:dyDescent="0.25">
      <c r="A10195" t="s">
        <v>41</v>
      </c>
      <c r="B10195" t="s">
        <v>10736</v>
      </c>
      <c r="C10195" t="s">
        <v>19837</v>
      </c>
      <c r="D10195" t="s">
        <v>20</v>
      </c>
      <c r="E10195" t="s">
        <v>11</v>
      </c>
      <c r="F10195">
        <v>47242.8</v>
      </c>
      <c r="G10195">
        <v>18</v>
      </c>
    </row>
    <row r="10196" spans="1:7" x14ac:dyDescent="0.25">
      <c r="A10196" t="s">
        <v>41</v>
      </c>
      <c r="B10196" t="s">
        <v>10739</v>
      </c>
      <c r="C10196" t="s">
        <v>19838</v>
      </c>
      <c r="D10196" t="s">
        <v>20</v>
      </c>
      <c r="E10196" t="s">
        <v>11</v>
      </c>
      <c r="F10196">
        <v>284.9</v>
      </c>
      <c r="G10196">
        <v>18</v>
      </c>
    </row>
    <row r="10197" spans="1:7" x14ac:dyDescent="0.25">
      <c r="A10197" t="s">
        <v>41</v>
      </c>
      <c r="B10197" t="s">
        <v>10742</v>
      </c>
      <c r="C10197" t="s">
        <v>17998</v>
      </c>
      <c r="D10197" t="s">
        <v>20</v>
      </c>
      <c r="E10197" t="s">
        <v>11</v>
      </c>
      <c r="F10197">
        <v>328.90000000000003</v>
      </c>
      <c r="G10197">
        <v>18</v>
      </c>
    </row>
    <row r="10198" spans="1:7" x14ac:dyDescent="0.25">
      <c r="A10198" t="s">
        <v>41</v>
      </c>
      <c r="B10198" t="s">
        <v>10745</v>
      </c>
      <c r="C10198" t="s">
        <v>19839</v>
      </c>
      <c r="D10198" t="s">
        <v>20</v>
      </c>
      <c r="E10198" t="s">
        <v>11</v>
      </c>
      <c r="F10198">
        <v>110</v>
      </c>
      <c r="G10198">
        <v>18</v>
      </c>
    </row>
    <row r="10199" spans="1:7" x14ac:dyDescent="0.25">
      <c r="A10199" t="s">
        <v>41</v>
      </c>
      <c r="B10199" t="s">
        <v>10748</v>
      </c>
      <c r="C10199" t="s">
        <v>19840</v>
      </c>
      <c r="D10199" t="s">
        <v>20</v>
      </c>
      <c r="E10199" t="s">
        <v>11</v>
      </c>
      <c r="F10199">
        <v>579.6999999999999</v>
      </c>
      <c r="G10199">
        <v>18</v>
      </c>
    </row>
    <row r="10200" spans="1:7" x14ac:dyDescent="0.25">
      <c r="A10200" t="s">
        <v>41</v>
      </c>
      <c r="B10200" t="s">
        <v>10751</v>
      </c>
      <c r="C10200" t="s">
        <v>19841</v>
      </c>
      <c r="D10200" t="s">
        <v>20</v>
      </c>
      <c r="E10200" t="s">
        <v>11</v>
      </c>
      <c r="F10200">
        <v>33908.6</v>
      </c>
      <c r="G10200">
        <v>18</v>
      </c>
    </row>
    <row r="10201" spans="1:7" x14ac:dyDescent="0.25">
      <c r="A10201" t="s">
        <v>41</v>
      </c>
      <c r="B10201" t="s">
        <v>10754</v>
      </c>
      <c r="C10201" t="s">
        <v>19842</v>
      </c>
      <c r="D10201" t="s">
        <v>20</v>
      </c>
      <c r="E10201" t="s">
        <v>11</v>
      </c>
      <c r="F10201">
        <v>33908.6</v>
      </c>
      <c r="G10201">
        <v>18</v>
      </c>
    </row>
    <row r="10202" spans="1:7" x14ac:dyDescent="0.25">
      <c r="A10202" t="s">
        <v>41</v>
      </c>
      <c r="B10202" t="s">
        <v>10757</v>
      </c>
      <c r="C10202" t="s">
        <v>19843</v>
      </c>
      <c r="D10202" t="s">
        <v>20</v>
      </c>
      <c r="E10202" t="s">
        <v>11</v>
      </c>
      <c r="F10202">
        <v>469.69999999999993</v>
      </c>
      <c r="G10202">
        <v>18</v>
      </c>
    </row>
    <row r="10203" spans="1:7" x14ac:dyDescent="0.25">
      <c r="A10203" t="s">
        <v>41</v>
      </c>
      <c r="B10203" t="s">
        <v>10760</v>
      </c>
      <c r="C10203" t="s">
        <v>19835</v>
      </c>
      <c r="D10203" t="s">
        <v>20</v>
      </c>
      <c r="E10203" t="s">
        <v>11</v>
      </c>
      <c r="F10203">
        <v>40660.4</v>
      </c>
      <c r="G10203">
        <v>18</v>
      </c>
    </row>
    <row r="10204" spans="1:7" x14ac:dyDescent="0.25">
      <c r="A10204" t="s">
        <v>41</v>
      </c>
      <c r="B10204" t="s">
        <v>10763</v>
      </c>
      <c r="C10204" t="s">
        <v>19844</v>
      </c>
      <c r="D10204" t="s">
        <v>20</v>
      </c>
      <c r="E10204" t="s">
        <v>11</v>
      </c>
      <c r="F10204">
        <v>3693.7999999999997</v>
      </c>
      <c r="G10204">
        <v>18</v>
      </c>
    </row>
    <row r="10205" spans="1:7" x14ac:dyDescent="0.25">
      <c r="A10205" t="s">
        <v>41</v>
      </c>
      <c r="B10205" t="s">
        <v>10766</v>
      </c>
      <c r="C10205" t="s">
        <v>19845</v>
      </c>
      <c r="D10205" t="s">
        <v>20</v>
      </c>
      <c r="E10205" t="s">
        <v>11</v>
      </c>
      <c r="F10205">
        <v>1743.5</v>
      </c>
      <c r="G10205">
        <v>18</v>
      </c>
    </row>
    <row r="10206" spans="1:7" x14ac:dyDescent="0.25">
      <c r="A10206" t="s">
        <v>41</v>
      </c>
      <c r="B10206" t="s">
        <v>10769</v>
      </c>
      <c r="C10206" t="s">
        <v>19846</v>
      </c>
      <c r="D10206" t="s">
        <v>20</v>
      </c>
      <c r="E10206" t="s">
        <v>11</v>
      </c>
      <c r="F10206">
        <v>470.8</v>
      </c>
      <c r="G10206">
        <v>18</v>
      </c>
    </row>
    <row r="10207" spans="1:7" x14ac:dyDescent="0.25">
      <c r="A10207" t="s">
        <v>41</v>
      </c>
      <c r="B10207" t="s">
        <v>10772</v>
      </c>
      <c r="C10207" t="s">
        <v>19847</v>
      </c>
      <c r="D10207" t="s">
        <v>20</v>
      </c>
      <c r="E10207" t="s">
        <v>11</v>
      </c>
      <c r="F10207">
        <v>1776.4999999999998</v>
      </c>
      <c r="G10207">
        <v>18</v>
      </c>
    </row>
    <row r="10208" spans="1:7" x14ac:dyDescent="0.25">
      <c r="A10208" t="s">
        <v>41</v>
      </c>
      <c r="B10208" t="s">
        <v>10775</v>
      </c>
      <c r="C10208" t="s">
        <v>19848</v>
      </c>
      <c r="D10208" t="s">
        <v>20</v>
      </c>
      <c r="E10208" t="s">
        <v>11</v>
      </c>
      <c r="F10208">
        <v>1692.9</v>
      </c>
      <c r="G10208">
        <v>18</v>
      </c>
    </row>
    <row r="10209" spans="1:7" x14ac:dyDescent="0.25">
      <c r="A10209" t="s">
        <v>41</v>
      </c>
      <c r="B10209" t="s">
        <v>10778</v>
      </c>
      <c r="C10209" t="s">
        <v>19849</v>
      </c>
      <c r="D10209" t="s">
        <v>20</v>
      </c>
      <c r="E10209" t="s">
        <v>11</v>
      </c>
      <c r="F10209">
        <v>1372.8</v>
      </c>
      <c r="G10209">
        <v>18</v>
      </c>
    </row>
    <row r="10210" spans="1:7" x14ac:dyDescent="0.25">
      <c r="A10210" t="s">
        <v>41</v>
      </c>
      <c r="B10210" t="s">
        <v>10781</v>
      </c>
      <c r="C10210" t="s">
        <v>19850</v>
      </c>
      <c r="D10210" t="s">
        <v>20</v>
      </c>
      <c r="E10210" t="s">
        <v>11</v>
      </c>
      <c r="F10210">
        <v>470.8</v>
      </c>
      <c r="G10210">
        <v>18</v>
      </c>
    </row>
    <row r="10211" spans="1:7" x14ac:dyDescent="0.25">
      <c r="A10211" t="s">
        <v>41</v>
      </c>
      <c r="B10211" t="s">
        <v>10784</v>
      </c>
      <c r="C10211" t="s">
        <v>19851</v>
      </c>
      <c r="D10211" t="s">
        <v>20</v>
      </c>
      <c r="E10211" t="s">
        <v>11</v>
      </c>
      <c r="F10211">
        <v>3693.7999999999997</v>
      </c>
      <c r="G10211">
        <v>18</v>
      </c>
    </row>
    <row r="10212" spans="1:7" x14ac:dyDescent="0.25">
      <c r="A10212" t="s">
        <v>41</v>
      </c>
      <c r="B10212" t="s">
        <v>10787</v>
      </c>
      <c r="C10212" t="s">
        <v>19852</v>
      </c>
      <c r="D10212" t="s">
        <v>20</v>
      </c>
      <c r="E10212" t="s">
        <v>11</v>
      </c>
      <c r="F10212">
        <v>2816</v>
      </c>
      <c r="G10212">
        <v>18</v>
      </c>
    </row>
    <row r="10213" spans="1:7" x14ac:dyDescent="0.25">
      <c r="A10213" t="s">
        <v>41</v>
      </c>
      <c r="B10213" t="s">
        <v>10790</v>
      </c>
      <c r="C10213" t="s">
        <v>19853</v>
      </c>
      <c r="D10213" t="s">
        <v>20</v>
      </c>
      <c r="E10213" t="s">
        <v>11</v>
      </c>
      <c r="F10213">
        <v>1922.8</v>
      </c>
      <c r="G10213">
        <v>18</v>
      </c>
    </row>
    <row r="10214" spans="1:7" x14ac:dyDescent="0.25">
      <c r="A10214" t="s">
        <v>41</v>
      </c>
      <c r="B10214" t="s">
        <v>10793</v>
      </c>
      <c r="C10214" t="s">
        <v>19854</v>
      </c>
      <c r="D10214" t="s">
        <v>20</v>
      </c>
      <c r="E10214" t="s">
        <v>11</v>
      </c>
      <c r="F10214">
        <v>1596.1</v>
      </c>
      <c r="G10214">
        <v>18</v>
      </c>
    </row>
    <row r="10215" spans="1:7" x14ac:dyDescent="0.25">
      <c r="A10215" t="s">
        <v>41</v>
      </c>
      <c r="B10215" t="s">
        <v>10796</v>
      </c>
      <c r="C10215" t="s">
        <v>19855</v>
      </c>
      <c r="D10215" t="s">
        <v>20</v>
      </c>
      <c r="E10215" t="s">
        <v>11</v>
      </c>
      <c r="F10215">
        <v>118.80000000000001</v>
      </c>
      <c r="G10215">
        <v>18</v>
      </c>
    </row>
    <row r="10216" spans="1:7" x14ac:dyDescent="0.25">
      <c r="A10216" t="s">
        <v>41</v>
      </c>
      <c r="B10216" t="s">
        <v>10799</v>
      </c>
      <c r="C10216" t="s">
        <v>19856</v>
      </c>
      <c r="D10216" t="s">
        <v>20</v>
      </c>
      <c r="E10216" t="s">
        <v>11</v>
      </c>
      <c r="F10216">
        <v>1922.8</v>
      </c>
      <c r="G10216">
        <v>18</v>
      </c>
    </row>
    <row r="10217" spans="1:7" x14ac:dyDescent="0.25">
      <c r="A10217" t="s">
        <v>41</v>
      </c>
      <c r="B10217" t="s">
        <v>10802</v>
      </c>
      <c r="C10217" t="s">
        <v>19857</v>
      </c>
      <c r="D10217" t="s">
        <v>20</v>
      </c>
      <c r="E10217" t="s">
        <v>11</v>
      </c>
      <c r="F10217">
        <v>3889.6</v>
      </c>
      <c r="G10217">
        <v>18</v>
      </c>
    </row>
    <row r="10218" spans="1:7" x14ac:dyDescent="0.25">
      <c r="A10218" t="s">
        <v>41</v>
      </c>
      <c r="B10218" t="s">
        <v>10805</v>
      </c>
      <c r="C10218" t="s">
        <v>19858</v>
      </c>
      <c r="D10218" t="s">
        <v>20</v>
      </c>
      <c r="E10218" t="s">
        <v>11</v>
      </c>
      <c r="F10218">
        <v>3432</v>
      </c>
      <c r="G10218">
        <v>18</v>
      </c>
    </row>
    <row r="10219" spans="1:7" x14ac:dyDescent="0.25">
      <c r="A10219" t="s">
        <v>41</v>
      </c>
      <c r="B10219" t="s">
        <v>10808</v>
      </c>
      <c r="C10219" t="s">
        <v>19859</v>
      </c>
      <c r="D10219" t="s">
        <v>20</v>
      </c>
      <c r="E10219" t="s">
        <v>11</v>
      </c>
      <c r="F10219">
        <v>71.5</v>
      </c>
      <c r="G10219">
        <v>18</v>
      </c>
    </row>
    <row r="10220" spans="1:7" x14ac:dyDescent="0.25">
      <c r="A10220" t="s">
        <v>41</v>
      </c>
      <c r="B10220" t="s">
        <v>10811</v>
      </c>
      <c r="C10220" t="s">
        <v>19845</v>
      </c>
      <c r="D10220" t="s">
        <v>20</v>
      </c>
      <c r="E10220" t="s">
        <v>11</v>
      </c>
      <c r="F10220">
        <v>2974.4</v>
      </c>
      <c r="G10220">
        <v>18</v>
      </c>
    </row>
    <row r="10221" spans="1:7" x14ac:dyDescent="0.25">
      <c r="A10221" t="s">
        <v>41</v>
      </c>
      <c r="B10221" t="s">
        <v>10814</v>
      </c>
      <c r="C10221" t="s">
        <v>19860</v>
      </c>
      <c r="D10221" t="s">
        <v>20</v>
      </c>
      <c r="E10221" t="s">
        <v>11</v>
      </c>
      <c r="F10221">
        <v>24359.5</v>
      </c>
      <c r="G10221">
        <v>18</v>
      </c>
    </row>
    <row r="10222" spans="1:7" x14ac:dyDescent="0.25">
      <c r="A10222" t="s">
        <v>41</v>
      </c>
      <c r="B10222" t="s">
        <v>10817</v>
      </c>
      <c r="C10222" t="s">
        <v>19861</v>
      </c>
      <c r="D10222" t="s">
        <v>20</v>
      </c>
      <c r="E10222" t="s">
        <v>11</v>
      </c>
      <c r="F10222">
        <v>753.5</v>
      </c>
      <c r="G10222">
        <v>18</v>
      </c>
    </row>
    <row r="10223" spans="1:7" x14ac:dyDescent="0.25">
      <c r="A10223" t="s">
        <v>41</v>
      </c>
      <c r="B10223" t="s">
        <v>10820</v>
      </c>
      <c r="C10223" t="s">
        <v>19862</v>
      </c>
      <c r="D10223" t="s">
        <v>20</v>
      </c>
      <c r="E10223" t="s">
        <v>11</v>
      </c>
      <c r="F10223">
        <v>47242.8</v>
      </c>
      <c r="G10223">
        <v>18</v>
      </c>
    </row>
    <row r="10224" spans="1:7" x14ac:dyDescent="0.25">
      <c r="A10224" t="s">
        <v>41</v>
      </c>
      <c r="B10224" t="s">
        <v>10823</v>
      </c>
      <c r="C10224" t="s">
        <v>19863</v>
      </c>
      <c r="D10224" t="s">
        <v>20</v>
      </c>
      <c r="E10224" t="s">
        <v>11</v>
      </c>
      <c r="F10224">
        <v>743.6</v>
      </c>
      <c r="G10224">
        <v>18</v>
      </c>
    </row>
    <row r="10225" spans="1:7" x14ac:dyDescent="0.25">
      <c r="A10225" t="s">
        <v>41</v>
      </c>
      <c r="B10225" t="s">
        <v>10826</v>
      </c>
      <c r="C10225" t="s">
        <v>19864</v>
      </c>
      <c r="D10225" t="s">
        <v>20</v>
      </c>
      <c r="E10225" t="s">
        <v>11</v>
      </c>
      <c r="F10225">
        <v>24359.5</v>
      </c>
      <c r="G10225">
        <v>18</v>
      </c>
    </row>
    <row r="10226" spans="1:7" x14ac:dyDescent="0.25">
      <c r="A10226" t="s">
        <v>41</v>
      </c>
      <c r="B10226" t="s">
        <v>10829</v>
      </c>
      <c r="C10226" t="s">
        <v>19776</v>
      </c>
      <c r="D10226" t="s">
        <v>20</v>
      </c>
      <c r="E10226" t="s">
        <v>11</v>
      </c>
      <c r="F10226">
        <v>80.3</v>
      </c>
      <c r="G10226">
        <v>18</v>
      </c>
    </row>
    <row r="10227" spans="1:7" x14ac:dyDescent="0.25">
      <c r="A10227" t="s">
        <v>41</v>
      </c>
      <c r="B10227" t="s">
        <v>10832</v>
      </c>
      <c r="C10227" t="s">
        <v>19865</v>
      </c>
      <c r="D10227" t="s">
        <v>20</v>
      </c>
      <c r="E10227" t="s">
        <v>11</v>
      </c>
      <c r="F10227">
        <v>110</v>
      </c>
      <c r="G10227">
        <v>18</v>
      </c>
    </row>
    <row r="10228" spans="1:7" x14ac:dyDescent="0.25">
      <c r="A10228" t="s">
        <v>41</v>
      </c>
      <c r="B10228" t="s">
        <v>10835</v>
      </c>
      <c r="C10228" t="s">
        <v>19866</v>
      </c>
      <c r="D10228" t="s">
        <v>20</v>
      </c>
      <c r="E10228" t="s">
        <v>11</v>
      </c>
      <c r="F10228">
        <v>47242.8</v>
      </c>
      <c r="G10228">
        <v>18</v>
      </c>
    </row>
    <row r="10229" spans="1:7" x14ac:dyDescent="0.25">
      <c r="A10229" t="s">
        <v>41</v>
      </c>
      <c r="B10229" t="s">
        <v>10838</v>
      </c>
      <c r="C10229" t="s">
        <v>19867</v>
      </c>
      <c r="D10229" t="s">
        <v>20</v>
      </c>
      <c r="E10229" t="s">
        <v>11</v>
      </c>
      <c r="F10229">
        <v>17274.399999999998</v>
      </c>
      <c r="G10229">
        <v>18</v>
      </c>
    </row>
    <row r="10230" spans="1:7" x14ac:dyDescent="0.25">
      <c r="A10230" t="s">
        <v>41</v>
      </c>
      <c r="B10230" t="s">
        <v>10841</v>
      </c>
      <c r="C10230" t="s">
        <v>19868</v>
      </c>
      <c r="D10230" t="s">
        <v>20</v>
      </c>
      <c r="E10230" t="s">
        <v>11</v>
      </c>
      <c r="F10230">
        <v>490.6</v>
      </c>
      <c r="G10230">
        <v>18</v>
      </c>
    </row>
    <row r="10231" spans="1:7" x14ac:dyDescent="0.25">
      <c r="A10231" t="s">
        <v>41</v>
      </c>
      <c r="B10231" t="s">
        <v>10844</v>
      </c>
      <c r="C10231" t="s">
        <v>19869</v>
      </c>
      <c r="D10231" t="s">
        <v>20</v>
      </c>
      <c r="E10231" t="s">
        <v>11</v>
      </c>
      <c r="F10231">
        <v>565.4</v>
      </c>
      <c r="G10231">
        <v>18</v>
      </c>
    </row>
    <row r="10232" spans="1:7" x14ac:dyDescent="0.25">
      <c r="A10232" t="s">
        <v>41</v>
      </c>
      <c r="B10232" t="s">
        <v>10847</v>
      </c>
      <c r="C10232" t="s">
        <v>19870</v>
      </c>
      <c r="D10232" t="s">
        <v>20</v>
      </c>
      <c r="E10232" t="s">
        <v>11</v>
      </c>
      <c r="F10232">
        <v>196.9</v>
      </c>
      <c r="G10232">
        <v>18</v>
      </c>
    </row>
    <row r="10233" spans="1:7" x14ac:dyDescent="0.25">
      <c r="A10233" t="s">
        <v>41</v>
      </c>
      <c r="B10233" t="s">
        <v>10850</v>
      </c>
      <c r="C10233" t="s">
        <v>19871</v>
      </c>
      <c r="D10233" t="s">
        <v>20</v>
      </c>
      <c r="E10233" t="s">
        <v>11</v>
      </c>
      <c r="F10233">
        <v>15504.499999999998</v>
      </c>
      <c r="G10233">
        <v>18</v>
      </c>
    </row>
    <row r="10234" spans="1:7" x14ac:dyDescent="0.25">
      <c r="A10234" t="s">
        <v>41</v>
      </c>
      <c r="B10234" t="s">
        <v>10853</v>
      </c>
      <c r="C10234" t="s">
        <v>18232</v>
      </c>
      <c r="D10234" t="s">
        <v>20</v>
      </c>
      <c r="E10234" t="s">
        <v>11</v>
      </c>
      <c r="F10234">
        <v>61.60000000000001</v>
      </c>
      <c r="G10234">
        <v>18</v>
      </c>
    </row>
    <row r="10235" spans="1:7" x14ac:dyDescent="0.25">
      <c r="A10235" t="s">
        <v>41</v>
      </c>
      <c r="B10235" t="s">
        <v>10856</v>
      </c>
      <c r="C10235" t="s">
        <v>19872</v>
      </c>
      <c r="D10235" t="s">
        <v>20</v>
      </c>
      <c r="E10235" t="s">
        <v>11</v>
      </c>
      <c r="F10235">
        <v>239.8</v>
      </c>
      <c r="G10235">
        <v>18</v>
      </c>
    </row>
    <row r="10236" spans="1:7" x14ac:dyDescent="0.25">
      <c r="A10236" t="s">
        <v>41</v>
      </c>
      <c r="B10236" t="s">
        <v>10859</v>
      </c>
      <c r="C10236" t="s">
        <v>18413</v>
      </c>
      <c r="D10236" t="s">
        <v>20</v>
      </c>
      <c r="E10236" t="s">
        <v>11</v>
      </c>
      <c r="F10236">
        <v>1201.2</v>
      </c>
      <c r="G10236">
        <v>18</v>
      </c>
    </row>
    <row r="10237" spans="1:7" x14ac:dyDescent="0.25">
      <c r="A10237" t="s">
        <v>41</v>
      </c>
      <c r="B10237" t="s">
        <v>10862</v>
      </c>
      <c r="C10237" t="s">
        <v>18512</v>
      </c>
      <c r="D10237" t="s">
        <v>20</v>
      </c>
      <c r="E10237" t="s">
        <v>11</v>
      </c>
      <c r="F10237">
        <v>180.39999999999998</v>
      </c>
      <c r="G10237">
        <v>18</v>
      </c>
    </row>
    <row r="10238" spans="1:7" x14ac:dyDescent="0.25">
      <c r="A10238" t="s">
        <v>41</v>
      </c>
      <c r="B10238" t="s">
        <v>10865</v>
      </c>
      <c r="C10238" t="s">
        <v>19873</v>
      </c>
      <c r="D10238" t="s">
        <v>20</v>
      </c>
      <c r="E10238" t="s">
        <v>11</v>
      </c>
      <c r="F10238">
        <v>110</v>
      </c>
      <c r="G10238">
        <v>18</v>
      </c>
    </row>
    <row r="10239" spans="1:7" x14ac:dyDescent="0.25">
      <c r="A10239" t="s">
        <v>41</v>
      </c>
      <c r="B10239" t="s">
        <v>10868</v>
      </c>
      <c r="C10239" t="s">
        <v>19874</v>
      </c>
      <c r="D10239" t="s">
        <v>20</v>
      </c>
      <c r="E10239" t="s">
        <v>11</v>
      </c>
      <c r="F10239">
        <v>1023.0000000000001</v>
      </c>
      <c r="G10239">
        <v>18</v>
      </c>
    </row>
    <row r="10240" spans="1:7" x14ac:dyDescent="0.25">
      <c r="A10240" t="s">
        <v>41</v>
      </c>
      <c r="B10240" t="s">
        <v>10871</v>
      </c>
      <c r="C10240" t="s">
        <v>19875</v>
      </c>
      <c r="D10240" t="s">
        <v>20</v>
      </c>
      <c r="E10240" t="s">
        <v>11</v>
      </c>
      <c r="F10240">
        <v>103.39999999999999</v>
      </c>
      <c r="G10240">
        <v>18</v>
      </c>
    </row>
    <row r="10241" spans="1:7" x14ac:dyDescent="0.25">
      <c r="A10241" t="s">
        <v>41</v>
      </c>
      <c r="B10241" t="s">
        <v>10874</v>
      </c>
      <c r="C10241" t="s">
        <v>19876</v>
      </c>
      <c r="D10241" t="s">
        <v>20</v>
      </c>
      <c r="E10241" t="s">
        <v>11</v>
      </c>
      <c r="F10241">
        <v>110</v>
      </c>
      <c r="G10241">
        <v>18</v>
      </c>
    </row>
    <row r="10242" spans="1:7" x14ac:dyDescent="0.25">
      <c r="A10242" t="s">
        <v>41</v>
      </c>
      <c r="B10242" t="s">
        <v>10877</v>
      </c>
      <c r="C10242" t="s">
        <v>19877</v>
      </c>
      <c r="D10242" t="s">
        <v>20</v>
      </c>
      <c r="E10242" t="s">
        <v>11</v>
      </c>
      <c r="F10242">
        <v>114.4</v>
      </c>
      <c r="G10242">
        <v>18</v>
      </c>
    </row>
    <row r="10243" spans="1:7" x14ac:dyDescent="0.25">
      <c r="A10243" t="s">
        <v>41</v>
      </c>
      <c r="B10243" t="s">
        <v>10880</v>
      </c>
      <c r="C10243" t="s">
        <v>19878</v>
      </c>
      <c r="D10243" t="s">
        <v>20</v>
      </c>
      <c r="E10243" t="s">
        <v>11</v>
      </c>
      <c r="F10243">
        <v>271.70000000000005</v>
      </c>
      <c r="G10243">
        <v>18</v>
      </c>
    </row>
    <row r="10244" spans="1:7" x14ac:dyDescent="0.25">
      <c r="A10244" t="s">
        <v>41</v>
      </c>
      <c r="B10244" t="s">
        <v>10883</v>
      </c>
      <c r="C10244" t="s">
        <v>19879</v>
      </c>
      <c r="D10244" t="s">
        <v>20</v>
      </c>
      <c r="E10244" t="s">
        <v>11</v>
      </c>
      <c r="F10244">
        <v>1497.1</v>
      </c>
      <c r="G10244">
        <v>18</v>
      </c>
    </row>
    <row r="10245" spans="1:7" x14ac:dyDescent="0.25">
      <c r="A10245" t="s">
        <v>41</v>
      </c>
      <c r="B10245" t="s">
        <v>10886</v>
      </c>
      <c r="C10245" t="s">
        <v>19880</v>
      </c>
      <c r="D10245" t="s">
        <v>20</v>
      </c>
      <c r="E10245" t="s">
        <v>11</v>
      </c>
      <c r="F10245">
        <v>476.3</v>
      </c>
      <c r="G10245">
        <v>18</v>
      </c>
    </row>
    <row r="10246" spans="1:7" x14ac:dyDescent="0.25">
      <c r="A10246" t="s">
        <v>41</v>
      </c>
      <c r="B10246" t="s">
        <v>10889</v>
      </c>
      <c r="C10246" t="s">
        <v>19881</v>
      </c>
      <c r="D10246" t="s">
        <v>20</v>
      </c>
      <c r="E10246" t="s">
        <v>11</v>
      </c>
      <c r="F10246">
        <v>110</v>
      </c>
      <c r="G10246">
        <v>18</v>
      </c>
    </row>
    <row r="10247" spans="1:7" x14ac:dyDescent="0.25">
      <c r="A10247" t="s">
        <v>41</v>
      </c>
      <c r="B10247" t="s">
        <v>10892</v>
      </c>
      <c r="C10247" t="s">
        <v>19882</v>
      </c>
      <c r="D10247" t="s">
        <v>20</v>
      </c>
      <c r="E10247" t="s">
        <v>11</v>
      </c>
      <c r="F10247">
        <v>18418.4</v>
      </c>
      <c r="G10247">
        <v>18</v>
      </c>
    </row>
    <row r="10248" spans="1:7" x14ac:dyDescent="0.25">
      <c r="A10248" t="s">
        <v>41</v>
      </c>
      <c r="B10248" t="s">
        <v>10895</v>
      </c>
      <c r="C10248" t="s">
        <v>19883</v>
      </c>
      <c r="D10248" t="s">
        <v>20</v>
      </c>
      <c r="E10248" t="s">
        <v>11</v>
      </c>
      <c r="F10248">
        <v>15950</v>
      </c>
      <c r="G10248">
        <v>18</v>
      </c>
    </row>
    <row r="10249" spans="1:7" x14ac:dyDescent="0.25">
      <c r="A10249" t="s">
        <v>41</v>
      </c>
      <c r="B10249" t="s">
        <v>10898</v>
      </c>
      <c r="C10249" t="s">
        <v>19884</v>
      </c>
      <c r="D10249" t="s">
        <v>20</v>
      </c>
      <c r="E10249" t="s">
        <v>11</v>
      </c>
      <c r="F10249">
        <v>114.4</v>
      </c>
      <c r="G10249">
        <v>18</v>
      </c>
    </row>
    <row r="10250" spans="1:7" x14ac:dyDescent="0.25">
      <c r="A10250" t="s">
        <v>41</v>
      </c>
      <c r="B10250" t="s">
        <v>10901</v>
      </c>
      <c r="C10250" t="s">
        <v>19885</v>
      </c>
      <c r="D10250" t="s">
        <v>20</v>
      </c>
      <c r="E10250" t="s">
        <v>11</v>
      </c>
      <c r="F10250">
        <v>500.5</v>
      </c>
      <c r="G10250">
        <v>18</v>
      </c>
    </row>
    <row r="10251" spans="1:7" x14ac:dyDescent="0.25">
      <c r="A10251" t="s">
        <v>41</v>
      </c>
      <c r="B10251" t="s">
        <v>10904</v>
      </c>
      <c r="C10251" t="s">
        <v>19886</v>
      </c>
      <c r="D10251" t="s">
        <v>20</v>
      </c>
      <c r="E10251" t="s">
        <v>11</v>
      </c>
      <c r="F10251">
        <v>909.6999999999999</v>
      </c>
      <c r="G10251">
        <v>18</v>
      </c>
    </row>
    <row r="10252" spans="1:7" x14ac:dyDescent="0.25">
      <c r="A10252" t="s">
        <v>41</v>
      </c>
      <c r="B10252" t="s">
        <v>10907</v>
      </c>
      <c r="C10252" t="s">
        <v>19887</v>
      </c>
      <c r="D10252" t="s">
        <v>20</v>
      </c>
      <c r="E10252" t="s">
        <v>11</v>
      </c>
      <c r="F10252">
        <v>704</v>
      </c>
      <c r="G10252">
        <v>18</v>
      </c>
    </row>
    <row r="10253" spans="1:7" x14ac:dyDescent="0.25">
      <c r="A10253" t="s">
        <v>41</v>
      </c>
      <c r="B10253" t="s">
        <v>10910</v>
      </c>
      <c r="C10253" t="s">
        <v>18219</v>
      </c>
      <c r="D10253" t="s">
        <v>20</v>
      </c>
      <c r="E10253" t="s">
        <v>11</v>
      </c>
      <c r="F10253">
        <v>751.3</v>
      </c>
      <c r="G10253">
        <v>18</v>
      </c>
    </row>
    <row r="10254" spans="1:7" x14ac:dyDescent="0.25">
      <c r="A10254" t="s">
        <v>41</v>
      </c>
      <c r="B10254" t="s">
        <v>10913</v>
      </c>
      <c r="C10254" t="s">
        <v>19888</v>
      </c>
      <c r="D10254" t="s">
        <v>20</v>
      </c>
      <c r="E10254" t="s">
        <v>11</v>
      </c>
      <c r="F10254">
        <v>1201.2</v>
      </c>
      <c r="G10254">
        <v>18</v>
      </c>
    </row>
    <row r="10255" spans="1:7" x14ac:dyDescent="0.25">
      <c r="A10255" t="s">
        <v>41</v>
      </c>
      <c r="B10255" t="s">
        <v>10916</v>
      </c>
      <c r="C10255" t="s">
        <v>19889</v>
      </c>
      <c r="D10255" t="s">
        <v>20</v>
      </c>
      <c r="E10255" t="s">
        <v>11</v>
      </c>
      <c r="F10255">
        <v>224.4</v>
      </c>
      <c r="G10255">
        <v>18</v>
      </c>
    </row>
    <row r="10256" spans="1:7" x14ac:dyDescent="0.25">
      <c r="A10256" t="s">
        <v>41</v>
      </c>
      <c r="B10256" t="s">
        <v>10919</v>
      </c>
      <c r="C10256" t="s">
        <v>19890</v>
      </c>
      <c r="D10256" t="s">
        <v>20</v>
      </c>
      <c r="E10256" t="s">
        <v>11</v>
      </c>
      <c r="F10256">
        <v>136.4</v>
      </c>
      <c r="G10256">
        <v>18</v>
      </c>
    </row>
    <row r="10257" spans="1:7" x14ac:dyDescent="0.25">
      <c r="A10257" t="s">
        <v>41</v>
      </c>
      <c r="B10257" t="s">
        <v>10922</v>
      </c>
      <c r="C10257" t="s">
        <v>19891</v>
      </c>
      <c r="D10257" t="s">
        <v>20</v>
      </c>
      <c r="E10257" t="s">
        <v>11</v>
      </c>
      <c r="F10257">
        <v>240.9</v>
      </c>
      <c r="G10257">
        <v>18</v>
      </c>
    </row>
    <row r="10258" spans="1:7" x14ac:dyDescent="0.25">
      <c r="A10258" t="s">
        <v>41</v>
      </c>
      <c r="B10258" t="s">
        <v>10925</v>
      </c>
      <c r="C10258" t="s">
        <v>18852</v>
      </c>
      <c r="D10258" t="s">
        <v>20</v>
      </c>
      <c r="E10258" t="s">
        <v>11</v>
      </c>
      <c r="F10258">
        <v>58.300000000000004</v>
      </c>
      <c r="G10258">
        <v>18</v>
      </c>
    </row>
    <row r="10259" spans="1:7" x14ac:dyDescent="0.25">
      <c r="A10259" t="s">
        <v>41</v>
      </c>
      <c r="B10259" t="s">
        <v>10928</v>
      </c>
      <c r="C10259" t="s">
        <v>19057</v>
      </c>
      <c r="D10259" t="s">
        <v>20</v>
      </c>
      <c r="E10259" t="s">
        <v>11</v>
      </c>
      <c r="F10259">
        <v>58.300000000000004</v>
      </c>
      <c r="G10259">
        <v>18</v>
      </c>
    </row>
    <row r="10260" spans="1:7" x14ac:dyDescent="0.25">
      <c r="A10260" t="s">
        <v>41</v>
      </c>
      <c r="B10260" t="s">
        <v>10931</v>
      </c>
      <c r="C10260" t="s">
        <v>19704</v>
      </c>
      <c r="D10260" t="s">
        <v>20</v>
      </c>
      <c r="E10260" t="s">
        <v>11</v>
      </c>
      <c r="F10260">
        <v>58.300000000000004</v>
      </c>
      <c r="G10260">
        <v>18</v>
      </c>
    </row>
    <row r="10261" spans="1:7" x14ac:dyDescent="0.25">
      <c r="A10261" t="s">
        <v>41</v>
      </c>
      <c r="B10261" t="s">
        <v>10934</v>
      </c>
      <c r="C10261" t="s">
        <v>19892</v>
      </c>
      <c r="D10261" t="s">
        <v>20</v>
      </c>
      <c r="E10261" t="s">
        <v>11</v>
      </c>
      <c r="F10261">
        <v>722.7</v>
      </c>
      <c r="G10261">
        <v>18</v>
      </c>
    </row>
    <row r="10262" spans="1:7" x14ac:dyDescent="0.25">
      <c r="A10262" t="s">
        <v>41</v>
      </c>
      <c r="B10262" t="s">
        <v>10937</v>
      </c>
      <c r="C10262" t="s">
        <v>19239</v>
      </c>
      <c r="D10262" t="s">
        <v>20</v>
      </c>
      <c r="E10262" t="s">
        <v>11</v>
      </c>
      <c r="F10262">
        <v>92.39999999999999</v>
      </c>
      <c r="G10262">
        <v>18</v>
      </c>
    </row>
    <row r="10263" spans="1:7" x14ac:dyDescent="0.25">
      <c r="A10263" t="s">
        <v>41</v>
      </c>
      <c r="B10263" t="s">
        <v>10940</v>
      </c>
      <c r="C10263" t="s">
        <v>19893</v>
      </c>
      <c r="D10263" t="s">
        <v>20</v>
      </c>
      <c r="E10263" t="s">
        <v>11</v>
      </c>
      <c r="F10263">
        <v>622.6</v>
      </c>
      <c r="G10263">
        <v>18</v>
      </c>
    </row>
    <row r="10264" spans="1:7" x14ac:dyDescent="0.25">
      <c r="A10264" t="s">
        <v>41</v>
      </c>
      <c r="B10264" t="s">
        <v>10943</v>
      </c>
      <c r="C10264" t="s">
        <v>19726</v>
      </c>
      <c r="D10264" t="s">
        <v>20</v>
      </c>
      <c r="E10264" t="s">
        <v>11</v>
      </c>
      <c r="F10264">
        <v>57.2</v>
      </c>
      <c r="G10264">
        <v>18</v>
      </c>
    </row>
    <row r="10265" spans="1:7" x14ac:dyDescent="0.25">
      <c r="A10265" t="s">
        <v>41</v>
      </c>
      <c r="B10265" t="s">
        <v>10946</v>
      </c>
      <c r="C10265" t="s">
        <v>19725</v>
      </c>
      <c r="D10265" t="s">
        <v>20</v>
      </c>
      <c r="E10265" t="s">
        <v>11</v>
      </c>
      <c r="F10265">
        <v>70.4</v>
      </c>
      <c r="G10265">
        <v>18</v>
      </c>
    </row>
    <row r="10266" spans="1:7" x14ac:dyDescent="0.25">
      <c r="A10266" t="s">
        <v>41</v>
      </c>
      <c r="B10266" t="s">
        <v>10949</v>
      </c>
      <c r="C10266" t="s">
        <v>19894</v>
      </c>
      <c r="D10266" t="s">
        <v>20</v>
      </c>
      <c r="E10266" t="s">
        <v>11</v>
      </c>
      <c r="F10266">
        <v>622.6</v>
      </c>
      <c r="G10266">
        <v>18</v>
      </c>
    </row>
    <row r="10267" spans="1:7" x14ac:dyDescent="0.25">
      <c r="A10267" t="s">
        <v>41</v>
      </c>
      <c r="B10267" t="s">
        <v>10952</v>
      </c>
      <c r="C10267" t="s">
        <v>19895</v>
      </c>
      <c r="D10267" t="s">
        <v>20</v>
      </c>
      <c r="E10267" t="s">
        <v>11</v>
      </c>
      <c r="F10267">
        <v>67.1</v>
      </c>
      <c r="G10267">
        <v>18</v>
      </c>
    </row>
    <row r="10268" spans="1:7" x14ac:dyDescent="0.25">
      <c r="A10268" t="s">
        <v>41</v>
      </c>
      <c r="B10268" t="s">
        <v>10955</v>
      </c>
      <c r="C10268" t="s">
        <v>19896</v>
      </c>
      <c r="D10268" t="s">
        <v>20</v>
      </c>
      <c r="E10268" t="s">
        <v>11</v>
      </c>
      <c r="F10268">
        <v>520.3000000000001</v>
      </c>
      <c r="G10268">
        <v>18</v>
      </c>
    </row>
    <row r="10269" spans="1:7" x14ac:dyDescent="0.25">
      <c r="A10269" t="s">
        <v>41</v>
      </c>
      <c r="B10269" t="s">
        <v>10958</v>
      </c>
      <c r="C10269" t="s">
        <v>19897</v>
      </c>
      <c r="D10269" t="s">
        <v>20</v>
      </c>
      <c r="E10269" t="s">
        <v>11</v>
      </c>
      <c r="F10269">
        <v>520.3000000000001</v>
      </c>
      <c r="G10269">
        <v>18</v>
      </c>
    </row>
    <row r="10270" spans="1:7" x14ac:dyDescent="0.25">
      <c r="A10270" t="s">
        <v>41</v>
      </c>
      <c r="B10270" t="s">
        <v>10961</v>
      </c>
      <c r="C10270" t="s">
        <v>19898</v>
      </c>
      <c r="D10270" t="s">
        <v>20</v>
      </c>
      <c r="E10270" t="s">
        <v>11</v>
      </c>
      <c r="F10270">
        <v>75289.5</v>
      </c>
      <c r="G10270">
        <v>18</v>
      </c>
    </row>
    <row r="10271" spans="1:7" x14ac:dyDescent="0.25">
      <c r="A10271" t="s">
        <v>41</v>
      </c>
      <c r="B10271" t="s">
        <v>10964</v>
      </c>
      <c r="C10271" t="s">
        <v>19899</v>
      </c>
      <c r="D10271" t="s">
        <v>20</v>
      </c>
      <c r="E10271" t="s">
        <v>11</v>
      </c>
      <c r="F10271">
        <v>75297.2</v>
      </c>
      <c r="G10271">
        <v>18</v>
      </c>
    </row>
    <row r="10272" spans="1:7" x14ac:dyDescent="0.25">
      <c r="A10272" t="s">
        <v>41</v>
      </c>
      <c r="B10272" t="s">
        <v>10967</v>
      </c>
      <c r="C10272" t="s">
        <v>19900</v>
      </c>
      <c r="D10272" t="s">
        <v>20</v>
      </c>
      <c r="E10272" t="s">
        <v>11</v>
      </c>
      <c r="F10272">
        <v>16016</v>
      </c>
      <c r="G10272">
        <v>18</v>
      </c>
    </row>
    <row r="10273" spans="1:7" x14ac:dyDescent="0.25">
      <c r="A10273" t="s">
        <v>41</v>
      </c>
      <c r="B10273" t="s">
        <v>10970</v>
      </c>
      <c r="C10273" t="s">
        <v>17731</v>
      </c>
      <c r="D10273" t="s">
        <v>20</v>
      </c>
      <c r="E10273" t="s">
        <v>11</v>
      </c>
      <c r="F10273">
        <v>173.8</v>
      </c>
      <c r="G10273">
        <v>18</v>
      </c>
    </row>
    <row r="10274" spans="1:7" x14ac:dyDescent="0.25">
      <c r="A10274" t="s">
        <v>41</v>
      </c>
      <c r="B10274" t="s">
        <v>10973</v>
      </c>
      <c r="C10274" t="s">
        <v>19901</v>
      </c>
      <c r="D10274" t="s">
        <v>20</v>
      </c>
      <c r="E10274" t="s">
        <v>11</v>
      </c>
      <c r="F10274">
        <v>915.2</v>
      </c>
      <c r="G10274">
        <v>18</v>
      </c>
    </row>
    <row r="10275" spans="1:7" x14ac:dyDescent="0.25">
      <c r="A10275" t="s">
        <v>41</v>
      </c>
      <c r="B10275" t="s">
        <v>10976</v>
      </c>
      <c r="C10275" t="s">
        <v>19902</v>
      </c>
      <c r="D10275" t="s">
        <v>20</v>
      </c>
      <c r="E10275" t="s">
        <v>11</v>
      </c>
      <c r="F10275">
        <v>264</v>
      </c>
      <c r="G10275">
        <v>18</v>
      </c>
    </row>
    <row r="10276" spans="1:7" x14ac:dyDescent="0.25">
      <c r="A10276" t="s">
        <v>41</v>
      </c>
      <c r="B10276" t="s">
        <v>10979</v>
      </c>
      <c r="C10276" t="s">
        <v>17732</v>
      </c>
      <c r="D10276" t="s">
        <v>20</v>
      </c>
      <c r="E10276" t="s">
        <v>11</v>
      </c>
      <c r="F10276">
        <v>2018.5000000000002</v>
      </c>
      <c r="G10276">
        <v>18</v>
      </c>
    </row>
    <row r="10277" spans="1:7" x14ac:dyDescent="0.25">
      <c r="A10277" t="s">
        <v>41</v>
      </c>
      <c r="B10277" t="s">
        <v>10982</v>
      </c>
      <c r="C10277" t="s">
        <v>18267</v>
      </c>
      <c r="D10277" t="s">
        <v>20</v>
      </c>
      <c r="E10277" t="s">
        <v>11</v>
      </c>
      <c r="F10277">
        <v>70.4</v>
      </c>
      <c r="G10277">
        <v>18</v>
      </c>
    </row>
    <row r="10278" spans="1:7" x14ac:dyDescent="0.25">
      <c r="A10278" t="s">
        <v>41</v>
      </c>
      <c r="B10278" t="s">
        <v>10985</v>
      </c>
      <c r="C10278" t="s">
        <v>18219</v>
      </c>
      <c r="D10278" t="s">
        <v>20</v>
      </c>
      <c r="E10278" t="s">
        <v>11</v>
      </c>
      <c r="F10278">
        <v>1485</v>
      </c>
      <c r="G10278">
        <v>18</v>
      </c>
    </row>
    <row r="10279" spans="1:7" x14ac:dyDescent="0.25">
      <c r="A10279" t="s">
        <v>41</v>
      </c>
      <c r="B10279" t="s">
        <v>10988</v>
      </c>
      <c r="C10279" t="s">
        <v>17819</v>
      </c>
      <c r="D10279" t="s">
        <v>20</v>
      </c>
      <c r="E10279" t="s">
        <v>11</v>
      </c>
      <c r="F10279">
        <v>79.2</v>
      </c>
      <c r="G10279">
        <v>18</v>
      </c>
    </row>
    <row r="10280" spans="1:7" x14ac:dyDescent="0.25">
      <c r="A10280" t="s">
        <v>41</v>
      </c>
      <c r="B10280" t="s">
        <v>10991</v>
      </c>
      <c r="C10280" t="s">
        <v>19681</v>
      </c>
      <c r="D10280" t="s">
        <v>20</v>
      </c>
      <c r="E10280" t="s">
        <v>11</v>
      </c>
      <c r="F10280">
        <v>92.39999999999999</v>
      </c>
      <c r="G10280">
        <v>18</v>
      </c>
    </row>
    <row r="10281" spans="1:7" x14ac:dyDescent="0.25">
      <c r="A10281" t="s">
        <v>41</v>
      </c>
      <c r="B10281" t="s">
        <v>10994</v>
      </c>
      <c r="C10281" t="s">
        <v>19903</v>
      </c>
      <c r="D10281" t="s">
        <v>20</v>
      </c>
      <c r="E10281" t="s">
        <v>11</v>
      </c>
      <c r="F10281">
        <v>772.1999999999999</v>
      </c>
      <c r="G10281">
        <v>18</v>
      </c>
    </row>
    <row r="10282" spans="1:7" x14ac:dyDescent="0.25">
      <c r="A10282" t="s">
        <v>41</v>
      </c>
      <c r="B10282" t="s">
        <v>10997</v>
      </c>
      <c r="C10282" t="s">
        <v>19904</v>
      </c>
      <c r="D10282" t="s">
        <v>20</v>
      </c>
      <c r="E10282" t="s">
        <v>11</v>
      </c>
      <c r="F10282">
        <v>1349.7</v>
      </c>
      <c r="G10282">
        <v>18</v>
      </c>
    </row>
    <row r="10283" spans="1:7" x14ac:dyDescent="0.25">
      <c r="A10283" t="s">
        <v>41</v>
      </c>
      <c r="B10283" t="s">
        <v>11000</v>
      </c>
      <c r="C10283" t="s">
        <v>19905</v>
      </c>
      <c r="D10283" t="s">
        <v>20</v>
      </c>
      <c r="E10283" t="s">
        <v>11</v>
      </c>
      <c r="F10283">
        <v>110</v>
      </c>
      <c r="G10283">
        <v>18</v>
      </c>
    </row>
    <row r="10284" spans="1:7" x14ac:dyDescent="0.25">
      <c r="A10284" t="s">
        <v>41</v>
      </c>
      <c r="B10284" t="s">
        <v>11003</v>
      </c>
      <c r="C10284" t="s">
        <v>19906</v>
      </c>
      <c r="D10284" t="s">
        <v>20</v>
      </c>
      <c r="E10284" t="s">
        <v>11</v>
      </c>
      <c r="F10284">
        <v>313.5</v>
      </c>
      <c r="G10284">
        <v>18</v>
      </c>
    </row>
    <row r="10285" spans="1:7" x14ac:dyDescent="0.25">
      <c r="A10285" t="s">
        <v>41</v>
      </c>
      <c r="B10285" t="s">
        <v>11006</v>
      </c>
      <c r="C10285" t="s">
        <v>19907</v>
      </c>
      <c r="D10285" t="s">
        <v>20</v>
      </c>
      <c r="E10285" t="s">
        <v>11</v>
      </c>
      <c r="F10285">
        <v>2484.9</v>
      </c>
      <c r="G10285">
        <v>18</v>
      </c>
    </row>
    <row r="10286" spans="1:7" x14ac:dyDescent="0.25">
      <c r="A10286" t="s">
        <v>41</v>
      </c>
      <c r="B10286" t="s">
        <v>11009</v>
      </c>
      <c r="C10286" t="s">
        <v>18515</v>
      </c>
      <c r="D10286" t="s">
        <v>20</v>
      </c>
      <c r="E10286" t="s">
        <v>11</v>
      </c>
      <c r="F10286">
        <v>71.5</v>
      </c>
      <c r="G10286">
        <v>18</v>
      </c>
    </row>
    <row r="10287" spans="1:7" x14ac:dyDescent="0.25">
      <c r="A10287" t="s">
        <v>41</v>
      </c>
      <c r="B10287" t="s">
        <v>11012</v>
      </c>
      <c r="C10287" t="s">
        <v>19907</v>
      </c>
      <c r="D10287" t="s">
        <v>20</v>
      </c>
      <c r="E10287" t="s">
        <v>11</v>
      </c>
      <c r="F10287">
        <v>3088.7999999999997</v>
      </c>
      <c r="G10287">
        <v>18</v>
      </c>
    </row>
    <row r="10288" spans="1:7" x14ac:dyDescent="0.25">
      <c r="A10288" t="s">
        <v>41</v>
      </c>
      <c r="B10288" t="s">
        <v>11015</v>
      </c>
      <c r="C10288" t="s">
        <v>19908</v>
      </c>
      <c r="D10288" t="s">
        <v>20</v>
      </c>
      <c r="E10288" t="s">
        <v>11</v>
      </c>
      <c r="F10288">
        <v>1601.6000000000001</v>
      </c>
      <c r="G10288">
        <v>18</v>
      </c>
    </row>
    <row r="10289" spans="1:7" x14ac:dyDescent="0.25">
      <c r="A10289" t="s">
        <v>41</v>
      </c>
      <c r="B10289" t="s">
        <v>11018</v>
      </c>
      <c r="C10289" t="s">
        <v>19909</v>
      </c>
      <c r="D10289" t="s">
        <v>20</v>
      </c>
      <c r="E10289" t="s">
        <v>11</v>
      </c>
      <c r="F10289">
        <v>909.6999999999999</v>
      </c>
      <c r="G10289">
        <v>18</v>
      </c>
    </row>
    <row r="10290" spans="1:7" x14ac:dyDescent="0.25">
      <c r="A10290" t="s">
        <v>41</v>
      </c>
      <c r="B10290" t="s">
        <v>11021</v>
      </c>
      <c r="C10290" t="s">
        <v>19910</v>
      </c>
      <c r="D10290" t="s">
        <v>20</v>
      </c>
      <c r="E10290" t="s">
        <v>11</v>
      </c>
      <c r="F10290">
        <v>22737</v>
      </c>
      <c r="G10290">
        <v>18</v>
      </c>
    </row>
    <row r="10291" spans="1:7" x14ac:dyDescent="0.25">
      <c r="A10291" t="s">
        <v>41</v>
      </c>
      <c r="B10291" t="s">
        <v>11024</v>
      </c>
      <c r="C10291" t="s">
        <v>19911</v>
      </c>
      <c r="D10291" t="s">
        <v>20</v>
      </c>
      <c r="E10291" t="s">
        <v>11</v>
      </c>
      <c r="F10291">
        <v>23267.2</v>
      </c>
      <c r="G10291">
        <v>18</v>
      </c>
    </row>
    <row r="10292" spans="1:7" x14ac:dyDescent="0.25">
      <c r="A10292" t="s">
        <v>41</v>
      </c>
      <c r="B10292" t="s">
        <v>11027</v>
      </c>
      <c r="C10292" t="s">
        <v>19912</v>
      </c>
      <c r="D10292" t="s">
        <v>20</v>
      </c>
      <c r="E10292" t="s">
        <v>11</v>
      </c>
      <c r="F10292">
        <v>23267.2</v>
      </c>
      <c r="G10292">
        <v>18</v>
      </c>
    </row>
    <row r="10293" spans="1:7" x14ac:dyDescent="0.25">
      <c r="A10293" t="s">
        <v>41</v>
      </c>
      <c r="B10293" t="s">
        <v>11030</v>
      </c>
      <c r="C10293" t="s">
        <v>19913</v>
      </c>
      <c r="D10293" t="s">
        <v>20</v>
      </c>
      <c r="E10293" t="s">
        <v>11</v>
      </c>
      <c r="F10293">
        <v>3015.1</v>
      </c>
      <c r="G10293">
        <v>18</v>
      </c>
    </row>
    <row r="10294" spans="1:7" x14ac:dyDescent="0.25">
      <c r="A10294" t="s">
        <v>41</v>
      </c>
      <c r="B10294" t="s">
        <v>11033</v>
      </c>
      <c r="C10294" t="s">
        <v>19914</v>
      </c>
      <c r="D10294" t="s">
        <v>20</v>
      </c>
      <c r="E10294" t="s">
        <v>11</v>
      </c>
      <c r="F10294">
        <v>28348.1</v>
      </c>
      <c r="G10294">
        <v>18</v>
      </c>
    </row>
    <row r="10295" spans="1:7" x14ac:dyDescent="0.25">
      <c r="A10295" t="s">
        <v>41</v>
      </c>
      <c r="B10295" t="s">
        <v>11036</v>
      </c>
      <c r="C10295" t="s">
        <v>18074</v>
      </c>
      <c r="D10295" t="s">
        <v>20</v>
      </c>
      <c r="E10295" t="s">
        <v>11</v>
      </c>
      <c r="F10295">
        <v>70.4</v>
      </c>
      <c r="G10295">
        <v>18</v>
      </c>
    </row>
    <row r="10296" spans="1:7" x14ac:dyDescent="0.25">
      <c r="A10296" t="s">
        <v>41</v>
      </c>
      <c r="B10296" t="s">
        <v>11039</v>
      </c>
      <c r="C10296" t="s">
        <v>18231</v>
      </c>
      <c r="D10296" t="s">
        <v>20</v>
      </c>
      <c r="E10296" t="s">
        <v>11</v>
      </c>
      <c r="F10296">
        <v>58.300000000000004</v>
      </c>
      <c r="G10296">
        <v>18</v>
      </c>
    </row>
    <row r="10297" spans="1:7" x14ac:dyDescent="0.25">
      <c r="A10297" t="s">
        <v>41</v>
      </c>
      <c r="B10297" t="s">
        <v>11042</v>
      </c>
      <c r="C10297" t="s">
        <v>19536</v>
      </c>
      <c r="D10297" t="s">
        <v>20</v>
      </c>
      <c r="E10297" t="s">
        <v>11</v>
      </c>
      <c r="F10297">
        <v>61.60000000000001</v>
      </c>
      <c r="G10297">
        <v>18</v>
      </c>
    </row>
    <row r="10298" spans="1:7" x14ac:dyDescent="0.25">
      <c r="A10298" t="s">
        <v>41</v>
      </c>
      <c r="B10298" t="s">
        <v>11045</v>
      </c>
      <c r="C10298" t="s">
        <v>19915</v>
      </c>
      <c r="D10298" t="s">
        <v>20</v>
      </c>
      <c r="E10298" t="s">
        <v>11</v>
      </c>
      <c r="F10298">
        <v>8389.699999999999</v>
      </c>
      <c r="G10298">
        <v>18</v>
      </c>
    </row>
    <row r="10299" spans="1:7" x14ac:dyDescent="0.25">
      <c r="A10299" t="s">
        <v>41</v>
      </c>
      <c r="B10299" t="s">
        <v>11048</v>
      </c>
      <c r="C10299" t="s">
        <v>19916</v>
      </c>
      <c r="D10299" t="s">
        <v>20</v>
      </c>
      <c r="E10299" t="s">
        <v>11</v>
      </c>
      <c r="F10299">
        <v>14470.500000000002</v>
      </c>
      <c r="G10299">
        <v>18</v>
      </c>
    </row>
    <row r="10300" spans="1:7" x14ac:dyDescent="0.25">
      <c r="A10300" t="s">
        <v>41</v>
      </c>
      <c r="B10300" t="s">
        <v>11051</v>
      </c>
      <c r="C10300" t="s">
        <v>19917</v>
      </c>
      <c r="D10300" t="s">
        <v>20</v>
      </c>
      <c r="E10300" t="s">
        <v>11</v>
      </c>
      <c r="F10300">
        <v>6543.900000000001</v>
      </c>
      <c r="G10300">
        <v>18</v>
      </c>
    </row>
    <row r="10301" spans="1:7" x14ac:dyDescent="0.25">
      <c r="A10301" t="s">
        <v>41</v>
      </c>
      <c r="B10301" t="s">
        <v>11054</v>
      </c>
      <c r="C10301" t="s">
        <v>19918</v>
      </c>
      <c r="D10301" t="s">
        <v>20</v>
      </c>
      <c r="E10301" t="s">
        <v>11</v>
      </c>
      <c r="F10301">
        <v>1318.9</v>
      </c>
      <c r="G10301">
        <v>18</v>
      </c>
    </row>
    <row r="10302" spans="1:7" x14ac:dyDescent="0.25">
      <c r="A10302" t="s">
        <v>41</v>
      </c>
      <c r="B10302" t="s">
        <v>11057</v>
      </c>
      <c r="C10302" t="s">
        <v>19919</v>
      </c>
      <c r="D10302" t="s">
        <v>20</v>
      </c>
      <c r="E10302" t="s">
        <v>11</v>
      </c>
      <c r="F10302">
        <v>70.4</v>
      </c>
      <c r="G10302">
        <v>18</v>
      </c>
    </row>
    <row r="10303" spans="1:7" x14ac:dyDescent="0.25">
      <c r="A10303" t="s">
        <v>41</v>
      </c>
      <c r="B10303" t="s">
        <v>11060</v>
      </c>
      <c r="C10303" t="s">
        <v>19829</v>
      </c>
      <c r="D10303" t="s">
        <v>20</v>
      </c>
      <c r="E10303" t="s">
        <v>11</v>
      </c>
      <c r="F10303">
        <v>71.5</v>
      </c>
      <c r="G10303">
        <v>18</v>
      </c>
    </row>
    <row r="10304" spans="1:7" x14ac:dyDescent="0.25">
      <c r="A10304" t="s">
        <v>41</v>
      </c>
      <c r="B10304" t="s">
        <v>11063</v>
      </c>
      <c r="C10304" t="s">
        <v>19920</v>
      </c>
      <c r="D10304" t="s">
        <v>20</v>
      </c>
      <c r="E10304" t="s">
        <v>11</v>
      </c>
      <c r="F10304">
        <v>180.39999999999998</v>
      </c>
      <c r="G10304">
        <v>18</v>
      </c>
    </row>
    <row r="10305" spans="1:7" x14ac:dyDescent="0.25">
      <c r="A10305" t="s">
        <v>41</v>
      </c>
      <c r="B10305" t="s">
        <v>11066</v>
      </c>
      <c r="C10305" t="s">
        <v>19921</v>
      </c>
      <c r="D10305" t="s">
        <v>20</v>
      </c>
      <c r="E10305" t="s">
        <v>11</v>
      </c>
      <c r="F10305">
        <v>1411.3</v>
      </c>
      <c r="G10305">
        <v>18</v>
      </c>
    </row>
    <row r="10306" spans="1:7" x14ac:dyDescent="0.25">
      <c r="A10306" t="s">
        <v>41</v>
      </c>
      <c r="B10306" t="s">
        <v>11069</v>
      </c>
      <c r="C10306" t="s">
        <v>19922</v>
      </c>
      <c r="D10306" t="s">
        <v>20</v>
      </c>
      <c r="E10306" t="s">
        <v>11</v>
      </c>
      <c r="F10306">
        <v>2311.1000000000004</v>
      </c>
      <c r="G10306">
        <v>18</v>
      </c>
    </row>
    <row r="10307" spans="1:7" x14ac:dyDescent="0.25">
      <c r="A10307" t="s">
        <v>41</v>
      </c>
      <c r="B10307" t="s">
        <v>11072</v>
      </c>
      <c r="C10307" t="s">
        <v>19923</v>
      </c>
      <c r="D10307" t="s">
        <v>20</v>
      </c>
      <c r="E10307" t="s">
        <v>11</v>
      </c>
      <c r="F10307">
        <v>7355.700000000001</v>
      </c>
      <c r="G10307">
        <v>18</v>
      </c>
    </row>
    <row r="10308" spans="1:7" x14ac:dyDescent="0.25">
      <c r="A10308" t="s">
        <v>41</v>
      </c>
      <c r="B10308" t="s">
        <v>11075</v>
      </c>
      <c r="C10308" t="s">
        <v>19924</v>
      </c>
      <c r="D10308" t="s">
        <v>20</v>
      </c>
      <c r="E10308" t="s">
        <v>11</v>
      </c>
      <c r="F10308">
        <v>1743.5</v>
      </c>
      <c r="G10308">
        <v>18</v>
      </c>
    </row>
    <row r="10309" spans="1:7" x14ac:dyDescent="0.25">
      <c r="A10309" t="s">
        <v>41</v>
      </c>
      <c r="B10309" t="s">
        <v>11078</v>
      </c>
      <c r="C10309" t="s">
        <v>19925</v>
      </c>
      <c r="D10309" t="s">
        <v>20</v>
      </c>
      <c r="E10309" t="s">
        <v>11</v>
      </c>
      <c r="F10309">
        <v>110</v>
      </c>
      <c r="G10309">
        <v>18</v>
      </c>
    </row>
    <row r="10310" spans="1:7" x14ac:dyDescent="0.25">
      <c r="A10310" t="s">
        <v>41</v>
      </c>
      <c r="B10310" t="s">
        <v>11081</v>
      </c>
      <c r="C10310" t="s">
        <v>19926</v>
      </c>
      <c r="D10310" t="s">
        <v>20</v>
      </c>
      <c r="E10310" t="s">
        <v>11</v>
      </c>
      <c r="F10310">
        <v>3547.5</v>
      </c>
      <c r="G10310">
        <v>18</v>
      </c>
    </row>
    <row r="10311" spans="1:7" x14ac:dyDescent="0.25">
      <c r="A10311" t="s">
        <v>41</v>
      </c>
      <c r="B10311" t="s">
        <v>11084</v>
      </c>
      <c r="C10311" t="s">
        <v>19927</v>
      </c>
      <c r="D10311" t="s">
        <v>20</v>
      </c>
      <c r="E10311" t="s">
        <v>11</v>
      </c>
      <c r="F10311">
        <v>4919.2</v>
      </c>
      <c r="G10311">
        <v>18</v>
      </c>
    </row>
    <row r="10312" spans="1:7" x14ac:dyDescent="0.25">
      <c r="A10312" t="s">
        <v>41</v>
      </c>
      <c r="B10312" t="s">
        <v>11087</v>
      </c>
      <c r="C10312" t="s">
        <v>19928</v>
      </c>
      <c r="D10312" t="s">
        <v>20</v>
      </c>
      <c r="E10312" t="s">
        <v>11</v>
      </c>
      <c r="F10312">
        <v>1944.8</v>
      </c>
      <c r="G10312">
        <v>18</v>
      </c>
    </row>
    <row r="10313" spans="1:7" x14ac:dyDescent="0.25">
      <c r="A10313" t="s">
        <v>41</v>
      </c>
      <c r="B10313" t="s">
        <v>11090</v>
      </c>
      <c r="C10313" t="s">
        <v>19929</v>
      </c>
      <c r="D10313" t="s">
        <v>20</v>
      </c>
      <c r="E10313" t="s">
        <v>11</v>
      </c>
      <c r="F10313">
        <v>8123.499999999999</v>
      </c>
      <c r="G10313">
        <v>18</v>
      </c>
    </row>
    <row r="10314" spans="1:7" x14ac:dyDescent="0.25">
      <c r="A10314" t="s">
        <v>41</v>
      </c>
      <c r="B10314" t="s">
        <v>11093</v>
      </c>
      <c r="C10314" t="s">
        <v>19930</v>
      </c>
      <c r="D10314" t="s">
        <v>20</v>
      </c>
      <c r="E10314" t="s">
        <v>11</v>
      </c>
      <c r="F10314">
        <v>8418.3</v>
      </c>
      <c r="G10314">
        <v>18</v>
      </c>
    </row>
    <row r="10315" spans="1:7" x14ac:dyDescent="0.25">
      <c r="A10315" t="s">
        <v>41</v>
      </c>
      <c r="B10315" t="s">
        <v>11096</v>
      </c>
      <c r="C10315" t="s">
        <v>19931</v>
      </c>
      <c r="D10315" t="s">
        <v>20</v>
      </c>
      <c r="E10315" t="s">
        <v>11</v>
      </c>
      <c r="F10315">
        <v>1803.9999999999998</v>
      </c>
      <c r="G10315">
        <v>18</v>
      </c>
    </row>
    <row r="10316" spans="1:7" x14ac:dyDescent="0.25">
      <c r="A10316" t="s">
        <v>41</v>
      </c>
      <c r="B10316" t="s">
        <v>11099</v>
      </c>
      <c r="C10316" t="s">
        <v>19932</v>
      </c>
      <c r="D10316" t="s">
        <v>20</v>
      </c>
      <c r="E10316" t="s">
        <v>11</v>
      </c>
      <c r="F10316">
        <v>1803.9999999999998</v>
      </c>
      <c r="G10316">
        <v>18</v>
      </c>
    </row>
    <row r="10317" spans="1:7" x14ac:dyDescent="0.25">
      <c r="A10317" t="s">
        <v>41</v>
      </c>
      <c r="B10317" t="s">
        <v>11102</v>
      </c>
      <c r="C10317" t="s">
        <v>19933</v>
      </c>
      <c r="D10317" t="s">
        <v>20</v>
      </c>
      <c r="E10317" t="s">
        <v>11</v>
      </c>
      <c r="F10317">
        <v>110</v>
      </c>
      <c r="G10317">
        <v>18</v>
      </c>
    </row>
    <row r="10318" spans="1:7" x14ac:dyDescent="0.25">
      <c r="A10318" t="s">
        <v>41</v>
      </c>
      <c r="B10318" t="s">
        <v>11105</v>
      </c>
      <c r="C10318" t="s">
        <v>19934</v>
      </c>
      <c r="D10318" t="s">
        <v>20</v>
      </c>
      <c r="E10318" t="s">
        <v>11</v>
      </c>
      <c r="F10318">
        <v>136.4</v>
      </c>
      <c r="G10318">
        <v>18</v>
      </c>
    </row>
    <row r="10319" spans="1:7" x14ac:dyDescent="0.25">
      <c r="A10319" t="s">
        <v>41</v>
      </c>
      <c r="B10319" t="s">
        <v>11108</v>
      </c>
      <c r="C10319" t="s">
        <v>19726</v>
      </c>
      <c r="D10319" t="s">
        <v>20</v>
      </c>
      <c r="E10319" t="s">
        <v>11</v>
      </c>
      <c r="F10319">
        <v>57.2</v>
      </c>
      <c r="G10319">
        <v>18</v>
      </c>
    </row>
    <row r="10320" spans="1:7" x14ac:dyDescent="0.25">
      <c r="A10320" t="s">
        <v>41</v>
      </c>
      <c r="B10320" t="s">
        <v>11111</v>
      </c>
      <c r="C10320" t="s">
        <v>19829</v>
      </c>
      <c r="D10320" t="s">
        <v>20</v>
      </c>
      <c r="E10320" t="s">
        <v>11</v>
      </c>
      <c r="F10320">
        <v>71.5</v>
      </c>
      <c r="G10320">
        <v>18</v>
      </c>
    </row>
    <row r="10321" spans="1:7" x14ac:dyDescent="0.25">
      <c r="A10321" t="s">
        <v>41</v>
      </c>
      <c r="B10321" t="s">
        <v>11114</v>
      </c>
      <c r="C10321" t="s">
        <v>19935</v>
      </c>
      <c r="D10321" t="s">
        <v>20</v>
      </c>
      <c r="E10321" t="s">
        <v>11</v>
      </c>
      <c r="F10321">
        <v>313.5</v>
      </c>
      <c r="G10321">
        <v>18</v>
      </c>
    </row>
    <row r="10322" spans="1:7" x14ac:dyDescent="0.25">
      <c r="A10322" t="s">
        <v>41</v>
      </c>
      <c r="B10322" t="s">
        <v>11117</v>
      </c>
      <c r="C10322" t="s">
        <v>19936</v>
      </c>
      <c r="D10322" t="s">
        <v>20</v>
      </c>
      <c r="E10322" t="s">
        <v>11</v>
      </c>
      <c r="F10322">
        <v>6943.2</v>
      </c>
      <c r="G10322">
        <v>18</v>
      </c>
    </row>
    <row r="10323" spans="1:7" x14ac:dyDescent="0.25">
      <c r="A10323" t="s">
        <v>41</v>
      </c>
      <c r="B10323" t="s">
        <v>11120</v>
      </c>
      <c r="C10323" t="s">
        <v>18901</v>
      </c>
      <c r="D10323" t="s">
        <v>20</v>
      </c>
      <c r="E10323" t="s">
        <v>11</v>
      </c>
      <c r="F10323">
        <v>3162.5</v>
      </c>
      <c r="G10323">
        <v>18</v>
      </c>
    </row>
    <row r="10324" spans="1:7" x14ac:dyDescent="0.25">
      <c r="A10324" t="s">
        <v>41</v>
      </c>
      <c r="B10324" t="s">
        <v>11123</v>
      </c>
      <c r="C10324" t="s">
        <v>19937</v>
      </c>
      <c r="D10324" t="s">
        <v>20</v>
      </c>
      <c r="E10324" t="s">
        <v>11</v>
      </c>
      <c r="F10324">
        <v>105.6</v>
      </c>
      <c r="G10324">
        <v>18</v>
      </c>
    </row>
    <row r="10325" spans="1:7" x14ac:dyDescent="0.25">
      <c r="A10325" t="s">
        <v>41</v>
      </c>
      <c r="B10325" t="s">
        <v>11126</v>
      </c>
      <c r="C10325" t="s">
        <v>18904</v>
      </c>
      <c r="D10325" t="s">
        <v>20</v>
      </c>
      <c r="E10325" t="s">
        <v>11</v>
      </c>
      <c r="F10325">
        <v>1243</v>
      </c>
      <c r="G10325">
        <v>18</v>
      </c>
    </row>
    <row r="10326" spans="1:7" x14ac:dyDescent="0.25">
      <c r="A10326" t="s">
        <v>41</v>
      </c>
      <c r="B10326" t="s">
        <v>11129</v>
      </c>
      <c r="C10326" t="s">
        <v>19938</v>
      </c>
      <c r="D10326" t="s">
        <v>20</v>
      </c>
      <c r="E10326" t="s">
        <v>11</v>
      </c>
      <c r="F10326">
        <v>61.60000000000001</v>
      </c>
      <c r="G10326">
        <v>18</v>
      </c>
    </row>
    <row r="10327" spans="1:7" x14ac:dyDescent="0.25">
      <c r="A10327" t="s">
        <v>41</v>
      </c>
      <c r="B10327" t="s">
        <v>11132</v>
      </c>
      <c r="C10327" t="s">
        <v>19397</v>
      </c>
      <c r="D10327" t="s">
        <v>20</v>
      </c>
      <c r="E10327" t="s">
        <v>11</v>
      </c>
      <c r="F10327">
        <v>355.3</v>
      </c>
      <c r="G10327">
        <v>18</v>
      </c>
    </row>
    <row r="10328" spans="1:7" x14ac:dyDescent="0.25">
      <c r="A10328" t="s">
        <v>41</v>
      </c>
      <c r="B10328" t="s">
        <v>11135</v>
      </c>
      <c r="C10328" t="s">
        <v>19939</v>
      </c>
      <c r="D10328" t="s">
        <v>20</v>
      </c>
      <c r="E10328" t="s">
        <v>11</v>
      </c>
      <c r="F10328">
        <v>7092.8</v>
      </c>
      <c r="G10328">
        <v>18</v>
      </c>
    </row>
    <row r="10329" spans="1:7" x14ac:dyDescent="0.25">
      <c r="A10329" t="s">
        <v>41</v>
      </c>
      <c r="B10329" t="s">
        <v>11138</v>
      </c>
      <c r="C10329" t="s">
        <v>19940</v>
      </c>
      <c r="D10329" t="s">
        <v>20</v>
      </c>
      <c r="E10329" t="s">
        <v>11</v>
      </c>
      <c r="F10329">
        <v>4726.7</v>
      </c>
      <c r="G10329">
        <v>18</v>
      </c>
    </row>
    <row r="10330" spans="1:7" x14ac:dyDescent="0.25">
      <c r="A10330" t="s">
        <v>41</v>
      </c>
      <c r="B10330" t="s">
        <v>11141</v>
      </c>
      <c r="C10330" t="s">
        <v>19941</v>
      </c>
      <c r="D10330" t="s">
        <v>20</v>
      </c>
      <c r="E10330" t="s">
        <v>11</v>
      </c>
      <c r="F10330">
        <v>4726.7</v>
      </c>
      <c r="G10330">
        <v>18</v>
      </c>
    </row>
    <row r="10331" spans="1:7" x14ac:dyDescent="0.25">
      <c r="A10331" t="s">
        <v>41</v>
      </c>
      <c r="B10331" t="s">
        <v>11144</v>
      </c>
      <c r="C10331" t="s">
        <v>19942</v>
      </c>
      <c r="D10331" t="s">
        <v>20</v>
      </c>
      <c r="E10331" t="s">
        <v>11</v>
      </c>
      <c r="F10331">
        <v>457.6</v>
      </c>
      <c r="G10331">
        <v>18</v>
      </c>
    </row>
    <row r="10332" spans="1:7" x14ac:dyDescent="0.25">
      <c r="A10332" t="s">
        <v>41</v>
      </c>
      <c r="B10332" t="s">
        <v>11147</v>
      </c>
      <c r="C10332" t="s">
        <v>19943</v>
      </c>
      <c r="D10332" t="s">
        <v>20</v>
      </c>
      <c r="E10332" t="s">
        <v>11</v>
      </c>
      <c r="F10332">
        <v>228.8</v>
      </c>
      <c r="G10332">
        <v>18</v>
      </c>
    </row>
    <row r="10333" spans="1:7" x14ac:dyDescent="0.25">
      <c r="A10333" t="s">
        <v>41</v>
      </c>
      <c r="B10333" t="s">
        <v>11150</v>
      </c>
      <c r="C10333" t="s">
        <v>19944</v>
      </c>
      <c r="D10333" t="s">
        <v>20</v>
      </c>
      <c r="E10333" t="s">
        <v>11</v>
      </c>
      <c r="F10333">
        <v>309.1</v>
      </c>
      <c r="G10333">
        <v>18</v>
      </c>
    </row>
    <row r="10334" spans="1:7" x14ac:dyDescent="0.25">
      <c r="A10334" t="s">
        <v>41</v>
      </c>
      <c r="B10334" t="s">
        <v>11153</v>
      </c>
      <c r="C10334" t="s">
        <v>19681</v>
      </c>
      <c r="D10334" t="s">
        <v>20</v>
      </c>
      <c r="E10334" t="s">
        <v>11</v>
      </c>
      <c r="F10334">
        <v>92.39999999999999</v>
      </c>
      <c r="G10334">
        <v>18</v>
      </c>
    </row>
    <row r="10335" spans="1:7" x14ac:dyDescent="0.25">
      <c r="A10335" t="s">
        <v>41</v>
      </c>
      <c r="B10335" t="s">
        <v>11156</v>
      </c>
      <c r="C10335" t="s">
        <v>18927</v>
      </c>
      <c r="D10335" t="s">
        <v>20</v>
      </c>
      <c r="E10335" t="s">
        <v>11</v>
      </c>
      <c r="F10335">
        <v>220</v>
      </c>
      <c r="G10335">
        <v>18</v>
      </c>
    </row>
    <row r="10336" spans="1:7" x14ac:dyDescent="0.25">
      <c r="A10336" t="s">
        <v>41</v>
      </c>
      <c r="B10336" t="s">
        <v>11159</v>
      </c>
      <c r="C10336" t="s">
        <v>17747</v>
      </c>
      <c r="D10336" t="s">
        <v>20</v>
      </c>
      <c r="E10336" t="s">
        <v>11</v>
      </c>
      <c r="F10336">
        <v>70.4</v>
      </c>
      <c r="G10336">
        <v>18</v>
      </c>
    </row>
    <row r="10337" spans="1:7" x14ac:dyDescent="0.25">
      <c r="A10337" t="s">
        <v>41</v>
      </c>
      <c r="B10337" t="s">
        <v>11162</v>
      </c>
      <c r="C10337" t="s">
        <v>19945</v>
      </c>
      <c r="D10337" t="s">
        <v>20</v>
      </c>
      <c r="E10337" t="s">
        <v>11</v>
      </c>
      <c r="F10337">
        <v>667.7</v>
      </c>
      <c r="G10337">
        <v>18</v>
      </c>
    </row>
    <row r="10338" spans="1:7" x14ac:dyDescent="0.25">
      <c r="A10338" t="s">
        <v>41</v>
      </c>
      <c r="B10338" t="s">
        <v>11165</v>
      </c>
      <c r="C10338" t="s">
        <v>19929</v>
      </c>
      <c r="D10338" t="s">
        <v>20</v>
      </c>
      <c r="E10338" t="s">
        <v>11</v>
      </c>
      <c r="F10338">
        <v>8236.8</v>
      </c>
      <c r="G10338">
        <v>18</v>
      </c>
    </row>
    <row r="10339" spans="1:7" x14ac:dyDescent="0.25">
      <c r="A10339" t="s">
        <v>41</v>
      </c>
      <c r="B10339" t="s">
        <v>11168</v>
      </c>
      <c r="C10339" t="s">
        <v>19939</v>
      </c>
      <c r="D10339" t="s">
        <v>20</v>
      </c>
      <c r="E10339" t="s">
        <v>11</v>
      </c>
      <c r="F10339">
        <v>7092.8</v>
      </c>
      <c r="G10339">
        <v>18</v>
      </c>
    </row>
    <row r="10340" spans="1:7" x14ac:dyDescent="0.25">
      <c r="A10340" t="s">
        <v>41</v>
      </c>
      <c r="B10340" t="s">
        <v>11171</v>
      </c>
      <c r="C10340" t="s">
        <v>19930</v>
      </c>
      <c r="D10340" t="s">
        <v>20</v>
      </c>
      <c r="E10340" t="s">
        <v>11</v>
      </c>
      <c r="F10340">
        <v>8694.400000000001</v>
      </c>
      <c r="G10340">
        <v>18</v>
      </c>
    </row>
    <row r="10341" spans="1:7" x14ac:dyDescent="0.25">
      <c r="A10341" t="s">
        <v>41</v>
      </c>
      <c r="B10341" t="s">
        <v>11174</v>
      </c>
      <c r="C10341" t="s">
        <v>19946</v>
      </c>
      <c r="D10341" t="s">
        <v>20</v>
      </c>
      <c r="E10341" t="s">
        <v>11</v>
      </c>
      <c r="F10341">
        <v>22884.399999999998</v>
      </c>
      <c r="G10341">
        <v>18</v>
      </c>
    </row>
    <row r="10342" spans="1:7" x14ac:dyDescent="0.25">
      <c r="A10342" t="s">
        <v>41</v>
      </c>
      <c r="B10342" t="s">
        <v>11177</v>
      </c>
      <c r="C10342" t="s">
        <v>19947</v>
      </c>
      <c r="D10342" t="s">
        <v>20</v>
      </c>
      <c r="E10342" t="s">
        <v>11</v>
      </c>
      <c r="F10342">
        <v>906.4</v>
      </c>
      <c r="G10342">
        <v>18</v>
      </c>
    </row>
    <row r="10343" spans="1:7" x14ac:dyDescent="0.25">
      <c r="A10343" t="s">
        <v>41</v>
      </c>
      <c r="B10343" t="s">
        <v>11180</v>
      </c>
      <c r="C10343" t="s">
        <v>19948</v>
      </c>
      <c r="D10343" t="s">
        <v>20</v>
      </c>
      <c r="E10343" t="s">
        <v>11</v>
      </c>
      <c r="F10343">
        <v>48274.6</v>
      </c>
      <c r="G10343">
        <v>18</v>
      </c>
    </row>
    <row r="10344" spans="1:7" x14ac:dyDescent="0.25">
      <c r="A10344" t="s">
        <v>41</v>
      </c>
      <c r="B10344" t="s">
        <v>11183</v>
      </c>
      <c r="C10344" t="s">
        <v>19949</v>
      </c>
      <c r="D10344" t="s">
        <v>20</v>
      </c>
      <c r="E10344" t="s">
        <v>11</v>
      </c>
      <c r="F10344">
        <v>46904</v>
      </c>
      <c r="G10344">
        <v>18</v>
      </c>
    </row>
    <row r="10345" spans="1:7" x14ac:dyDescent="0.25">
      <c r="A10345" t="s">
        <v>41</v>
      </c>
      <c r="B10345" t="s">
        <v>11186</v>
      </c>
      <c r="C10345" t="s">
        <v>19950</v>
      </c>
      <c r="D10345" t="s">
        <v>20</v>
      </c>
      <c r="E10345" t="s">
        <v>11</v>
      </c>
      <c r="F10345">
        <v>212.29999999999998</v>
      </c>
      <c r="G10345">
        <v>18</v>
      </c>
    </row>
    <row r="10346" spans="1:7" x14ac:dyDescent="0.25">
      <c r="A10346" t="s">
        <v>41</v>
      </c>
      <c r="B10346" t="s">
        <v>11189</v>
      </c>
      <c r="C10346" t="s">
        <v>19100</v>
      </c>
      <c r="D10346" t="s">
        <v>20</v>
      </c>
      <c r="E10346" t="s">
        <v>11</v>
      </c>
      <c r="F10346">
        <v>114.4</v>
      </c>
      <c r="G10346">
        <v>18</v>
      </c>
    </row>
    <row r="10347" spans="1:7" x14ac:dyDescent="0.25">
      <c r="A10347" t="s">
        <v>41</v>
      </c>
      <c r="B10347" t="s">
        <v>11192</v>
      </c>
      <c r="C10347" t="s">
        <v>19726</v>
      </c>
      <c r="D10347" t="s">
        <v>20</v>
      </c>
      <c r="E10347" t="s">
        <v>11</v>
      </c>
      <c r="F10347">
        <v>57.2</v>
      </c>
      <c r="G10347">
        <v>18</v>
      </c>
    </row>
    <row r="10348" spans="1:7" x14ac:dyDescent="0.25">
      <c r="A10348" t="s">
        <v>41</v>
      </c>
      <c r="B10348" t="s">
        <v>11195</v>
      </c>
      <c r="C10348" t="s">
        <v>19951</v>
      </c>
      <c r="D10348" t="s">
        <v>20</v>
      </c>
      <c r="E10348" t="s">
        <v>11</v>
      </c>
      <c r="F10348">
        <v>80.3</v>
      </c>
      <c r="G10348">
        <v>18</v>
      </c>
    </row>
    <row r="10349" spans="1:7" x14ac:dyDescent="0.25">
      <c r="A10349" t="s">
        <v>41</v>
      </c>
      <c r="B10349" t="s">
        <v>11198</v>
      </c>
      <c r="C10349" t="s">
        <v>17819</v>
      </c>
      <c r="D10349" t="s">
        <v>20</v>
      </c>
      <c r="E10349" t="s">
        <v>11</v>
      </c>
      <c r="F10349">
        <v>79.2</v>
      </c>
      <c r="G10349">
        <v>18</v>
      </c>
    </row>
    <row r="10350" spans="1:7" x14ac:dyDescent="0.25">
      <c r="A10350" t="s">
        <v>41</v>
      </c>
      <c r="B10350" t="s">
        <v>11201</v>
      </c>
      <c r="C10350" t="s">
        <v>19946</v>
      </c>
      <c r="D10350" t="s">
        <v>20</v>
      </c>
      <c r="E10350" t="s">
        <v>11</v>
      </c>
      <c r="F10350">
        <v>23452</v>
      </c>
      <c r="G10350">
        <v>18</v>
      </c>
    </row>
    <row r="10351" spans="1:7" x14ac:dyDescent="0.25">
      <c r="A10351" t="s">
        <v>41</v>
      </c>
      <c r="B10351" t="s">
        <v>11204</v>
      </c>
      <c r="C10351" t="s">
        <v>19952</v>
      </c>
      <c r="D10351" t="s">
        <v>20</v>
      </c>
      <c r="E10351" t="s">
        <v>11</v>
      </c>
      <c r="F10351">
        <v>1453.1000000000001</v>
      </c>
      <c r="G10351">
        <v>18</v>
      </c>
    </row>
    <row r="10352" spans="1:7" x14ac:dyDescent="0.25">
      <c r="A10352" t="s">
        <v>41</v>
      </c>
      <c r="B10352" t="s">
        <v>11207</v>
      </c>
      <c r="C10352" t="s">
        <v>19953</v>
      </c>
      <c r="D10352" t="s">
        <v>20</v>
      </c>
      <c r="E10352" t="s">
        <v>11</v>
      </c>
      <c r="F10352">
        <v>376.2</v>
      </c>
      <c r="G10352">
        <v>18</v>
      </c>
    </row>
    <row r="10353" spans="1:7" x14ac:dyDescent="0.25">
      <c r="A10353" t="s">
        <v>41</v>
      </c>
      <c r="B10353" t="s">
        <v>11210</v>
      </c>
      <c r="C10353" t="s">
        <v>19954</v>
      </c>
      <c r="D10353" t="s">
        <v>20</v>
      </c>
      <c r="E10353" t="s">
        <v>11</v>
      </c>
      <c r="F10353">
        <v>110</v>
      </c>
      <c r="G10353">
        <v>18</v>
      </c>
    </row>
    <row r="10354" spans="1:7" x14ac:dyDescent="0.25">
      <c r="A10354" t="s">
        <v>41</v>
      </c>
      <c r="B10354" t="s">
        <v>11213</v>
      </c>
      <c r="C10354" t="s">
        <v>19955</v>
      </c>
      <c r="D10354" t="s">
        <v>20</v>
      </c>
      <c r="E10354" t="s">
        <v>11</v>
      </c>
      <c r="F10354">
        <v>70.4</v>
      </c>
      <c r="G10354">
        <v>18</v>
      </c>
    </row>
    <row r="10355" spans="1:7" x14ac:dyDescent="0.25">
      <c r="A10355" t="s">
        <v>41</v>
      </c>
      <c r="B10355" t="s">
        <v>11216</v>
      </c>
      <c r="C10355" t="s">
        <v>19956</v>
      </c>
      <c r="D10355" t="s">
        <v>20</v>
      </c>
      <c r="E10355" t="s">
        <v>11</v>
      </c>
      <c r="F10355">
        <v>964.6999999999999</v>
      </c>
      <c r="G10355">
        <v>18</v>
      </c>
    </row>
    <row r="10356" spans="1:7" x14ac:dyDescent="0.25">
      <c r="A10356" t="s">
        <v>41</v>
      </c>
      <c r="B10356" t="s">
        <v>11219</v>
      </c>
      <c r="C10356" t="s">
        <v>17784</v>
      </c>
      <c r="D10356" t="s">
        <v>20</v>
      </c>
      <c r="E10356" t="s">
        <v>11</v>
      </c>
      <c r="F10356">
        <v>1103.3</v>
      </c>
      <c r="G10356">
        <v>18</v>
      </c>
    </row>
    <row r="10357" spans="1:7" x14ac:dyDescent="0.25">
      <c r="A10357" t="s">
        <v>41</v>
      </c>
      <c r="B10357" t="s">
        <v>11222</v>
      </c>
      <c r="C10357" t="s">
        <v>19683</v>
      </c>
      <c r="D10357" t="s">
        <v>20</v>
      </c>
      <c r="E10357" t="s">
        <v>11</v>
      </c>
      <c r="F10357">
        <v>80.3</v>
      </c>
      <c r="G10357">
        <v>18</v>
      </c>
    </row>
    <row r="10358" spans="1:7" x14ac:dyDescent="0.25">
      <c r="A10358" t="s">
        <v>41</v>
      </c>
      <c r="B10358" t="s">
        <v>11225</v>
      </c>
      <c r="C10358" t="s">
        <v>19957</v>
      </c>
      <c r="D10358" t="s">
        <v>20</v>
      </c>
      <c r="E10358" t="s">
        <v>11</v>
      </c>
      <c r="F10358">
        <v>6234.8</v>
      </c>
      <c r="G10358">
        <v>18</v>
      </c>
    </row>
    <row r="10359" spans="1:7" x14ac:dyDescent="0.25">
      <c r="A10359" t="s">
        <v>41</v>
      </c>
      <c r="B10359" t="s">
        <v>11228</v>
      </c>
      <c r="C10359" t="s">
        <v>19958</v>
      </c>
      <c r="D10359" t="s">
        <v>20</v>
      </c>
      <c r="E10359" t="s">
        <v>11</v>
      </c>
      <c r="F10359">
        <v>1776.4999999999998</v>
      </c>
      <c r="G10359">
        <v>18</v>
      </c>
    </row>
    <row r="10360" spans="1:7" x14ac:dyDescent="0.25">
      <c r="A10360" t="s">
        <v>41</v>
      </c>
      <c r="B10360" t="s">
        <v>11231</v>
      </c>
      <c r="C10360" t="s">
        <v>19914</v>
      </c>
      <c r="D10360" t="s">
        <v>20</v>
      </c>
      <c r="E10360" t="s">
        <v>11</v>
      </c>
      <c r="F10360">
        <v>43848.2</v>
      </c>
      <c r="G10360">
        <v>18</v>
      </c>
    </row>
    <row r="10361" spans="1:7" x14ac:dyDescent="0.25">
      <c r="A10361" t="s">
        <v>41</v>
      </c>
      <c r="B10361" t="s">
        <v>11234</v>
      </c>
      <c r="C10361" t="s">
        <v>19959</v>
      </c>
      <c r="D10361" t="s">
        <v>20</v>
      </c>
      <c r="E10361" t="s">
        <v>11</v>
      </c>
      <c r="F10361">
        <v>4515.5</v>
      </c>
      <c r="G10361">
        <v>18</v>
      </c>
    </row>
    <row r="10362" spans="1:7" x14ac:dyDescent="0.25">
      <c r="A10362" t="s">
        <v>41</v>
      </c>
      <c r="B10362" t="s">
        <v>11237</v>
      </c>
      <c r="C10362" t="s">
        <v>19960</v>
      </c>
      <c r="D10362" t="s">
        <v>20</v>
      </c>
      <c r="E10362" t="s">
        <v>11</v>
      </c>
      <c r="F10362">
        <v>110</v>
      </c>
      <c r="G10362">
        <v>18</v>
      </c>
    </row>
    <row r="10363" spans="1:7" x14ac:dyDescent="0.25">
      <c r="A10363" t="s">
        <v>41</v>
      </c>
      <c r="B10363" t="s">
        <v>11240</v>
      </c>
      <c r="C10363" t="s">
        <v>19961</v>
      </c>
      <c r="D10363" t="s">
        <v>20</v>
      </c>
      <c r="E10363" t="s">
        <v>11</v>
      </c>
      <c r="F10363">
        <v>1023.0000000000001</v>
      </c>
      <c r="G10363">
        <v>18</v>
      </c>
    </row>
    <row r="10364" spans="1:7" x14ac:dyDescent="0.25">
      <c r="A10364" t="s">
        <v>41</v>
      </c>
      <c r="B10364" t="s">
        <v>11243</v>
      </c>
      <c r="C10364" t="s">
        <v>19962</v>
      </c>
      <c r="D10364" t="s">
        <v>20</v>
      </c>
      <c r="E10364" t="s">
        <v>11</v>
      </c>
      <c r="F10364">
        <v>3621.2000000000003</v>
      </c>
      <c r="G10364">
        <v>18</v>
      </c>
    </row>
    <row r="10365" spans="1:7" x14ac:dyDescent="0.25">
      <c r="A10365" t="s">
        <v>41</v>
      </c>
      <c r="B10365" t="s">
        <v>11246</v>
      </c>
      <c r="C10365" t="s">
        <v>19963</v>
      </c>
      <c r="D10365" t="s">
        <v>20</v>
      </c>
      <c r="E10365" t="s">
        <v>11</v>
      </c>
      <c r="F10365">
        <v>407</v>
      </c>
      <c r="G10365">
        <v>18</v>
      </c>
    </row>
    <row r="10366" spans="1:7" x14ac:dyDescent="0.25">
      <c r="A10366" t="s">
        <v>41</v>
      </c>
      <c r="B10366" t="s">
        <v>11249</v>
      </c>
      <c r="C10366" t="s">
        <v>19776</v>
      </c>
      <c r="D10366" t="s">
        <v>20</v>
      </c>
      <c r="E10366" t="s">
        <v>11</v>
      </c>
      <c r="F10366">
        <v>80.3</v>
      </c>
      <c r="G10366">
        <v>18</v>
      </c>
    </row>
    <row r="10367" spans="1:7" x14ac:dyDescent="0.25">
      <c r="A10367" t="s">
        <v>41</v>
      </c>
      <c r="B10367" t="s">
        <v>11252</v>
      </c>
      <c r="C10367" t="s">
        <v>19964</v>
      </c>
      <c r="D10367" t="s">
        <v>20</v>
      </c>
      <c r="E10367" t="s">
        <v>11</v>
      </c>
      <c r="F10367">
        <v>858</v>
      </c>
      <c r="G10367">
        <v>18</v>
      </c>
    </row>
    <row r="10368" spans="1:7" x14ac:dyDescent="0.25">
      <c r="A10368" t="s">
        <v>41</v>
      </c>
      <c r="B10368" t="s">
        <v>11255</v>
      </c>
      <c r="C10368" t="s">
        <v>18631</v>
      </c>
      <c r="D10368" t="s">
        <v>20</v>
      </c>
      <c r="E10368" t="s">
        <v>11</v>
      </c>
      <c r="F10368">
        <v>357.5</v>
      </c>
      <c r="G10368">
        <v>18</v>
      </c>
    </row>
    <row r="10369" spans="1:7" x14ac:dyDescent="0.25">
      <c r="A10369" t="s">
        <v>41</v>
      </c>
      <c r="B10369" t="s">
        <v>11258</v>
      </c>
      <c r="C10369" t="s">
        <v>19965</v>
      </c>
      <c r="D10369" t="s">
        <v>20</v>
      </c>
      <c r="E10369" t="s">
        <v>11</v>
      </c>
      <c r="F10369">
        <v>950.4000000000001</v>
      </c>
      <c r="G10369">
        <v>18</v>
      </c>
    </row>
    <row r="10370" spans="1:7" x14ac:dyDescent="0.25">
      <c r="A10370" t="s">
        <v>41</v>
      </c>
      <c r="B10370" t="s">
        <v>11261</v>
      </c>
      <c r="C10370" t="s">
        <v>19966</v>
      </c>
      <c r="D10370" t="s">
        <v>20</v>
      </c>
      <c r="E10370" t="s">
        <v>11</v>
      </c>
      <c r="F10370">
        <v>1912.9</v>
      </c>
      <c r="G10370">
        <v>18</v>
      </c>
    </row>
    <row r="10371" spans="1:7" x14ac:dyDescent="0.25">
      <c r="A10371" t="s">
        <v>41</v>
      </c>
      <c r="B10371" t="s">
        <v>11264</v>
      </c>
      <c r="C10371" t="s">
        <v>19725</v>
      </c>
      <c r="D10371" t="s">
        <v>20</v>
      </c>
      <c r="E10371" t="s">
        <v>11</v>
      </c>
      <c r="F10371">
        <v>70.4</v>
      </c>
      <c r="G10371">
        <v>18</v>
      </c>
    </row>
    <row r="10372" spans="1:7" x14ac:dyDescent="0.25">
      <c r="A10372" t="s">
        <v>41</v>
      </c>
      <c r="B10372" t="s">
        <v>11267</v>
      </c>
      <c r="C10372" t="s">
        <v>19967</v>
      </c>
      <c r="D10372" t="s">
        <v>20</v>
      </c>
      <c r="E10372" t="s">
        <v>11</v>
      </c>
      <c r="F10372">
        <v>641.3</v>
      </c>
      <c r="G10372">
        <v>18</v>
      </c>
    </row>
    <row r="10373" spans="1:7" x14ac:dyDescent="0.25">
      <c r="A10373" t="s">
        <v>41</v>
      </c>
      <c r="B10373" t="s">
        <v>11270</v>
      </c>
      <c r="C10373" t="s">
        <v>19968</v>
      </c>
      <c r="D10373" t="s">
        <v>20</v>
      </c>
      <c r="E10373" t="s">
        <v>11</v>
      </c>
      <c r="F10373">
        <v>80.3</v>
      </c>
      <c r="G10373">
        <v>18</v>
      </c>
    </row>
    <row r="10374" spans="1:7" x14ac:dyDescent="0.25">
      <c r="A10374" t="s">
        <v>41</v>
      </c>
      <c r="B10374" t="s">
        <v>11273</v>
      </c>
      <c r="C10374" t="s">
        <v>18373</v>
      </c>
      <c r="D10374" t="s">
        <v>20</v>
      </c>
      <c r="E10374" t="s">
        <v>11</v>
      </c>
      <c r="F10374">
        <v>70.4</v>
      </c>
      <c r="G10374">
        <v>18</v>
      </c>
    </row>
    <row r="10375" spans="1:7" x14ac:dyDescent="0.25">
      <c r="A10375" t="s">
        <v>41</v>
      </c>
      <c r="B10375" t="s">
        <v>11276</v>
      </c>
      <c r="C10375" t="s">
        <v>18155</v>
      </c>
      <c r="D10375" t="s">
        <v>20</v>
      </c>
      <c r="E10375" t="s">
        <v>11</v>
      </c>
      <c r="F10375">
        <v>70.4</v>
      </c>
      <c r="G10375">
        <v>18</v>
      </c>
    </row>
    <row r="10376" spans="1:7" x14ac:dyDescent="0.25">
      <c r="A10376" t="s">
        <v>41</v>
      </c>
      <c r="B10376" t="s">
        <v>11279</v>
      </c>
      <c r="C10376" t="s">
        <v>17654</v>
      </c>
      <c r="D10376" t="s">
        <v>20</v>
      </c>
      <c r="E10376" t="s">
        <v>11</v>
      </c>
      <c r="F10376">
        <v>57.2</v>
      </c>
      <c r="G10376">
        <v>18</v>
      </c>
    </row>
    <row r="10377" spans="1:7" x14ac:dyDescent="0.25">
      <c r="A10377" t="s">
        <v>41</v>
      </c>
      <c r="B10377" t="s">
        <v>11282</v>
      </c>
      <c r="C10377" t="s">
        <v>18231</v>
      </c>
      <c r="D10377" t="s">
        <v>20</v>
      </c>
      <c r="E10377" t="s">
        <v>11</v>
      </c>
      <c r="F10377">
        <v>58.300000000000004</v>
      </c>
      <c r="G10377">
        <v>18</v>
      </c>
    </row>
    <row r="10378" spans="1:7" x14ac:dyDescent="0.25">
      <c r="A10378" t="s">
        <v>41</v>
      </c>
      <c r="B10378" t="s">
        <v>11285</v>
      </c>
      <c r="C10378" t="s">
        <v>19969</v>
      </c>
      <c r="D10378" t="s">
        <v>20</v>
      </c>
      <c r="E10378" t="s">
        <v>11</v>
      </c>
      <c r="F10378">
        <v>2173.6000000000004</v>
      </c>
      <c r="G10378">
        <v>18</v>
      </c>
    </row>
    <row r="10379" spans="1:7" x14ac:dyDescent="0.25">
      <c r="A10379" t="s">
        <v>41</v>
      </c>
      <c r="B10379" t="s">
        <v>11288</v>
      </c>
      <c r="C10379" t="s">
        <v>19970</v>
      </c>
      <c r="D10379" t="s">
        <v>20</v>
      </c>
      <c r="E10379" t="s">
        <v>11</v>
      </c>
      <c r="F10379">
        <v>4347.200000000001</v>
      </c>
      <c r="G10379">
        <v>18</v>
      </c>
    </row>
    <row r="10380" spans="1:7" x14ac:dyDescent="0.25">
      <c r="A10380" t="s">
        <v>41</v>
      </c>
      <c r="B10380" t="s">
        <v>11291</v>
      </c>
      <c r="C10380" t="s">
        <v>19971</v>
      </c>
      <c r="D10380" t="s">
        <v>20</v>
      </c>
      <c r="E10380" t="s">
        <v>11</v>
      </c>
      <c r="F10380">
        <v>909.6999999999999</v>
      </c>
      <c r="G10380">
        <v>18</v>
      </c>
    </row>
    <row r="10381" spans="1:7" x14ac:dyDescent="0.25">
      <c r="A10381" t="s">
        <v>41</v>
      </c>
      <c r="B10381" t="s">
        <v>11294</v>
      </c>
      <c r="C10381" t="s">
        <v>19972</v>
      </c>
      <c r="D10381" t="s">
        <v>20</v>
      </c>
      <c r="E10381" t="s">
        <v>11</v>
      </c>
      <c r="F10381">
        <v>1716</v>
      </c>
      <c r="G10381">
        <v>18</v>
      </c>
    </row>
    <row r="10382" spans="1:7" x14ac:dyDescent="0.25">
      <c r="A10382" t="s">
        <v>41</v>
      </c>
      <c r="B10382" t="s">
        <v>11297</v>
      </c>
      <c r="C10382" t="s">
        <v>19761</v>
      </c>
      <c r="D10382" t="s">
        <v>20</v>
      </c>
      <c r="E10382" t="s">
        <v>11</v>
      </c>
      <c r="F10382">
        <v>70.4</v>
      </c>
      <c r="G10382">
        <v>18</v>
      </c>
    </row>
    <row r="10383" spans="1:7" x14ac:dyDescent="0.25">
      <c r="A10383" t="s">
        <v>41</v>
      </c>
      <c r="B10383" t="s">
        <v>11300</v>
      </c>
      <c r="C10383" t="s">
        <v>18533</v>
      </c>
      <c r="D10383" t="s">
        <v>20</v>
      </c>
      <c r="E10383" t="s">
        <v>11</v>
      </c>
      <c r="F10383">
        <v>217.8</v>
      </c>
      <c r="G10383">
        <v>18</v>
      </c>
    </row>
    <row r="10384" spans="1:7" x14ac:dyDescent="0.25">
      <c r="A10384" t="s">
        <v>41</v>
      </c>
      <c r="B10384" t="s">
        <v>11303</v>
      </c>
      <c r="C10384" t="s">
        <v>19973</v>
      </c>
      <c r="D10384" t="s">
        <v>20</v>
      </c>
      <c r="E10384" t="s">
        <v>11</v>
      </c>
      <c r="F10384">
        <v>298.1</v>
      </c>
      <c r="G10384">
        <v>18</v>
      </c>
    </row>
    <row r="10385" spans="1:7" x14ac:dyDescent="0.25">
      <c r="A10385" t="s">
        <v>41</v>
      </c>
      <c r="B10385" t="s">
        <v>11306</v>
      </c>
      <c r="C10385" t="s">
        <v>19974</v>
      </c>
      <c r="D10385" t="s">
        <v>20</v>
      </c>
      <c r="E10385" t="s">
        <v>11</v>
      </c>
      <c r="F10385">
        <v>9141</v>
      </c>
      <c r="G10385">
        <v>18</v>
      </c>
    </row>
    <row r="10386" spans="1:7" x14ac:dyDescent="0.25">
      <c r="A10386" t="s">
        <v>41</v>
      </c>
      <c r="B10386" t="s">
        <v>11309</v>
      </c>
      <c r="C10386" t="s">
        <v>19975</v>
      </c>
      <c r="D10386" t="s">
        <v>20</v>
      </c>
      <c r="E10386" t="s">
        <v>11</v>
      </c>
      <c r="F10386">
        <v>2366.1000000000004</v>
      </c>
      <c r="G10386">
        <v>18</v>
      </c>
    </row>
    <row r="10387" spans="1:7" x14ac:dyDescent="0.25">
      <c r="A10387" t="s">
        <v>41</v>
      </c>
      <c r="B10387" t="s">
        <v>11312</v>
      </c>
      <c r="C10387" t="s">
        <v>18501</v>
      </c>
      <c r="D10387" t="s">
        <v>20</v>
      </c>
      <c r="E10387" t="s">
        <v>11</v>
      </c>
      <c r="F10387">
        <v>70.4</v>
      </c>
      <c r="G10387">
        <v>18</v>
      </c>
    </row>
    <row r="10388" spans="1:7" x14ac:dyDescent="0.25">
      <c r="A10388" t="s">
        <v>41</v>
      </c>
      <c r="B10388" t="s">
        <v>11315</v>
      </c>
      <c r="C10388" t="s">
        <v>19976</v>
      </c>
      <c r="D10388" t="s">
        <v>20</v>
      </c>
      <c r="E10388" t="s">
        <v>11</v>
      </c>
      <c r="F10388">
        <v>3693.7999999999997</v>
      </c>
      <c r="G10388">
        <v>18</v>
      </c>
    </row>
    <row r="10389" spans="1:7" x14ac:dyDescent="0.25">
      <c r="A10389" t="s">
        <v>41</v>
      </c>
      <c r="B10389" t="s">
        <v>11318</v>
      </c>
      <c r="C10389" t="s">
        <v>19977</v>
      </c>
      <c r="D10389" t="s">
        <v>20</v>
      </c>
      <c r="E10389" t="s">
        <v>11</v>
      </c>
      <c r="F10389">
        <v>579.6999999999999</v>
      </c>
      <c r="G10389">
        <v>18</v>
      </c>
    </row>
    <row r="10390" spans="1:7" x14ac:dyDescent="0.25">
      <c r="A10390" t="s">
        <v>41</v>
      </c>
      <c r="B10390" t="s">
        <v>11321</v>
      </c>
      <c r="C10390" t="s">
        <v>19978</v>
      </c>
      <c r="D10390" t="s">
        <v>20</v>
      </c>
      <c r="E10390" t="s">
        <v>11</v>
      </c>
      <c r="F10390">
        <v>57.2</v>
      </c>
      <c r="G10390">
        <v>18</v>
      </c>
    </row>
    <row r="10391" spans="1:7" x14ac:dyDescent="0.25">
      <c r="A10391" t="s">
        <v>41</v>
      </c>
      <c r="B10391" t="s">
        <v>11324</v>
      </c>
      <c r="C10391" t="s">
        <v>19979</v>
      </c>
      <c r="D10391" t="s">
        <v>20</v>
      </c>
      <c r="E10391" t="s">
        <v>11</v>
      </c>
      <c r="F10391">
        <v>180.39999999999998</v>
      </c>
      <c r="G10391">
        <v>18</v>
      </c>
    </row>
    <row r="10392" spans="1:7" x14ac:dyDescent="0.25">
      <c r="A10392" t="s">
        <v>41</v>
      </c>
      <c r="B10392" t="s">
        <v>11327</v>
      </c>
      <c r="C10392" t="s">
        <v>19829</v>
      </c>
      <c r="D10392" t="s">
        <v>20</v>
      </c>
      <c r="E10392" t="s">
        <v>11</v>
      </c>
      <c r="F10392">
        <v>71.5</v>
      </c>
      <c r="G10392">
        <v>18</v>
      </c>
    </row>
    <row r="10393" spans="1:7" x14ac:dyDescent="0.25">
      <c r="A10393" t="s">
        <v>41</v>
      </c>
      <c r="B10393" t="s">
        <v>11330</v>
      </c>
      <c r="C10393" t="s">
        <v>19980</v>
      </c>
      <c r="D10393" t="s">
        <v>20</v>
      </c>
      <c r="E10393" t="s">
        <v>11</v>
      </c>
      <c r="F10393">
        <v>3203.2000000000003</v>
      </c>
      <c r="G10393">
        <v>18</v>
      </c>
    </row>
    <row r="10394" spans="1:7" x14ac:dyDescent="0.25">
      <c r="A10394" t="s">
        <v>41</v>
      </c>
      <c r="B10394" t="s">
        <v>11333</v>
      </c>
      <c r="C10394" t="s">
        <v>19977</v>
      </c>
      <c r="D10394" t="s">
        <v>20</v>
      </c>
      <c r="E10394" t="s">
        <v>11</v>
      </c>
      <c r="F10394">
        <v>457.6</v>
      </c>
      <c r="G10394">
        <v>18</v>
      </c>
    </row>
    <row r="10395" spans="1:7" x14ac:dyDescent="0.25">
      <c r="A10395" t="s">
        <v>41</v>
      </c>
      <c r="B10395" t="s">
        <v>11336</v>
      </c>
      <c r="C10395" t="s">
        <v>17937</v>
      </c>
      <c r="D10395" t="s">
        <v>20</v>
      </c>
      <c r="E10395" t="s">
        <v>11</v>
      </c>
      <c r="F10395">
        <v>8465.599999999999</v>
      </c>
      <c r="G10395">
        <v>18</v>
      </c>
    </row>
    <row r="10396" spans="1:7" x14ac:dyDescent="0.25">
      <c r="A10396" t="s">
        <v>41</v>
      </c>
      <c r="B10396" t="s">
        <v>11339</v>
      </c>
      <c r="C10396" t="s">
        <v>19536</v>
      </c>
      <c r="D10396" t="s">
        <v>20</v>
      </c>
      <c r="E10396" t="s">
        <v>11</v>
      </c>
      <c r="F10396">
        <v>91.3</v>
      </c>
      <c r="G10396">
        <v>18</v>
      </c>
    </row>
    <row r="10397" spans="1:7" x14ac:dyDescent="0.25">
      <c r="A10397" t="s">
        <v>41</v>
      </c>
      <c r="B10397" t="s">
        <v>11342</v>
      </c>
      <c r="C10397" t="s">
        <v>17848</v>
      </c>
      <c r="D10397" t="s">
        <v>20</v>
      </c>
      <c r="E10397" t="s">
        <v>11</v>
      </c>
      <c r="F10397">
        <v>58.300000000000004</v>
      </c>
      <c r="G10397">
        <v>18</v>
      </c>
    </row>
    <row r="10398" spans="1:7" x14ac:dyDescent="0.25">
      <c r="A10398" t="s">
        <v>41</v>
      </c>
      <c r="B10398" t="s">
        <v>11345</v>
      </c>
      <c r="C10398" t="s">
        <v>19981</v>
      </c>
      <c r="D10398" t="s">
        <v>20</v>
      </c>
      <c r="E10398" t="s">
        <v>11</v>
      </c>
      <c r="F10398">
        <v>110</v>
      </c>
      <c r="G10398">
        <v>18</v>
      </c>
    </row>
    <row r="10399" spans="1:7" x14ac:dyDescent="0.25">
      <c r="A10399" t="s">
        <v>41</v>
      </c>
      <c r="B10399" t="s">
        <v>11348</v>
      </c>
      <c r="C10399" t="s">
        <v>17673</v>
      </c>
      <c r="D10399" t="s">
        <v>20</v>
      </c>
      <c r="E10399" t="s">
        <v>11</v>
      </c>
      <c r="F10399">
        <v>2130.7000000000003</v>
      </c>
      <c r="G10399">
        <v>18</v>
      </c>
    </row>
    <row r="10400" spans="1:7" x14ac:dyDescent="0.25">
      <c r="A10400" t="s">
        <v>41</v>
      </c>
      <c r="B10400" t="s">
        <v>11351</v>
      </c>
      <c r="C10400" t="s">
        <v>18399</v>
      </c>
      <c r="D10400" t="s">
        <v>20</v>
      </c>
      <c r="E10400" t="s">
        <v>11</v>
      </c>
      <c r="F10400">
        <v>355.3</v>
      </c>
      <c r="G10400">
        <v>18</v>
      </c>
    </row>
    <row r="10401" spans="1:7" x14ac:dyDescent="0.25">
      <c r="A10401" t="s">
        <v>41</v>
      </c>
      <c r="B10401" t="s">
        <v>11354</v>
      </c>
      <c r="C10401" t="s">
        <v>18074</v>
      </c>
      <c r="D10401" t="s">
        <v>20</v>
      </c>
      <c r="E10401" t="s">
        <v>11</v>
      </c>
      <c r="F10401">
        <v>70.4</v>
      </c>
      <c r="G10401">
        <v>18</v>
      </c>
    </row>
    <row r="10402" spans="1:7" x14ac:dyDescent="0.25">
      <c r="A10402" t="s">
        <v>41</v>
      </c>
      <c r="B10402" t="s">
        <v>11357</v>
      </c>
      <c r="C10402" t="s">
        <v>17680</v>
      </c>
      <c r="D10402" t="s">
        <v>20</v>
      </c>
      <c r="E10402" t="s">
        <v>11</v>
      </c>
      <c r="F10402">
        <v>2599.2999999999997</v>
      </c>
      <c r="G10402">
        <v>18</v>
      </c>
    </row>
    <row r="10403" spans="1:7" x14ac:dyDescent="0.25">
      <c r="A10403" t="s">
        <v>41</v>
      </c>
      <c r="B10403" t="s">
        <v>11360</v>
      </c>
      <c r="C10403" t="s">
        <v>18932</v>
      </c>
      <c r="D10403" t="s">
        <v>20</v>
      </c>
      <c r="E10403" t="s">
        <v>11</v>
      </c>
      <c r="F10403">
        <v>70.4</v>
      </c>
      <c r="G10403">
        <v>18</v>
      </c>
    </row>
    <row r="10404" spans="1:7" x14ac:dyDescent="0.25">
      <c r="A10404" t="s">
        <v>41</v>
      </c>
      <c r="B10404" t="s">
        <v>11363</v>
      </c>
      <c r="C10404" t="s">
        <v>17841</v>
      </c>
      <c r="D10404" t="s">
        <v>20</v>
      </c>
      <c r="E10404" t="s">
        <v>11</v>
      </c>
      <c r="F10404">
        <v>2054.8</v>
      </c>
      <c r="G10404">
        <v>18</v>
      </c>
    </row>
    <row r="10405" spans="1:7" x14ac:dyDescent="0.25">
      <c r="A10405" t="s">
        <v>41</v>
      </c>
      <c r="B10405" t="s">
        <v>11366</v>
      </c>
      <c r="C10405" t="s">
        <v>17552</v>
      </c>
      <c r="D10405" t="s">
        <v>20</v>
      </c>
      <c r="E10405" t="s">
        <v>11</v>
      </c>
      <c r="F10405">
        <v>2054.8</v>
      </c>
      <c r="G10405">
        <v>18</v>
      </c>
    </row>
    <row r="10406" spans="1:7" x14ac:dyDescent="0.25">
      <c r="A10406" t="s">
        <v>41</v>
      </c>
      <c r="B10406" t="s">
        <v>11369</v>
      </c>
      <c r="C10406" t="s">
        <v>19982</v>
      </c>
      <c r="D10406" t="s">
        <v>20</v>
      </c>
      <c r="E10406" t="s">
        <v>11</v>
      </c>
      <c r="F10406">
        <v>7680.199999999999</v>
      </c>
      <c r="G10406">
        <v>18</v>
      </c>
    </row>
    <row r="10407" spans="1:7" x14ac:dyDescent="0.25">
      <c r="A10407" t="s">
        <v>41</v>
      </c>
      <c r="B10407" t="s">
        <v>11372</v>
      </c>
      <c r="C10407" t="s">
        <v>19788</v>
      </c>
      <c r="D10407" t="s">
        <v>20</v>
      </c>
      <c r="E10407" t="s">
        <v>11</v>
      </c>
      <c r="F10407">
        <v>40.7</v>
      </c>
      <c r="G10407">
        <v>18</v>
      </c>
    </row>
    <row r="10408" spans="1:7" x14ac:dyDescent="0.25">
      <c r="A10408" t="s">
        <v>41</v>
      </c>
      <c r="B10408" t="s">
        <v>11375</v>
      </c>
      <c r="C10408" t="s">
        <v>17737</v>
      </c>
      <c r="D10408" t="s">
        <v>20</v>
      </c>
      <c r="E10408" t="s">
        <v>11</v>
      </c>
      <c r="F10408">
        <v>57.2</v>
      </c>
      <c r="G10408">
        <v>18</v>
      </c>
    </row>
    <row r="10409" spans="1:7" x14ac:dyDescent="0.25">
      <c r="A10409" t="s">
        <v>41</v>
      </c>
      <c r="B10409" t="s">
        <v>11378</v>
      </c>
      <c r="C10409" t="s">
        <v>18852</v>
      </c>
      <c r="D10409" t="s">
        <v>20</v>
      </c>
      <c r="E10409" t="s">
        <v>11</v>
      </c>
      <c r="F10409">
        <v>58.300000000000004</v>
      </c>
      <c r="G10409">
        <v>18</v>
      </c>
    </row>
    <row r="10410" spans="1:7" x14ac:dyDescent="0.25">
      <c r="A10410" t="s">
        <v>41</v>
      </c>
      <c r="B10410" t="s">
        <v>11381</v>
      </c>
      <c r="C10410" t="s">
        <v>19983</v>
      </c>
      <c r="D10410" t="s">
        <v>20</v>
      </c>
      <c r="E10410" t="s">
        <v>11</v>
      </c>
      <c r="F10410">
        <v>1830.4</v>
      </c>
      <c r="G10410">
        <v>18</v>
      </c>
    </row>
    <row r="10411" spans="1:7" x14ac:dyDescent="0.25">
      <c r="A10411" t="s">
        <v>41</v>
      </c>
      <c r="B10411" t="s">
        <v>11384</v>
      </c>
      <c r="C10411" t="s">
        <v>19629</v>
      </c>
      <c r="D10411" t="s">
        <v>20</v>
      </c>
      <c r="E10411" t="s">
        <v>11</v>
      </c>
      <c r="F10411">
        <v>21450</v>
      </c>
      <c r="G10411">
        <v>18</v>
      </c>
    </row>
    <row r="10412" spans="1:7" x14ac:dyDescent="0.25">
      <c r="A10412" t="s">
        <v>41</v>
      </c>
      <c r="B10412" t="s">
        <v>11387</v>
      </c>
      <c r="C10412" t="s">
        <v>19630</v>
      </c>
      <c r="D10412" t="s">
        <v>20</v>
      </c>
      <c r="E10412" t="s">
        <v>11</v>
      </c>
      <c r="F10412">
        <v>19672.4</v>
      </c>
      <c r="G10412">
        <v>18</v>
      </c>
    </row>
    <row r="10413" spans="1:7" x14ac:dyDescent="0.25">
      <c r="A10413" t="s">
        <v>41</v>
      </c>
      <c r="B10413" t="s">
        <v>11390</v>
      </c>
      <c r="C10413" t="s">
        <v>19631</v>
      </c>
      <c r="D10413" t="s">
        <v>20</v>
      </c>
      <c r="E10413" t="s">
        <v>11</v>
      </c>
      <c r="F10413">
        <v>21450</v>
      </c>
      <c r="G10413">
        <v>18</v>
      </c>
    </row>
    <row r="10414" spans="1:7" x14ac:dyDescent="0.25">
      <c r="A10414" t="s">
        <v>41</v>
      </c>
      <c r="B10414" t="s">
        <v>11393</v>
      </c>
      <c r="C10414" t="s">
        <v>19984</v>
      </c>
      <c r="D10414" t="s">
        <v>20</v>
      </c>
      <c r="E10414" t="s">
        <v>11</v>
      </c>
      <c r="F10414">
        <v>19672.4</v>
      </c>
      <c r="G10414">
        <v>18</v>
      </c>
    </row>
    <row r="10415" spans="1:7" x14ac:dyDescent="0.25">
      <c r="A10415" t="s">
        <v>41</v>
      </c>
      <c r="B10415" t="s">
        <v>11396</v>
      </c>
      <c r="C10415" t="s">
        <v>19633</v>
      </c>
      <c r="D10415" t="s">
        <v>20</v>
      </c>
      <c r="E10415" t="s">
        <v>11</v>
      </c>
      <c r="F10415">
        <v>22550</v>
      </c>
      <c r="G10415">
        <v>18</v>
      </c>
    </row>
    <row r="10416" spans="1:7" x14ac:dyDescent="0.25">
      <c r="A10416" t="s">
        <v>41</v>
      </c>
      <c r="B10416" t="s">
        <v>11399</v>
      </c>
      <c r="C10416" t="s">
        <v>19635</v>
      </c>
      <c r="D10416" t="s">
        <v>20</v>
      </c>
      <c r="E10416" t="s">
        <v>11</v>
      </c>
      <c r="F10416">
        <v>22550</v>
      </c>
      <c r="G10416">
        <v>18</v>
      </c>
    </row>
    <row r="10417" spans="1:7" x14ac:dyDescent="0.25">
      <c r="A10417" t="s">
        <v>41</v>
      </c>
      <c r="B10417" t="s">
        <v>11402</v>
      </c>
      <c r="C10417" t="s">
        <v>19069</v>
      </c>
      <c r="D10417" t="s">
        <v>20</v>
      </c>
      <c r="E10417" t="s">
        <v>11</v>
      </c>
      <c r="F10417">
        <v>8466.7</v>
      </c>
      <c r="G10417">
        <v>18</v>
      </c>
    </row>
    <row r="10418" spans="1:7" x14ac:dyDescent="0.25">
      <c r="A10418" t="s">
        <v>41</v>
      </c>
      <c r="B10418" t="s">
        <v>11405</v>
      </c>
      <c r="C10418" t="s">
        <v>19710</v>
      </c>
      <c r="D10418" t="s">
        <v>20</v>
      </c>
      <c r="E10418" t="s">
        <v>11</v>
      </c>
      <c r="F10418">
        <v>326.70000000000005</v>
      </c>
      <c r="G10418">
        <v>18</v>
      </c>
    </row>
    <row r="10419" spans="1:7" x14ac:dyDescent="0.25">
      <c r="A10419" t="s">
        <v>41</v>
      </c>
      <c r="B10419" t="s">
        <v>11408</v>
      </c>
      <c r="C10419" t="s">
        <v>19985</v>
      </c>
      <c r="D10419" t="s">
        <v>20</v>
      </c>
      <c r="E10419" t="s">
        <v>11</v>
      </c>
      <c r="F10419">
        <v>2886.3999999999996</v>
      </c>
      <c r="G10419">
        <v>18</v>
      </c>
    </row>
    <row r="10420" spans="1:7" x14ac:dyDescent="0.25">
      <c r="A10420" t="s">
        <v>41</v>
      </c>
      <c r="B10420" t="s">
        <v>11411</v>
      </c>
      <c r="C10420" t="s">
        <v>19986</v>
      </c>
      <c r="D10420" t="s">
        <v>20</v>
      </c>
      <c r="E10420" t="s">
        <v>11</v>
      </c>
      <c r="F10420">
        <v>3317.6</v>
      </c>
      <c r="G10420">
        <v>18</v>
      </c>
    </row>
    <row r="10421" spans="1:7" x14ac:dyDescent="0.25">
      <c r="A10421" t="s">
        <v>41</v>
      </c>
      <c r="B10421" t="s">
        <v>11414</v>
      </c>
      <c r="C10421" t="s">
        <v>19987</v>
      </c>
      <c r="D10421" t="s">
        <v>20</v>
      </c>
      <c r="E10421" t="s">
        <v>11</v>
      </c>
      <c r="F10421">
        <v>3317.6</v>
      </c>
      <c r="G10421">
        <v>18</v>
      </c>
    </row>
    <row r="10422" spans="1:7" x14ac:dyDescent="0.25">
      <c r="A10422" t="s">
        <v>41</v>
      </c>
      <c r="B10422" t="s">
        <v>11417</v>
      </c>
      <c r="C10422" t="s">
        <v>19643</v>
      </c>
      <c r="D10422" t="s">
        <v>20</v>
      </c>
      <c r="E10422" t="s">
        <v>11</v>
      </c>
      <c r="F10422">
        <v>3181.2000000000003</v>
      </c>
      <c r="G10422">
        <v>18</v>
      </c>
    </row>
    <row r="10423" spans="1:7" x14ac:dyDescent="0.25">
      <c r="A10423" t="s">
        <v>41</v>
      </c>
      <c r="B10423" t="s">
        <v>11420</v>
      </c>
      <c r="C10423" t="s">
        <v>19644</v>
      </c>
      <c r="D10423" t="s">
        <v>20</v>
      </c>
      <c r="E10423" t="s">
        <v>11</v>
      </c>
      <c r="F10423">
        <v>233.20000000000002</v>
      </c>
      <c r="G10423">
        <v>18</v>
      </c>
    </row>
    <row r="10424" spans="1:7" x14ac:dyDescent="0.25">
      <c r="A10424" t="s">
        <v>41</v>
      </c>
      <c r="B10424" t="s">
        <v>11423</v>
      </c>
      <c r="C10424" t="s">
        <v>19645</v>
      </c>
      <c r="D10424" t="s">
        <v>20</v>
      </c>
      <c r="E10424" t="s">
        <v>11</v>
      </c>
      <c r="F10424">
        <v>7060.9</v>
      </c>
      <c r="G10424">
        <v>18</v>
      </c>
    </row>
    <row r="10425" spans="1:7" x14ac:dyDescent="0.25">
      <c r="A10425" t="s">
        <v>41</v>
      </c>
      <c r="B10425" t="s">
        <v>11426</v>
      </c>
      <c r="C10425" t="s">
        <v>19646</v>
      </c>
      <c r="D10425" t="s">
        <v>20</v>
      </c>
      <c r="E10425" t="s">
        <v>11</v>
      </c>
      <c r="F10425">
        <v>14110.8</v>
      </c>
      <c r="G10425">
        <v>18</v>
      </c>
    </row>
    <row r="10426" spans="1:7" x14ac:dyDescent="0.25">
      <c r="A10426" t="s">
        <v>41</v>
      </c>
      <c r="B10426" t="s">
        <v>11429</v>
      </c>
      <c r="C10426" t="s">
        <v>19647</v>
      </c>
      <c r="D10426" t="s">
        <v>20</v>
      </c>
      <c r="E10426" t="s">
        <v>11</v>
      </c>
      <c r="F10426">
        <v>14757.6</v>
      </c>
      <c r="G10426">
        <v>18</v>
      </c>
    </row>
    <row r="10427" spans="1:7" x14ac:dyDescent="0.25">
      <c r="A10427" t="s">
        <v>41</v>
      </c>
      <c r="B10427" t="s">
        <v>11432</v>
      </c>
      <c r="C10427" t="s">
        <v>19644</v>
      </c>
      <c r="D10427" t="s">
        <v>20</v>
      </c>
      <c r="E10427" t="s">
        <v>11</v>
      </c>
      <c r="F10427">
        <v>313.5</v>
      </c>
      <c r="G10427">
        <v>18</v>
      </c>
    </row>
    <row r="10428" spans="1:7" x14ac:dyDescent="0.25">
      <c r="A10428" t="s">
        <v>41</v>
      </c>
      <c r="B10428" t="s">
        <v>11435</v>
      </c>
      <c r="C10428" t="s">
        <v>19648</v>
      </c>
      <c r="D10428" t="s">
        <v>20</v>
      </c>
      <c r="E10428" t="s">
        <v>11</v>
      </c>
      <c r="F10428">
        <v>220</v>
      </c>
      <c r="G10428">
        <v>18</v>
      </c>
    </row>
    <row r="10429" spans="1:7" x14ac:dyDescent="0.25">
      <c r="A10429" t="s">
        <v>41</v>
      </c>
      <c r="B10429" t="s">
        <v>11438</v>
      </c>
      <c r="C10429" t="s">
        <v>19649</v>
      </c>
      <c r="D10429" t="s">
        <v>20</v>
      </c>
      <c r="E10429" t="s">
        <v>11</v>
      </c>
      <c r="F10429">
        <v>964.6999999999999</v>
      </c>
      <c r="G10429">
        <v>18</v>
      </c>
    </row>
    <row r="10430" spans="1:7" x14ac:dyDescent="0.25">
      <c r="A10430" t="s">
        <v>41</v>
      </c>
      <c r="B10430" t="s">
        <v>11441</v>
      </c>
      <c r="C10430" t="s">
        <v>19650</v>
      </c>
      <c r="D10430" t="s">
        <v>20</v>
      </c>
      <c r="E10430" t="s">
        <v>11</v>
      </c>
      <c r="F10430">
        <v>2897.4</v>
      </c>
      <c r="G10430">
        <v>18</v>
      </c>
    </row>
    <row r="10431" spans="1:7" x14ac:dyDescent="0.25">
      <c r="A10431" t="s">
        <v>41</v>
      </c>
      <c r="B10431" t="s">
        <v>11444</v>
      </c>
      <c r="C10431" t="s">
        <v>18939</v>
      </c>
      <c r="D10431" t="s">
        <v>20</v>
      </c>
      <c r="E10431" t="s">
        <v>11</v>
      </c>
      <c r="F10431">
        <v>10330.1</v>
      </c>
      <c r="G10431">
        <v>18</v>
      </c>
    </row>
    <row r="10432" spans="1:7" x14ac:dyDescent="0.25">
      <c r="A10432" t="s">
        <v>41</v>
      </c>
      <c r="B10432" t="s">
        <v>11447</v>
      </c>
      <c r="C10432" t="s">
        <v>19988</v>
      </c>
      <c r="D10432" t="s">
        <v>20</v>
      </c>
      <c r="E10432" t="s">
        <v>11</v>
      </c>
      <c r="F10432">
        <v>8789</v>
      </c>
      <c r="G10432">
        <v>18</v>
      </c>
    </row>
    <row r="10433" spans="1:7" x14ac:dyDescent="0.25">
      <c r="A10433" t="s">
        <v>41</v>
      </c>
      <c r="B10433" t="s">
        <v>11450</v>
      </c>
      <c r="C10433" t="s">
        <v>19989</v>
      </c>
      <c r="D10433" t="s">
        <v>20</v>
      </c>
      <c r="E10433" t="s">
        <v>11</v>
      </c>
      <c r="F10433">
        <v>788.7</v>
      </c>
      <c r="G10433">
        <v>18</v>
      </c>
    </row>
    <row r="10434" spans="1:7" x14ac:dyDescent="0.25">
      <c r="A10434" t="s">
        <v>41</v>
      </c>
      <c r="B10434" t="s">
        <v>11453</v>
      </c>
      <c r="C10434" t="s">
        <v>19990</v>
      </c>
      <c r="D10434" t="s">
        <v>20</v>
      </c>
      <c r="E10434" t="s">
        <v>11</v>
      </c>
      <c r="F10434">
        <v>40040</v>
      </c>
      <c r="G10434">
        <v>18</v>
      </c>
    </row>
    <row r="10435" spans="1:7" x14ac:dyDescent="0.25">
      <c r="A10435" t="s">
        <v>41</v>
      </c>
      <c r="B10435" t="s">
        <v>11456</v>
      </c>
      <c r="C10435" t="s">
        <v>19991</v>
      </c>
      <c r="D10435" t="s">
        <v>20</v>
      </c>
      <c r="E10435" t="s">
        <v>11</v>
      </c>
      <c r="F10435">
        <v>41641.6</v>
      </c>
      <c r="G10435">
        <v>18</v>
      </c>
    </row>
    <row r="10436" spans="1:7" x14ac:dyDescent="0.25">
      <c r="A10436" t="s">
        <v>41</v>
      </c>
      <c r="B10436" t="s">
        <v>11459</v>
      </c>
      <c r="C10436" t="s">
        <v>19992</v>
      </c>
      <c r="D10436" t="s">
        <v>20</v>
      </c>
      <c r="E10436" t="s">
        <v>11</v>
      </c>
      <c r="F10436">
        <v>981.2</v>
      </c>
      <c r="G10436">
        <v>18</v>
      </c>
    </row>
    <row r="10437" spans="1:7" x14ac:dyDescent="0.25">
      <c r="A10437" t="s">
        <v>41</v>
      </c>
      <c r="B10437" t="s">
        <v>11462</v>
      </c>
      <c r="C10437" t="s">
        <v>19993</v>
      </c>
      <c r="D10437" t="s">
        <v>20</v>
      </c>
      <c r="E10437" t="s">
        <v>11</v>
      </c>
      <c r="F10437">
        <v>61.60000000000001</v>
      </c>
      <c r="G10437">
        <v>18</v>
      </c>
    </row>
    <row r="10438" spans="1:7" x14ac:dyDescent="0.25">
      <c r="A10438" t="s">
        <v>41</v>
      </c>
      <c r="B10438" t="s">
        <v>11465</v>
      </c>
      <c r="C10438" t="s">
        <v>18925</v>
      </c>
      <c r="D10438" t="s">
        <v>20</v>
      </c>
      <c r="E10438" t="s">
        <v>11</v>
      </c>
      <c r="F10438">
        <v>224.4</v>
      </c>
      <c r="G10438">
        <v>18</v>
      </c>
    </row>
    <row r="10439" spans="1:7" x14ac:dyDescent="0.25">
      <c r="A10439" t="s">
        <v>41</v>
      </c>
      <c r="B10439" t="s">
        <v>11468</v>
      </c>
      <c r="C10439" t="s">
        <v>17778</v>
      </c>
      <c r="D10439" t="s">
        <v>20</v>
      </c>
      <c r="E10439" t="s">
        <v>11</v>
      </c>
      <c r="F10439">
        <v>61.60000000000001</v>
      </c>
      <c r="G10439">
        <v>18</v>
      </c>
    </row>
    <row r="10440" spans="1:7" x14ac:dyDescent="0.25">
      <c r="A10440" t="s">
        <v>41</v>
      </c>
      <c r="B10440" t="s">
        <v>11471</v>
      </c>
      <c r="C10440" t="s">
        <v>19994</v>
      </c>
      <c r="D10440" t="s">
        <v>20</v>
      </c>
      <c r="E10440" t="s">
        <v>11</v>
      </c>
      <c r="F10440">
        <v>407</v>
      </c>
      <c r="G10440">
        <v>18</v>
      </c>
    </row>
    <row r="10441" spans="1:7" x14ac:dyDescent="0.25">
      <c r="A10441" t="s">
        <v>41</v>
      </c>
      <c r="B10441" t="s">
        <v>11474</v>
      </c>
      <c r="C10441" t="s">
        <v>19995</v>
      </c>
      <c r="D10441" t="s">
        <v>20</v>
      </c>
      <c r="E10441" t="s">
        <v>11</v>
      </c>
      <c r="F10441">
        <v>591.8</v>
      </c>
      <c r="G10441">
        <v>18</v>
      </c>
    </row>
    <row r="10442" spans="1:7" x14ac:dyDescent="0.25">
      <c r="A10442" t="s">
        <v>41</v>
      </c>
      <c r="B10442" t="s">
        <v>11477</v>
      </c>
      <c r="C10442" t="s">
        <v>19996</v>
      </c>
      <c r="D10442" t="s">
        <v>20</v>
      </c>
      <c r="E10442" t="s">
        <v>11</v>
      </c>
      <c r="F10442">
        <v>61.60000000000001</v>
      </c>
      <c r="G10442">
        <v>18</v>
      </c>
    </row>
    <row r="10443" spans="1:7" x14ac:dyDescent="0.25">
      <c r="A10443" t="s">
        <v>41</v>
      </c>
      <c r="B10443" t="s">
        <v>11480</v>
      </c>
      <c r="C10443" t="s">
        <v>19487</v>
      </c>
      <c r="D10443" t="s">
        <v>20</v>
      </c>
      <c r="E10443" t="s">
        <v>11</v>
      </c>
      <c r="F10443">
        <v>981.2</v>
      </c>
      <c r="G10443">
        <v>18</v>
      </c>
    </row>
    <row r="10444" spans="1:7" x14ac:dyDescent="0.25">
      <c r="A10444" t="s">
        <v>41</v>
      </c>
      <c r="B10444" t="s">
        <v>11483</v>
      </c>
      <c r="C10444" t="s">
        <v>19997</v>
      </c>
      <c r="D10444" t="s">
        <v>20</v>
      </c>
      <c r="E10444" t="s">
        <v>11</v>
      </c>
      <c r="F10444">
        <v>2689.5</v>
      </c>
      <c r="G10444">
        <v>18</v>
      </c>
    </row>
    <row r="10445" spans="1:7" x14ac:dyDescent="0.25">
      <c r="A10445" t="s">
        <v>41</v>
      </c>
      <c r="B10445" t="s">
        <v>11486</v>
      </c>
      <c r="C10445" t="s">
        <v>17646</v>
      </c>
      <c r="D10445" t="s">
        <v>20</v>
      </c>
      <c r="E10445" t="s">
        <v>11</v>
      </c>
      <c r="F10445">
        <v>70.4</v>
      </c>
      <c r="G10445">
        <v>18</v>
      </c>
    </row>
    <row r="10446" spans="1:7" x14ac:dyDescent="0.25">
      <c r="A10446" t="s">
        <v>41</v>
      </c>
      <c r="B10446" t="s">
        <v>11489</v>
      </c>
      <c r="C10446" t="s">
        <v>17680</v>
      </c>
      <c r="D10446" t="s">
        <v>20</v>
      </c>
      <c r="E10446" t="s">
        <v>11</v>
      </c>
      <c r="F10446">
        <v>2599.2999999999997</v>
      </c>
      <c r="G10446">
        <v>18</v>
      </c>
    </row>
    <row r="10447" spans="1:7" x14ac:dyDescent="0.25">
      <c r="A10447" t="s">
        <v>41</v>
      </c>
      <c r="B10447" t="s">
        <v>11492</v>
      </c>
      <c r="C10447" t="s">
        <v>17841</v>
      </c>
      <c r="D10447" t="s">
        <v>20</v>
      </c>
      <c r="E10447" t="s">
        <v>11</v>
      </c>
      <c r="F10447">
        <v>2054.8</v>
      </c>
      <c r="G10447">
        <v>18</v>
      </c>
    </row>
    <row r="10448" spans="1:7" x14ac:dyDescent="0.25">
      <c r="A10448" t="s">
        <v>41</v>
      </c>
      <c r="B10448" t="s">
        <v>11495</v>
      </c>
      <c r="C10448" t="s">
        <v>19998</v>
      </c>
      <c r="D10448" t="s">
        <v>20</v>
      </c>
      <c r="E10448" t="s">
        <v>11</v>
      </c>
      <c r="F10448">
        <v>31416.000000000004</v>
      </c>
      <c r="G10448">
        <v>18</v>
      </c>
    </row>
    <row r="10449" spans="1:7" x14ac:dyDescent="0.25">
      <c r="A10449" t="s">
        <v>41</v>
      </c>
      <c r="B10449" t="s">
        <v>11498</v>
      </c>
      <c r="C10449" t="s">
        <v>19999</v>
      </c>
      <c r="D10449" t="s">
        <v>20</v>
      </c>
      <c r="E10449" t="s">
        <v>11</v>
      </c>
      <c r="F10449">
        <v>32832.8</v>
      </c>
      <c r="G10449">
        <v>18</v>
      </c>
    </row>
    <row r="10450" spans="1:7" x14ac:dyDescent="0.25">
      <c r="A10450" t="s">
        <v>41</v>
      </c>
      <c r="B10450" t="s">
        <v>11501</v>
      </c>
      <c r="C10450" t="s">
        <v>19692</v>
      </c>
      <c r="D10450" t="s">
        <v>20</v>
      </c>
      <c r="E10450" t="s">
        <v>11</v>
      </c>
      <c r="F10450">
        <v>61.60000000000001</v>
      </c>
      <c r="G10450">
        <v>18</v>
      </c>
    </row>
    <row r="10451" spans="1:7" x14ac:dyDescent="0.25">
      <c r="A10451" t="s">
        <v>41</v>
      </c>
      <c r="B10451" t="s">
        <v>11504</v>
      </c>
      <c r="C10451" t="s">
        <v>19694</v>
      </c>
      <c r="D10451" t="s">
        <v>20</v>
      </c>
      <c r="E10451" t="s">
        <v>11</v>
      </c>
      <c r="F10451">
        <v>689.6999999999999</v>
      </c>
      <c r="G10451">
        <v>18</v>
      </c>
    </row>
    <row r="10452" spans="1:7" x14ac:dyDescent="0.25">
      <c r="A10452" t="s">
        <v>41</v>
      </c>
      <c r="B10452" t="s">
        <v>11507</v>
      </c>
      <c r="C10452" t="s">
        <v>18806</v>
      </c>
      <c r="D10452" t="s">
        <v>20</v>
      </c>
      <c r="E10452" t="s">
        <v>11</v>
      </c>
      <c r="F10452">
        <v>535.7</v>
      </c>
      <c r="G10452">
        <v>18</v>
      </c>
    </row>
    <row r="10453" spans="1:7" x14ac:dyDescent="0.25">
      <c r="A10453" t="s">
        <v>41</v>
      </c>
      <c r="B10453" t="s">
        <v>11510</v>
      </c>
      <c r="C10453" t="s">
        <v>18154</v>
      </c>
      <c r="D10453" t="s">
        <v>20</v>
      </c>
      <c r="E10453" t="s">
        <v>11</v>
      </c>
      <c r="F10453">
        <v>58.300000000000004</v>
      </c>
      <c r="G10453">
        <v>18</v>
      </c>
    </row>
    <row r="10454" spans="1:7" x14ac:dyDescent="0.25">
      <c r="A10454" t="s">
        <v>41</v>
      </c>
      <c r="B10454" t="s">
        <v>11513</v>
      </c>
      <c r="C10454" t="s">
        <v>18925</v>
      </c>
      <c r="D10454" t="s">
        <v>20</v>
      </c>
      <c r="E10454" t="s">
        <v>11</v>
      </c>
      <c r="F10454">
        <v>224.4</v>
      </c>
      <c r="G10454">
        <v>18</v>
      </c>
    </row>
    <row r="10455" spans="1:7" x14ac:dyDescent="0.25">
      <c r="A10455" t="s">
        <v>41</v>
      </c>
      <c r="B10455" t="s">
        <v>11516</v>
      </c>
      <c r="C10455" t="s">
        <v>19693</v>
      </c>
      <c r="D10455" t="s">
        <v>20</v>
      </c>
      <c r="E10455" t="s">
        <v>11</v>
      </c>
      <c r="F10455">
        <v>61.60000000000001</v>
      </c>
      <c r="G10455">
        <v>18</v>
      </c>
    </row>
    <row r="10456" spans="1:7" x14ac:dyDescent="0.25">
      <c r="A10456" t="s">
        <v>41</v>
      </c>
      <c r="B10456" t="s">
        <v>11519</v>
      </c>
      <c r="C10456" t="s">
        <v>18411</v>
      </c>
      <c r="D10456" t="s">
        <v>20</v>
      </c>
      <c r="E10456" t="s">
        <v>11</v>
      </c>
      <c r="F10456">
        <v>58.300000000000004</v>
      </c>
      <c r="G10456">
        <v>18</v>
      </c>
    </row>
    <row r="10457" spans="1:7" x14ac:dyDescent="0.25">
      <c r="A10457" t="s">
        <v>41</v>
      </c>
      <c r="B10457" t="s">
        <v>11522</v>
      </c>
      <c r="C10457" t="s">
        <v>18904</v>
      </c>
      <c r="D10457" t="s">
        <v>20</v>
      </c>
      <c r="E10457" t="s">
        <v>11</v>
      </c>
      <c r="F10457">
        <v>1015.3000000000001</v>
      </c>
      <c r="G10457">
        <v>18</v>
      </c>
    </row>
    <row r="10458" spans="1:7" x14ac:dyDescent="0.25">
      <c r="A10458" t="s">
        <v>41</v>
      </c>
      <c r="B10458" t="s">
        <v>11525</v>
      </c>
      <c r="C10458" t="s">
        <v>20000</v>
      </c>
      <c r="D10458" t="s">
        <v>20</v>
      </c>
      <c r="E10458" t="s">
        <v>11</v>
      </c>
      <c r="F10458">
        <v>403.7</v>
      </c>
      <c r="G10458">
        <v>18</v>
      </c>
    </row>
    <row r="10459" spans="1:7" x14ac:dyDescent="0.25">
      <c r="A10459" t="s">
        <v>41</v>
      </c>
      <c r="B10459" t="s">
        <v>11528</v>
      </c>
      <c r="C10459" t="s">
        <v>20001</v>
      </c>
      <c r="D10459" t="s">
        <v>20</v>
      </c>
      <c r="E10459" t="s">
        <v>11</v>
      </c>
      <c r="F10459">
        <v>121.00000000000001</v>
      </c>
      <c r="G10459">
        <v>18</v>
      </c>
    </row>
    <row r="10460" spans="1:7" x14ac:dyDescent="0.25">
      <c r="A10460" t="s">
        <v>41</v>
      </c>
      <c r="B10460" t="s">
        <v>11531</v>
      </c>
      <c r="C10460" t="s">
        <v>20002</v>
      </c>
      <c r="D10460" t="s">
        <v>20</v>
      </c>
      <c r="E10460" t="s">
        <v>11</v>
      </c>
      <c r="F10460">
        <v>3411.1000000000004</v>
      </c>
      <c r="G10460">
        <v>18</v>
      </c>
    </row>
    <row r="10461" spans="1:7" x14ac:dyDescent="0.25">
      <c r="A10461" t="s">
        <v>41</v>
      </c>
      <c r="B10461" t="s">
        <v>11534</v>
      </c>
      <c r="C10461" t="s">
        <v>20003</v>
      </c>
      <c r="D10461" t="s">
        <v>20</v>
      </c>
      <c r="E10461" t="s">
        <v>11</v>
      </c>
      <c r="F10461">
        <v>2821.5</v>
      </c>
      <c r="G10461">
        <v>18</v>
      </c>
    </row>
    <row r="10462" spans="1:7" x14ac:dyDescent="0.25">
      <c r="A10462" t="s">
        <v>41</v>
      </c>
      <c r="B10462" t="s">
        <v>11537</v>
      </c>
      <c r="C10462" t="s">
        <v>20004</v>
      </c>
      <c r="D10462" t="s">
        <v>20</v>
      </c>
      <c r="E10462" t="s">
        <v>11</v>
      </c>
      <c r="F10462">
        <v>5166.7</v>
      </c>
      <c r="G10462">
        <v>18</v>
      </c>
    </row>
    <row r="10463" spans="1:7" x14ac:dyDescent="0.25">
      <c r="A10463" t="s">
        <v>41</v>
      </c>
      <c r="B10463" t="s">
        <v>11540</v>
      </c>
      <c r="C10463" t="s">
        <v>20005</v>
      </c>
      <c r="D10463" t="s">
        <v>20</v>
      </c>
      <c r="E10463" t="s">
        <v>11</v>
      </c>
      <c r="F10463">
        <v>71.5</v>
      </c>
      <c r="G10463">
        <v>18</v>
      </c>
    </row>
    <row r="10464" spans="1:7" x14ac:dyDescent="0.25">
      <c r="A10464" t="s">
        <v>41</v>
      </c>
      <c r="B10464" t="s">
        <v>11543</v>
      </c>
      <c r="C10464" t="s">
        <v>19478</v>
      </c>
      <c r="D10464" t="s">
        <v>20</v>
      </c>
      <c r="E10464" t="s">
        <v>11</v>
      </c>
      <c r="F10464">
        <v>57.2</v>
      </c>
      <c r="G10464">
        <v>18</v>
      </c>
    </row>
    <row r="10465" spans="1:7" x14ac:dyDescent="0.25">
      <c r="A10465" t="s">
        <v>41</v>
      </c>
      <c r="B10465" t="s">
        <v>11546</v>
      </c>
      <c r="C10465" t="s">
        <v>20006</v>
      </c>
      <c r="D10465" t="s">
        <v>20</v>
      </c>
      <c r="E10465" t="s">
        <v>11</v>
      </c>
      <c r="F10465">
        <v>1229.8</v>
      </c>
      <c r="G10465">
        <v>18</v>
      </c>
    </row>
    <row r="10466" spans="1:7" x14ac:dyDescent="0.25">
      <c r="A10466" t="s">
        <v>41</v>
      </c>
      <c r="B10466" t="s">
        <v>11549</v>
      </c>
      <c r="C10466" t="s">
        <v>19703</v>
      </c>
      <c r="D10466" t="s">
        <v>20</v>
      </c>
      <c r="E10466" t="s">
        <v>11</v>
      </c>
      <c r="F10466">
        <v>1284.8</v>
      </c>
      <c r="G10466">
        <v>18</v>
      </c>
    </row>
    <row r="10467" spans="1:7" x14ac:dyDescent="0.25">
      <c r="A10467" t="s">
        <v>41</v>
      </c>
      <c r="B10467" t="s">
        <v>11552</v>
      </c>
      <c r="C10467" t="s">
        <v>17676</v>
      </c>
      <c r="D10467" t="s">
        <v>20</v>
      </c>
      <c r="E10467" t="s">
        <v>11</v>
      </c>
      <c r="F10467">
        <v>157.29999999999998</v>
      </c>
      <c r="G10467">
        <v>18</v>
      </c>
    </row>
    <row r="10468" spans="1:7" x14ac:dyDescent="0.25">
      <c r="A10468" t="s">
        <v>41</v>
      </c>
      <c r="B10468" t="s">
        <v>11555</v>
      </c>
      <c r="C10468" t="s">
        <v>19890</v>
      </c>
      <c r="D10468" t="s">
        <v>20</v>
      </c>
      <c r="E10468" t="s">
        <v>11</v>
      </c>
      <c r="F10468">
        <v>136.4</v>
      </c>
      <c r="G10468">
        <v>18</v>
      </c>
    </row>
    <row r="10469" spans="1:7" x14ac:dyDescent="0.25">
      <c r="A10469" t="s">
        <v>41</v>
      </c>
      <c r="B10469" t="s">
        <v>11558</v>
      </c>
      <c r="C10469" t="s">
        <v>20007</v>
      </c>
      <c r="D10469" t="s">
        <v>20</v>
      </c>
      <c r="E10469" t="s">
        <v>11</v>
      </c>
      <c r="F10469">
        <v>3623.3999999999996</v>
      </c>
      <c r="G10469">
        <v>18</v>
      </c>
    </row>
    <row r="10470" spans="1:7" x14ac:dyDescent="0.25">
      <c r="A10470" t="s">
        <v>41</v>
      </c>
      <c r="B10470" t="s">
        <v>11561</v>
      </c>
      <c r="C10470" t="s">
        <v>19700</v>
      </c>
      <c r="D10470" t="s">
        <v>20</v>
      </c>
      <c r="E10470" t="s">
        <v>11</v>
      </c>
      <c r="F10470">
        <v>1070.3</v>
      </c>
      <c r="G10470">
        <v>18</v>
      </c>
    </row>
    <row r="10471" spans="1:7" x14ac:dyDescent="0.25">
      <c r="A10471" t="s">
        <v>41</v>
      </c>
      <c r="B10471" t="s">
        <v>11564</v>
      </c>
      <c r="C10471" t="s">
        <v>19684</v>
      </c>
      <c r="D10471" t="s">
        <v>20</v>
      </c>
      <c r="E10471" t="s">
        <v>11</v>
      </c>
      <c r="F10471">
        <v>474.09999999999997</v>
      </c>
      <c r="G10471">
        <v>18</v>
      </c>
    </row>
    <row r="10472" spans="1:7" x14ac:dyDescent="0.25">
      <c r="A10472" t="s">
        <v>41</v>
      </c>
      <c r="B10472" t="s">
        <v>11567</v>
      </c>
      <c r="C10472" t="s">
        <v>19685</v>
      </c>
      <c r="D10472" t="s">
        <v>20</v>
      </c>
      <c r="E10472" t="s">
        <v>11</v>
      </c>
      <c r="F10472">
        <v>1601.6000000000001</v>
      </c>
      <c r="G10472">
        <v>18</v>
      </c>
    </row>
    <row r="10473" spans="1:7" x14ac:dyDescent="0.25">
      <c r="A10473" t="s">
        <v>41</v>
      </c>
      <c r="B10473" t="s">
        <v>11570</v>
      </c>
      <c r="C10473" t="s">
        <v>19686</v>
      </c>
      <c r="D10473" t="s">
        <v>20</v>
      </c>
      <c r="E10473" t="s">
        <v>11</v>
      </c>
      <c r="F10473">
        <v>71.5</v>
      </c>
      <c r="G10473">
        <v>18</v>
      </c>
    </row>
    <row r="10474" spans="1:7" x14ac:dyDescent="0.25">
      <c r="A10474" t="s">
        <v>41</v>
      </c>
      <c r="B10474" t="s">
        <v>11573</v>
      </c>
      <c r="C10474" t="s">
        <v>19697</v>
      </c>
      <c r="D10474" t="s">
        <v>20</v>
      </c>
      <c r="E10474" t="s">
        <v>11</v>
      </c>
      <c r="F10474">
        <v>783.2</v>
      </c>
      <c r="G10474">
        <v>18</v>
      </c>
    </row>
    <row r="10475" spans="1:7" x14ac:dyDescent="0.25">
      <c r="A10475" t="s">
        <v>41</v>
      </c>
      <c r="B10475" t="s">
        <v>11576</v>
      </c>
      <c r="C10475" t="s">
        <v>19699</v>
      </c>
      <c r="D10475" t="s">
        <v>20</v>
      </c>
      <c r="E10475" t="s">
        <v>11</v>
      </c>
      <c r="F10475">
        <v>657.8000000000001</v>
      </c>
      <c r="G10475">
        <v>18</v>
      </c>
    </row>
    <row r="10476" spans="1:7" x14ac:dyDescent="0.25">
      <c r="A10476" t="s">
        <v>41</v>
      </c>
      <c r="B10476" t="s">
        <v>11579</v>
      </c>
      <c r="C10476" t="s">
        <v>19683</v>
      </c>
      <c r="D10476" t="s">
        <v>20</v>
      </c>
      <c r="E10476" t="s">
        <v>11</v>
      </c>
      <c r="F10476">
        <v>80.3</v>
      </c>
      <c r="G10476">
        <v>18</v>
      </c>
    </row>
    <row r="10477" spans="1:7" x14ac:dyDescent="0.25">
      <c r="A10477" t="s">
        <v>41</v>
      </c>
      <c r="B10477" t="s">
        <v>11582</v>
      </c>
      <c r="C10477" t="s">
        <v>19698</v>
      </c>
      <c r="D10477" t="s">
        <v>20</v>
      </c>
      <c r="E10477" t="s">
        <v>11</v>
      </c>
      <c r="F10477">
        <v>694.0999999999999</v>
      </c>
      <c r="G10477">
        <v>18</v>
      </c>
    </row>
    <row r="10478" spans="1:7" x14ac:dyDescent="0.25">
      <c r="A10478" t="s">
        <v>41</v>
      </c>
      <c r="B10478" t="s">
        <v>11585</v>
      </c>
      <c r="C10478" t="s">
        <v>20008</v>
      </c>
      <c r="D10478" t="s">
        <v>20</v>
      </c>
      <c r="E10478" t="s">
        <v>11</v>
      </c>
      <c r="F10478">
        <v>56127.5</v>
      </c>
      <c r="G10478">
        <v>18</v>
      </c>
    </row>
    <row r="10479" spans="1:7" x14ac:dyDescent="0.25">
      <c r="A10479" t="s">
        <v>41</v>
      </c>
      <c r="B10479" t="s">
        <v>11588</v>
      </c>
      <c r="C10479" t="s">
        <v>20009</v>
      </c>
      <c r="D10479" t="s">
        <v>20</v>
      </c>
      <c r="E10479" t="s">
        <v>11</v>
      </c>
      <c r="F10479">
        <v>238.7</v>
      </c>
      <c r="G10479">
        <v>18</v>
      </c>
    </row>
    <row r="10480" spans="1:7" x14ac:dyDescent="0.25">
      <c r="A10480" t="s">
        <v>41</v>
      </c>
      <c r="B10480" t="s">
        <v>11591</v>
      </c>
      <c r="C10480" t="s">
        <v>18961</v>
      </c>
      <c r="D10480" t="s">
        <v>20</v>
      </c>
      <c r="E10480" t="s">
        <v>11</v>
      </c>
      <c r="F10480">
        <v>5711.2</v>
      </c>
      <c r="G10480">
        <v>18</v>
      </c>
    </row>
    <row r="10481" spans="1:7" x14ac:dyDescent="0.25">
      <c r="A10481" t="s">
        <v>41</v>
      </c>
      <c r="B10481" t="s">
        <v>11594</v>
      </c>
      <c r="C10481" t="s">
        <v>20010</v>
      </c>
      <c r="D10481" t="s">
        <v>20</v>
      </c>
      <c r="E10481" t="s">
        <v>11</v>
      </c>
      <c r="F10481">
        <v>738.1</v>
      </c>
      <c r="G10481">
        <v>18</v>
      </c>
    </row>
    <row r="10482" spans="1:7" x14ac:dyDescent="0.25">
      <c r="A10482" t="s">
        <v>41</v>
      </c>
      <c r="B10482" t="s">
        <v>11597</v>
      </c>
      <c r="C10482" t="s">
        <v>20011</v>
      </c>
      <c r="D10482" t="s">
        <v>20</v>
      </c>
      <c r="E10482" t="s">
        <v>11</v>
      </c>
      <c r="F10482">
        <v>6490</v>
      </c>
      <c r="G10482">
        <v>18</v>
      </c>
    </row>
    <row r="10483" spans="1:7" x14ac:dyDescent="0.25">
      <c r="A10483" t="s">
        <v>41</v>
      </c>
      <c r="B10483" t="s">
        <v>11600</v>
      </c>
      <c r="C10483" t="s">
        <v>19507</v>
      </c>
      <c r="D10483" t="s">
        <v>20</v>
      </c>
      <c r="E10483" t="s">
        <v>11</v>
      </c>
      <c r="F10483">
        <v>636.9</v>
      </c>
      <c r="G10483">
        <v>18</v>
      </c>
    </row>
    <row r="10484" spans="1:7" x14ac:dyDescent="0.25">
      <c r="A10484" t="s">
        <v>41</v>
      </c>
      <c r="B10484" t="s">
        <v>11603</v>
      </c>
      <c r="C10484" t="s">
        <v>20012</v>
      </c>
      <c r="D10484" t="s">
        <v>20</v>
      </c>
      <c r="E10484" t="s">
        <v>11</v>
      </c>
      <c r="F10484">
        <v>952.6</v>
      </c>
      <c r="G10484">
        <v>18</v>
      </c>
    </row>
    <row r="10485" spans="1:7" x14ac:dyDescent="0.25">
      <c r="A10485" t="s">
        <v>41</v>
      </c>
      <c r="B10485" t="s">
        <v>11606</v>
      </c>
      <c r="C10485" t="s">
        <v>20013</v>
      </c>
      <c r="D10485" t="s">
        <v>20</v>
      </c>
      <c r="E10485" t="s">
        <v>11</v>
      </c>
      <c r="F10485">
        <v>856.9</v>
      </c>
      <c r="G10485">
        <v>18</v>
      </c>
    </row>
    <row r="10486" spans="1:7" x14ac:dyDescent="0.25">
      <c r="A10486" t="s">
        <v>41</v>
      </c>
      <c r="B10486" t="s">
        <v>11609</v>
      </c>
      <c r="C10486" t="s">
        <v>19710</v>
      </c>
      <c r="D10486" t="s">
        <v>20</v>
      </c>
      <c r="E10486" t="s">
        <v>11</v>
      </c>
      <c r="F10486">
        <v>229.89999999999998</v>
      </c>
      <c r="G10486">
        <v>18</v>
      </c>
    </row>
    <row r="10487" spans="1:7" x14ac:dyDescent="0.25">
      <c r="A10487" t="s">
        <v>41</v>
      </c>
      <c r="B10487" t="s">
        <v>11612</v>
      </c>
      <c r="C10487" t="s">
        <v>19366</v>
      </c>
      <c r="D10487" t="s">
        <v>20</v>
      </c>
      <c r="E10487" t="s">
        <v>11</v>
      </c>
      <c r="F10487">
        <v>183.7</v>
      </c>
      <c r="G10487">
        <v>18</v>
      </c>
    </row>
    <row r="10488" spans="1:7" x14ac:dyDescent="0.25">
      <c r="A10488" t="s">
        <v>41</v>
      </c>
      <c r="B10488" t="s">
        <v>11615</v>
      </c>
      <c r="C10488" t="s">
        <v>18968</v>
      </c>
      <c r="D10488" t="s">
        <v>20</v>
      </c>
      <c r="E10488" t="s">
        <v>11</v>
      </c>
      <c r="F10488">
        <v>4522.1</v>
      </c>
      <c r="G10488">
        <v>18</v>
      </c>
    </row>
    <row r="10489" spans="1:7" x14ac:dyDescent="0.25">
      <c r="A10489" t="s">
        <v>41</v>
      </c>
      <c r="B10489" t="s">
        <v>11618</v>
      </c>
      <c r="C10489" t="s">
        <v>20014</v>
      </c>
      <c r="D10489" t="s">
        <v>20</v>
      </c>
      <c r="E10489" t="s">
        <v>11</v>
      </c>
      <c r="F10489">
        <v>33404.8</v>
      </c>
      <c r="G10489">
        <v>18</v>
      </c>
    </row>
    <row r="10490" spans="1:7" x14ac:dyDescent="0.25">
      <c r="A10490" t="s">
        <v>41</v>
      </c>
      <c r="B10490" t="s">
        <v>11621</v>
      </c>
      <c r="C10490" t="s">
        <v>20015</v>
      </c>
      <c r="D10490" t="s">
        <v>20</v>
      </c>
      <c r="E10490" t="s">
        <v>11</v>
      </c>
      <c r="F10490">
        <v>12698.4</v>
      </c>
      <c r="G10490">
        <v>18</v>
      </c>
    </row>
    <row r="10491" spans="1:7" x14ac:dyDescent="0.25">
      <c r="A10491" t="s">
        <v>41</v>
      </c>
      <c r="B10491" t="s">
        <v>11624</v>
      </c>
      <c r="C10491" t="s">
        <v>20016</v>
      </c>
      <c r="D10491" t="s">
        <v>20</v>
      </c>
      <c r="E10491" t="s">
        <v>11</v>
      </c>
      <c r="F10491">
        <v>8122.400000000001</v>
      </c>
      <c r="G10491">
        <v>18</v>
      </c>
    </row>
    <row r="10492" spans="1:7" x14ac:dyDescent="0.25">
      <c r="A10492" t="s">
        <v>41</v>
      </c>
      <c r="B10492" t="s">
        <v>11627</v>
      </c>
      <c r="C10492" t="s">
        <v>20017</v>
      </c>
      <c r="D10492" t="s">
        <v>20</v>
      </c>
      <c r="E10492" t="s">
        <v>11</v>
      </c>
      <c r="F10492">
        <v>69.3</v>
      </c>
      <c r="G10492">
        <v>18</v>
      </c>
    </row>
    <row r="10493" spans="1:7" x14ac:dyDescent="0.25">
      <c r="A10493" t="s">
        <v>41</v>
      </c>
      <c r="B10493" t="s">
        <v>11630</v>
      </c>
      <c r="C10493" t="s">
        <v>20018</v>
      </c>
      <c r="D10493" t="s">
        <v>20</v>
      </c>
      <c r="E10493" t="s">
        <v>11</v>
      </c>
      <c r="F10493">
        <v>1738</v>
      </c>
      <c r="G10493">
        <v>18</v>
      </c>
    </row>
    <row r="10494" spans="1:7" x14ac:dyDescent="0.25">
      <c r="A10494" t="s">
        <v>41</v>
      </c>
      <c r="B10494" t="s">
        <v>11633</v>
      </c>
      <c r="C10494" t="s">
        <v>20019</v>
      </c>
      <c r="D10494" t="s">
        <v>20</v>
      </c>
      <c r="E10494" t="s">
        <v>11</v>
      </c>
      <c r="F10494">
        <v>3808.2</v>
      </c>
      <c r="G10494">
        <v>18</v>
      </c>
    </row>
    <row r="10495" spans="1:7" x14ac:dyDescent="0.25">
      <c r="A10495" t="s">
        <v>41</v>
      </c>
      <c r="B10495" t="s">
        <v>11636</v>
      </c>
      <c r="C10495" t="s">
        <v>18300</v>
      </c>
      <c r="D10495" t="s">
        <v>20</v>
      </c>
      <c r="E10495" t="s">
        <v>11</v>
      </c>
      <c r="F10495">
        <v>56.1</v>
      </c>
      <c r="G10495">
        <v>18</v>
      </c>
    </row>
    <row r="10496" spans="1:7" x14ac:dyDescent="0.25">
      <c r="A10496" t="s">
        <v>41</v>
      </c>
      <c r="B10496" t="s">
        <v>11639</v>
      </c>
      <c r="C10496" t="s">
        <v>20020</v>
      </c>
      <c r="D10496" t="s">
        <v>20</v>
      </c>
      <c r="E10496" t="s">
        <v>11</v>
      </c>
      <c r="F10496">
        <v>32375.2</v>
      </c>
      <c r="G10496">
        <v>18</v>
      </c>
    </row>
    <row r="10497" spans="1:7" x14ac:dyDescent="0.25">
      <c r="A10497" t="s">
        <v>41</v>
      </c>
      <c r="B10497" t="s">
        <v>11642</v>
      </c>
      <c r="C10497" t="s">
        <v>20021</v>
      </c>
      <c r="D10497" t="s">
        <v>20</v>
      </c>
      <c r="E10497" t="s">
        <v>11</v>
      </c>
      <c r="F10497">
        <v>298.1</v>
      </c>
      <c r="G10497">
        <v>18</v>
      </c>
    </row>
    <row r="10498" spans="1:7" x14ac:dyDescent="0.25">
      <c r="A10498" t="s">
        <v>41</v>
      </c>
      <c r="B10498" t="s">
        <v>11645</v>
      </c>
      <c r="C10498" t="s">
        <v>20022</v>
      </c>
      <c r="D10498" t="s">
        <v>20</v>
      </c>
      <c r="E10498" t="s">
        <v>11</v>
      </c>
      <c r="F10498">
        <v>2070.2</v>
      </c>
      <c r="G10498">
        <v>18</v>
      </c>
    </row>
    <row r="10499" spans="1:7" x14ac:dyDescent="0.25">
      <c r="A10499" t="s">
        <v>41</v>
      </c>
      <c r="B10499" t="s">
        <v>11648</v>
      </c>
      <c r="C10499" t="s">
        <v>20023</v>
      </c>
      <c r="D10499" t="s">
        <v>20</v>
      </c>
      <c r="E10499" t="s">
        <v>11</v>
      </c>
      <c r="F10499">
        <v>3450.7000000000003</v>
      </c>
      <c r="G10499">
        <v>18</v>
      </c>
    </row>
    <row r="10500" spans="1:7" x14ac:dyDescent="0.25">
      <c r="A10500" t="s">
        <v>41</v>
      </c>
      <c r="B10500" t="s">
        <v>11651</v>
      </c>
      <c r="C10500" t="s">
        <v>20024</v>
      </c>
      <c r="D10500" t="s">
        <v>20</v>
      </c>
      <c r="E10500" t="s">
        <v>11</v>
      </c>
      <c r="F10500">
        <v>143</v>
      </c>
      <c r="G10500">
        <v>18</v>
      </c>
    </row>
    <row r="10501" spans="1:7" x14ac:dyDescent="0.25">
      <c r="A10501" t="s">
        <v>41</v>
      </c>
      <c r="B10501" t="s">
        <v>11654</v>
      </c>
      <c r="C10501" t="s">
        <v>20025</v>
      </c>
      <c r="D10501" t="s">
        <v>20</v>
      </c>
      <c r="E10501" t="s">
        <v>11</v>
      </c>
      <c r="F10501">
        <v>500.5</v>
      </c>
      <c r="G10501">
        <v>18</v>
      </c>
    </row>
    <row r="10502" spans="1:7" x14ac:dyDescent="0.25">
      <c r="A10502" t="s">
        <v>41</v>
      </c>
      <c r="B10502" t="s">
        <v>11657</v>
      </c>
      <c r="C10502" t="s">
        <v>20026</v>
      </c>
      <c r="D10502" t="s">
        <v>20</v>
      </c>
      <c r="E10502" t="s">
        <v>11</v>
      </c>
      <c r="F10502">
        <v>5148</v>
      </c>
      <c r="G10502">
        <v>18</v>
      </c>
    </row>
    <row r="10503" spans="1:7" x14ac:dyDescent="0.25">
      <c r="A10503" t="s">
        <v>41</v>
      </c>
      <c r="B10503" t="s">
        <v>11660</v>
      </c>
      <c r="C10503" t="s">
        <v>20027</v>
      </c>
      <c r="D10503" t="s">
        <v>20</v>
      </c>
      <c r="E10503" t="s">
        <v>11</v>
      </c>
      <c r="F10503">
        <v>476.3</v>
      </c>
      <c r="G10503">
        <v>18</v>
      </c>
    </row>
    <row r="10504" spans="1:7" x14ac:dyDescent="0.25">
      <c r="A10504" t="s">
        <v>41</v>
      </c>
      <c r="B10504" t="s">
        <v>11663</v>
      </c>
      <c r="C10504" t="s">
        <v>20028</v>
      </c>
      <c r="D10504" t="s">
        <v>20</v>
      </c>
      <c r="E10504" t="s">
        <v>11</v>
      </c>
      <c r="F10504">
        <v>116.60000000000001</v>
      </c>
      <c r="G10504">
        <v>18</v>
      </c>
    </row>
    <row r="10505" spans="1:7" x14ac:dyDescent="0.25">
      <c r="A10505" t="s">
        <v>41</v>
      </c>
      <c r="B10505" t="s">
        <v>11666</v>
      </c>
      <c r="C10505" t="s">
        <v>20029</v>
      </c>
      <c r="D10505" t="s">
        <v>20</v>
      </c>
      <c r="E10505" t="s">
        <v>11</v>
      </c>
      <c r="F10505">
        <v>488.40000000000003</v>
      </c>
      <c r="G10505">
        <v>18</v>
      </c>
    </row>
    <row r="10506" spans="1:7" x14ac:dyDescent="0.25">
      <c r="A10506" t="s">
        <v>41</v>
      </c>
      <c r="B10506" t="s">
        <v>11669</v>
      </c>
      <c r="C10506" t="s">
        <v>20030</v>
      </c>
      <c r="D10506" t="s">
        <v>20</v>
      </c>
      <c r="E10506" t="s">
        <v>11</v>
      </c>
      <c r="F10506">
        <v>6901.400000000001</v>
      </c>
      <c r="G10506">
        <v>18</v>
      </c>
    </row>
    <row r="10507" spans="1:7" x14ac:dyDescent="0.25">
      <c r="A10507" t="s">
        <v>41</v>
      </c>
      <c r="B10507" t="s">
        <v>11672</v>
      </c>
      <c r="C10507" t="s">
        <v>19955</v>
      </c>
      <c r="D10507" t="s">
        <v>20</v>
      </c>
      <c r="E10507" t="s">
        <v>11</v>
      </c>
      <c r="F10507">
        <v>80.3</v>
      </c>
      <c r="G10507">
        <v>18</v>
      </c>
    </row>
    <row r="10508" spans="1:7" x14ac:dyDescent="0.25">
      <c r="A10508" t="s">
        <v>41</v>
      </c>
      <c r="B10508" t="s">
        <v>11675</v>
      </c>
      <c r="C10508" t="s">
        <v>20031</v>
      </c>
      <c r="D10508" t="s">
        <v>20</v>
      </c>
      <c r="E10508" t="s">
        <v>11</v>
      </c>
      <c r="F10508">
        <v>488.40000000000003</v>
      </c>
      <c r="G10508">
        <v>18</v>
      </c>
    </row>
    <row r="10509" spans="1:7" x14ac:dyDescent="0.25">
      <c r="A10509" t="s">
        <v>41</v>
      </c>
      <c r="B10509" t="s">
        <v>11678</v>
      </c>
      <c r="C10509" t="s">
        <v>20032</v>
      </c>
      <c r="D10509" t="s">
        <v>20</v>
      </c>
      <c r="E10509" t="s">
        <v>11</v>
      </c>
      <c r="F10509">
        <v>61.60000000000001</v>
      </c>
      <c r="G10509">
        <v>18</v>
      </c>
    </row>
    <row r="10510" spans="1:7" x14ac:dyDescent="0.25">
      <c r="A10510" t="s">
        <v>41</v>
      </c>
      <c r="B10510" t="s">
        <v>11681</v>
      </c>
      <c r="C10510" t="s">
        <v>17952</v>
      </c>
      <c r="D10510" t="s">
        <v>20</v>
      </c>
      <c r="E10510" t="s">
        <v>11</v>
      </c>
      <c r="F10510">
        <v>70.4</v>
      </c>
      <c r="G10510">
        <v>18</v>
      </c>
    </row>
    <row r="10511" spans="1:7" x14ac:dyDescent="0.25">
      <c r="A10511" t="s">
        <v>41</v>
      </c>
      <c r="B10511" t="s">
        <v>11684</v>
      </c>
      <c r="C10511" t="s">
        <v>20033</v>
      </c>
      <c r="D10511" t="s">
        <v>20</v>
      </c>
      <c r="E10511" t="s">
        <v>11</v>
      </c>
      <c r="F10511">
        <v>54015.5</v>
      </c>
      <c r="G10511">
        <v>18</v>
      </c>
    </row>
    <row r="10512" spans="1:7" x14ac:dyDescent="0.25">
      <c r="A10512" t="s">
        <v>41</v>
      </c>
      <c r="B10512" t="s">
        <v>11687</v>
      </c>
      <c r="C10512" t="s">
        <v>17799</v>
      </c>
      <c r="D10512" t="s">
        <v>20</v>
      </c>
      <c r="E10512" t="s">
        <v>11</v>
      </c>
      <c r="F10512">
        <v>8259.9</v>
      </c>
      <c r="G10512">
        <v>18</v>
      </c>
    </row>
    <row r="10513" spans="1:7" x14ac:dyDescent="0.25">
      <c r="A10513" t="s">
        <v>41</v>
      </c>
      <c r="B10513" t="s">
        <v>11690</v>
      </c>
      <c r="C10513" t="s">
        <v>18300</v>
      </c>
      <c r="D10513" t="s">
        <v>20</v>
      </c>
      <c r="E10513" t="s">
        <v>11</v>
      </c>
      <c r="F10513">
        <v>56.1</v>
      </c>
      <c r="G10513">
        <v>18</v>
      </c>
    </row>
    <row r="10514" spans="1:7" x14ac:dyDescent="0.25">
      <c r="A10514" t="s">
        <v>41</v>
      </c>
      <c r="B10514" t="s">
        <v>11693</v>
      </c>
      <c r="C10514" t="s">
        <v>19514</v>
      </c>
      <c r="D10514" t="s">
        <v>20</v>
      </c>
      <c r="E10514" t="s">
        <v>11</v>
      </c>
      <c r="F10514">
        <v>278.29999999999995</v>
      </c>
      <c r="G10514">
        <v>18</v>
      </c>
    </row>
    <row r="10515" spans="1:7" x14ac:dyDescent="0.25">
      <c r="A10515" t="s">
        <v>41</v>
      </c>
      <c r="B10515" t="s">
        <v>11696</v>
      </c>
      <c r="C10515" t="s">
        <v>20034</v>
      </c>
      <c r="D10515" t="s">
        <v>20</v>
      </c>
      <c r="E10515" t="s">
        <v>11</v>
      </c>
      <c r="F10515">
        <v>48066.700000000004</v>
      </c>
      <c r="G10515">
        <v>18</v>
      </c>
    </row>
    <row r="10516" spans="1:7" x14ac:dyDescent="0.25">
      <c r="A10516" t="s">
        <v>41</v>
      </c>
      <c r="B10516" t="s">
        <v>11699</v>
      </c>
      <c r="C10516" t="s">
        <v>20035</v>
      </c>
      <c r="D10516" t="s">
        <v>20</v>
      </c>
      <c r="E10516" t="s">
        <v>11</v>
      </c>
      <c r="F10516">
        <v>429</v>
      </c>
      <c r="G10516">
        <v>18</v>
      </c>
    </row>
    <row r="10517" spans="1:7" x14ac:dyDescent="0.25">
      <c r="A10517" t="s">
        <v>41</v>
      </c>
      <c r="B10517" t="s">
        <v>11702</v>
      </c>
      <c r="C10517" t="s">
        <v>20036</v>
      </c>
      <c r="D10517" t="s">
        <v>20</v>
      </c>
      <c r="E10517" t="s">
        <v>11</v>
      </c>
      <c r="F10517">
        <v>928.4</v>
      </c>
      <c r="G10517">
        <v>18</v>
      </c>
    </row>
    <row r="10518" spans="1:7" x14ac:dyDescent="0.25">
      <c r="A10518" t="s">
        <v>41</v>
      </c>
      <c r="B10518" t="s">
        <v>11705</v>
      </c>
      <c r="C10518" t="s">
        <v>20037</v>
      </c>
      <c r="D10518" t="s">
        <v>20</v>
      </c>
      <c r="E10518" t="s">
        <v>11</v>
      </c>
      <c r="F10518">
        <v>429</v>
      </c>
      <c r="G10518">
        <v>18</v>
      </c>
    </row>
    <row r="10519" spans="1:7" x14ac:dyDescent="0.25">
      <c r="A10519" t="s">
        <v>41</v>
      </c>
      <c r="B10519" t="s">
        <v>11708</v>
      </c>
      <c r="C10519" t="s">
        <v>20038</v>
      </c>
      <c r="D10519" t="s">
        <v>20</v>
      </c>
      <c r="E10519" t="s">
        <v>11</v>
      </c>
      <c r="F10519">
        <v>2022.9</v>
      </c>
      <c r="G10519">
        <v>18</v>
      </c>
    </row>
    <row r="10520" spans="1:7" x14ac:dyDescent="0.25">
      <c r="A10520" t="s">
        <v>41</v>
      </c>
      <c r="B10520" t="s">
        <v>11711</v>
      </c>
      <c r="C10520" t="s">
        <v>20039</v>
      </c>
      <c r="D10520" t="s">
        <v>20</v>
      </c>
      <c r="E10520" t="s">
        <v>11</v>
      </c>
      <c r="F10520">
        <v>7376.6</v>
      </c>
      <c r="G10520">
        <v>18</v>
      </c>
    </row>
    <row r="10521" spans="1:7" x14ac:dyDescent="0.25">
      <c r="A10521" t="s">
        <v>41</v>
      </c>
      <c r="B10521" t="s">
        <v>11714</v>
      </c>
      <c r="C10521" t="s">
        <v>20040</v>
      </c>
      <c r="D10521" t="s">
        <v>20</v>
      </c>
      <c r="E10521" t="s">
        <v>11</v>
      </c>
      <c r="F10521">
        <v>6425.099999999999</v>
      </c>
      <c r="G10521">
        <v>18</v>
      </c>
    </row>
    <row r="10522" spans="1:7" x14ac:dyDescent="0.25">
      <c r="A10522" t="s">
        <v>41</v>
      </c>
      <c r="B10522" t="s">
        <v>11717</v>
      </c>
      <c r="C10522" t="s">
        <v>17644</v>
      </c>
      <c r="D10522" t="s">
        <v>20</v>
      </c>
      <c r="E10522" t="s">
        <v>11</v>
      </c>
      <c r="F10522">
        <v>874.5</v>
      </c>
      <c r="G10522">
        <v>18</v>
      </c>
    </row>
    <row r="10523" spans="1:7" x14ac:dyDescent="0.25">
      <c r="A10523" t="s">
        <v>41</v>
      </c>
      <c r="B10523" t="s">
        <v>11720</v>
      </c>
      <c r="C10523" t="s">
        <v>17645</v>
      </c>
      <c r="D10523" t="s">
        <v>20</v>
      </c>
      <c r="E10523" t="s">
        <v>11</v>
      </c>
      <c r="F10523">
        <v>304.7</v>
      </c>
      <c r="G10523">
        <v>18</v>
      </c>
    </row>
    <row r="10524" spans="1:7" x14ac:dyDescent="0.25">
      <c r="A10524" t="s">
        <v>41</v>
      </c>
      <c r="B10524" t="s">
        <v>11723</v>
      </c>
      <c r="C10524" t="s">
        <v>20041</v>
      </c>
      <c r="D10524" t="s">
        <v>20</v>
      </c>
      <c r="E10524" t="s">
        <v>11</v>
      </c>
      <c r="F10524">
        <v>392.7</v>
      </c>
      <c r="G10524">
        <v>18</v>
      </c>
    </row>
    <row r="10525" spans="1:7" x14ac:dyDescent="0.25">
      <c r="A10525" t="s">
        <v>41</v>
      </c>
      <c r="B10525" t="s">
        <v>11726</v>
      </c>
      <c r="C10525" t="s">
        <v>20042</v>
      </c>
      <c r="D10525" t="s">
        <v>20</v>
      </c>
      <c r="E10525" t="s">
        <v>11</v>
      </c>
      <c r="F10525">
        <v>155.1</v>
      </c>
      <c r="G10525">
        <v>18</v>
      </c>
    </row>
    <row r="10526" spans="1:7" x14ac:dyDescent="0.25">
      <c r="A10526" t="s">
        <v>41</v>
      </c>
      <c r="B10526" t="s">
        <v>11729</v>
      </c>
      <c r="C10526" t="s">
        <v>20043</v>
      </c>
      <c r="D10526" t="s">
        <v>20</v>
      </c>
      <c r="E10526" t="s">
        <v>11</v>
      </c>
      <c r="F10526">
        <v>488.40000000000003</v>
      </c>
      <c r="G10526">
        <v>18</v>
      </c>
    </row>
    <row r="10527" spans="1:7" x14ac:dyDescent="0.25">
      <c r="A10527" t="s">
        <v>41</v>
      </c>
      <c r="B10527" t="s">
        <v>11732</v>
      </c>
      <c r="C10527" t="s">
        <v>17677</v>
      </c>
      <c r="D10527" t="s">
        <v>20</v>
      </c>
      <c r="E10527" t="s">
        <v>11</v>
      </c>
      <c r="F10527">
        <v>56.1</v>
      </c>
      <c r="G10527">
        <v>18</v>
      </c>
    </row>
    <row r="10528" spans="1:7" x14ac:dyDescent="0.25">
      <c r="A10528" t="s">
        <v>41</v>
      </c>
      <c r="B10528" t="s">
        <v>11735</v>
      </c>
      <c r="C10528" t="s">
        <v>20044</v>
      </c>
      <c r="D10528" t="s">
        <v>20</v>
      </c>
      <c r="E10528" t="s">
        <v>11</v>
      </c>
      <c r="F10528">
        <v>535.7</v>
      </c>
      <c r="G10528">
        <v>18</v>
      </c>
    </row>
    <row r="10529" spans="1:7" x14ac:dyDescent="0.25">
      <c r="A10529" t="s">
        <v>41</v>
      </c>
      <c r="B10529" t="s">
        <v>11738</v>
      </c>
      <c r="C10529" t="s">
        <v>20045</v>
      </c>
      <c r="D10529" t="s">
        <v>20</v>
      </c>
      <c r="E10529" t="s">
        <v>11</v>
      </c>
      <c r="F10529">
        <v>6292</v>
      </c>
      <c r="G10529">
        <v>18</v>
      </c>
    </row>
    <row r="10530" spans="1:7" x14ac:dyDescent="0.25">
      <c r="A10530" t="s">
        <v>41</v>
      </c>
      <c r="B10530" t="s">
        <v>11741</v>
      </c>
      <c r="C10530" t="s">
        <v>20046</v>
      </c>
      <c r="D10530" t="s">
        <v>20</v>
      </c>
      <c r="E10530" t="s">
        <v>11</v>
      </c>
      <c r="F10530">
        <v>57108.7</v>
      </c>
      <c r="G10530">
        <v>18</v>
      </c>
    </row>
    <row r="10531" spans="1:7" x14ac:dyDescent="0.25">
      <c r="A10531" t="s">
        <v>41</v>
      </c>
      <c r="B10531" t="s">
        <v>11744</v>
      </c>
      <c r="C10531" t="s">
        <v>19375</v>
      </c>
      <c r="D10531" t="s">
        <v>20</v>
      </c>
      <c r="E10531" t="s">
        <v>11</v>
      </c>
      <c r="F10531">
        <v>111.1</v>
      </c>
      <c r="G10531">
        <v>18</v>
      </c>
    </row>
    <row r="10532" spans="1:7" x14ac:dyDescent="0.25">
      <c r="A10532" t="s">
        <v>41</v>
      </c>
      <c r="B10532" t="s">
        <v>11747</v>
      </c>
      <c r="C10532" t="s">
        <v>17904</v>
      </c>
      <c r="D10532" t="s">
        <v>20</v>
      </c>
      <c r="E10532" t="s">
        <v>11</v>
      </c>
      <c r="F10532">
        <v>133.1</v>
      </c>
      <c r="G10532">
        <v>18</v>
      </c>
    </row>
    <row r="10533" spans="1:7" x14ac:dyDescent="0.25">
      <c r="A10533" t="s">
        <v>41</v>
      </c>
      <c r="B10533" t="s">
        <v>11750</v>
      </c>
      <c r="C10533" t="s">
        <v>18998</v>
      </c>
      <c r="D10533" t="s">
        <v>20</v>
      </c>
      <c r="E10533" t="s">
        <v>11</v>
      </c>
      <c r="F10533">
        <v>353.1</v>
      </c>
      <c r="G10533">
        <v>18</v>
      </c>
    </row>
    <row r="10534" spans="1:7" x14ac:dyDescent="0.25">
      <c r="A10534" t="s">
        <v>41</v>
      </c>
      <c r="B10534" t="s">
        <v>11753</v>
      </c>
      <c r="C10534" t="s">
        <v>20047</v>
      </c>
      <c r="D10534" t="s">
        <v>20</v>
      </c>
      <c r="E10534" t="s">
        <v>11</v>
      </c>
      <c r="F10534">
        <v>475.20000000000005</v>
      </c>
      <c r="G10534">
        <v>18</v>
      </c>
    </row>
    <row r="10535" spans="1:7" x14ac:dyDescent="0.25">
      <c r="A10535" t="s">
        <v>41</v>
      </c>
      <c r="B10535" t="s">
        <v>11756</v>
      </c>
      <c r="C10535" t="s">
        <v>20048</v>
      </c>
      <c r="D10535" t="s">
        <v>20</v>
      </c>
      <c r="E10535" t="s">
        <v>11</v>
      </c>
      <c r="F10535">
        <v>119.9</v>
      </c>
      <c r="G10535">
        <v>18</v>
      </c>
    </row>
    <row r="10536" spans="1:7" x14ac:dyDescent="0.25">
      <c r="A10536" t="s">
        <v>41</v>
      </c>
      <c r="B10536" t="s">
        <v>11759</v>
      </c>
      <c r="C10536" t="s">
        <v>19515</v>
      </c>
      <c r="D10536" t="s">
        <v>20</v>
      </c>
      <c r="E10536" t="s">
        <v>11</v>
      </c>
      <c r="F10536">
        <v>800.8000000000001</v>
      </c>
      <c r="G10536">
        <v>18</v>
      </c>
    </row>
    <row r="10537" spans="1:7" x14ac:dyDescent="0.25">
      <c r="A10537" t="s">
        <v>41</v>
      </c>
      <c r="B10537" t="s">
        <v>11762</v>
      </c>
      <c r="C10537" t="s">
        <v>17677</v>
      </c>
      <c r="D10537" t="s">
        <v>20</v>
      </c>
      <c r="E10537" t="s">
        <v>11</v>
      </c>
      <c r="F10537">
        <v>56.1</v>
      </c>
      <c r="G10537">
        <v>18</v>
      </c>
    </row>
    <row r="10538" spans="1:7" x14ac:dyDescent="0.25">
      <c r="A10538" t="s">
        <v>41</v>
      </c>
      <c r="B10538" t="s">
        <v>11765</v>
      </c>
      <c r="C10538" t="s">
        <v>20049</v>
      </c>
      <c r="D10538" t="s">
        <v>20</v>
      </c>
      <c r="E10538" t="s">
        <v>11</v>
      </c>
      <c r="F10538">
        <v>22129.8</v>
      </c>
      <c r="G10538">
        <v>18</v>
      </c>
    </row>
    <row r="10539" spans="1:7" x14ac:dyDescent="0.25">
      <c r="A10539" t="s">
        <v>41</v>
      </c>
      <c r="B10539" t="s">
        <v>11768</v>
      </c>
      <c r="C10539" t="s">
        <v>20050</v>
      </c>
      <c r="D10539" t="s">
        <v>20</v>
      </c>
      <c r="E10539" t="s">
        <v>11</v>
      </c>
      <c r="F10539">
        <v>18560.3</v>
      </c>
      <c r="G10539">
        <v>18</v>
      </c>
    </row>
    <row r="10540" spans="1:7" x14ac:dyDescent="0.25">
      <c r="A10540" t="s">
        <v>41</v>
      </c>
      <c r="B10540" t="s">
        <v>11771</v>
      </c>
      <c r="C10540" t="s">
        <v>19614</v>
      </c>
      <c r="D10540" t="s">
        <v>20</v>
      </c>
      <c r="E10540" t="s">
        <v>11</v>
      </c>
      <c r="F10540">
        <v>14278.000000000002</v>
      </c>
      <c r="G10540">
        <v>18</v>
      </c>
    </row>
    <row r="10541" spans="1:7" x14ac:dyDescent="0.25">
      <c r="A10541" t="s">
        <v>41</v>
      </c>
      <c r="B10541" t="s">
        <v>11774</v>
      </c>
      <c r="C10541" t="s">
        <v>20051</v>
      </c>
      <c r="D10541" t="s">
        <v>20</v>
      </c>
      <c r="E10541" t="s">
        <v>11</v>
      </c>
      <c r="F10541">
        <v>22248.6</v>
      </c>
      <c r="G10541">
        <v>18</v>
      </c>
    </row>
    <row r="10542" spans="1:7" x14ac:dyDescent="0.25">
      <c r="A10542" t="s">
        <v>41</v>
      </c>
      <c r="B10542" t="s">
        <v>11777</v>
      </c>
      <c r="C10542" t="s">
        <v>20052</v>
      </c>
      <c r="D10542" t="s">
        <v>20</v>
      </c>
      <c r="E10542" t="s">
        <v>11</v>
      </c>
      <c r="F10542">
        <v>535.7</v>
      </c>
      <c r="G10542">
        <v>18</v>
      </c>
    </row>
    <row r="10543" spans="1:7" x14ac:dyDescent="0.25">
      <c r="A10543" t="s">
        <v>41</v>
      </c>
      <c r="B10543" t="s">
        <v>11780</v>
      </c>
      <c r="C10543" t="s">
        <v>20053</v>
      </c>
      <c r="D10543" t="s">
        <v>20</v>
      </c>
      <c r="E10543" t="s">
        <v>11</v>
      </c>
      <c r="F10543">
        <v>4640.9</v>
      </c>
      <c r="G10543">
        <v>18</v>
      </c>
    </row>
    <row r="10544" spans="1:7" x14ac:dyDescent="0.25">
      <c r="A10544" t="s">
        <v>41</v>
      </c>
      <c r="B10544" t="s">
        <v>11783</v>
      </c>
      <c r="C10544" t="s">
        <v>19561</v>
      </c>
      <c r="D10544" t="s">
        <v>20</v>
      </c>
      <c r="E10544" t="s">
        <v>11</v>
      </c>
      <c r="F10544">
        <v>771.1</v>
      </c>
      <c r="G10544">
        <v>18</v>
      </c>
    </row>
    <row r="10545" spans="1:7" x14ac:dyDescent="0.25">
      <c r="A10545" t="s">
        <v>41</v>
      </c>
      <c r="B10545" t="s">
        <v>11786</v>
      </c>
      <c r="C10545" t="s">
        <v>20054</v>
      </c>
      <c r="D10545" t="s">
        <v>20</v>
      </c>
      <c r="E10545" t="s">
        <v>11</v>
      </c>
      <c r="F10545">
        <v>2618</v>
      </c>
      <c r="G10545">
        <v>18</v>
      </c>
    </row>
    <row r="10546" spans="1:7" x14ac:dyDescent="0.25">
      <c r="A10546" t="s">
        <v>41</v>
      </c>
      <c r="B10546" t="s">
        <v>11789</v>
      </c>
      <c r="C10546" t="s">
        <v>20055</v>
      </c>
      <c r="D10546" t="s">
        <v>20</v>
      </c>
      <c r="E10546" t="s">
        <v>11</v>
      </c>
      <c r="F10546">
        <v>476.3</v>
      </c>
      <c r="G10546">
        <v>18</v>
      </c>
    </row>
    <row r="10547" spans="1:7" x14ac:dyDescent="0.25">
      <c r="A10547" t="s">
        <v>41</v>
      </c>
      <c r="B10547" t="s">
        <v>11792</v>
      </c>
      <c r="C10547" t="s">
        <v>19670</v>
      </c>
      <c r="D10547" t="s">
        <v>20</v>
      </c>
      <c r="E10547" t="s">
        <v>11</v>
      </c>
      <c r="F10547">
        <v>2261.6</v>
      </c>
      <c r="G10547">
        <v>18</v>
      </c>
    </row>
    <row r="10548" spans="1:7" x14ac:dyDescent="0.25">
      <c r="A10548" t="s">
        <v>41</v>
      </c>
      <c r="B10548" t="s">
        <v>11795</v>
      </c>
      <c r="C10548" t="s">
        <v>20056</v>
      </c>
      <c r="D10548" t="s">
        <v>20</v>
      </c>
      <c r="E10548" t="s">
        <v>11</v>
      </c>
      <c r="F10548">
        <v>3094.2999999999997</v>
      </c>
      <c r="G10548">
        <v>18</v>
      </c>
    </row>
    <row r="10549" spans="1:7" x14ac:dyDescent="0.25">
      <c r="A10549" t="s">
        <v>41</v>
      </c>
      <c r="B10549" t="s">
        <v>11798</v>
      </c>
      <c r="C10549" t="s">
        <v>19478</v>
      </c>
      <c r="D10549" t="s">
        <v>20</v>
      </c>
      <c r="E10549" t="s">
        <v>11</v>
      </c>
      <c r="F10549">
        <v>69.3</v>
      </c>
      <c r="G10549">
        <v>18</v>
      </c>
    </row>
    <row r="10550" spans="1:7" x14ac:dyDescent="0.25">
      <c r="A10550" t="s">
        <v>41</v>
      </c>
      <c r="B10550" t="s">
        <v>11801</v>
      </c>
      <c r="C10550" t="s">
        <v>20057</v>
      </c>
      <c r="D10550" t="s">
        <v>20</v>
      </c>
      <c r="E10550" t="s">
        <v>11</v>
      </c>
      <c r="F10550">
        <v>286</v>
      </c>
      <c r="G10550">
        <v>18</v>
      </c>
    </row>
    <row r="10551" spans="1:7" x14ac:dyDescent="0.25">
      <c r="A10551" t="s">
        <v>41</v>
      </c>
      <c r="B10551" t="s">
        <v>11804</v>
      </c>
      <c r="C10551" t="s">
        <v>20058</v>
      </c>
      <c r="D10551" t="s">
        <v>20</v>
      </c>
      <c r="E10551" t="s">
        <v>11</v>
      </c>
      <c r="F10551">
        <v>607.1999999999999</v>
      </c>
      <c r="G10551">
        <v>18</v>
      </c>
    </row>
    <row r="10552" spans="1:7" x14ac:dyDescent="0.25">
      <c r="A10552" t="s">
        <v>41</v>
      </c>
      <c r="B10552" t="s">
        <v>11807</v>
      </c>
      <c r="C10552" t="s">
        <v>20059</v>
      </c>
      <c r="D10552" t="s">
        <v>20</v>
      </c>
      <c r="E10552" t="s">
        <v>11</v>
      </c>
      <c r="F10552">
        <v>893.1999999999999</v>
      </c>
      <c r="G10552">
        <v>18</v>
      </c>
    </row>
    <row r="10553" spans="1:7" x14ac:dyDescent="0.25">
      <c r="A10553" t="s">
        <v>41</v>
      </c>
      <c r="B10553" t="s">
        <v>11810</v>
      </c>
      <c r="C10553" t="s">
        <v>19409</v>
      </c>
      <c r="D10553" t="s">
        <v>20</v>
      </c>
      <c r="E10553" t="s">
        <v>11</v>
      </c>
      <c r="F10553">
        <v>271.70000000000005</v>
      </c>
      <c r="G10553">
        <v>18</v>
      </c>
    </row>
    <row r="10554" spans="1:7" x14ac:dyDescent="0.25">
      <c r="A10554" t="s">
        <v>41</v>
      </c>
      <c r="B10554" t="s">
        <v>11813</v>
      </c>
      <c r="C10554" t="s">
        <v>20060</v>
      </c>
      <c r="D10554" t="s">
        <v>20</v>
      </c>
      <c r="E10554" t="s">
        <v>11</v>
      </c>
      <c r="F10554">
        <v>135.3</v>
      </c>
      <c r="G10554">
        <v>18</v>
      </c>
    </row>
    <row r="10555" spans="1:7" x14ac:dyDescent="0.25">
      <c r="A10555" t="s">
        <v>41</v>
      </c>
      <c r="B10555" t="s">
        <v>11816</v>
      </c>
      <c r="C10555" t="s">
        <v>20061</v>
      </c>
      <c r="D10555" t="s">
        <v>20</v>
      </c>
      <c r="E10555" t="s">
        <v>11</v>
      </c>
      <c r="F10555">
        <v>6662.7</v>
      </c>
      <c r="G10555">
        <v>18</v>
      </c>
    </row>
    <row r="10556" spans="1:7" x14ac:dyDescent="0.25">
      <c r="A10556" t="s">
        <v>41</v>
      </c>
      <c r="B10556" t="s">
        <v>11819</v>
      </c>
      <c r="C10556" t="s">
        <v>20062</v>
      </c>
      <c r="D10556" t="s">
        <v>20</v>
      </c>
      <c r="E10556" t="s">
        <v>11</v>
      </c>
      <c r="F10556">
        <v>4164.6</v>
      </c>
      <c r="G10556">
        <v>18</v>
      </c>
    </row>
    <row r="10557" spans="1:7" x14ac:dyDescent="0.25">
      <c r="A10557" t="s">
        <v>41</v>
      </c>
      <c r="B10557" t="s">
        <v>11822</v>
      </c>
      <c r="C10557" t="s">
        <v>19994</v>
      </c>
      <c r="D10557" t="s">
        <v>20</v>
      </c>
      <c r="E10557" t="s">
        <v>11</v>
      </c>
      <c r="F10557">
        <v>573.1</v>
      </c>
      <c r="G10557">
        <v>18</v>
      </c>
    </row>
    <row r="10558" spans="1:7" x14ac:dyDescent="0.25">
      <c r="A10558" t="s">
        <v>41</v>
      </c>
      <c r="B10558" t="s">
        <v>11825</v>
      </c>
      <c r="C10558" t="s">
        <v>20063</v>
      </c>
      <c r="D10558" t="s">
        <v>20</v>
      </c>
      <c r="E10558" t="s">
        <v>11</v>
      </c>
      <c r="F10558">
        <v>363</v>
      </c>
      <c r="G10558">
        <v>18</v>
      </c>
    </row>
    <row r="10559" spans="1:7" x14ac:dyDescent="0.25">
      <c r="A10559" t="s">
        <v>41</v>
      </c>
      <c r="B10559" t="s">
        <v>11828</v>
      </c>
      <c r="C10559" t="s">
        <v>19413</v>
      </c>
      <c r="D10559" t="s">
        <v>20</v>
      </c>
      <c r="E10559" t="s">
        <v>11</v>
      </c>
      <c r="F10559">
        <v>95.7</v>
      </c>
      <c r="G10559">
        <v>18</v>
      </c>
    </row>
    <row r="10560" spans="1:7" x14ac:dyDescent="0.25">
      <c r="A10560" t="s">
        <v>41</v>
      </c>
      <c r="B10560" t="s">
        <v>11831</v>
      </c>
      <c r="C10560" t="s">
        <v>18300</v>
      </c>
      <c r="D10560" t="s">
        <v>20</v>
      </c>
      <c r="E10560" t="s">
        <v>11</v>
      </c>
      <c r="F10560">
        <v>56.1</v>
      </c>
      <c r="G10560">
        <v>18</v>
      </c>
    </row>
    <row r="10561" spans="1:7" x14ac:dyDescent="0.25">
      <c r="A10561" t="s">
        <v>41</v>
      </c>
      <c r="B10561" t="s">
        <v>11834</v>
      </c>
      <c r="C10561" t="s">
        <v>20064</v>
      </c>
      <c r="D10561" t="s">
        <v>20</v>
      </c>
      <c r="E10561" t="s">
        <v>11</v>
      </c>
      <c r="F10561">
        <v>1892</v>
      </c>
      <c r="G10561">
        <v>18</v>
      </c>
    </row>
    <row r="10562" spans="1:7" x14ac:dyDescent="0.25">
      <c r="A10562" t="s">
        <v>41</v>
      </c>
      <c r="B10562" t="s">
        <v>11837</v>
      </c>
      <c r="C10562" t="s">
        <v>18473</v>
      </c>
      <c r="D10562" t="s">
        <v>20</v>
      </c>
      <c r="E10562" t="s">
        <v>11</v>
      </c>
      <c r="F10562">
        <v>5376.8</v>
      </c>
      <c r="G10562">
        <v>18</v>
      </c>
    </row>
    <row r="10563" spans="1:7" x14ac:dyDescent="0.25">
      <c r="A10563" t="s">
        <v>41</v>
      </c>
      <c r="B10563" t="s">
        <v>11840</v>
      </c>
      <c r="C10563" t="s">
        <v>20065</v>
      </c>
      <c r="D10563" t="s">
        <v>20</v>
      </c>
      <c r="E10563" t="s">
        <v>11</v>
      </c>
      <c r="F10563">
        <v>4997.3</v>
      </c>
      <c r="G10563">
        <v>18</v>
      </c>
    </row>
    <row r="10564" spans="1:7" x14ac:dyDescent="0.25">
      <c r="A10564" t="s">
        <v>41</v>
      </c>
      <c r="B10564" t="s">
        <v>11843</v>
      </c>
      <c r="C10564" t="s">
        <v>20066</v>
      </c>
      <c r="D10564" t="s">
        <v>20</v>
      </c>
      <c r="E10564" t="s">
        <v>11</v>
      </c>
      <c r="F10564">
        <v>1892</v>
      </c>
      <c r="G10564">
        <v>18</v>
      </c>
    </row>
    <row r="10565" spans="1:7" x14ac:dyDescent="0.25">
      <c r="A10565" t="s">
        <v>41</v>
      </c>
      <c r="B10565" t="s">
        <v>11846</v>
      </c>
      <c r="C10565" t="s">
        <v>18472</v>
      </c>
      <c r="D10565" t="s">
        <v>20</v>
      </c>
      <c r="E10565" t="s">
        <v>11</v>
      </c>
      <c r="F10565">
        <v>5376.8</v>
      </c>
      <c r="G10565">
        <v>18</v>
      </c>
    </row>
    <row r="10566" spans="1:7" x14ac:dyDescent="0.25">
      <c r="A10566" t="s">
        <v>41</v>
      </c>
      <c r="B10566" t="s">
        <v>11849</v>
      </c>
      <c r="C10566" t="s">
        <v>20067</v>
      </c>
      <c r="D10566" t="s">
        <v>20</v>
      </c>
      <c r="E10566" t="s">
        <v>11</v>
      </c>
      <c r="F10566">
        <v>1015.3000000000001</v>
      </c>
      <c r="G10566">
        <v>18</v>
      </c>
    </row>
    <row r="10567" spans="1:7" x14ac:dyDescent="0.25">
      <c r="A10567" t="s">
        <v>41</v>
      </c>
      <c r="B10567" t="s">
        <v>11852</v>
      </c>
      <c r="C10567" t="s">
        <v>20000</v>
      </c>
      <c r="D10567" t="s">
        <v>20</v>
      </c>
      <c r="E10567" t="s">
        <v>11</v>
      </c>
      <c r="F10567">
        <v>403.7</v>
      </c>
      <c r="G10567">
        <v>18</v>
      </c>
    </row>
    <row r="10568" spans="1:7" x14ac:dyDescent="0.25">
      <c r="A10568" t="s">
        <v>41</v>
      </c>
      <c r="B10568" t="s">
        <v>11855</v>
      </c>
      <c r="C10568" t="s">
        <v>20001</v>
      </c>
      <c r="D10568" t="s">
        <v>20</v>
      </c>
      <c r="E10568" t="s">
        <v>11</v>
      </c>
      <c r="F10568">
        <v>121.00000000000001</v>
      </c>
      <c r="G10568">
        <v>18</v>
      </c>
    </row>
    <row r="10569" spans="1:7" x14ac:dyDescent="0.25">
      <c r="A10569" t="s">
        <v>41</v>
      </c>
      <c r="B10569" t="s">
        <v>11858</v>
      </c>
      <c r="C10569" t="s">
        <v>20068</v>
      </c>
      <c r="D10569" t="s">
        <v>20</v>
      </c>
      <c r="E10569" t="s">
        <v>11</v>
      </c>
      <c r="F10569">
        <v>352</v>
      </c>
      <c r="G10569">
        <v>18</v>
      </c>
    </row>
    <row r="10570" spans="1:7" x14ac:dyDescent="0.25">
      <c r="A10570" t="s">
        <v>41</v>
      </c>
      <c r="B10570" t="s">
        <v>11861</v>
      </c>
      <c r="C10570" t="s">
        <v>19994</v>
      </c>
      <c r="D10570" t="s">
        <v>20</v>
      </c>
      <c r="E10570" t="s">
        <v>11</v>
      </c>
      <c r="F10570">
        <v>407</v>
      </c>
      <c r="G10570">
        <v>18</v>
      </c>
    </row>
    <row r="10571" spans="1:7" x14ac:dyDescent="0.25">
      <c r="A10571" t="s">
        <v>41</v>
      </c>
      <c r="B10571" t="s">
        <v>11864</v>
      </c>
      <c r="C10571" t="s">
        <v>19996</v>
      </c>
      <c r="D10571" t="s">
        <v>20</v>
      </c>
      <c r="E10571" t="s">
        <v>11</v>
      </c>
      <c r="F10571">
        <v>61.60000000000001</v>
      </c>
      <c r="G10571">
        <v>18</v>
      </c>
    </row>
    <row r="10572" spans="1:7" x14ac:dyDescent="0.25">
      <c r="A10572" t="s">
        <v>41</v>
      </c>
      <c r="B10572" t="s">
        <v>11867</v>
      </c>
      <c r="C10572" t="s">
        <v>19478</v>
      </c>
      <c r="D10572" t="s">
        <v>20</v>
      </c>
      <c r="E10572" t="s">
        <v>11</v>
      </c>
      <c r="F10572">
        <v>69.3</v>
      </c>
      <c r="G10572">
        <v>18</v>
      </c>
    </row>
    <row r="10573" spans="1:7" x14ac:dyDescent="0.25">
      <c r="A10573" t="s">
        <v>41</v>
      </c>
      <c r="B10573" t="s">
        <v>11870</v>
      </c>
      <c r="C10573" t="s">
        <v>20069</v>
      </c>
      <c r="D10573" t="s">
        <v>20</v>
      </c>
      <c r="E10573" t="s">
        <v>11</v>
      </c>
      <c r="F10573">
        <v>6662.7</v>
      </c>
      <c r="G10573">
        <v>18</v>
      </c>
    </row>
    <row r="10574" spans="1:7" x14ac:dyDescent="0.25">
      <c r="A10574" t="s">
        <v>41</v>
      </c>
      <c r="B10574" t="s">
        <v>11873</v>
      </c>
      <c r="C10574" t="s">
        <v>17937</v>
      </c>
      <c r="D10574" t="s">
        <v>20</v>
      </c>
      <c r="E10574" t="s">
        <v>11</v>
      </c>
      <c r="F10574">
        <v>4164.6</v>
      </c>
      <c r="G10574">
        <v>18</v>
      </c>
    </row>
    <row r="10575" spans="1:7" x14ac:dyDescent="0.25">
      <c r="A10575" t="s">
        <v>41</v>
      </c>
      <c r="B10575" t="s">
        <v>11876</v>
      </c>
      <c r="C10575" t="s">
        <v>20070</v>
      </c>
      <c r="D10575" t="s">
        <v>20</v>
      </c>
      <c r="E10575" t="s">
        <v>11</v>
      </c>
      <c r="F10575">
        <v>57.2</v>
      </c>
      <c r="G10575">
        <v>18</v>
      </c>
    </row>
    <row r="10576" spans="1:7" x14ac:dyDescent="0.25">
      <c r="A10576" t="s">
        <v>41</v>
      </c>
      <c r="B10576" t="s">
        <v>11879</v>
      </c>
      <c r="C10576" t="s">
        <v>19710</v>
      </c>
      <c r="D10576" t="s">
        <v>20</v>
      </c>
      <c r="E10576" t="s">
        <v>11</v>
      </c>
      <c r="F10576">
        <v>229.89999999999998</v>
      </c>
      <c r="G10576">
        <v>18</v>
      </c>
    </row>
    <row r="10577" spans="1:7" x14ac:dyDescent="0.25">
      <c r="A10577" t="s">
        <v>41</v>
      </c>
      <c r="B10577" t="s">
        <v>11882</v>
      </c>
      <c r="C10577" t="s">
        <v>18399</v>
      </c>
      <c r="D10577" t="s">
        <v>20</v>
      </c>
      <c r="E10577" t="s">
        <v>11</v>
      </c>
      <c r="F10577">
        <v>355.3</v>
      </c>
      <c r="G10577">
        <v>18</v>
      </c>
    </row>
    <row r="10578" spans="1:7" x14ac:dyDescent="0.25">
      <c r="A10578" t="s">
        <v>41</v>
      </c>
      <c r="B10578" t="s">
        <v>11885</v>
      </c>
      <c r="C10578" t="s">
        <v>20071</v>
      </c>
      <c r="D10578" t="s">
        <v>20</v>
      </c>
      <c r="E10578" t="s">
        <v>11</v>
      </c>
      <c r="F10578">
        <v>115.5</v>
      </c>
      <c r="G10578">
        <v>18</v>
      </c>
    </row>
    <row r="10579" spans="1:7" x14ac:dyDescent="0.25">
      <c r="A10579" t="s">
        <v>41</v>
      </c>
      <c r="B10579" t="s">
        <v>11888</v>
      </c>
      <c r="C10579" t="s">
        <v>17737</v>
      </c>
      <c r="D10579" t="s">
        <v>20</v>
      </c>
      <c r="E10579" t="s">
        <v>11</v>
      </c>
      <c r="F10579">
        <v>71.5</v>
      </c>
      <c r="G10579">
        <v>18</v>
      </c>
    </row>
    <row r="10580" spans="1:7" x14ac:dyDescent="0.25">
      <c r="A10580" t="s">
        <v>41</v>
      </c>
      <c r="B10580" t="s">
        <v>11891</v>
      </c>
      <c r="C10580" t="s">
        <v>20072</v>
      </c>
      <c r="D10580" t="s">
        <v>20</v>
      </c>
      <c r="E10580" t="s">
        <v>11</v>
      </c>
      <c r="F10580">
        <v>1104.3999999999999</v>
      </c>
      <c r="G10580">
        <v>18</v>
      </c>
    </row>
    <row r="10581" spans="1:7" x14ac:dyDescent="0.25">
      <c r="A10581" t="s">
        <v>41</v>
      </c>
      <c r="B10581" t="s">
        <v>11894</v>
      </c>
      <c r="C10581" t="s">
        <v>19608</v>
      </c>
      <c r="D10581" t="s">
        <v>20</v>
      </c>
      <c r="E10581" t="s">
        <v>11</v>
      </c>
      <c r="F10581">
        <v>833.8</v>
      </c>
      <c r="G10581">
        <v>18</v>
      </c>
    </row>
    <row r="10582" spans="1:7" x14ac:dyDescent="0.25">
      <c r="A10582" t="s">
        <v>41</v>
      </c>
      <c r="B10582" t="s">
        <v>11897</v>
      </c>
      <c r="C10582" t="s">
        <v>19557</v>
      </c>
      <c r="D10582" t="s">
        <v>20</v>
      </c>
      <c r="E10582" t="s">
        <v>11</v>
      </c>
      <c r="F10582">
        <v>17846.4</v>
      </c>
      <c r="G10582">
        <v>18</v>
      </c>
    </row>
    <row r="10583" spans="1:7" x14ac:dyDescent="0.25">
      <c r="A10583" t="s">
        <v>41</v>
      </c>
      <c r="B10583" t="s">
        <v>11900</v>
      </c>
      <c r="C10583" t="s">
        <v>18152</v>
      </c>
      <c r="D10583" t="s">
        <v>20</v>
      </c>
      <c r="E10583" t="s">
        <v>11</v>
      </c>
      <c r="F10583">
        <v>3808.2</v>
      </c>
      <c r="G10583">
        <v>18</v>
      </c>
    </row>
    <row r="10584" spans="1:7" x14ac:dyDescent="0.25">
      <c r="A10584" t="s">
        <v>41</v>
      </c>
      <c r="B10584" t="s">
        <v>11903</v>
      </c>
      <c r="C10584" t="s">
        <v>20073</v>
      </c>
      <c r="D10584" t="s">
        <v>20</v>
      </c>
      <c r="E10584" t="s">
        <v>11</v>
      </c>
      <c r="F10584">
        <v>1434.3999999999999</v>
      </c>
      <c r="G10584">
        <v>18</v>
      </c>
    </row>
    <row r="10585" spans="1:7" x14ac:dyDescent="0.25">
      <c r="A10585" t="s">
        <v>41</v>
      </c>
      <c r="B10585" t="s">
        <v>11906</v>
      </c>
      <c r="C10585" t="s">
        <v>19905</v>
      </c>
      <c r="D10585" t="s">
        <v>20</v>
      </c>
      <c r="E10585" t="s">
        <v>11</v>
      </c>
      <c r="F10585">
        <v>110</v>
      </c>
      <c r="G10585">
        <v>18</v>
      </c>
    </row>
    <row r="10586" spans="1:7" x14ac:dyDescent="0.25">
      <c r="A10586" t="s">
        <v>41</v>
      </c>
      <c r="B10586" t="s">
        <v>11909</v>
      </c>
      <c r="C10586" t="s">
        <v>20074</v>
      </c>
      <c r="D10586" t="s">
        <v>20</v>
      </c>
      <c r="E10586" t="s">
        <v>11</v>
      </c>
      <c r="F10586">
        <v>537.9</v>
      </c>
      <c r="G10586">
        <v>18</v>
      </c>
    </row>
    <row r="10587" spans="1:7" x14ac:dyDescent="0.25">
      <c r="A10587" t="s">
        <v>41</v>
      </c>
      <c r="B10587" t="s">
        <v>11912</v>
      </c>
      <c r="C10587" t="s">
        <v>18515</v>
      </c>
      <c r="D10587" t="s">
        <v>20</v>
      </c>
      <c r="E10587" t="s">
        <v>11</v>
      </c>
      <c r="F10587">
        <v>53.9</v>
      </c>
      <c r="G10587">
        <v>18</v>
      </c>
    </row>
    <row r="10588" spans="1:7" x14ac:dyDescent="0.25">
      <c r="A10588" t="s">
        <v>41</v>
      </c>
      <c r="B10588" t="s">
        <v>11915</v>
      </c>
      <c r="C10588" t="s">
        <v>17940</v>
      </c>
      <c r="D10588" t="s">
        <v>20</v>
      </c>
      <c r="E10588" t="s">
        <v>11</v>
      </c>
      <c r="F10588">
        <v>58.300000000000004</v>
      </c>
      <c r="G10588">
        <v>18</v>
      </c>
    </row>
    <row r="10589" spans="1:7" x14ac:dyDescent="0.25">
      <c r="A10589" t="s">
        <v>41</v>
      </c>
      <c r="B10589" t="s">
        <v>11918</v>
      </c>
      <c r="C10589" t="s">
        <v>20075</v>
      </c>
      <c r="D10589" t="s">
        <v>20</v>
      </c>
      <c r="E10589" t="s">
        <v>11</v>
      </c>
      <c r="F10589">
        <v>833.8</v>
      </c>
      <c r="G10589">
        <v>18</v>
      </c>
    </row>
    <row r="10590" spans="1:7" x14ac:dyDescent="0.25">
      <c r="A10590" t="s">
        <v>41</v>
      </c>
      <c r="B10590" t="s">
        <v>11921</v>
      </c>
      <c r="C10590" t="s">
        <v>20076</v>
      </c>
      <c r="D10590" t="s">
        <v>20</v>
      </c>
      <c r="E10590" t="s">
        <v>11</v>
      </c>
      <c r="F10590">
        <v>352</v>
      </c>
      <c r="G10590">
        <v>18</v>
      </c>
    </row>
    <row r="10591" spans="1:7" x14ac:dyDescent="0.25">
      <c r="A10591" t="s">
        <v>41</v>
      </c>
      <c r="B10591" t="s">
        <v>11924</v>
      </c>
      <c r="C10591" t="s">
        <v>20077</v>
      </c>
      <c r="D10591" t="s">
        <v>20</v>
      </c>
      <c r="E10591" t="s">
        <v>11</v>
      </c>
      <c r="F10591">
        <v>500.5</v>
      </c>
      <c r="G10591">
        <v>18</v>
      </c>
    </row>
    <row r="10592" spans="1:7" x14ac:dyDescent="0.25">
      <c r="A10592" t="s">
        <v>41</v>
      </c>
      <c r="B10592" t="s">
        <v>11927</v>
      </c>
      <c r="C10592" t="s">
        <v>20078</v>
      </c>
      <c r="D10592" t="s">
        <v>20</v>
      </c>
      <c r="E10592" t="s">
        <v>11</v>
      </c>
      <c r="F10592">
        <v>31.9</v>
      </c>
      <c r="G10592">
        <v>18</v>
      </c>
    </row>
    <row r="10593" spans="1:7" x14ac:dyDescent="0.25">
      <c r="A10593" t="s">
        <v>41</v>
      </c>
      <c r="B10593" t="s">
        <v>11930</v>
      </c>
      <c r="C10593" t="s">
        <v>20079</v>
      </c>
      <c r="D10593" t="s">
        <v>20</v>
      </c>
      <c r="E10593" t="s">
        <v>11</v>
      </c>
      <c r="F10593">
        <v>352</v>
      </c>
      <c r="G10593">
        <v>18</v>
      </c>
    </row>
    <row r="10594" spans="1:7" x14ac:dyDescent="0.25">
      <c r="A10594" t="s">
        <v>41</v>
      </c>
      <c r="B10594" t="s">
        <v>11933</v>
      </c>
      <c r="C10594" t="s">
        <v>17865</v>
      </c>
      <c r="D10594" t="s">
        <v>20</v>
      </c>
      <c r="E10594" t="s">
        <v>11</v>
      </c>
      <c r="F10594">
        <v>136.4</v>
      </c>
      <c r="G10594">
        <v>18</v>
      </c>
    </row>
    <row r="10595" spans="1:7" x14ac:dyDescent="0.25">
      <c r="A10595" t="s">
        <v>41</v>
      </c>
      <c r="B10595" t="s">
        <v>11936</v>
      </c>
      <c r="C10595" t="s">
        <v>20080</v>
      </c>
      <c r="D10595" t="s">
        <v>20</v>
      </c>
      <c r="E10595" t="s">
        <v>11</v>
      </c>
      <c r="F10595">
        <v>3203.2000000000003</v>
      </c>
      <c r="G10595">
        <v>18</v>
      </c>
    </row>
    <row r="10596" spans="1:7" x14ac:dyDescent="0.25">
      <c r="A10596" t="s">
        <v>41</v>
      </c>
      <c r="B10596" t="s">
        <v>11939</v>
      </c>
      <c r="C10596" t="s">
        <v>18157</v>
      </c>
      <c r="D10596" t="s">
        <v>20</v>
      </c>
      <c r="E10596" t="s">
        <v>11</v>
      </c>
      <c r="F10596">
        <v>1357.4</v>
      </c>
      <c r="G10596">
        <v>18</v>
      </c>
    </row>
    <row r="10597" spans="1:7" x14ac:dyDescent="0.25">
      <c r="A10597" t="s">
        <v>41</v>
      </c>
      <c r="B10597" t="s">
        <v>11942</v>
      </c>
      <c r="C10597" t="s">
        <v>20081</v>
      </c>
      <c r="D10597" t="s">
        <v>20</v>
      </c>
      <c r="E10597" t="s">
        <v>11</v>
      </c>
      <c r="F10597">
        <v>333.29999999999995</v>
      </c>
      <c r="G10597">
        <v>18</v>
      </c>
    </row>
    <row r="10598" spans="1:7" x14ac:dyDescent="0.25">
      <c r="A10598" t="s">
        <v>41</v>
      </c>
      <c r="B10598" t="s">
        <v>11945</v>
      </c>
      <c r="C10598" t="s">
        <v>20082</v>
      </c>
      <c r="D10598" t="s">
        <v>20</v>
      </c>
      <c r="E10598" t="s">
        <v>11</v>
      </c>
      <c r="F10598">
        <v>193.6</v>
      </c>
      <c r="G10598">
        <v>18</v>
      </c>
    </row>
    <row r="10599" spans="1:7" x14ac:dyDescent="0.25">
      <c r="A10599" t="s">
        <v>41</v>
      </c>
      <c r="B10599" t="s">
        <v>11948</v>
      </c>
      <c r="C10599" t="s">
        <v>19015</v>
      </c>
      <c r="D10599" t="s">
        <v>20</v>
      </c>
      <c r="E10599" t="s">
        <v>11</v>
      </c>
      <c r="F10599">
        <v>133.1</v>
      </c>
      <c r="G10599">
        <v>18</v>
      </c>
    </row>
    <row r="10600" spans="1:7" x14ac:dyDescent="0.25">
      <c r="A10600" t="s">
        <v>41</v>
      </c>
      <c r="B10600" t="s">
        <v>11951</v>
      </c>
      <c r="C10600" t="s">
        <v>20083</v>
      </c>
      <c r="D10600" t="s">
        <v>20</v>
      </c>
      <c r="E10600" t="s">
        <v>11</v>
      </c>
      <c r="F10600">
        <v>37001.8</v>
      </c>
      <c r="G10600">
        <v>18</v>
      </c>
    </row>
    <row r="10601" spans="1:7" x14ac:dyDescent="0.25">
      <c r="A10601" t="s">
        <v>41</v>
      </c>
      <c r="B10601" t="s">
        <v>11954</v>
      </c>
      <c r="C10601" t="s">
        <v>20084</v>
      </c>
      <c r="D10601" t="s">
        <v>20</v>
      </c>
      <c r="E10601" t="s">
        <v>11</v>
      </c>
      <c r="F10601">
        <v>5354.8</v>
      </c>
      <c r="G10601">
        <v>18</v>
      </c>
    </row>
    <row r="10602" spans="1:7" x14ac:dyDescent="0.25">
      <c r="A10602" t="s">
        <v>41</v>
      </c>
      <c r="B10602" t="s">
        <v>11957</v>
      </c>
      <c r="C10602" t="s">
        <v>18409</v>
      </c>
      <c r="D10602" t="s">
        <v>20</v>
      </c>
      <c r="E10602" t="s">
        <v>11</v>
      </c>
      <c r="F10602">
        <v>1401.4</v>
      </c>
      <c r="G10602">
        <v>18</v>
      </c>
    </row>
    <row r="10603" spans="1:7" x14ac:dyDescent="0.25">
      <c r="A10603" t="s">
        <v>41</v>
      </c>
      <c r="B10603" t="s">
        <v>11960</v>
      </c>
      <c r="C10603" t="s">
        <v>20085</v>
      </c>
      <c r="D10603" t="s">
        <v>20</v>
      </c>
      <c r="E10603" t="s">
        <v>11</v>
      </c>
      <c r="F10603">
        <v>381.70000000000005</v>
      </c>
      <c r="G10603">
        <v>18</v>
      </c>
    </row>
    <row r="10604" spans="1:7" x14ac:dyDescent="0.25">
      <c r="A10604" t="s">
        <v>41</v>
      </c>
      <c r="B10604" t="s">
        <v>11963</v>
      </c>
      <c r="C10604" t="s">
        <v>20086</v>
      </c>
      <c r="D10604" t="s">
        <v>20</v>
      </c>
      <c r="E10604" t="s">
        <v>11</v>
      </c>
      <c r="F10604">
        <v>41641.6</v>
      </c>
      <c r="G10604">
        <v>18</v>
      </c>
    </row>
    <row r="10605" spans="1:7" x14ac:dyDescent="0.25">
      <c r="A10605" t="s">
        <v>41</v>
      </c>
      <c r="B10605" t="s">
        <v>11966</v>
      </c>
      <c r="C10605" t="s">
        <v>18300</v>
      </c>
      <c r="D10605" t="s">
        <v>20</v>
      </c>
      <c r="E10605" t="s">
        <v>11</v>
      </c>
      <c r="F10605">
        <v>56.1</v>
      </c>
      <c r="G10605">
        <v>18</v>
      </c>
    </row>
    <row r="10606" spans="1:7" x14ac:dyDescent="0.25">
      <c r="A10606" t="s">
        <v>41</v>
      </c>
      <c r="B10606" t="s">
        <v>11969</v>
      </c>
      <c r="C10606" t="s">
        <v>20087</v>
      </c>
      <c r="D10606" t="s">
        <v>20</v>
      </c>
      <c r="E10606" t="s">
        <v>11</v>
      </c>
      <c r="F10606">
        <v>4118.4</v>
      </c>
      <c r="G10606">
        <v>18</v>
      </c>
    </row>
    <row r="10607" spans="1:7" x14ac:dyDescent="0.25">
      <c r="A10607" t="s">
        <v>41</v>
      </c>
      <c r="B10607" t="s">
        <v>11972</v>
      </c>
      <c r="C10607" t="s">
        <v>19233</v>
      </c>
      <c r="D10607" t="s">
        <v>20</v>
      </c>
      <c r="E10607" t="s">
        <v>11</v>
      </c>
      <c r="F10607">
        <v>2983.2000000000003</v>
      </c>
      <c r="G10607">
        <v>18</v>
      </c>
    </row>
    <row r="10608" spans="1:7" x14ac:dyDescent="0.25">
      <c r="A10608" t="s">
        <v>41</v>
      </c>
      <c r="B10608" t="s">
        <v>11975</v>
      </c>
      <c r="C10608" t="s">
        <v>19235</v>
      </c>
      <c r="D10608" t="s">
        <v>20</v>
      </c>
      <c r="E10608" t="s">
        <v>11</v>
      </c>
      <c r="F10608">
        <v>15803.699999999999</v>
      </c>
      <c r="G10608">
        <v>18</v>
      </c>
    </row>
    <row r="10609" spans="1:7" x14ac:dyDescent="0.25">
      <c r="A10609" t="s">
        <v>41</v>
      </c>
      <c r="B10609" t="s">
        <v>11978</v>
      </c>
      <c r="C10609" t="s">
        <v>20088</v>
      </c>
      <c r="D10609" t="s">
        <v>20</v>
      </c>
      <c r="E10609" t="s">
        <v>11</v>
      </c>
      <c r="F10609">
        <v>62664.799999999996</v>
      </c>
      <c r="G10609">
        <v>18</v>
      </c>
    </row>
    <row r="10610" spans="1:7" x14ac:dyDescent="0.25">
      <c r="A10610" t="s">
        <v>41</v>
      </c>
      <c r="B10610" t="s">
        <v>11981</v>
      </c>
      <c r="C10610" t="s">
        <v>20089</v>
      </c>
      <c r="D10610" t="s">
        <v>17504</v>
      </c>
      <c r="E10610" t="s">
        <v>11</v>
      </c>
      <c r="F10610">
        <v>36883</v>
      </c>
      <c r="G10610">
        <v>18</v>
      </c>
    </row>
    <row r="10611" spans="1:7" x14ac:dyDescent="0.25">
      <c r="A10611" t="s">
        <v>41</v>
      </c>
      <c r="B10611" t="s">
        <v>11984</v>
      </c>
      <c r="C10611" t="s">
        <v>20090</v>
      </c>
      <c r="D10611" t="s">
        <v>20</v>
      </c>
      <c r="E10611" t="s">
        <v>11</v>
      </c>
      <c r="F10611">
        <v>36883</v>
      </c>
      <c r="G10611">
        <v>18</v>
      </c>
    </row>
    <row r="10612" spans="1:7" x14ac:dyDescent="0.25">
      <c r="A10612" t="s">
        <v>41</v>
      </c>
      <c r="B10612" t="s">
        <v>11987</v>
      </c>
      <c r="C10612" t="s">
        <v>20091</v>
      </c>
      <c r="D10612" t="s">
        <v>20</v>
      </c>
      <c r="E10612" t="s">
        <v>11</v>
      </c>
      <c r="F10612">
        <v>44387.2</v>
      </c>
      <c r="G10612">
        <v>18</v>
      </c>
    </row>
    <row r="10613" spans="1:7" x14ac:dyDescent="0.25">
      <c r="A10613" t="s">
        <v>41</v>
      </c>
      <c r="B10613" t="s">
        <v>11990</v>
      </c>
      <c r="C10613" t="s">
        <v>20092</v>
      </c>
      <c r="D10613" t="s">
        <v>20</v>
      </c>
      <c r="E10613" t="s">
        <v>11</v>
      </c>
      <c r="F10613">
        <v>36608</v>
      </c>
      <c r="G10613">
        <v>18</v>
      </c>
    </row>
    <row r="10614" spans="1:7" x14ac:dyDescent="0.25">
      <c r="A10614" t="s">
        <v>41</v>
      </c>
      <c r="B10614" t="s">
        <v>11993</v>
      </c>
      <c r="C10614" t="s">
        <v>20093</v>
      </c>
      <c r="D10614" t="s">
        <v>20</v>
      </c>
      <c r="E10614" t="s">
        <v>11</v>
      </c>
      <c r="F10614">
        <v>6063.2</v>
      </c>
      <c r="G10614">
        <v>18</v>
      </c>
    </row>
    <row r="10615" spans="1:7" x14ac:dyDescent="0.25">
      <c r="A10615" t="s">
        <v>41</v>
      </c>
      <c r="B10615" t="s">
        <v>11996</v>
      </c>
      <c r="C10615" t="s">
        <v>20094</v>
      </c>
      <c r="D10615" t="s">
        <v>20</v>
      </c>
      <c r="E10615" t="s">
        <v>11</v>
      </c>
      <c r="F10615">
        <v>5376.8</v>
      </c>
      <c r="G10615">
        <v>18</v>
      </c>
    </row>
    <row r="10616" spans="1:7" x14ac:dyDescent="0.25">
      <c r="A10616" t="s">
        <v>41</v>
      </c>
      <c r="B10616" t="s">
        <v>11999</v>
      </c>
      <c r="C10616" t="s">
        <v>20095</v>
      </c>
      <c r="D10616" t="s">
        <v>20</v>
      </c>
      <c r="E10616" t="s">
        <v>11</v>
      </c>
      <c r="F10616">
        <v>140.8</v>
      </c>
      <c r="G10616">
        <v>18</v>
      </c>
    </row>
    <row r="10617" spans="1:7" x14ac:dyDescent="0.25">
      <c r="A10617" t="s">
        <v>41</v>
      </c>
      <c r="B10617" t="s">
        <v>12002</v>
      </c>
      <c r="C10617" t="s">
        <v>18385</v>
      </c>
      <c r="D10617" t="s">
        <v>20</v>
      </c>
      <c r="E10617" t="s">
        <v>11</v>
      </c>
      <c r="F10617">
        <v>58.300000000000004</v>
      </c>
      <c r="G10617">
        <v>18</v>
      </c>
    </row>
    <row r="10618" spans="1:7" x14ac:dyDescent="0.25">
      <c r="A10618" t="s">
        <v>41</v>
      </c>
      <c r="B10618" t="s">
        <v>12005</v>
      </c>
      <c r="C10618" t="s">
        <v>17816</v>
      </c>
      <c r="D10618" t="s">
        <v>20</v>
      </c>
      <c r="E10618" t="s">
        <v>11</v>
      </c>
      <c r="F10618">
        <v>161.7</v>
      </c>
      <c r="G10618">
        <v>18</v>
      </c>
    </row>
    <row r="10619" spans="1:7" x14ac:dyDescent="0.25">
      <c r="A10619" t="s">
        <v>41</v>
      </c>
      <c r="B10619" t="s">
        <v>12008</v>
      </c>
      <c r="C10619" t="s">
        <v>18388</v>
      </c>
      <c r="D10619" t="s">
        <v>20</v>
      </c>
      <c r="E10619" t="s">
        <v>11</v>
      </c>
      <c r="F10619">
        <v>30826.4</v>
      </c>
      <c r="G10619">
        <v>18</v>
      </c>
    </row>
    <row r="10620" spans="1:7" x14ac:dyDescent="0.25">
      <c r="A10620" t="s">
        <v>41</v>
      </c>
      <c r="B10620" t="s">
        <v>12011</v>
      </c>
      <c r="C10620" t="s">
        <v>20096</v>
      </c>
      <c r="D10620" t="s">
        <v>20</v>
      </c>
      <c r="E10620" t="s">
        <v>11</v>
      </c>
      <c r="F10620">
        <v>30773.6</v>
      </c>
      <c r="G10620">
        <v>18</v>
      </c>
    </row>
    <row r="10621" spans="1:7" x14ac:dyDescent="0.25">
      <c r="A10621" t="s">
        <v>41</v>
      </c>
      <c r="B10621" t="s">
        <v>12014</v>
      </c>
      <c r="C10621" t="s">
        <v>20097</v>
      </c>
      <c r="D10621" t="s">
        <v>20</v>
      </c>
      <c r="E10621" t="s">
        <v>11</v>
      </c>
      <c r="F10621">
        <v>33404.8</v>
      </c>
      <c r="G10621">
        <v>18</v>
      </c>
    </row>
    <row r="10622" spans="1:7" x14ac:dyDescent="0.25">
      <c r="A10622" t="s">
        <v>41</v>
      </c>
      <c r="B10622" t="s">
        <v>12017</v>
      </c>
      <c r="C10622" t="s">
        <v>20098</v>
      </c>
      <c r="D10622" t="s">
        <v>20</v>
      </c>
      <c r="E10622" t="s">
        <v>11</v>
      </c>
      <c r="F10622">
        <v>247.5</v>
      </c>
      <c r="G10622">
        <v>18</v>
      </c>
    </row>
    <row r="10623" spans="1:7" x14ac:dyDescent="0.25">
      <c r="A10623" t="s">
        <v>41</v>
      </c>
      <c r="B10623" t="s">
        <v>12020</v>
      </c>
      <c r="C10623" t="s">
        <v>19245</v>
      </c>
      <c r="D10623" t="s">
        <v>20</v>
      </c>
      <c r="E10623" t="s">
        <v>11</v>
      </c>
      <c r="F10623">
        <v>8367.699999999999</v>
      </c>
      <c r="G10623">
        <v>18</v>
      </c>
    </row>
    <row r="10624" spans="1:7" x14ac:dyDescent="0.25">
      <c r="A10624" t="s">
        <v>41</v>
      </c>
      <c r="B10624" t="s">
        <v>12023</v>
      </c>
      <c r="C10624" t="s">
        <v>18394</v>
      </c>
      <c r="D10624" t="s">
        <v>20</v>
      </c>
      <c r="E10624" t="s">
        <v>11</v>
      </c>
      <c r="F10624">
        <v>59852.1</v>
      </c>
      <c r="G10624">
        <v>18</v>
      </c>
    </row>
    <row r="10625" spans="1:7" x14ac:dyDescent="0.25">
      <c r="A10625" t="s">
        <v>41</v>
      </c>
      <c r="B10625" t="s">
        <v>12026</v>
      </c>
      <c r="C10625" t="s">
        <v>20099</v>
      </c>
      <c r="D10625" t="s">
        <v>20</v>
      </c>
      <c r="E10625" t="s">
        <v>11</v>
      </c>
      <c r="F10625">
        <v>45148.4</v>
      </c>
      <c r="G10625">
        <v>18</v>
      </c>
    </row>
    <row r="10626" spans="1:7" x14ac:dyDescent="0.25">
      <c r="A10626" t="s">
        <v>41</v>
      </c>
      <c r="B10626" t="s">
        <v>12029</v>
      </c>
      <c r="C10626" t="s">
        <v>20100</v>
      </c>
      <c r="D10626" t="s">
        <v>20</v>
      </c>
      <c r="E10626" t="s">
        <v>11</v>
      </c>
      <c r="F10626">
        <v>979</v>
      </c>
      <c r="G10626">
        <v>18</v>
      </c>
    </row>
    <row r="10627" spans="1:7" x14ac:dyDescent="0.25">
      <c r="A10627" t="s">
        <v>41</v>
      </c>
      <c r="B10627" t="s">
        <v>12032</v>
      </c>
      <c r="C10627" t="s">
        <v>20101</v>
      </c>
      <c r="D10627" t="s">
        <v>20</v>
      </c>
      <c r="E10627" t="s">
        <v>11</v>
      </c>
      <c r="F10627">
        <v>8361.1</v>
      </c>
      <c r="G10627">
        <v>18</v>
      </c>
    </row>
    <row r="10628" spans="1:7" x14ac:dyDescent="0.25">
      <c r="A10628" t="s">
        <v>41</v>
      </c>
      <c r="B10628" t="s">
        <v>12035</v>
      </c>
      <c r="C10628" t="s">
        <v>19438</v>
      </c>
      <c r="D10628" t="s">
        <v>20</v>
      </c>
      <c r="E10628" t="s">
        <v>11</v>
      </c>
      <c r="F10628">
        <v>168.3</v>
      </c>
      <c r="G10628">
        <v>18</v>
      </c>
    </row>
    <row r="10629" spans="1:7" x14ac:dyDescent="0.25">
      <c r="A10629" t="s">
        <v>41</v>
      </c>
      <c r="B10629" t="s">
        <v>12038</v>
      </c>
      <c r="C10629" t="s">
        <v>20102</v>
      </c>
      <c r="D10629" t="s">
        <v>20</v>
      </c>
      <c r="E10629" t="s">
        <v>11</v>
      </c>
      <c r="F10629">
        <v>6617.599999999999</v>
      </c>
      <c r="G10629">
        <v>18</v>
      </c>
    </row>
    <row r="10630" spans="1:7" x14ac:dyDescent="0.25">
      <c r="A10630" t="s">
        <v>41</v>
      </c>
      <c r="B10630" t="s">
        <v>12041</v>
      </c>
      <c r="C10630" t="s">
        <v>20103</v>
      </c>
      <c r="D10630" t="s">
        <v>20</v>
      </c>
      <c r="E10630" t="s">
        <v>11</v>
      </c>
      <c r="F10630">
        <v>15813.599999999999</v>
      </c>
      <c r="G10630">
        <v>18</v>
      </c>
    </row>
    <row r="10631" spans="1:7" x14ac:dyDescent="0.25">
      <c r="A10631" t="s">
        <v>41</v>
      </c>
      <c r="B10631" t="s">
        <v>12044</v>
      </c>
      <c r="C10631" t="s">
        <v>20104</v>
      </c>
      <c r="D10631" t="s">
        <v>20</v>
      </c>
      <c r="E10631" t="s">
        <v>11</v>
      </c>
      <c r="F10631">
        <v>147.4</v>
      </c>
      <c r="G10631">
        <v>18</v>
      </c>
    </row>
    <row r="10632" spans="1:7" x14ac:dyDescent="0.25">
      <c r="A10632" t="s">
        <v>41</v>
      </c>
      <c r="B10632" t="s">
        <v>12047</v>
      </c>
      <c r="C10632" t="s">
        <v>18341</v>
      </c>
      <c r="D10632" t="s">
        <v>20</v>
      </c>
      <c r="E10632" t="s">
        <v>11</v>
      </c>
      <c r="F10632">
        <v>572</v>
      </c>
      <c r="G10632">
        <v>18</v>
      </c>
    </row>
    <row r="10633" spans="1:7" x14ac:dyDescent="0.25">
      <c r="A10633" t="s">
        <v>41</v>
      </c>
      <c r="B10633" t="s">
        <v>12050</v>
      </c>
      <c r="C10633" t="s">
        <v>17944</v>
      </c>
      <c r="D10633" t="s">
        <v>20</v>
      </c>
      <c r="E10633" t="s">
        <v>11</v>
      </c>
      <c r="F10633">
        <v>135.3</v>
      </c>
      <c r="G10633">
        <v>18</v>
      </c>
    </row>
    <row r="10634" spans="1:7" x14ac:dyDescent="0.25">
      <c r="A10634" t="s">
        <v>41</v>
      </c>
      <c r="B10634" t="s">
        <v>12053</v>
      </c>
      <c r="C10634" t="s">
        <v>18326</v>
      </c>
      <c r="D10634" t="s">
        <v>20</v>
      </c>
      <c r="E10634" t="s">
        <v>11</v>
      </c>
      <c r="F10634">
        <v>2586.1000000000004</v>
      </c>
      <c r="G10634">
        <v>18</v>
      </c>
    </row>
    <row r="10635" spans="1:7" x14ac:dyDescent="0.25">
      <c r="A10635" t="s">
        <v>41</v>
      </c>
      <c r="B10635" t="s">
        <v>12056</v>
      </c>
      <c r="C10635" t="s">
        <v>20105</v>
      </c>
      <c r="D10635" t="s">
        <v>20</v>
      </c>
      <c r="E10635" t="s">
        <v>11</v>
      </c>
      <c r="F10635">
        <v>140.8</v>
      </c>
      <c r="G10635">
        <v>18</v>
      </c>
    </row>
    <row r="10636" spans="1:7" x14ac:dyDescent="0.25">
      <c r="A10636" t="s">
        <v>41</v>
      </c>
      <c r="B10636" t="s">
        <v>12059</v>
      </c>
      <c r="C10636" t="s">
        <v>20106</v>
      </c>
      <c r="D10636" t="s">
        <v>20</v>
      </c>
      <c r="E10636" t="s">
        <v>11</v>
      </c>
      <c r="F10636">
        <v>147.4</v>
      </c>
      <c r="G10636">
        <v>18</v>
      </c>
    </row>
    <row r="10637" spans="1:7" x14ac:dyDescent="0.25">
      <c r="A10637" t="s">
        <v>41</v>
      </c>
      <c r="B10637" t="s">
        <v>12062</v>
      </c>
      <c r="C10637" t="s">
        <v>20107</v>
      </c>
      <c r="D10637" t="s">
        <v>20</v>
      </c>
      <c r="E10637" t="s">
        <v>11</v>
      </c>
      <c r="F10637">
        <v>7911.2</v>
      </c>
      <c r="G10637">
        <v>18</v>
      </c>
    </row>
    <row r="10638" spans="1:7" x14ac:dyDescent="0.25">
      <c r="A10638" t="s">
        <v>41</v>
      </c>
      <c r="B10638" t="s">
        <v>12065</v>
      </c>
      <c r="C10638" t="s">
        <v>20108</v>
      </c>
      <c r="D10638" t="s">
        <v>20</v>
      </c>
      <c r="E10638" t="s">
        <v>11</v>
      </c>
      <c r="F10638">
        <v>15813.599999999999</v>
      </c>
      <c r="G10638">
        <v>18</v>
      </c>
    </row>
    <row r="10639" spans="1:7" x14ac:dyDescent="0.25">
      <c r="A10639" t="s">
        <v>41</v>
      </c>
      <c r="B10639" t="s">
        <v>12068</v>
      </c>
      <c r="C10639" t="s">
        <v>17937</v>
      </c>
      <c r="D10639" t="s">
        <v>20</v>
      </c>
      <c r="E10639" t="s">
        <v>11</v>
      </c>
      <c r="F10639">
        <v>8878.099999999999</v>
      </c>
      <c r="G10639">
        <v>18</v>
      </c>
    </row>
    <row r="10640" spans="1:7" x14ac:dyDescent="0.25">
      <c r="A10640" t="s">
        <v>41</v>
      </c>
      <c r="B10640" t="s">
        <v>12071</v>
      </c>
      <c r="C10640" t="s">
        <v>17680</v>
      </c>
      <c r="D10640" t="s">
        <v>20</v>
      </c>
      <c r="E10640" t="s">
        <v>11</v>
      </c>
      <c r="F10640">
        <v>2599.2999999999997</v>
      </c>
      <c r="G10640">
        <v>18</v>
      </c>
    </row>
    <row r="10641" spans="1:7" x14ac:dyDescent="0.25">
      <c r="A10641" t="s">
        <v>41</v>
      </c>
      <c r="B10641" t="s">
        <v>12074</v>
      </c>
      <c r="C10641" t="s">
        <v>17545</v>
      </c>
      <c r="D10641" t="s">
        <v>20</v>
      </c>
      <c r="E10641" t="s">
        <v>11</v>
      </c>
      <c r="F10641">
        <v>2598.2000000000003</v>
      </c>
      <c r="G10641">
        <v>18</v>
      </c>
    </row>
    <row r="10642" spans="1:7" x14ac:dyDescent="0.25">
      <c r="A10642" t="s">
        <v>41</v>
      </c>
      <c r="B10642" t="s">
        <v>12077</v>
      </c>
      <c r="C10642" t="s">
        <v>18403</v>
      </c>
      <c r="D10642" t="s">
        <v>20</v>
      </c>
      <c r="E10642" t="s">
        <v>11</v>
      </c>
      <c r="F10642">
        <v>4570.5</v>
      </c>
      <c r="G10642">
        <v>18</v>
      </c>
    </row>
    <row r="10643" spans="1:7" x14ac:dyDescent="0.25">
      <c r="A10643" t="s">
        <v>41</v>
      </c>
      <c r="B10643" t="s">
        <v>12080</v>
      </c>
      <c r="C10643" t="s">
        <v>18404</v>
      </c>
      <c r="D10643" t="s">
        <v>20</v>
      </c>
      <c r="E10643" t="s">
        <v>11</v>
      </c>
      <c r="F10643">
        <v>4461.6</v>
      </c>
      <c r="G10643">
        <v>18</v>
      </c>
    </row>
    <row r="10644" spans="1:7" x14ac:dyDescent="0.25">
      <c r="A10644" t="s">
        <v>41</v>
      </c>
      <c r="B10644" t="s">
        <v>12083</v>
      </c>
      <c r="C10644" t="s">
        <v>18399</v>
      </c>
      <c r="D10644" t="s">
        <v>20</v>
      </c>
      <c r="E10644" t="s">
        <v>11</v>
      </c>
      <c r="F10644">
        <v>501.59999999999997</v>
      </c>
      <c r="G10644">
        <v>18</v>
      </c>
    </row>
    <row r="10645" spans="1:7" x14ac:dyDescent="0.25">
      <c r="A10645" t="s">
        <v>41</v>
      </c>
      <c r="B10645" t="s">
        <v>12086</v>
      </c>
      <c r="C10645" t="s">
        <v>20109</v>
      </c>
      <c r="D10645" t="s">
        <v>20</v>
      </c>
      <c r="E10645" t="s">
        <v>11</v>
      </c>
      <c r="F10645">
        <v>70.4</v>
      </c>
      <c r="G10645">
        <v>18</v>
      </c>
    </row>
    <row r="10646" spans="1:7" x14ac:dyDescent="0.25">
      <c r="A10646" t="s">
        <v>41</v>
      </c>
      <c r="B10646" t="s">
        <v>12089</v>
      </c>
      <c r="C10646" t="s">
        <v>18405</v>
      </c>
      <c r="D10646" t="s">
        <v>20</v>
      </c>
      <c r="E10646" t="s">
        <v>11</v>
      </c>
      <c r="F10646">
        <v>5033.599999999999</v>
      </c>
      <c r="G10646">
        <v>18</v>
      </c>
    </row>
    <row r="10647" spans="1:7" x14ac:dyDescent="0.25">
      <c r="A10647" t="s">
        <v>41</v>
      </c>
      <c r="B10647" t="s">
        <v>12092</v>
      </c>
      <c r="C10647" t="s">
        <v>20110</v>
      </c>
      <c r="D10647" t="s">
        <v>20</v>
      </c>
      <c r="E10647" t="s">
        <v>11</v>
      </c>
      <c r="F10647">
        <v>5033.599999999999</v>
      </c>
      <c r="G10647">
        <v>18</v>
      </c>
    </row>
    <row r="10648" spans="1:7" x14ac:dyDescent="0.25">
      <c r="A10648" t="s">
        <v>41</v>
      </c>
      <c r="B10648" t="s">
        <v>12095</v>
      </c>
      <c r="C10648" t="s">
        <v>18143</v>
      </c>
      <c r="D10648" t="s">
        <v>20</v>
      </c>
      <c r="E10648" t="s">
        <v>11</v>
      </c>
      <c r="F10648">
        <v>564.3</v>
      </c>
      <c r="G10648">
        <v>18</v>
      </c>
    </row>
    <row r="10649" spans="1:7" x14ac:dyDescent="0.25">
      <c r="A10649" t="s">
        <v>41</v>
      </c>
      <c r="B10649" t="s">
        <v>12098</v>
      </c>
      <c r="C10649" t="s">
        <v>18385</v>
      </c>
      <c r="D10649" t="s">
        <v>20</v>
      </c>
      <c r="E10649" t="s">
        <v>11</v>
      </c>
      <c r="F10649">
        <v>58.300000000000004</v>
      </c>
      <c r="G10649">
        <v>18</v>
      </c>
    </row>
    <row r="10650" spans="1:7" x14ac:dyDescent="0.25">
      <c r="A10650" t="s">
        <v>41</v>
      </c>
      <c r="B10650" t="s">
        <v>12100</v>
      </c>
      <c r="C10650" t="s">
        <v>20111</v>
      </c>
      <c r="D10650" t="s">
        <v>20</v>
      </c>
      <c r="E10650" t="s">
        <v>11</v>
      </c>
      <c r="F10650">
        <v>161.7</v>
      </c>
      <c r="G10650">
        <v>18</v>
      </c>
    </row>
    <row r="10651" spans="1:7" x14ac:dyDescent="0.25">
      <c r="A10651" t="s">
        <v>41</v>
      </c>
      <c r="B10651" t="s">
        <v>12103</v>
      </c>
      <c r="C10651" t="s">
        <v>18407</v>
      </c>
      <c r="D10651" t="s">
        <v>20</v>
      </c>
      <c r="E10651" t="s">
        <v>11</v>
      </c>
      <c r="F10651">
        <v>8465.599999999999</v>
      </c>
      <c r="G10651">
        <v>18</v>
      </c>
    </row>
    <row r="10652" spans="1:7" x14ac:dyDescent="0.25">
      <c r="A10652" t="s">
        <v>41</v>
      </c>
      <c r="B10652" t="s">
        <v>12106</v>
      </c>
      <c r="C10652" t="s">
        <v>20112</v>
      </c>
      <c r="D10652" t="s">
        <v>20</v>
      </c>
      <c r="E10652" t="s">
        <v>11</v>
      </c>
      <c r="F10652">
        <v>11554.400000000001</v>
      </c>
      <c r="G10652">
        <v>18</v>
      </c>
    </row>
    <row r="10653" spans="1:7" x14ac:dyDescent="0.25">
      <c r="A10653" t="s">
        <v>41</v>
      </c>
      <c r="B10653" t="s">
        <v>12109</v>
      </c>
      <c r="C10653" t="s">
        <v>18409</v>
      </c>
      <c r="D10653" t="s">
        <v>20</v>
      </c>
      <c r="E10653" t="s">
        <v>11</v>
      </c>
      <c r="F10653">
        <v>2054.8</v>
      </c>
      <c r="G10653">
        <v>18</v>
      </c>
    </row>
    <row r="10654" spans="1:7" x14ac:dyDescent="0.25">
      <c r="A10654" t="s">
        <v>41</v>
      </c>
      <c r="B10654" t="s">
        <v>12112</v>
      </c>
      <c r="C10654" t="s">
        <v>20113</v>
      </c>
      <c r="D10654" t="s">
        <v>20</v>
      </c>
      <c r="E10654" t="s">
        <v>11</v>
      </c>
      <c r="F10654">
        <v>6864</v>
      </c>
      <c r="G10654">
        <v>18</v>
      </c>
    </row>
    <row r="10655" spans="1:7" x14ac:dyDescent="0.25">
      <c r="A10655" t="s">
        <v>41</v>
      </c>
      <c r="B10655" t="s">
        <v>12115</v>
      </c>
      <c r="C10655" t="s">
        <v>20114</v>
      </c>
      <c r="D10655" t="s">
        <v>20</v>
      </c>
      <c r="E10655" t="s">
        <v>11</v>
      </c>
      <c r="F10655">
        <v>346.5</v>
      </c>
      <c r="G10655">
        <v>18</v>
      </c>
    </row>
    <row r="10656" spans="1:7" x14ac:dyDescent="0.25">
      <c r="A10656" t="s">
        <v>41</v>
      </c>
      <c r="B10656" t="s">
        <v>12118</v>
      </c>
      <c r="C10656" t="s">
        <v>18423</v>
      </c>
      <c r="D10656" t="s">
        <v>20</v>
      </c>
      <c r="E10656" t="s">
        <v>11</v>
      </c>
      <c r="F10656">
        <v>25333</v>
      </c>
      <c r="G10656">
        <v>18</v>
      </c>
    </row>
    <row r="10657" spans="1:7" x14ac:dyDescent="0.25">
      <c r="A10657" t="s">
        <v>41</v>
      </c>
      <c r="B10657" t="s">
        <v>12121</v>
      </c>
      <c r="C10657" t="s">
        <v>18424</v>
      </c>
      <c r="D10657" t="s">
        <v>20</v>
      </c>
      <c r="E10657" t="s">
        <v>11</v>
      </c>
      <c r="F10657">
        <v>7244.6</v>
      </c>
      <c r="G10657">
        <v>18</v>
      </c>
    </row>
    <row r="10658" spans="1:7" x14ac:dyDescent="0.25">
      <c r="A10658" t="s">
        <v>41</v>
      </c>
      <c r="B10658" t="s">
        <v>12124</v>
      </c>
      <c r="C10658" t="s">
        <v>18425</v>
      </c>
      <c r="D10658" t="s">
        <v>20</v>
      </c>
      <c r="E10658" t="s">
        <v>11</v>
      </c>
      <c r="F10658">
        <v>2168.1</v>
      </c>
      <c r="G10658">
        <v>18</v>
      </c>
    </row>
    <row r="10659" spans="1:7" x14ac:dyDescent="0.25">
      <c r="A10659" t="s">
        <v>41</v>
      </c>
      <c r="B10659" t="s">
        <v>12127</v>
      </c>
      <c r="C10659" t="s">
        <v>18426</v>
      </c>
      <c r="D10659" t="s">
        <v>20</v>
      </c>
      <c r="E10659" t="s">
        <v>11</v>
      </c>
      <c r="F10659">
        <v>5094.1</v>
      </c>
      <c r="G10659">
        <v>18</v>
      </c>
    </row>
    <row r="10660" spans="1:7" x14ac:dyDescent="0.25">
      <c r="A10660" t="s">
        <v>41</v>
      </c>
      <c r="B10660" t="s">
        <v>12130</v>
      </c>
      <c r="C10660" t="s">
        <v>18285</v>
      </c>
      <c r="D10660" t="s">
        <v>20</v>
      </c>
      <c r="E10660" t="s">
        <v>11</v>
      </c>
      <c r="F10660">
        <v>7244.6</v>
      </c>
      <c r="G10660">
        <v>18</v>
      </c>
    </row>
    <row r="10661" spans="1:7" x14ac:dyDescent="0.25">
      <c r="A10661" t="s">
        <v>41</v>
      </c>
      <c r="B10661" t="s">
        <v>12132</v>
      </c>
      <c r="C10661" t="s">
        <v>18287</v>
      </c>
      <c r="D10661" t="s">
        <v>20</v>
      </c>
      <c r="E10661" t="s">
        <v>11</v>
      </c>
      <c r="F10661">
        <v>2168.1</v>
      </c>
      <c r="G10661">
        <v>18</v>
      </c>
    </row>
    <row r="10662" spans="1:7" x14ac:dyDescent="0.25">
      <c r="A10662" t="s">
        <v>41</v>
      </c>
      <c r="B10662" t="s">
        <v>12135</v>
      </c>
      <c r="C10662" t="s">
        <v>18427</v>
      </c>
      <c r="D10662" t="s">
        <v>20</v>
      </c>
      <c r="E10662" t="s">
        <v>11</v>
      </c>
      <c r="F10662">
        <v>5094.1</v>
      </c>
      <c r="G10662">
        <v>18</v>
      </c>
    </row>
    <row r="10663" spans="1:7" x14ac:dyDescent="0.25">
      <c r="A10663" t="s">
        <v>41</v>
      </c>
      <c r="B10663" t="s">
        <v>12138</v>
      </c>
      <c r="C10663" t="s">
        <v>20115</v>
      </c>
      <c r="D10663" t="s">
        <v>20</v>
      </c>
      <c r="E10663" t="s">
        <v>11</v>
      </c>
      <c r="F10663">
        <v>303.59999999999997</v>
      </c>
      <c r="G10663">
        <v>18</v>
      </c>
    </row>
    <row r="10664" spans="1:7" x14ac:dyDescent="0.25">
      <c r="A10664" t="s">
        <v>41</v>
      </c>
      <c r="B10664" t="s">
        <v>12141</v>
      </c>
      <c r="C10664" t="s">
        <v>20116</v>
      </c>
      <c r="D10664" t="s">
        <v>20</v>
      </c>
      <c r="E10664" t="s">
        <v>11</v>
      </c>
      <c r="F10664">
        <v>4882.9</v>
      </c>
      <c r="G10664">
        <v>18</v>
      </c>
    </row>
    <row r="10665" spans="1:7" x14ac:dyDescent="0.25">
      <c r="A10665" t="s">
        <v>41</v>
      </c>
      <c r="B10665" t="s">
        <v>12144</v>
      </c>
      <c r="C10665" t="s">
        <v>20117</v>
      </c>
      <c r="D10665" t="s">
        <v>20</v>
      </c>
      <c r="E10665" t="s">
        <v>11</v>
      </c>
      <c r="F10665">
        <v>1109.9</v>
      </c>
      <c r="G10665">
        <v>18</v>
      </c>
    </row>
    <row r="10666" spans="1:7" x14ac:dyDescent="0.25">
      <c r="A10666" t="s">
        <v>41</v>
      </c>
      <c r="B10666" t="s">
        <v>12147</v>
      </c>
      <c r="C10666" t="s">
        <v>20118</v>
      </c>
      <c r="D10666" t="s">
        <v>20</v>
      </c>
      <c r="E10666" t="s">
        <v>11</v>
      </c>
      <c r="F10666">
        <v>4944.5</v>
      </c>
      <c r="G10666">
        <v>18</v>
      </c>
    </row>
    <row r="10667" spans="1:7" x14ac:dyDescent="0.25">
      <c r="A10667" t="s">
        <v>41</v>
      </c>
      <c r="B10667" t="s">
        <v>12150</v>
      </c>
      <c r="C10667" t="s">
        <v>18741</v>
      </c>
      <c r="D10667" t="s">
        <v>20</v>
      </c>
      <c r="E10667" t="s">
        <v>11</v>
      </c>
      <c r="F10667">
        <v>1377.2</v>
      </c>
      <c r="G10667">
        <v>18</v>
      </c>
    </row>
    <row r="10668" spans="1:7" x14ac:dyDescent="0.25">
      <c r="A10668" t="s">
        <v>41</v>
      </c>
      <c r="B10668" t="s">
        <v>12153</v>
      </c>
      <c r="C10668" t="s">
        <v>20119</v>
      </c>
      <c r="D10668" t="s">
        <v>20</v>
      </c>
      <c r="E10668" t="s">
        <v>11</v>
      </c>
      <c r="F10668">
        <v>1057.1</v>
      </c>
      <c r="G10668">
        <v>18</v>
      </c>
    </row>
    <row r="10669" spans="1:7" x14ac:dyDescent="0.25">
      <c r="A10669" t="s">
        <v>41</v>
      </c>
      <c r="B10669" t="s">
        <v>12156</v>
      </c>
      <c r="C10669" t="s">
        <v>20120</v>
      </c>
      <c r="D10669" t="s">
        <v>20</v>
      </c>
      <c r="E10669" t="s">
        <v>11</v>
      </c>
      <c r="F10669">
        <v>233.20000000000002</v>
      </c>
      <c r="G10669">
        <v>18</v>
      </c>
    </row>
    <row r="10670" spans="1:7" x14ac:dyDescent="0.25">
      <c r="A10670" t="s">
        <v>41</v>
      </c>
      <c r="B10670" t="s">
        <v>12159</v>
      </c>
      <c r="C10670" t="s">
        <v>18156</v>
      </c>
      <c r="D10670" t="s">
        <v>20</v>
      </c>
      <c r="E10670" t="s">
        <v>11</v>
      </c>
      <c r="F10670">
        <v>118.80000000000001</v>
      </c>
      <c r="G10670">
        <v>18</v>
      </c>
    </row>
    <row r="10671" spans="1:7" x14ac:dyDescent="0.25">
      <c r="A10671" t="s">
        <v>41</v>
      </c>
      <c r="B10671" t="s">
        <v>12162</v>
      </c>
      <c r="C10671" t="s">
        <v>18834</v>
      </c>
      <c r="D10671" t="s">
        <v>20</v>
      </c>
      <c r="E10671" t="s">
        <v>11</v>
      </c>
      <c r="F10671">
        <v>464.2</v>
      </c>
      <c r="G10671">
        <v>18</v>
      </c>
    </row>
    <row r="10672" spans="1:7" x14ac:dyDescent="0.25">
      <c r="A10672" t="s">
        <v>41</v>
      </c>
      <c r="B10672" t="s">
        <v>12165</v>
      </c>
      <c r="C10672" t="s">
        <v>20121</v>
      </c>
      <c r="D10672" t="s">
        <v>20</v>
      </c>
      <c r="E10672" t="s">
        <v>11</v>
      </c>
      <c r="F10672">
        <v>140.8</v>
      </c>
      <c r="G10672">
        <v>18</v>
      </c>
    </row>
    <row r="10673" spans="1:7" x14ac:dyDescent="0.25">
      <c r="A10673" t="s">
        <v>41</v>
      </c>
      <c r="B10673" t="s">
        <v>12168</v>
      </c>
      <c r="C10673" t="s">
        <v>20122</v>
      </c>
      <c r="D10673" t="s">
        <v>20</v>
      </c>
      <c r="E10673" t="s">
        <v>11</v>
      </c>
      <c r="F10673">
        <v>71.5</v>
      </c>
      <c r="G10673">
        <v>18</v>
      </c>
    </row>
    <row r="10674" spans="1:7" x14ac:dyDescent="0.25">
      <c r="A10674" t="s">
        <v>41</v>
      </c>
      <c r="B10674" t="s">
        <v>12171</v>
      </c>
      <c r="C10674" t="s">
        <v>18926</v>
      </c>
      <c r="D10674" t="s">
        <v>20</v>
      </c>
      <c r="E10674" t="s">
        <v>11</v>
      </c>
      <c r="F10674">
        <v>233.20000000000002</v>
      </c>
      <c r="G10674">
        <v>18</v>
      </c>
    </row>
    <row r="10675" spans="1:7" x14ac:dyDescent="0.25">
      <c r="A10675" t="s">
        <v>41</v>
      </c>
      <c r="B10675" t="s">
        <v>12174</v>
      </c>
      <c r="C10675" t="s">
        <v>19896</v>
      </c>
      <c r="D10675" t="s">
        <v>20</v>
      </c>
      <c r="E10675" t="s">
        <v>11</v>
      </c>
      <c r="F10675">
        <v>233.20000000000002</v>
      </c>
      <c r="G10675">
        <v>18</v>
      </c>
    </row>
    <row r="10676" spans="1:7" x14ac:dyDescent="0.25">
      <c r="A10676" t="s">
        <v>41</v>
      </c>
      <c r="B10676" t="s">
        <v>12177</v>
      </c>
      <c r="C10676" t="s">
        <v>17935</v>
      </c>
      <c r="D10676" t="s">
        <v>20</v>
      </c>
      <c r="E10676" t="s">
        <v>11</v>
      </c>
      <c r="F10676">
        <v>61.60000000000001</v>
      </c>
      <c r="G10676">
        <v>18</v>
      </c>
    </row>
    <row r="10677" spans="1:7" x14ac:dyDescent="0.25">
      <c r="A10677" t="s">
        <v>41</v>
      </c>
      <c r="B10677" t="s">
        <v>12180</v>
      </c>
      <c r="C10677" t="s">
        <v>20123</v>
      </c>
      <c r="D10677" t="s">
        <v>20</v>
      </c>
      <c r="E10677" t="s">
        <v>11</v>
      </c>
      <c r="F10677">
        <v>192.5</v>
      </c>
      <c r="G10677">
        <v>18</v>
      </c>
    </row>
    <row r="10678" spans="1:7" x14ac:dyDescent="0.25">
      <c r="A10678" t="s">
        <v>41</v>
      </c>
      <c r="B10678" t="s">
        <v>12183</v>
      </c>
      <c r="C10678" t="s">
        <v>18219</v>
      </c>
      <c r="D10678" t="s">
        <v>20</v>
      </c>
      <c r="E10678" t="s">
        <v>11</v>
      </c>
      <c r="F10678">
        <v>1485</v>
      </c>
      <c r="G10678">
        <v>18</v>
      </c>
    </row>
    <row r="10679" spans="1:7" x14ac:dyDescent="0.25">
      <c r="A10679" t="s">
        <v>41</v>
      </c>
      <c r="B10679" t="s">
        <v>12186</v>
      </c>
      <c r="C10679" t="s">
        <v>19388</v>
      </c>
      <c r="D10679" t="s">
        <v>20</v>
      </c>
      <c r="E10679" t="s">
        <v>11</v>
      </c>
      <c r="F10679">
        <v>61.60000000000001</v>
      </c>
      <c r="G10679">
        <v>18</v>
      </c>
    </row>
    <row r="10680" spans="1:7" x14ac:dyDescent="0.25">
      <c r="A10680" t="s">
        <v>41</v>
      </c>
      <c r="B10680" t="s">
        <v>12189</v>
      </c>
      <c r="C10680" t="s">
        <v>20124</v>
      </c>
      <c r="D10680" t="s">
        <v>20</v>
      </c>
      <c r="E10680" t="s">
        <v>11</v>
      </c>
      <c r="F10680">
        <v>264</v>
      </c>
      <c r="G10680">
        <v>18</v>
      </c>
    </row>
    <row r="10681" spans="1:7" x14ac:dyDescent="0.25">
      <c r="A10681" t="s">
        <v>41</v>
      </c>
      <c r="B10681" t="s">
        <v>12192</v>
      </c>
      <c r="C10681" t="s">
        <v>17639</v>
      </c>
      <c r="D10681" t="s">
        <v>20</v>
      </c>
      <c r="E10681" t="s">
        <v>11</v>
      </c>
      <c r="F10681">
        <v>140.8</v>
      </c>
      <c r="G10681">
        <v>18</v>
      </c>
    </row>
    <row r="10682" spans="1:7" x14ac:dyDescent="0.25">
      <c r="A10682" t="s">
        <v>41</v>
      </c>
      <c r="B10682" t="s">
        <v>12195</v>
      </c>
      <c r="C10682" t="s">
        <v>20125</v>
      </c>
      <c r="D10682" t="s">
        <v>20</v>
      </c>
      <c r="E10682" t="s">
        <v>11</v>
      </c>
      <c r="F10682">
        <v>6135.8</v>
      </c>
      <c r="G10682">
        <v>18</v>
      </c>
    </row>
    <row r="10683" spans="1:7" x14ac:dyDescent="0.25">
      <c r="A10683" t="s">
        <v>41</v>
      </c>
      <c r="B10683" t="s">
        <v>12198</v>
      </c>
      <c r="C10683" t="s">
        <v>20126</v>
      </c>
      <c r="D10683" t="s">
        <v>20</v>
      </c>
      <c r="E10683" t="s">
        <v>11</v>
      </c>
      <c r="F10683">
        <v>6135.8</v>
      </c>
      <c r="G10683">
        <v>18</v>
      </c>
    </row>
    <row r="10684" spans="1:7" x14ac:dyDescent="0.25">
      <c r="A10684" t="s">
        <v>41</v>
      </c>
      <c r="B10684" t="s">
        <v>12201</v>
      </c>
      <c r="C10684" t="s">
        <v>19951</v>
      </c>
      <c r="D10684" t="s">
        <v>20</v>
      </c>
      <c r="E10684" t="s">
        <v>11</v>
      </c>
      <c r="F10684">
        <v>80.3</v>
      </c>
      <c r="G10684">
        <v>18</v>
      </c>
    </row>
    <row r="10685" spans="1:7" x14ac:dyDescent="0.25">
      <c r="A10685" t="s">
        <v>41</v>
      </c>
      <c r="B10685" t="s">
        <v>12204</v>
      </c>
      <c r="C10685" t="s">
        <v>20127</v>
      </c>
      <c r="D10685" t="s">
        <v>20</v>
      </c>
      <c r="E10685" t="s">
        <v>11</v>
      </c>
      <c r="F10685">
        <v>328.90000000000003</v>
      </c>
      <c r="G10685">
        <v>18</v>
      </c>
    </row>
    <row r="10686" spans="1:7" x14ac:dyDescent="0.25">
      <c r="A10686" t="s">
        <v>41</v>
      </c>
      <c r="B10686" t="s">
        <v>12207</v>
      </c>
      <c r="C10686" t="s">
        <v>20128</v>
      </c>
      <c r="D10686" t="s">
        <v>20</v>
      </c>
      <c r="E10686" t="s">
        <v>11</v>
      </c>
      <c r="F10686">
        <v>1867.8</v>
      </c>
      <c r="G10686">
        <v>18</v>
      </c>
    </row>
    <row r="10687" spans="1:7" x14ac:dyDescent="0.25">
      <c r="A10687" t="s">
        <v>41</v>
      </c>
      <c r="B10687" t="s">
        <v>12210</v>
      </c>
      <c r="C10687" t="s">
        <v>18442</v>
      </c>
      <c r="D10687" t="s">
        <v>20</v>
      </c>
      <c r="E10687" t="s">
        <v>11</v>
      </c>
      <c r="F10687">
        <v>1226.5</v>
      </c>
      <c r="G10687">
        <v>18</v>
      </c>
    </row>
    <row r="10688" spans="1:7" x14ac:dyDescent="0.25">
      <c r="A10688" t="s">
        <v>41</v>
      </c>
      <c r="B10688" t="s">
        <v>12213</v>
      </c>
      <c r="C10688" t="s">
        <v>17811</v>
      </c>
      <c r="D10688" t="s">
        <v>20</v>
      </c>
      <c r="E10688" t="s">
        <v>11</v>
      </c>
      <c r="F10688">
        <v>7374.400000000001</v>
      </c>
      <c r="G10688">
        <v>18</v>
      </c>
    </row>
    <row r="10689" spans="1:7" x14ac:dyDescent="0.25">
      <c r="A10689" t="s">
        <v>41</v>
      </c>
      <c r="B10689" t="s">
        <v>12216</v>
      </c>
      <c r="C10689" t="s">
        <v>17819</v>
      </c>
      <c r="D10689" t="s">
        <v>20</v>
      </c>
      <c r="E10689" t="s">
        <v>11</v>
      </c>
      <c r="F10689">
        <v>79.2</v>
      </c>
      <c r="G10689">
        <v>18</v>
      </c>
    </row>
    <row r="10690" spans="1:7" x14ac:dyDescent="0.25">
      <c r="A10690" t="s">
        <v>41</v>
      </c>
      <c r="B10690" t="s">
        <v>12219</v>
      </c>
      <c r="C10690" t="s">
        <v>17848</v>
      </c>
      <c r="D10690" t="s">
        <v>20</v>
      </c>
      <c r="E10690" t="s">
        <v>11</v>
      </c>
      <c r="F10690">
        <v>58.300000000000004</v>
      </c>
      <c r="G10690">
        <v>18</v>
      </c>
    </row>
    <row r="10691" spans="1:7" x14ac:dyDescent="0.25">
      <c r="A10691" t="s">
        <v>41</v>
      </c>
      <c r="B10691" t="s">
        <v>12222</v>
      </c>
      <c r="C10691" t="s">
        <v>20129</v>
      </c>
      <c r="D10691" t="s">
        <v>20</v>
      </c>
      <c r="E10691" t="s">
        <v>11</v>
      </c>
      <c r="F10691">
        <v>118.80000000000001</v>
      </c>
      <c r="G10691">
        <v>18</v>
      </c>
    </row>
    <row r="10692" spans="1:7" x14ac:dyDescent="0.25">
      <c r="A10692" t="s">
        <v>41</v>
      </c>
      <c r="B10692" t="s">
        <v>12225</v>
      </c>
      <c r="C10692" t="s">
        <v>18197</v>
      </c>
      <c r="D10692" t="s">
        <v>20</v>
      </c>
      <c r="E10692" t="s">
        <v>11</v>
      </c>
      <c r="F10692">
        <v>53.9</v>
      </c>
      <c r="G10692">
        <v>18</v>
      </c>
    </row>
    <row r="10693" spans="1:7" x14ac:dyDescent="0.25">
      <c r="A10693" t="s">
        <v>41</v>
      </c>
      <c r="B10693" t="s">
        <v>12228</v>
      </c>
      <c r="C10693" t="s">
        <v>18445</v>
      </c>
      <c r="D10693" t="s">
        <v>20</v>
      </c>
      <c r="E10693" t="s">
        <v>11</v>
      </c>
      <c r="F10693">
        <v>45988.799999999996</v>
      </c>
      <c r="G10693">
        <v>18</v>
      </c>
    </row>
    <row r="10694" spans="1:7" x14ac:dyDescent="0.25">
      <c r="A10694" t="s">
        <v>41</v>
      </c>
      <c r="B10694" t="s">
        <v>12231</v>
      </c>
      <c r="C10694" t="s">
        <v>17740</v>
      </c>
      <c r="D10694" t="s">
        <v>20</v>
      </c>
      <c r="E10694" t="s">
        <v>11</v>
      </c>
      <c r="F10694">
        <v>45988.799999999996</v>
      </c>
      <c r="G10694">
        <v>18</v>
      </c>
    </row>
    <row r="10695" spans="1:7" x14ac:dyDescent="0.25">
      <c r="A10695" t="s">
        <v>41</v>
      </c>
      <c r="B10695" t="s">
        <v>12234</v>
      </c>
      <c r="C10695" t="s">
        <v>18446</v>
      </c>
      <c r="D10695" t="s">
        <v>20</v>
      </c>
      <c r="E10695" t="s">
        <v>11</v>
      </c>
      <c r="F10695">
        <v>2164.8</v>
      </c>
      <c r="G10695">
        <v>18</v>
      </c>
    </row>
    <row r="10696" spans="1:7" x14ac:dyDescent="0.25">
      <c r="A10696" t="s">
        <v>41</v>
      </c>
      <c r="B10696" t="s">
        <v>12237</v>
      </c>
      <c r="C10696" t="s">
        <v>18447</v>
      </c>
      <c r="D10696" t="s">
        <v>20</v>
      </c>
      <c r="E10696" t="s">
        <v>11</v>
      </c>
      <c r="F10696">
        <v>2791.7999999999997</v>
      </c>
      <c r="G10696">
        <v>18</v>
      </c>
    </row>
    <row r="10697" spans="1:7" x14ac:dyDescent="0.25">
      <c r="A10697" t="s">
        <v>41</v>
      </c>
      <c r="B10697" t="s">
        <v>12240</v>
      </c>
      <c r="C10697" t="s">
        <v>17677</v>
      </c>
      <c r="D10697" t="s">
        <v>20</v>
      </c>
      <c r="E10697" t="s">
        <v>11</v>
      </c>
      <c r="F10697">
        <v>256.3</v>
      </c>
      <c r="G10697">
        <v>18</v>
      </c>
    </row>
    <row r="10698" spans="1:7" x14ac:dyDescent="0.25">
      <c r="A10698" t="s">
        <v>41</v>
      </c>
      <c r="B10698" t="s">
        <v>12243</v>
      </c>
      <c r="C10698" t="s">
        <v>17731</v>
      </c>
      <c r="D10698" t="s">
        <v>20</v>
      </c>
      <c r="E10698" t="s">
        <v>11</v>
      </c>
      <c r="F10698">
        <v>256.3</v>
      </c>
      <c r="G10698">
        <v>18</v>
      </c>
    </row>
    <row r="10699" spans="1:7" x14ac:dyDescent="0.25">
      <c r="A10699" t="s">
        <v>41</v>
      </c>
      <c r="B10699" t="s">
        <v>12246</v>
      </c>
      <c r="C10699" t="s">
        <v>18448</v>
      </c>
      <c r="D10699" t="s">
        <v>20</v>
      </c>
      <c r="E10699" t="s">
        <v>11</v>
      </c>
      <c r="F10699">
        <v>44074.8</v>
      </c>
      <c r="G10699">
        <v>18</v>
      </c>
    </row>
    <row r="10700" spans="1:7" x14ac:dyDescent="0.25">
      <c r="A10700" t="s">
        <v>41</v>
      </c>
      <c r="B10700" t="s">
        <v>12249</v>
      </c>
      <c r="C10700" t="s">
        <v>20130</v>
      </c>
      <c r="D10700" t="s">
        <v>20</v>
      </c>
      <c r="E10700" t="s">
        <v>11</v>
      </c>
      <c r="F10700">
        <v>107.8</v>
      </c>
      <c r="G10700">
        <v>18</v>
      </c>
    </row>
    <row r="10701" spans="1:7" x14ac:dyDescent="0.25">
      <c r="A10701" t="s">
        <v>41</v>
      </c>
      <c r="B10701" t="s">
        <v>12252</v>
      </c>
      <c r="C10701" t="s">
        <v>20131</v>
      </c>
      <c r="D10701" t="s">
        <v>20</v>
      </c>
      <c r="E10701" t="s">
        <v>11</v>
      </c>
      <c r="F10701">
        <v>3000.8</v>
      </c>
      <c r="G10701">
        <v>18</v>
      </c>
    </row>
    <row r="10702" spans="1:7" x14ac:dyDescent="0.25">
      <c r="A10702" t="s">
        <v>41</v>
      </c>
      <c r="B10702" t="s">
        <v>12255</v>
      </c>
      <c r="C10702" t="s">
        <v>18450</v>
      </c>
      <c r="D10702" t="s">
        <v>20</v>
      </c>
      <c r="E10702" t="s">
        <v>11</v>
      </c>
      <c r="F10702">
        <v>1434.3999999999999</v>
      </c>
      <c r="G10702">
        <v>18</v>
      </c>
    </row>
    <row r="10703" spans="1:7" x14ac:dyDescent="0.25">
      <c r="A10703" t="s">
        <v>41</v>
      </c>
      <c r="B10703" t="s">
        <v>12258</v>
      </c>
      <c r="C10703" t="s">
        <v>17645</v>
      </c>
      <c r="D10703" t="s">
        <v>20</v>
      </c>
      <c r="E10703" t="s">
        <v>11</v>
      </c>
      <c r="F10703">
        <v>688.6</v>
      </c>
      <c r="G10703">
        <v>18</v>
      </c>
    </row>
    <row r="10704" spans="1:7" x14ac:dyDescent="0.25">
      <c r="A10704" t="s">
        <v>41</v>
      </c>
      <c r="B10704" t="s">
        <v>12261</v>
      </c>
      <c r="C10704" t="s">
        <v>20132</v>
      </c>
      <c r="D10704" t="s">
        <v>20</v>
      </c>
      <c r="E10704" t="s">
        <v>11</v>
      </c>
      <c r="F10704">
        <v>764.5</v>
      </c>
      <c r="G10704">
        <v>18</v>
      </c>
    </row>
    <row r="10705" spans="1:7" x14ac:dyDescent="0.25">
      <c r="A10705" t="s">
        <v>41</v>
      </c>
      <c r="B10705" t="s">
        <v>12264</v>
      </c>
      <c r="C10705" t="s">
        <v>20133</v>
      </c>
      <c r="D10705" t="s">
        <v>20</v>
      </c>
      <c r="E10705" t="s">
        <v>11</v>
      </c>
      <c r="F10705">
        <v>61.60000000000001</v>
      </c>
      <c r="G10705">
        <v>18</v>
      </c>
    </row>
    <row r="10706" spans="1:7" x14ac:dyDescent="0.25">
      <c r="A10706" t="s">
        <v>41</v>
      </c>
      <c r="B10706" t="s">
        <v>12267</v>
      </c>
      <c r="C10706" t="s">
        <v>20134</v>
      </c>
      <c r="D10706" t="s">
        <v>20</v>
      </c>
      <c r="E10706" t="s">
        <v>11</v>
      </c>
      <c r="F10706">
        <v>522.5</v>
      </c>
      <c r="G10706">
        <v>18</v>
      </c>
    </row>
    <row r="10707" spans="1:7" x14ac:dyDescent="0.25">
      <c r="A10707" t="s">
        <v>41</v>
      </c>
      <c r="B10707" t="s">
        <v>12270</v>
      </c>
      <c r="C10707" t="s">
        <v>20135</v>
      </c>
      <c r="D10707" t="s">
        <v>20</v>
      </c>
      <c r="E10707" t="s">
        <v>11</v>
      </c>
      <c r="F10707">
        <v>955.9</v>
      </c>
      <c r="G10707">
        <v>18</v>
      </c>
    </row>
    <row r="10708" spans="1:7" x14ac:dyDescent="0.25">
      <c r="A10708" t="s">
        <v>41</v>
      </c>
      <c r="B10708" t="s">
        <v>12273</v>
      </c>
      <c r="C10708" t="s">
        <v>17733</v>
      </c>
      <c r="D10708" t="s">
        <v>20</v>
      </c>
      <c r="E10708" t="s">
        <v>11</v>
      </c>
      <c r="F10708">
        <v>770</v>
      </c>
      <c r="G10708">
        <v>18</v>
      </c>
    </row>
    <row r="10709" spans="1:7" x14ac:dyDescent="0.25">
      <c r="A10709" t="s">
        <v>41</v>
      </c>
      <c r="B10709" t="s">
        <v>12276</v>
      </c>
      <c r="C10709" t="s">
        <v>19300</v>
      </c>
      <c r="D10709" t="s">
        <v>20</v>
      </c>
      <c r="E10709" t="s">
        <v>11</v>
      </c>
      <c r="F10709">
        <v>532.4</v>
      </c>
      <c r="G10709">
        <v>18</v>
      </c>
    </row>
    <row r="10710" spans="1:7" x14ac:dyDescent="0.25">
      <c r="A10710" t="s">
        <v>41</v>
      </c>
      <c r="B10710" t="s">
        <v>12279</v>
      </c>
      <c r="C10710" t="s">
        <v>18232</v>
      </c>
      <c r="D10710" t="s">
        <v>20</v>
      </c>
      <c r="E10710" t="s">
        <v>11</v>
      </c>
      <c r="F10710">
        <v>70.4</v>
      </c>
      <c r="G10710">
        <v>18</v>
      </c>
    </row>
    <row r="10711" spans="1:7" x14ac:dyDescent="0.25">
      <c r="A10711" t="s">
        <v>41</v>
      </c>
      <c r="B10711" t="s">
        <v>12282</v>
      </c>
      <c r="C10711" t="s">
        <v>17663</v>
      </c>
      <c r="D10711" t="s">
        <v>20</v>
      </c>
      <c r="E10711" t="s">
        <v>11</v>
      </c>
      <c r="F10711">
        <v>121.00000000000001</v>
      </c>
      <c r="G10711">
        <v>18</v>
      </c>
    </row>
    <row r="10712" spans="1:7" x14ac:dyDescent="0.25">
      <c r="A10712" t="s">
        <v>41</v>
      </c>
      <c r="B10712" t="s">
        <v>12285</v>
      </c>
      <c r="C10712" t="s">
        <v>18456</v>
      </c>
      <c r="D10712" t="s">
        <v>20</v>
      </c>
      <c r="E10712" t="s">
        <v>11</v>
      </c>
      <c r="F10712">
        <v>70.4</v>
      </c>
      <c r="G10712">
        <v>18</v>
      </c>
    </row>
    <row r="10713" spans="1:7" x14ac:dyDescent="0.25">
      <c r="A10713" t="s">
        <v>41</v>
      </c>
      <c r="B10713" t="s">
        <v>12288</v>
      </c>
      <c r="C10713" t="s">
        <v>20136</v>
      </c>
      <c r="D10713" t="s">
        <v>20</v>
      </c>
      <c r="E10713" t="s">
        <v>11</v>
      </c>
      <c r="F10713">
        <v>21298.2</v>
      </c>
      <c r="G10713">
        <v>18</v>
      </c>
    </row>
    <row r="10714" spans="1:7" x14ac:dyDescent="0.25">
      <c r="A10714" t="s">
        <v>41</v>
      </c>
      <c r="B10714" t="s">
        <v>12291</v>
      </c>
      <c r="C10714" t="s">
        <v>18895</v>
      </c>
      <c r="D10714" t="s">
        <v>20</v>
      </c>
      <c r="E10714" t="s">
        <v>11</v>
      </c>
      <c r="F10714">
        <v>616</v>
      </c>
      <c r="G10714">
        <v>18</v>
      </c>
    </row>
    <row r="10715" spans="1:7" x14ac:dyDescent="0.25">
      <c r="A10715" t="s">
        <v>41</v>
      </c>
      <c r="B10715" t="s">
        <v>12294</v>
      </c>
      <c r="C10715" t="s">
        <v>20137</v>
      </c>
      <c r="D10715" t="s">
        <v>20</v>
      </c>
      <c r="E10715" t="s">
        <v>11</v>
      </c>
      <c r="F10715">
        <v>137.5</v>
      </c>
      <c r="G10715">
        <v>18</v>
      </c>
    </row>
    <row r="10716" spans="1:7" x14ac:dyDescent="0.25">
      <c r="A10716" t="s">
        <v>41</v>
      </c>
      <c r="B10716" t="s">
        <v>12297</v>
      </c>
      <c r="C10716" t="s">
        <v>20138</v>
      </c>
      <c r="D10716" t="s">
        <v>20</v>
      </c>
      <c r="E10716" t="s">
        <v>11</v>
      </c>
      <c r="F10716">
        <v>114.4</v>
      </c>
      <c r="G10716">
        <v>18</v>
      </c>
    </row>
    <row r="10717" spans="1:7" x14ac:dyDescent="0.25">
      <c r="A10717" t="s">
        <v>41</v>
      </c>
      <c r="B10717" t="s">
        <v>12300</v>
      </c>
      <c r="C10717" t="s">
        <v>17785</v>
      </c>
      <c r="D10717" t="s">
        <v>20</v>
      </c>
      <c r="E10717" t="s">
        <v>11</v>
      </c>
      <c r="F10717">
        <v>482.9</v>
      </c>
      <c r="G10717">
        <v>18</v>
      </c>
    </row>
    <row r="10718" spans="1:7" x14ac:dyDescent="0.25">
      <c r="A10718" t="s">
        <v>41</v>
      </c>
      <c r="B10718" t="s">
        <v>12303</v>
      </c>
      <c r="C10718" t="s">
        <v>18460</v>
      </c>
      <c r="D10718" t="s">
        <v>20</v>
      </c>
      <c r="E10718" t="s">
        <v>11</v>
      </c>
      <c r="F10718">
        <v>5825.6</v>
      </c>
      <c r="G10718">
        <v>18</v>
      </c>
    </row>
    <row r="10719" spans="1:7" x14ac:dyDescent="0.25">
      <c r="A10719" t="s">
        <v>41</v>
      </c>
      <c r="B10719" t="s">
        <v>12306</v>
      </c>
      <c r="C10719" t="s">
        <v>18461</v>
      </c>
      <c r="D10719" t="s">
        <v>20</v>
      </c>
      <c r="E10719" t="s">
        <v>11</v>
      </c>
      <c r="F10719">
        <v>12911.8</v>
      </c>
      <c r="G10719">
        <v>18</v>
      </c>
    </row>
    <row r="10720" spans="1:7" x14ac:dyDescent="0.25">
      <c r="A10720" t="s">
        <v>41</v>
      </c>
      <c r="B10720" t="s">
        <v>12309</v>
      </c>
      <c r="C10720" t="s">
        <v>17603</v>
      </c>
      <c r="D10720" t="s">
        <v>20</v>
      </c>
      <c r="E10720" t="s">
        <v>11</v>
      </c>
      <c r="F10720">
        <v>8827.5</v>
      </c>
      <c r="G10720">
        <v>18</v>
      </c>
    </row>
    <row r="10721" spans="1:7" x14ac:dyDescent="0.25">
      <c r="A10721" t="s">
        <v>41</v>
      </c>
      <c r="B10721" t="s">
        <v>12312</v>
      </c>
      <c r="C10721" t="s">
        <v>20139</v>
      </c>
      <c r="D10721" t="s">
        <v>20</v>
      </c>
      <c r="E10721" t="s">
        <v>11</v>
      </c>
      <c r="F10721">
        <v>2626.7999999999997</v>
      </c>
      <c r="G10721">
        <v>18</v>
      </c>
    </row>
    <row r="10722" spans="1:7" x14ac:dyDescent="0.25">
      <c r="A10722" t="s">
        <v>41</v>
      </c>
      <c r="B10722" t="s">
        <v>12315</v>
      </c>
      <c r="C10722" t="s">
        <v>20140</v>
      </c>
      <c r="D10722" t="s">
        <v>20</v>
      </c>
      <c r="E10722" t="s">
        <v>11</v>
      </c>
      <c r="F10722">
        <v>1001</v>
      </c>
      <c r="G10722">
        <v>18</v>
      </c>
    </row>
    <row r="10723" spans="1:7" x14ac:dyDescent="0.25">
      <c r="A10723" t="s">
        <v>41</v>
      </c>
      <c r="B10723" t="s">
        <v>12318</v>
      </c>
      <c r="C10723" t="s">
        <v>20141</v>
      </c>
      <c r="D10723" t="s">
        <v>20</v>
      </c>
      <c r="E10723" t="s">
        <v>11</v>
      </c>
      <c r="F10723">
        <v>63.8</v>
      </c>
      <c r="G10723">
        <v>18</v>
      </c>
    </row>
    <row r="10724" spans="1:7" x14ac:dyDescent="0.25">
      <c r="A10724" t="s">
        <v>41</v>
      </c>
      <c r="B10724" t="s">
        <v>12321</v>
      </c>
      <c r="C10724" t="s">
        <v>20142</v>
      </c>
      <c r="D10724" t="s">
        <v>20</v>
      </c>
      <c r="E10724" t="s">
        <v>11</v>
      </c>
      <c r="F10724">
        <v>657.8000000000001</v>
      </c>
      <c r="G10724">
        <v>18</v>
      </c>
    </row>
    <row r="10725" spans="1:7" x14ac:dyDescent="0.25">
      <c r="A10725" t="s">
        <v>41</v>
      </c>
      <c r="B10725" t="s">
        <v>12324</v>
      </c>
      <c r="C10725" t="s">
        <v>20143</v>
      </c>
      <c r="D10725" t="s">
        <v>20</v>
      </c>
      <c r="E10725" t="s">
        <v>11</v>
      </c>
      <c r="F10725">
        <v>118.80000000000001</v>
      </c>
      <c r="G10725">
        <v>18</v>
      </c>
    </row>
    <row r="10726" spans="1:7" x14ac:dyDescent="0.25">
      <c r="A10726" t="s">
        <v>41</v>
      </c>
      <c r="B10726" t="s">
        <v>12327</v>
      </c>
      <c r="C10726" t="s">
        <v>19784</v>
      </c>
      <c r="D10726" t="s">
        <v>20</v>
      </c>
      <c r="E10726" t="s">
        <v>11</v>
      </c>
      <c r="F10726">
        <v>532.4</v>
      </c>
      <c r="G10726">
        <v>18</v>
      </c>
    </row>
    <row r="10727" spans="1:7" x14ac:dyDescent="0.25">
      <c r="A10727" t="s">
        <v>41</v>
      </c>
      <c r="B10727" t="s">
        <v>12330</v>
      </c>
      <c r="C10727" t="s">
        <v>20144</v>
      </c>
      <c r="D10727" t="s">
        <v>20</v>
      </c>
      <c r="E10727" t="s">
        <v>11</v>
      </c>
      <c r="F10727">
        <v>381.70000000000005</v>
      </c>
      <c r="G10727">
        <v>18</v>
      </c>
    </row>
    <row r="10728" spans="1:7" x14ac:dyDescent="0.25">
      <c r="A10728" t="s">
        <v>41</v>
      </c>
      <c r="B10728" t="s">
        <v>12333</v>
      </c>
      <c r="C10728" t="s">
        <v>18925</v>
      </c>
      <c r="D10728" t="s">
        <v>20</v>
      </c>
      <c r="E10728" t="s">
        <v>11</v>
      </c>
      <c r="F10728">
        <v>710.6</v>
      </c>
      <c r="G10728">
        <v>18</v>
      </c>
    </row>
    <row r="10729" spans="1:7" x14ac:dyDescent="0.25">
      <c r="A10729" t="s">
        <v>41</v>
      </c>
      <c r="B10729" t="s">
        <v>12336</v>
      </c>
      <c r="C10729" t="s">
        <v>20145</v>
      </c>
      <c r="D10729" t="s">
        <v>20</v>
      </c>
      <c r="E10729" t="s">
        <v>11</v>
      </c>
      <c r="F10729">
        <v>5244.8</v>
      </c>
      <c r="G10729">
        <v>18</v>
      </c>
    </row>
    <row r="10730" spans="1:7" x14ac:dyDescent="0.25">
      <c r="A10730" t="s">
        <v>41</v>
      </c>
      <c r="B10730" t="s">
        <v>12339</v>
      </c>
      <c r="C10730" t="s">
        <v>18326</v>
      </c>
      <c r="D10730" t="s">
        <v>20</v>
      </c>
      <c r="E10730" t="s">
        <v>11</v>
      </c>
      <c r="F10730">
        <v>2084.5</v>
      </c>
      <c r="G10730">
        <v>18</v>
      </c>
    </row>
    <row r="10731" spans="1:7" x14ac:dyDescent="0.25">
      <c r="A10731" t="s">
        <v>41</v>
      </c>
      <c r="B10731" t="s">
        <v>12342</v>
      </c>
      <c r="C10731" t="s">
        <v>20146</v>
      </c>
      <c r="D10731" t="s">
        <v>20</v>
      </c>
      <c r="E10731" t="s">
        <v>11</v>
      </c>
      <c r="F10731">
        <v>116.60000000000001</v>
      </c>
      <c r="G10731">
        <v>18</v>
      </c>
    </row>
    <row r="10732" spans="1:7" x14ac:dyDescent="0.25">
      <c r="A10732" t="s">
        <v>41</v>
      </c>
      <c r="B10732" t="s">
        <v>12345</v>
      </c>
      <c r="C10732" t="s">
        <v>20147</v>
      </c>
      <c r="D10732" t="s">
        <v>20</v>
      </c>
      <c r="E10732" t="s">
        <v>11</v>
      </c>
      <c r="F10732">
        <v>1210</v>
      </c>
      <c r="G10732">
        <v>18</v>
      </c>
    </row>
    <row r="10733" spans="1:7" x14ac:dyDescent="0.25">
      <c r="A10733" t="s">
        <v>41</v>
      </c>
      <c r="B10733" t="s">
        <v>12348</v>
      </c>
      <c r="C10733" t="s">
        <v>20148</v>
      </c>
      <c r="D10733" t="s">
        <v>20</v>
      </c>
      <c r="E10733" t="s">
        <v>11</v>
      </c>
      <c r="F10733">
        <v>192.5</v>
      </c>
      <c r="G10733">
        <v>18</v>
      </c>
    </row>
    <row r="10734" spans="1:7" x14ac:dyDescent="0.25">
      <c r="A10734" t="s">
        <v>41</v>
      </c>
      <c r="B10734" t="s">
        <v>12351</v>
      </c>
      <c r="C10734" t="s">
        <v>20149</v>
      </c>
      <c r="D10734" t="s">
        <v>20</v>
      </c>
      <c r="E10734" t="s">
        <v>11</v>
      </c>
      <c r="F10734">
        <v>5011.6</v>
      </c>
      <c r="G10734">
        <v>18</v>
      </c>
    </row>
    <row r="10735" spans="1:7" x14ac:dyDescent="0.25">
      <c r="A10735" t="s">
        <v>41</v>
      </c>
      <c r="B10735" t="s">
        <v>12354</v>
      </c>
      <c r="C10735" t="s">
        <v>18600</v>
      </c>
      <c r="D10735" t="s">
        <v>20</v>
      </c>
      <c r="E10735" t="s">
        <v>11</v>
      </c>
      <c r="F10735">
        <v>11789.800000000001</v>
      </c>
      <c r="G10735">
        <v>18</v>
      </c>
    </row>
    <row r="10736" spans="1:7" x14ac:dyDescent="0.25">
      <c r="A10736" t="s">
        <v>41</v>
      </c>
      <c r="B10736" t="s">
        <v>12357</v>
      </c>
      <c r="C10736" t="s">
        <v>20150</v>
      </c>
      <c r="D10736" t="s">
        <v>20</v>
      </c>
      <c r="E10736" t="s">
        <v>11</v>
      </c>
      <c r="F10736">
        <v>8587.699999999999</v>
      </c>
      <c r="G10736">
        <v>18</v>
      </c>
    </row>
    <row r="10737" spans="1:7" x14ac:dyDescent="0.25">
      <c r="A10737" t="s">
        <v>41</v>
      </c>
      <c r="B10737" t="s">
        <v>12360</v>
      </c>
      <c r="C10737" t="s">
        <v>17616</v>
      </c>
      <c r="D10737" t="s">
        <v>20</v>
      </c>
      <c r="E10737" t="s">
        <v>11</v>
      </c>
      <c r="F10737">
        <v>8235.7</v>
      </c>
      <c r="G10737">
        <v>18</v>
      </c>
    </row>
    <row r="10738" spans="1:7" x14ac:dyDescent="0.25">
      <c r="A10738" t="s">
        <v>41</v>
      </c>
      <c r="B10738" t="s">
        <v>12363</v>
      </c>
      <c r="C10738" t="s">
        <v>20151</v>
      </c>
      <c r="D10738" t="s">
        <v>20</v>
      </c>
      <c r="E10738" t="s">
        <v>11</v>
      </c>
      <c r="F10738">
        <v>360.79999999999995</v>
      </c>
      <c r="G10738">
        <v>18</v>
      </c>
    </row>
    <row r="10739" spans="1:7" x14ac:dyDescent="0.25">
      <c r="A10739" t="s">
        <v>41</v>
      </c>
      <c r="B10739" t="s">
        <v>12366</v>
      </c>
      <c r="C10739" t="s">
        <v>20152</v>
      </c>
      <c r="D10739" t="s">
        <v>20</v>
      </c>
      <c r="E10739" t="s">
        <v>11</v>
      </c>
      <c r="F10739">
        <v>13164.800000000001</v>
      </c>
      <c r="G10739">
        <v>18</v>
      </c>
    </row>
    <row r="10740" spans="1:7" x14ac:dyDescent="0.25">
      <c r="A10740" t="s">
        <v>41</v>
      </c>
      <c r="B10740" t="s">
        <v>12369</v>
      </c>
      <c r="C10740" t="s">
        <v>20153</v>
      </c>
      <c r="D10740" t="s">
        <v>20</v>
      </c>
      <c r="E10740" t="s">
        <v>11</v>
      </c>
      <c r="F10740">
        <v>17160</v>
      </c>
      <c r="G10740">
        <v>18</v>
      </c>
    </row>
    <row r="10741" spans="1:7" x14ac:dyDescent="0.25">
      <c r="A10741" t="s">
        <v>41</v>
      </c>
      <c r="B10741" t="s">
        <v>12372</v>
      </c>
      <c r="C10741" t="s">
        <v>20154</v>
      </c>
      <c r="D10741" t="s">
        <v>20</v>
      </c>
      <c r="E10741" t="s">
        <v>11</v>
      </c>
      <c r="F10741">
        <v>10868</v>
      </c>
      <c r="G10741">
        <v>18</v>
      </c>
    </row>
    <row r="10742" spans="1:7" x14ac:dyDescent="0.25">
      <c r="A10742" t="s">
        <v>41</v>
      </c>
      <c r="B10742" t="s">
        <v>12375</v>
      </c>
      <c r="C10742" t="s">
        <v>20155</v>
      </c>
      <c r="D10742" t="s">
        <v>20</v>
      </c>
      <c r="E10742" t="s">
        <v>11</v>
      </c>
      <c r="F10742">
        <v>940.5000000000001</v>
      </c>
      <c r="G10742">
        <v>18</v>
      </c>
    </row>
    <row r="10743" spans="1:7" x14ac:dyDescent="0.25">
      <c r="A10743" t="s">
        <v>41</v>
      </c>
      <c r="B10743" t="s">
        <v>12378</v>
      </c>
      <c r="C10743" t="s">
        <v>20156</v>
      </c>
      <c r="D10743" t="s">
        <v>20</v>
      </c>
      <c r="E10743" t="s">
        <v>11</v>
      </c>
      <c r="F10743">
        <v>2249.5</v>
      </c>
      <c r="G10743">
        <v>18</v>
      </c>
    </row>
    <row r="10744" spans="1:7" x14ac:dyDescent="0.25">
      <c r="A10744" t="s">
        <v>41</v>
      </c>
      <c r="B10744" t="s">
        <v>12381</v>
      </c>
      <c r="C10744" t="s">
        <v>20157</v>
      </c>
      <c r="D10744" t="s">
        <v>20</v>
      </c>
      <c r="E10744" t="s">
        <v>11</v>
      </c>
      <c r="F10744">
        <v>6541.7</v>
      </c>
      <c r="G10744">
        <v>18</v>
      </c>
    </row>
    <row r="10745" spans="1:7" x14ac:dyDescent="0.25">
      <c r="A10745" t="s">
        <v>41</v>
      </c>
      <c r="B10745" t="s">
        <v>12384</v>
      </c>
      <c r="C10745" t="s">
        <v>18697</v>
      </c>
      <c r="D10745" t="s">
        <v>20</v>
      </c>
      <c r="E10745" t="s">
        <v>11</v>
      </c>
      <c r="F10745">
        <v>418</v>
      </c>
      <c r="G10745">
        <v>18</v>
      </c>
    </row>
    <row r="10746" spans="1:7" x14ac:dyDescent="0.25">
      <c r="A10746" t="s">
        <v>41</v>
      </c>
      <c r="B10746" t="s">
        <v>12387</v>
      </c>
      <c r="C10746" t="s">
        <v>20158</v>
      </c>
      <c r="D10746" t="s">
        <v>20</v>
      </c>
      <c r="E10746" t="s">
        <v>11</v>
      </c>
      <c r="F10746">
        <v>3483.7000000000003</v>
      </c>
      <c r="G10746">
        <v>18</v>
      </c>
    </row>
    <row r="10747" spans="1:7" x14ac:dyDescent="0.25">
      <c r="A10747" t="s">
        <v>41</v>
      </c>
      <c r="B10747" t="s">
        <v>12390</v>
      </c>
      <c r="C10747" t="s">
        <v>20159</v>
      </c>
      <c r="D10747" t="s">
        <v>20</v>
      </c>
      <c r="E10747" t="s">
        <v>11</v>
      </c>
      <c r="F10747">
        <v>367.4</v>
      </c>
      <c r="G10747">
        <v>18</v>
      </c>
    </row>
    <row r="10748" spans="1:7" x14ac:dyDescent="0.25">
      <c r="A10748" t="s">
        <v>41</v>
      </c>
      <c r="B10748" t="s">
        <v>12393</v>
      </c>
      <c r="C10748" t="s">
        <v>20160</v>
      </c>
      <c r="D10748" t="s">
        <v>20</v>
      </c>
      <c r="E10748" t="s">
        <v>11</v>
      </c>
      <c r="F10748">
        <v>1644.5</v>
      </c>
      <c r="G10748">
        <v>18</v>
      </c>
    </row>
    <row r="10749" spans="1:7" x14ac:dyDescent="0.25">
      <c r="A10749" t="s">
        <v>41</v>
      </c>
      <c r="B10749" t="s">
        <v>12396</v>
      </c>
      <c r="C10749" t="s">
        <v>18935</v>
      </c>
      <c r="D10749" t="s">
        <v>20</v>
      </c>
      <c r="E10749" t="s">
        <v>11</v>
      </c>
      <c r="F10749">
        <v>61.60000000000001</v>
      </c>
      <c r="G10749">
        <v>18</v>
      </c>
    </row>
    <row r="10750" spans="1:7" x14ac:dyDescent="0.25">
      <c r="A10750" t="s">
        <v>41</v>
      </c>
      <c r="B10750" t="s">
        <v>12399</v>
      </c>
      <c r="C10750" t="s">
        <v>20161</v>
      </c>
      <c r="D10750" t="s">
        <v>20</v>
      </c>
      <c r="E10750" t="s">
        <v>11</v>
      </c>
      <c r="F10750">
        <v>376.2</v>
      </c>
      <c r="G10750">
        <v>18</v>
      </c>
    </row>
    <row r="10751" spans="1:7" x14ac:dyDescent="0.25">
      <c r="A10751" t="s">
        <v>41</v>
      </c>
      <c r="B10751" t="s">
        <v>12402</v>
      </c>
      <c r="C10751" t="s">
        <v>20162</v>
      </c>
      <c r="D10751" t="s">
        <v>20</v>
      </c>
      <c r="E10751" t="s">
        <v>11</v>
      </c>
      <c r="F10751">
        <v>585.2</v>
      </c>
      <c r="G10751">
        <v>18</v>
      </c>
    </row>
    <row r="10752" spans="1:7" x14ac:dyDescent="0.25">
      <c r="A10752" t="s">
        <v>41</v>
      </c>
      <c r="B10752" t="s">
        <v>12405</v>
      </c>
      <c r="C10752" t="s">
        <v>20163</v>
      </c>
      <c r="D10752" t="s">
        <v>20</v>
      </c>
      <c r="E10752" t="s">
        <v>11</v>
      </c>
      <c r="F10752">
        <v>80.3</v>
      </c>
      <c r="G10752">
        <v>18</v>
      </c>
    </row>
    <row r="10753" spans="1:7" x14ac:dyDescent="0.25">
      <c r="A10753" t="s">
        <v>41</v>
      </c>
      <c r="B10753" t="s">
        <v>12408</v>
      </c>
      <c r="C10753" t="s">
        <v>17677</v>
      </c>
      <c r="D10753" t="s">
        <v>20</v>
      </c>
      <c r="E10753" t="s">
        <v>11</v>
      </c>
      <c r="F10753">
        <v>144.1</v>
      </c>
      <c r="G10753">
        <v>18</v>
      </c>
    </row>
    <row r="10754" spans="1:7" x14ac:dyDescent="0.25">
      <c r="A10754" t="s">
        <v>41</v>
      </c>
      <c r="B10754" t="s">
        <v>12411</v>
      </c>
      <c r="C10754" t="s">
        <v>20164</v>
      </c>
      <c r="D10754" t="s">
        <v>20</v>
      </c>
      <c r="E10754" t="s">
        <v>11</v>
      </c>
      <c r="F10754">
        <v>36036</v>
      </c>
      <c r="G10754">
        <v>18</v>
      </c>
    </row>
    <row r="10755" spans="1:7" x14ac:dyDescent="0.25">
      <c r="A10755" t="s">
        <v>41</v>
      </c>
      <c r="B10755" t="s">
        <v>12414</v>
      </c>
      <c r="C10755" t="s">
        <v>19516</v>
      </c>
      <c r="D10755" t="s">
        <v>20</v>
      </c>
      <c r="E10755" t="s">
        <v>11</v>
      </c>
      <c r="F10755">
        <v>39696.8</v>
      </c>
      <c r="G10755">
        <v>18</v>
      </c>
    </row>
    <row r="10756" spans="1:7" x14ac:dyDescent="0.25">
      <c r="A10756" t="s">
        <v>41</v>
      </c>
      <c r="B10756" t="s">
        <v>12417</v>
      </c>
      <c r="C10756" t="s">
        <v>17663</v>
      </c>
      <c r="D10756" t="s">
        <v>20</v>
      </c>
      <c r="E10756" t="s">
        <v>11</v>
      </c>
      <c r="F10756">
        <v>223.29999999999998</v>
      </c>
      <c r="G10756">
        <v>18</v>
      </c>
    </row>
    <row r="10757" spans="1:7" x14ac:dyDescent="0.25">
      <c r="A10757" t="s">
        <v>41</v>
      </c>
      <c r="B10757" t="s">
        <v>12420</v>
      </c>
      <c r="C10757" t="s">
        <v>20165</v>
      </c>
      <c r="D10757" t="s">
        <v>20</v>
      </c>
      <c r="E10757" t="s">
        <v>11</v>
      </c>
      <c r="F10757">
        <v>217.8</v>
      </c>
      <c r="G10757">
        <v>18</v>
      </c>
    </row>
    <row r="10758" spans="1:7" x14ac:dyDescent="0.25">
      <c r="A10758" t="s">
        <v>41</v>
      </c>
      <c r="B10758" t="s">
        <v>12423</v>
      </c>
      <c r="C10758" t="s">
        <v>20001</v>
      </c>
      <c r="D10758" t="s">
        <v>20</v>
      </c>
      <c r="E10758" t="s">
        <v>11</v>
      </c>
      <c r="F10758">
        <v>63.8</v>
      </c>
      <c r="G10758">
        <v>18</v>
      </c>
    </row>
    <row r="10759" spans="1:7" x14ac:dyDescent="0.25">
      <c r="A10759" t="s">
        <v>41</v>
      </c>
      <c r="B10759" t="s">
        <v>12426</v>
      </c>
      <c r="C10759" t="s">
        <v>20166</v>
      </c>
      <c r="D10759" t="s">
        <v>20</v>
      </c>
      <c r="E10759" t="s">
        <v>11</v>
      </c>
      <c r="F10759">
        <v>357.5</v>
      </c>
      <c r="G10759">
        <v>18</v>
      </c>
    </row>
    <row r="10760" spans="1:7" x14ac:dyDescent="0.25">
      <c r="A10760" t="s">
        <v>41</v>
      </c>
      <c r="B10760" t="s">
        <v>12429</v>
      </c>
      <c r="C10760" t="s">
        <v>18131</v>
      </c>
      <c r="D10760" t="s">
        <v>20</v>
      </c>
      <c r="E10760" t="s">
        <v>11</v>
      </c>
      <c r="F10760">
        <v>5244.8</v>
      </c>
      <c r="G10760">
        <v>18</v>
      </c>
    </row>
    <row r="10761" spans="1:7" x14ac:dyDescent="0.25">
      <c r="A10761" t="s">
        <v>41</v>
      </c>
      <c r="B10761" t="s">
        <v>12432</v>
      </c>
      <c r="C10761" t="s">
        <v>18122</v>
      </c>
      <c r="D10761" t="s">
        <v>20</v>
      </c>
      <c r="E10761" t="s">
        <v>11</v>
      </c>
      <c r="F10761">
        <v>4532</v>
      </c>
      <c r="G10761">
        <v>18</v>
      </c>
    </row>
    <row r="10762" spans="1:7" x14ac:dyDescent="0.25">
      <c r="A10762" t="s">
        <v>41</v>
      </c>
      <c r="B10762" t="s">
        <v>12435</v>
      </c>
      <c r="C10762" t="s">
        <v>17757</v>
      </c>
      <c r="D10762" t="s">
        <v>20</v>
      </c>
      <c r="E10762" t="s">
        <v>11</v>
      </c>
      <c r="F10762">
        <v>1856.8</v>
      </c>
      <c r="G10762">
        <v>18</v>
      </c>
    </row>
    <row r="10763" spans="1:7" x14ac:dyDescent="0.25">
      <c r="A10763" t="s">
        <v>41</v>
      </c>
      <c r="B10763" t="s">
        <v>12438</v>
      </c>
      <c r="C10763" t="s">
        <v>20167</v>
      </c>
      <c r="D10763" t="s">
        <v>20</v>
      </c>
      <c r="E10763" t="s">
        <v>11</v>
      </c>
      <c r="F10763">
        <v>14969.9</v>
      </c>
      <c r="G10763">
        <v>18</v>
      </c>
    </row>
    <row r="10764" spans="1:7" x14ac:dyDescent="0.25">
      <c r="A10764" t="s">
        <v>41</v>
      </c>
      <c r="B10764" t="s">
        <v>12441</v>
      </c>
      <c r="C10764" t="s">
        <v>20168</v>
      </c>
      <c r="D10764" t="s">
        <v>20</v>
      </c>
      <c r="E10764" t="s">
        <v>11</v>
      </c>
      <c r="F10764">
        <v>17960.8</v>
      </c>
      <c r="G10764">
        <v>18</v>
      </c>
    </row>
    <row r="10765" spans="1:7" x14ac:dyDescent="0.25">
      <c r="A10765" t="s">
        <v>41</v>
      </c>
      <c r="B10765" t="s">
        <v>12444</v>
      </c>
      <c r="C10765" t="s">
        <v>20169</v>
      </c>
      <c r="D10765" t="s">
        <v>20</v>
      </c>
      <c r="E10765" t="s">
        <v>11</v>
      </c>
      <c r="F10765">
        <v>514.8</v>
      </c>
      <c r="G10765">
        <v>18</v>
      </c>
    </row>
    <row r="10766" spans="1:7" x14ac:dyDescent="0.25">
      <c r="A10766" t="s">
        <v>41</v>
      </c>
      <c r="B10766" t="s">
        <v>12447</v>
      </c>
      <c r="C10766" t="s">
        <v>20170</v>
      </c>
      <c r="D10766" t="s">
        <v>20</v>
      </c>
      <c r="E10766" t="s">
        <v>11</v>
      </c>
      <c r="F10766">
        <v>11897.6</v>
      </c>
      <c r="G10766">
        <v>18</v>
      </c>
    </row>
    <row r="10767" spans="1:7" x14ac:dyDescent="0.25">
      <c r="A10767" t="s">
        <v>41</v>
      </c>
      <c r="B10767" t="s">
        <v>12450</v>
      </c>
      <c r="C10767" t="s">
        <v>20171</v>
      </c>
      <c r="D10767" t="s">
        <v>20</v>
      </c>
      <c r="E10767" t="s">
        <v>11</v>
      </c>
      <c r="F10767">
        <v>786.5</v>
      </c>
      <c r="G10767">
        <v>18</v>
      </c>
    </row>
    <row r="10768" spans="1:7" x14ac:dyDescent="0.25">
      <c r="A10768" t="s">
        <v>41</v>
      </c>
      <c r="B10768" t="s">
        <v>12453</v>
      </c>
      <c r="C10768" t="s">
        <v>20172</v>
      </c>
      <c r="D10768" t="s">
        <v>20</v>
      </c>
      <c r="E10768" t="s">
        <v>11</v>
      </c>
      <c r="F10768">
        <v>12355.199999999999</v>
      </c>
      <c r="G10768">
        <v>18</v>
      </c>
    </row>
    <row r="10769" spans="1:7" x14ac:dyDescent="0.25">
      <c r="A10769" t="s">
        <v>41</v>
      </c>
      <c r="B10769" t="s">
        <v>12456</v>
      </c>
      <c r="C10769" t="s">
        <v>20173</v>
      </c>
      <c r="D10769" t="s">
        <v>20</v>
      </c>
      <c r="E10769" t="s">
        <v>11</v>
      </c>
      <c r="F10769">
        <v>2997.5</v>
      </c>
      <c r="G10769">
        <v>18</v>
      </c>
    </row>
    <row r="10770" spans="1:7" x14ac:dyDescent="0.25">
      <c r="A10770" t="s">
        <v>41</v>
      </c>
      <c r="B10770" t="s">
        <v>12459</v>
      </c>
      <c r="C10770" t="s">
        <v>18121</v>
      </c>
      <c r="D10770" t="s">
        <v>20</v>
      </c>
      <c r="E10770" t="s">
        <v>11</v>
      </c>
      <c r="F10770">
        <v>2534.4</v>
      </c>
      <c r="G10770">
        <v>18</v>
      </c>
    </row>
    <row r="10771" spans="1:7" x14ac:dyDescent="0.25">
      <c r="A10771" t="s">
        <v>41</v>
      </c>
      <c r="B10771" t="s">
        <v>12462</v>
      </c>
      <c r="C10771" t="s">
        <v>17644</v>
      </c>
      <c r="D10771" t="s">
        <v>20</v>
      </c>
      <c r="E10771" t="s">
        <v>11</v>
      </c>
      <c r="F10771">
        <v>874.5</v>
      </c>
      <c r="G10771">
        <v>18</v>
      </c>
    </row>
    <row r="10772" spans="1:7" x14ac:dyDescent="0.25">
      <c r="A10772" t="s">
        <v>41</v>
      </c>
      <c r="B10772" t="s">
        <v>12465</v>
      </c>
      <c r="C10772" t="s">
        <v>20174</v>
      </c>
      <c r="D10772" t="s">
        <v>20</v>
      </c>
      <c r="E10772" t="s">
        <v>11</v>
      </c>
      <c r="F10772">
        <v>12355.199999999999</v>
      </c>
      <c r="G10772">
        <v>18</v>
      </c>
    </row>
    <row r="10773" spans="1:7" x14ac:dyDescent="0.25">
      <c r="A10773" t="s">
        <v>41</v>
      </c>
      <c r="B10773" t="s">
        <v>12468</v>
      </c>
      <c r="C10773" t="s">
        <v>19346</v>
      </c>
      <c r="D10773" t="s">
        <v>20</v>
      </c>
      <c r="E10773" t="s">
        <v>11</v>
      </c>
      <c r="F10773">
        <v>11897.6</v>
      </c>
      <c r="G10773">
        <v>18</v>
      </c>
    </row>
    <row r="10774" spans="1:7" x14ac:dyDescent="0.25">
      <c r="A10774" t="s">
        <v>41</v>
      </c>
      <c r="B10774" t="s">
        <v>12471</v>
      </c>
      <c r="C10774" t="s">
        <v>19321</v>
      </c>
      <c r="D10774" t="s">
        <v>20</v>
      </c>
      <c r="E10774" t="s">
        <v>11</v>
      </c>
      <c r="F10774">
        <v>14969.9</v>
      </c>
      <c r="G10774">
        <v>18</v>
      </c>
    </row>
    <row r="10775" spans="1:7" x14ac:dyDescent="0.25">
      <c r="A10775" t="s">
        <v>41</v>
      </c>
      <c r="B10775" t="s">
        <v>12474</v>
      </c>
      <c r="C10775" t="s">
        <v>17737</v>
      </c>
      <c r="D10775" t="s">
        <v>20</v>
      </c>
      <c r="E10775" t="s">
        <v>11</v>
      </c>
      <c r="F10775">
        <v>57.2</v>
      </c>
      <c r="G10775">
        <v>18</v>
      </c>
    </row>
    <row r="10776" spans="1:7" x14ac:dyDescent="0.25">
      <c r="A10776" t="s">
        <v>41</v>
      </c>
      <c r="B10776" t="s">
        <v>12477</v>
      </c>
      <c r="C10776" t="s">
        <v>20175</v>
      </c>
      <c r="D10776" t="s">
        <v>20</v>
      </c>
      <c r="E10776" t="s">
        <v>11</v>
      </c>
      <c r="F10776">
        <v>70.4</v>
      </c>
      <c r="G10776">
        <v>18</v>
      </c>
    </row>
    <row r="10777" spans="1:7" x14ac:dyDescent="0.25">
      <c r="A10777" t="s">
        <v>41</v>
      </c>
      <c r="B10777" t="s">
        <v>12480</v>
      </c>
      <c r="C10777" t="s">
        <v>20176</v>
      </c>
      <c r="D10777" t="s">
        <v>20</v>
      </c>
      <c r="E10777" t="s">
        <v>11</v>
      </c>
      <c r="F10777">
        <v>5244.8</v>
      </c>
      <c r="G10777">
        <v>18</v>
      </c>
    </row>
    <row r="10778" spans="1:7" x14ac:dyDescent="0.25">
      <c r="A10778" t="s">
        <v>41</v>
      </c>
      <c r="B10778" t="s">
        <v>12483</v>
      </c>
      <c r="C10778" t="s">
        <v>20177</v>
      </c>
      <c r="D10778" t="s">
        <v>20</v>
      </c>
      <c r="E10778" t="s">
        <v>11</v>
      </c>
      <c r="F10778">
        <v>809.6</v>
      </c>
      <c r="G10778">
        <v>18</v>
      </c>
    </row>
    <row r="10779" spans="1:7" x14ac:dyDescent="0.25">
      <c r="A10779" t="s">
        <v>41</v>
      </c>
      <c r="B10779" t="s">
        <v>12486</v>
      </c>
      <c r="C10779" t="s">
        <v>20178</v>
      </c>
      <c r="D10779" t="s">
        <v>20</v>
      </c>
      <c r="E10779" t="s">
        <v>11</v>
      </c>
      <c r="F10779">
        <v>5244.8</v>
      </c>
      <c r="G10779">
        <v>18</v>
      </c>
    </row>
    <row r="10780" spans="1:7" x14ac:dyDescent="0.25">
      <c r="A10780" t="s">
        <v>41</v>
      </c>
      <c r="B10780" t="s">
        <v>12489</v>
      </c>
      <c r="C10780" t="s">
        <v>20179</v>
      </c>
      <c r="D10780" t="s">
        <v>20</v>
      </c>
      <c r="E10780" t="s">
        <v>11</v>
      </c>
      <c r="F10780">
        <v>853.6</v>
      </c>
      <c r="G10780">
        <v>18</v>
      </c>
    </row>
    <row r="10781" spans="1:7" x14ac:dyDescent="0.25">
      <c r="A10781" t="s">
        <v>41</v>
      </c>
      <c r="B10781" t="s">
        <v>12492</v>
      </c>
      <c r="C10781" t="s">
        <v>20180</v>
      </c>
      <c r="D10781" t="s">
        <v>20</v>
      </c>
      <c r="E10781" t="s">
        <v>11</v>
      </c>
      <c r="F10781">
        <v>18418.4</v>
      </c>
      <c r="G10781">
        <v>18</v>
      </c>
    </row>
    <row r="10782" spans="1:7" x14ac:dyDescent="0.25">
      <c r="A10782" t="s">
        <v>41</v>
      </c>
      <c r="B10782" t="s">
        <v>12495</v>
      </c>
      <c r="C10782" t="s">
        <v>20181</v>
      </c>
      <c r="D10782" t="s">
        <v>20</v>
      </c>
      <c r="E10782" t="s">
        <v>11</v>
      </c>
      <c r="F10782">
        <v>18418.4</v>
      </c>
      <c r="G10782">
        <v>18</v>
      </c>
    </row>
    <row r="10783" spans="1:7" x14ac:dyDescent="0.25">
      <c r="A10783" t="s">
        <v>41</v>
      </c>
      <c r="B10783" t="s">
        <v>12498</v>
      </c>
      <c r="C10783" t="s">
        <v>20182</v>
      </c>
      <c r="D10783" t="s">
        <v>20</v>
      </c>
      <c r="E10783" t="s">
        <v>11</v>
      </c>
      <c r="F10783">
        <v>10296</v>
      </c>
      <c r="G10783">
        <v>18</v>
      </c>
    </row>
    <row r="10784" spans="1:7" x14ac:dyDescent="0.25">
      <c r="A10784" t="s">
        <v>41</v>
      </c>
      <c r="B10784" t="s">
        <v>12501</v>
      </c>
      <c r="C10784" t="s">
        <v>20183</v>
      </c>
      <c r="D10784" t="s">
        <v>20</v>
      </c>
      <c r="E10784" t="s">
        <v>11</v>
      </c>
      <c r="F10784">
        <v>10296</v>
      </c>
      <c r="G10784">
        <v>18</v>
      </c>
    </row>
    <row r="10785" spans="1:7" x14ac:dyDescent="0.25">
      <c r="A10785" t="s">
        <v>41</v>
      </c>
      <c r="B10785" t="s">
        <v>12504</v>
      </c>
      <c r="C10785" t="s">
        <v>20184</v>
      </c>
      <c r="D10785" t="s">
        <v>20</v>
      </c>
      <c r="E10785" t="s">
        <v>11</v>
      </c>
      <c r="F10785">
        <v>11789.800000000001</v>
      </c>
      <c r="G10785">
        <v>18</v>
      </c>
    </row>
    <row r="10786" spans="1:7" x14ac:dyDescent="0.25">
      <c r="A10786" t="s">
        <v>41</v>
      </c>
      <c r="B10786" t="s">
        <v>12507</v>
      </c>
      <c r="C10786" t="s">
        <v>20185</v>
      </c>
      <c r="D10786" t="s">
        <v>20</v>
      </c>
      <c r="E10786" t="s">
        <v>11</v>
      </c>
      <c r="F10786">
        <v>23724.8</v>
      </c>
      <c r="G10786">
        <v>18</v>
      </c>
    </row>
    <row r="10787" spans="1:7" x14ac:dyDescent="0.25">
      <c r="A10787" t="s">
        <v>41</v>
      </c>
      <c r="B10787" t="s">
        <v>12510</v>
      </c>
      <c r="C10787" t="s">
        <v>20186</v>
      </c>
      <c r="D10787" t="s">
        <v>20</v>
      </c>
      <c r="E10787" t="s">
        <v>11</v>
      </c>
      <c r="F10787">
        <v>961.4</v>
      </c>
      <c r="G10787">
        <v>18</v>
      </c>
    </row>
    <row r="10788" spans="1:7" x14ac:dyDescent="0.25">
      <c r="A10788" t="s">
        <v>41</v>
      </c>
      <c r="B10788" t="s">
        <v>12513</v>
      </c>
      <c r="C10788" t="s">
        <v>20187</v>
      </c>
      <c r="D10788" t="s">
        <v>20</v>
      </c>
      <c r="E10788" t="s">
        <v>11</v>
      </c>
      <c r="F10788">
        <v>878.9</v>
      </c>
      <c r="G10788">
        <v>18</v>
      </c>
    </row>
    <row r="10789" spans="1:7" x14ac:dyDescent="0.25">
      <c r="A10789" t="s">
        <v>41</v>
      </c>
      <c r="B10789" t="s">
        <v>12516</v>
      </c>
      <c r="C10789" t="s">
        <v>20188</v>
      </c>
      <c r="D10789" t="s">
        <v>20</v>
      </c>
      <c r="E10789" t="s">
        <v>11</v>
      </c>
      <c r="F10789">
        <v>878.9</v>
      </c>
      <c r="G10789">
        <v>18</v>
      </c>
    </row>
    <row r="10790" spans="1:7" x14ac:dyDescent="0.25">
      <c r="A10790" t="s">
        <v>41</v>
      </c>
      <c r="B10790" t="s">
        <v>12519</v>
      </c>
      <c r="C10790" t="s">
        <v>20189</v>
      </c>
      <c r="D10790" t="s">
        <v>20</v>
      </c>
      <c r="E10790" t="s">
        <v>11</v>
      </c>
      <c r="F10790">
        <v>57.2</v>
      </c>
      <c r="G10790">
        <v>18</v>
      </c>
    </row>
    <row r="10791" spans="1:7" x14ac:dyDescent="0.25">
      <c r="A10791" t="s">
        <v>41</v>
      </c>
      <c r="B10791" t="s">
        <v>12522</v>
      </c>
      <c r="C10791" t="s">
        <v>19041</v>
      </c>
      <c r="D10791" t="s">
        <v>20</v>
      </c>
      <c r="E10791" t="s">
        <v>11</v>
      </c>
      <c r="F10791">
        <v>57.2</v>
      </c>
      <c r="G10791">
        <v>18</v>
      </c>
    </row>
    <row r="10792" spans="1:7" x14ac:dyDescent="0.25">
      <c r="A10792" t="s">
        <v>41</v>
      </c>
      <c r="B10792" t="s">
        <v>12525</v>
      </c>
      <c r="C10792" t="s">
        <v>19440</v>
      </c>
      <c r="D10792" t="s">
        <v>20</v>
      </c>
      <c r="E10792" t="s">
        <v>11</v>
      </c>
      <c r="F10792">
        <v>1991.0000000000002</v>
      </c>
      <c r="G10792">
        <v>18</v>
      </c>
    </row>
    <row r="10793" spans="1:7" x14ac:dyDescent="0.25">
      <c r="A10793" t="s">
        <v>41</v>
      </c>
      <c r="B10793" t="s">
        <v>12528</v>
      </c>
      <c r="C10793" t="s">
        <v>17672</v>
      </c>
      <c r="D10793" t="s">
        <v>20</v>
      </c>
      <c r="E10793" t="s">
        <v>11</v>
      </c>
      <c r="F10793">
        <v>880</v>
      </c>
      <c r="G10793">
        <v>18</v>
      </c>
    </row>
    <row r="10794" spans="1:7" x14ac:dyDescent="0.25">
      <c r="A10794" t="s">
        <v>41</v>
      </c>
      <c r="B10794" t="s">
        <v>12531</v>
      </c>
      <c r="C10794" t="s">
        <v>20190</v>
      </c>
      <c r="D10794" t="s">
        <v>20</v>
      </c>
      <c r="E10794" t="s">
        <v>11</v>
      </c>
      <c r="F10794">
        <v>1469.6</v>
      </c>
      <c r="G10794">
        <v>18</v>
      </c>
    </row>
    <row r="10795" spans="1:7" x14ac:dyDescent="0.25">
      <c r="A10795" t="s">
        <v>41</v>
      </c>
      <c r="B10795" t="s">
        <v>12534</v>
      </c>
      <c r="C10795" t="s">
        <v>20191</v>
      </c>
      <c r="D10795" t="s">
        <v>20</v>
      </c>
      <c r="E10795" t="s">
        <v>11</v>
      </c>
      <c r="F10795">
        <v>3359.4</v>
      </c>
      <c r="G10795">
        <v>18</v>
      </c>
    </row>
    <row r="10796" spans="1:7" x14ac:dyDescent="0.25">
      <c r="A10796" t="s">
        <v>41</v>
      </c>
      <c r="B10796" t="s">
        <v>12537</v>
      </c>
      <c r="C10796" t="s">
        <v>20192</v>
      </c>
      <c r="D10796" t="s">
        <v>20</v>
      </c>
      <c r="E10796" t="s">
        <v>11</v>
      </c>
      <c r="F10796">
        <v>3726.8</v>
      </c>
      <c r="G10796">
        <v>18</v>
      </c>
    </row>
    <row r="10797" spans="1:7" x14ac:dyDescent="0.25">
      <c r="A10797" t="s">
        <v>41</v>
      </c>
      <c r="B10797" t="s">
        <v>12540</v>
      </c>
      <c r="C10797" t="s">
        <v>20193</v>
      </c>
      <c r="D10797" t="s">
        <v>20</v>
      </c>
      <c r="E10797" t="s">
        <v>11</v>
      </c>
      <c r="F10797">
        <v>4232.799999999999</v>
      </c>
      <c r="G10797">
        <v>18</v>
      </c>
    </row>
    <row r="10798" spans="1:7" x14ac:dyDescent="0.25">
      <c r="A10798" t="s">
        <v>41</v>
      </c>
      <c r="B10798" t="s">
        <v>12543</v>
      </c>
      <c r="C10798" t="s">
        <v>20194</v>
      </c>
      <c r="D10798" t="s">
        <v>20</v>
      </c>
      <c r="E10798" t="s">
        <v>11</v>
      </c>
      <c r="F10798">
        <v>1559.8</v>
      </c>
      <c r="G10798">
        <v>18</v>
      </c>
    </row>
    <row r="10799" spans="1:7" x14ac:dyDescent="0.25">
      <c r="A10799" t="s">
        <v>41</v>
      </c>
      <c r="B10799" t="s">
        <v>12546</v>
      </c>
      <c r="C10799" t="s">
        <v>19784</v>
      </c>
      <c r="D10799" t="s">
        <v>20</v>
      </c>
      <c r="E10799" t="s">
        <v>11</v>
      </c>
      <c r="F10799">
        <v>229.89999999999998</v>
      </c>
      <c r="G10799">
        <v>18</v>
      </c>
    </row>
    <row r="10800" spans="1:7" x14ac:dyDescent="0.25">
      <c r="A10800" t="s">
        <v>41</v>
      </c>
      <c r="B10800" t="s">
        <v>12549</v>
      </c>
      <c r="C10800" t="s">
        <v>17680</v>
      </c>
      <c r="D10800" t="s">
        <v>20</v>
      </c>
      <c r="E10800" t="s">
        <v>11</v>
      </c>
      <c r="F10800">
        <v>2599.2999999999997</v>
      </c>
      <c r="G10800">
        <v>18</v>
      </c>
    </row>
    <row r="10801" spans="1:7" x14ac:dyDescent="0.25">
      <c r="A10801" t="s">
        <v>41</v>
      </c>
      <c r="B10801" t="s">
        <v>12552</v>
      </c>
      <c r="C10801" t="s">
        <v>17545</v>
      </c>
      <c r="D10801" t="s">
        <v>20</v>
      </c>
      <c r="E10801" t="s">
        <v>11</v>
      </c>
      <c r="F10801">
        <v>2516.7999999999997</v>
      </c>
      <c r="G10801">
        <v>18</v>
      </c>
    </row>
    <row r="10802" spans="1:7" x14ac:dyDescent="0.25">
      <c r="A10802" t="s">
        <v>41</v>
      </c>
      <c r="B10802" t="s">
        <v>12555</v>
      </c>
      <c r="C10802" t="s">
        <v>18430</v>
      </c>
      <c r="D10802" t="s">
        <v>20</v>
      </c>
      <c r="E10802" t="s">
        <v>11</v>
      </c>
      <c r="F10802">
        <v>58.300000000000004</v>
      </c>
      <c r="G10802">
        <v>18</v>
      </c>
    </row>
    <row r="10803" spans="1:7" x14ac:dyDescent="0.25">
      <c r="A10803" t="s">
        <v>41</v>
      </c>
      <c r="B10803" t="s">
        <v>12558</v>
      </c>
      <c r="C10803" t="s">
        <v>18053</v>
      </c>
      <c r="D10803" t="s">
        <v>20</v>
      </c>
      <c r="E10803" t="s">
        <v>11</v>
      </c>
      <c r="F10803">
        <v>70.4</v>
      </c>
      <c r="G10803">
        <v>18</v>
      </c>
    </row>
    <row r="10804" spans="1:7" x14ac:dyDescent="0.25">
      <c r="A10804" t="s">
        <v>41</v>
      </c>
      <c r="B10804" t="s">
        <v>12561</v>
      </c>
      <c r="C10804" t="s">
        <v>20175</v>
      </c>
      <c r="D10804" t="s">
        <v>20</v>
      </c>
      <c r="E10804" t="s">
        <v>11</v>
      </c>
      <c r="F10804">
        <v>70.4</v>
      </c>
      <c r="G10804">
        <v>18</v>
      </c>
    </row>
    <row r="10805" spans="1:7" x14ac:dyDescent="0.25">
      <c r="A10805" t="s">
        <v>41</v>
      </c>
      <c r="B10805" t="s">
        <v>12564</v>
      </c>
      <c r="C10805" t="s">
        <v>17930</v>
      </c>
      <c r="D10805" t="s">
        <v>20</v>
      </c>
      <c r="E10805" t="s">
        <v>11</v>
      </c>
      <c r="F10805">
        <v>61.60000000000001</v>
      </c>
      <c r="G10805">
        <v>18</v>
      </c>
    </row>
    <row r="10806" spans="1:7" x14ac:dyDescent="0.25">
      <c r="A10806" t="s">
        <v>41</v>
      </c>
      <c r="B10806" t="s">
        <v>12567</v>
      </c>
      <c r="C10806" t="s">
        <v>17832</v>
      </c>
      <c r="D10806" t="s">
        <v>20</v>
      </c>
      <c r="E10806" t="s">
        <v>11</v>
      </c>
      <c r="F10806">
        <v>30.800000000000004</v>
      </c>
      <c r="G10806">
        <v>18</v>
      </c>
    </row>
    <row r="10807" spans="1:7" x14ac:dyDescent="0.25">
      <c r="A10807" t="s">
        <v>41</v>
      </c>
      <c r="B10807" t="s">
        <v>12570</v>
      </c>
      <c r="C10807" t="s">
        <v>20195</v>
      </c>
      <c r="D10807" t="s">
        <v>20</v>
      </c>
      <c r="E10807" t="s">
        <v>11</v>
      </c>
      <c r="F10807">
        <v>18418.4</v>
      </c>
      <c r="G10807">
        <v>18</v>
      </c>
    </row>
    <row r="10808" spans="1:7" x14ac:dyDescent="0.25">
      <c r="A10808" t="s">
        <v>41</v>
      </c>
      <c r="B10808" t="s">
        <v>12573</v>
      </c>
      <c r="C10808" t="s">
        <v>20196</v>
      </c>
      <c r="D10808" t="s">
        <v>20</v>
      </c>
      <c r="E10808" t="s">
        <v>11</v>
      </c>
      <c r="F10808">
        <v>18418.4</v>
      </c>
      <c r="G10808">
        <v>18</v>
      </c>
    </row>
    <row r="10809" spans="1:7" x14ac:dyDescent="0.25">
      <c r="A10809" t="s">
        <v>41</v>
      </c>
      <c r="B10809" t="s">
        <v>12576</v>
      </c>
      <c r="C10809" t="s">
        <v>20197</v>
      </c>
      <c r="D10809" t="s">
        <v>20</v>
      </c>
      <c r="E10809" t="s">
        <v>11</v>
      </c>
      <c r="F10809">
        <v>11440</v>
      </c>
      <c r="G10809">
        <v>18</v>
      </c>
    </row>
    <row r="10810" spans="1:7" x14ac:dyDescent="0.25">
      <c r="A10810" t="s">
        <v>41</v>
      </c>
      <c r="B10810" t="s">
        <v>12579</v>
      </c>
      <c r="C10810" t="s">
        <v>17592</v>
      </c>
      <c r="D10810" t="s">
        <v>20</v>
      </c>
      <c r="E10810" t="s">
        <v>11</v>
      </c>
      <c r="F10810">
        <v>661.1</v>
      </c>
      <c r="G10810">
        <v>18</v>
      </c>
    </row>
    <row r="10811" spans="1:7" x14ac:dyDescent="0.25">
      <c r="A10811" t="s">
        <v>41</v>
      </c>
      <c r="B10811" t="s">
        <v>12582</v>
      </c>
      <c r="C10811" t="s">
        <v>17673</v>
      </c>
      <c r="D10811" t="s">
        <v>20</v>
      </c>
      <c r="E10811" t="s">
        <v>11</v>
      </c>
      <c r="F10811">
        <v>1629.1000000000001</v>
      </c>
      <c r="G10811">
        <v>18</v>
      </c>
    </row>
    <row r="10812" spans="1:7" x14ac:dyDescent="0.25">
      <c r="A10812" t="s">
        <v>41</v>
      </c>
      <c r="B10812" t="s">
        <v>12585</v>
      </c>
      <c r="C10812" t="s">
        <v>19349</v>
      </c>
      <c r="D10812" t="s">
        <v>20</v>
      </c>
      <c r="E10812" t="s">
        <v>11</v>
      </c>
      <c r="F10812">
        <v>4118.4</v>
      </c>
      <c r="G10812">
        <v>18</v>
      </c>
    </row>
    <row r="10813" spans="1:7" x14ac:dyDescent="0.25">
      <c r="A10813" t="s">
        <v>41</v>
      </c>
      <c r="B10813" t="s">
        <v>12588</v>
      </c>
      <c r="C10813" t="s">
        <v>20198</v>
      </c>
      <c r="D10813" t="s">
        <v>20</v>
      </c>
      <c r="E10813" t="s">
        <v>11</v>
      </c>
      <c r="F10813">
        <v>4461.6</v>
      </c>
      <c r="G10813">
        <v>18</v>
      </c>
    </row>
    <row r="10814" spans="1:7" x14ac:dyDescent="0.25">
      <c r="A10814" t="s">
        <v>41</v>
      </c>
      <c r="B10814" t="s">
        <v>12591</v>
      </c>
      <c r="C10814" t="s">
        <v>19499</v>
      </c>
      <c r="D10814" t="s">
        <v>20</v>
      </c>
      <c r="E10814" t="s">
        <v>11</v>
      </c>
      <c r="F10814">
        <v>27.5</v>
      </c>
      <c r="G10814">
        <v>18</v>
      </c>
    </row>
    <row r="10815" spans="1:7" x14ac:dyDescent="0.25">
      <c r="A10815" t="s">
        <v>41</v>
      </c>
      <c r="B10815" t="s">
        <v>12594</v>
      </c>
      <c r="C10815" t="s">
        <v>20199</v>
      </c>
      <c r="D10815" t="s">
        <v>20</v>
      </c>
      <c r="E10815" t="s">
        <v>11</v>
      </c>
      <c r="F10815">
        <v>56.1</v>
      </c>
      <c r="G10815">
        <v>18</v>
      </c>
    </row>
    <row r="10816" spans="1:7" x14ac:dyDescent="0.25">
      <c r="A10816" t="s">
        <v>41</v>
      </c>
      <c r="B10816" t="s">
        <v>12597</v>
      </c>
      <c r="C10816" t="s">
        <v>19568</v>
      </c>
      <c r="D10816" t="s">
        <v>20</v>
      </c>
      <c r="E10816" t="s">
        <v>11</v>
      </c>
      <c r="F10816">
        <v>61.60000000000001</v>
      </c>
      <c r="G10816">
        <v>18</v>
      </c>
    </row>
    <row r="10817" spans="1:7" x14ac:dyDescent="0.25">
      <c r="A10817" t="s">
        <v>41</v>
      </c>
      <c r="B10817" t="s">
        <v>12600</v>
      </c>
      <c r="C10817" t="s">
        <v>20200</v>
      </c>
      <c r="D10817" t="s">
        <v>20</v>
      </c>
      <c r="E10817" t="s">
        <v>11</v>
      </c>
      <c r="F10817">
        <v>57.2</v>
      </c>
      <c r="G10817">
        <v>18</v>
      </c>
    </row>
    <row r="10818" spans="1:7" x14ac:dyDescent="0.25">
      <c r="A10818" t="s">
        <v>41</v>
      </c>
      <c r="B10818" t="s">
        <v>12603</v>
      </c>
      <c r="C10818" t="s">
        <v>20122</v>
      </c>
      <c r="D10818" t="s">
        <v>20</v>
      </c>
      <c r="E10818" t="s">
        <v>11</v>
      </c>
      <c r="F10818">
        <v>71.5</v>
      </c>
      <c r="G10818">
        <v>18</v>
      </c>
    </row>
    <row r="10819" spans="1:7" x14ac:dyDescent="0.25">
      <c r="A10819" t="s">
        <v>41</v>
      </c>
      <c r="B10819" t="s">
        <v>12606</v>
      </c>
      <c r="C10819" t="s">
        <v>18231</v>
      </c>
      <c r="D10819" t="s">
        <v>20</v>
      </c>
      <c r="E10819" t="s">
        <v>11</v>
      </c>
      <c r="F10819">
        <v>58.300000000000004</v>
      </c>
      <c r="G10819">
        <v>18</v>
      </c>
    </row>
    <row r="10820" spans="1:7" x14ac:dyDescent="0.25">
      <c r="A10820" t="s">
        <v>41</v>
      </c>
      <c r="B10820" t="s">
        <v>12609</v>
      </c>
      <c r="C10820" t="s">
        <v>20201</v>
      </c>
      <c r="D10820" t="s">
        <v>20</v>
      </c>
      <c r="E10820" t="s">
        <v>11</v>
      </c>
      <c r="F10820">
        <v>57.2</v>
      </c>
      <c r="G10820">
        <v>18</v>
      </c>
    </row>
    <row r="10821" spans="1:7" x14ac:dyDescent="0.25">
      <c r="A10821" t="s">
        <v>41</v>
      </c>
      <c r="B10821" t="s">
        <v>12612</v>
      </c>
      <c r="C10821" t="s">
        <v>20202</v>
      </c>
      <c r="D10821" t="s">
        <v>20</v>
      </c>
      <c r="E10821" t="s">
        <v>11</v>
      </c>
      <c r="F10821">
        <v>1320</v>
      </c>
      <c r="G10821">
        <v>18</v>
      </c>
    </row>
    <row r="10822" spans="1:7" x14ac:dyDescent="0.25">
      <c r="A10822" t="s">
        <v>41</v>
      </c>
      <c r="B10822" t="s">
        <v>12615</v>
      </c>
      <c r="C10822" t="s">
        <v>20203</v>
      </c>
      <c r="D10822" t="s">
        <v>20</v>
      </c>
      <c r="E10822" t="s">
        <v>11</v>
      </c>
      <c r="F10822">
        <v>9369.800000000001</v>
      </c>
      <c r="G10822">
        <v>18</v>
      </c>
    </row>
    <row r="10823" spans="1:7" x14ac:dyDescent="0.25">
      <c r="A10823" t="s">
        <v>41</v>
      </c>
      <c r="B10823" t="s">
        <v>12618</v>
      </c>
      <c r="C10823" t="s">
        <v>17714</v>
      </c>
      <c r="D10823" t="s">
        <v>20</v>
      </c>
      <c r="E10823" t="s">
        <v>11</v>
      </c>
      <c r="F10823">
        <v>1791.8999999999999</v>
      </c>
      <c r="G10823">
        <v>18</v>
      </c>
    </row>
    <row r="10824" spans="1:7" x14ac:dyDescent="0.25">
      <c r="A10824" t="s">
        <v>41</v>
      </c>
      <c r="B10824" t="s">
        <v>12621</v>
      </c>
      <c r="C10824" t="s">
        <v>20204</v>
      </c>
      <c r="D10824" t="s">
        <v>20</v>
      </c>
      <c r="E10824" t="s">
        <v>11</v>
      </c>
      <c r="F10824">
        <v>3279.1</v>
      </c>
      <c r="G10824">
        <v>18</v>
      </c>
    </row>
    <row r="10825" spans="1:7" x14ac:dyDescent="0.25">
      <c r="A10825" t="s">
        <v>41</v>
      </c>
      <c r="B10825" t="s">
        <v>12624</v>
      </c>
      <c r="C10825" t="s">
        <v>20205</v>
      </c>
      <c r="D10825" t="s">
        <v>20</v>
      </c>
      <c r="E10825" t="s">
        <v>11</v>
      </c>
      <c r="F10825">
        <v>23584</v>
      </c>
      <c r="G10825">
        <v>18</v>
      </c>
    </row>
    <row r="10826" spans="1:7" x14ac:dyDescent="0.25">
      <c r="A10826" t="s">
        <v>41</v>
      </c>
      <c r="B10826" t="s">
        <v>12627</v>
      </c>
      <c r="C10826" t="s">
        <v>20206</v>
      </c>
      <c r="D10826" t="s">
        <v>20</v>
      </c>
      <c r="E10826" t="s">
        <v>11</v>
      </c>
      <c r="F10826">
        <v>22765.600000000002</v>
      </c>
      <c r="G10826">
        <v>18</v>
      </c>
    </row>
    <row r="10827" spans="1:7" x14ac:dyDescent="0.25">
      <c r="A10827" t="s">
        <v>41</v>
      </c>
      <c r="B10827" t="s">
        <v>12630</v>
      </c>
      <c r="C10827" t="s">
        <v>20207</v>
      </c>
      <c r="D10827" t="s">
        <v>20</v>
      </c>
      <c r="E10827" t="s">
        <v>11</v>
      </c>
      <c r="F10827">
        <v>18832</v>
      </c>
      <c r="G10827">
        <v>18</v>
      </c>
    </row>
    <row r="10828" spans="1:7" x14ac:dyDescent="0.25">
      <c r="A10828" t="s">
        <v>41</v>
      </c>
      <c r="B10828" t="s">
        <v>12633</v>
      </c>
      <c r="C10828" t="s">
        <v>20208</v>
      </c>
      <c r="D10828" t="s">
        <v>20</v>
      </c>
      <c r="E10828" t="s">
        <v>11</v>
      </c>
      <c r="F10828">
        <v>18832</v>
      </c>
      <c r="G10828">
        <v>18</v>
      </c>
    </row>
    <row r="10829" spans="1:7" x14ac:dyDescent="0.25">
      <c r="A10829" t="s">
        <v>41</v>
      </c>
      <c r="B10829" t="s">
        <v>12636</v>
      </c>
      <c r="C10829" t="s">
        <v>20209</v>
      </c>
      <c r="D10829" t="s">
        <v>20</v>
      </c>
      <c r="E10829" t="s">
        <v>11</v>
      </c>
      <c r="F10829">
        <v>1277.1</v>
      </c>
      <c r="G10829">
        <v>18</v>
      </c>
    </row>
    <row r="10830" spans="1:7" x14ac:dyDescent="0.25">
      <c r="A10830" t="s">
        <v>41</v>
      </c>
      <c r="B10830" t="s">
        <v>12639</v>
      </c>
      <c r="C10830" t="s">
        <v>19397</v>
      </c>
      <c r="D10830" t="s">
        <v>20</v>
      </c>
      <c r="E10830" t="s">
        <v>11</v>
      </c>
      <c r="F10830">
        <v>355.3</v>
      </c>
      <c r="G10830">
        <v>18</v>
      </c>
    </row>
    <row r="10831" spans="1:7" x14ac:dyDescent="0.25">
      <c r="A10831" t="s">
        <v>41</v>
      </c>
      <c r="B10831" t="s">
        <v>12642</v>
      </c>
      <c r="C10831" t="s">
        <v>20210</v>
      </c>
      <c r="D10831" t="s">
        <v>20</v>
      </c>
      <c r="E10831" t="s">
        <v>11</v>
      </c>
      <c r="F10831">
        <v>58.300000000000004</v>
      </c>
      <c r="G10831">
        <v>18</v>
      </c>
    </row>
    <row r="10832" spans="1:7" x14ac:dyDescent="0.25">
      <c r="A10832" t="s">
        <v>41</v>
      </c>
      <c r="B10832" t="s">
        <v>12645</v>
      </c>
      <c r="C10832" t="s">
        <v>18232</v>
      </c>
      <c r="D10832" t="s">
        <v>20</v>
      </c>
      <c r="E10832" t="s">
        <v>11</v>
      </c>
      <c r="F10832">
        <v>70.4</v>
      </c>
      <c r="G10832">
        <v>18</v>
      </c>
    </row>
    <row r="10833" spans="1:7" x14ac:dyDescent="0.25">
      <c r="A10833" t="s">
        <v>41</v>
      </c>
      <c r="B10833" t="s">
        <v>12648</v>
      </c>
      <c r="C10833" t="s">
        <v>19568</v>
      </c>
      <c r="D10833" t="s">
        <v>20</v>
      </c>
      <c r="E10833" t="s">
        <v>11</v>
      </c>
      <c r="F10833">
        <v>57.2</v>
      </c>
      <c r="G10833">
        <v>18</v>
      </c>
    </row>
    <row r="10834" spans="1:7" x14ac:dyDescent="0.25">
      <c r="A10834" t="s">
        <v>41</v>
      </c>
      <c r="B10834" t="s">
        <v>12651</v>
      </c>
      <c r="C10834" t="s">
        <v>18231</v>
      </c>
      <c r="D10834" t="s">
        <v>20</v>
      </c>
      <c r="E10834" t="s">
        <v>11</v>
      </c>
      <c r="F10834">
        <v>58.300000000000004</v>
      </c>
      <c r="G10834">
        <v>18</v>
      </c>
    </row>
    <row r="10835" spans="1:7" x14ac:dyDescent="0.25">
      <c r="A10835" t="s">
        <v>41</v>
      </c>
      <c r="B10835" t="s">
        <v>12654</v>
      </c>
      <c r="C10835" t="s">
        <v>20211</v>
      </c>
      <c r="D10835" t="s">
        <v>20</v>
      </c>
      <c r="E10835" t="s">
        <v>11</v>
      </c>
      <c r="F10835">
        <v>607.1999999999999</v>
      </c>
      <c r="G10835">
        <v>18</v>
      </c>
    </row>
    <row r="10836" spans="1:7" x14ac:dyDescent="0.25">
      <c r="A10836" t="s">
        <v>41</v>
      </c>
      <c r="B10836" t="s">
        <v>12657</v>
      </c>
      <c r="C10836" t="s">
        <v>17667</v>
      </c>
      <c r="D10836" t="s">
        <v>20</v>
      </c>
      <c r="E10836" t="s">
        <v>11</v>
      </c>
      <c r="F10836">
        <v>23337.6</v>
      </c>
      <c r="G10836">
        <v>18</v>
      </c>
    </row>
    <row r="10837" spans="1:7" x14ac:dyDescent="0.25">
      <c r="A10837" t="s">
        <v>41</v>
      </c>
      <c r="B10837" t="s">
        <v>12660</v>
      </c>
      <c r="C10837" t="s">
        <v>18951</v>
      </c>
      <c r="D10837" t="s">
        <v>20</v>
      </c>
      <c r="E10837" t="s">
        <v>11</v>
      </c>
      <c r="F10837">
        <v>13587.199999999999</v>
      </c>
      <c r="G10837">
        <v>18</v>
      </c>
    </row>
    <row r="10838" spans="1:7" x14ac:dyDescent="0.25">
      <c r="A10838" t="s">
        <v>41</v>
      </c>
      <c r="B10838" t="s">
        <v>12663</v>
      </c>
      <c r="C10838" t="s">
        <v>18953</v>
      </c>
      <c r="D10838" t="s">
        <v>20</v>
      </c>
      <c r="E10838" t="s">
        <v>11</v>
      </c>
      <c r="F10838">
        <v>30.800000000000004</v>
      </c>
      <c r="G10838">
        <v>18</v>
      </c>
    </row>
    <row r="10839" spans="1:7" x14ac:dyDescent="0.25">
      <c r="A10839" t="s">
        <v>41</v>
      </c>
      <c r="B10839" t="s">
        <v>12666</v>
      </c>
      <c r="C10839" t="s">
        <v>20212</v>
      </c>
      <c r="D10839" t="s">
        <v>20</v>
      </c>
      <c r="E10839" t="s">
        <v>11</v>
      </c>
      <c r="F10839">
        <v>1026.3</v>
      </c>
      <c r="G10839">
        <v>18</v>
      </c>
    </row>
    <row r="10840" spans="1:7" x14ac:dyDescent="0.25">
      <c r="A10840" t="s">
        <v>41</v>
      </c>
      <c r="B10840" t="s">
        <v>12669</v>
      </c>
      <c r="C10840" t="s">
        <v>18324</v>
      </c>
      <c r="D10840" t="s">
        <v>20</v>
      </c>
      <c r="E10840" t="s">
        <v>11</v>
      </c>
      <c r="F10840">
        <v>996.6</v>
      </c>
      <c r="G10840">
        <v>18</v>
      </c>
    </row>
    <row r="10841" spans="1:7" x14ac:dyDescent="0.25">
      <c r="A10841" t="s">
        <v>41</v>
      </c>
      <c r="B10841" t="s">
        <v>12672</v>
      </c>
      <c r="C10841" t="s">
        <v>20213</v>
      </c>
      <c r="D10841" t="s">
        <v>20</v>
      </c>
      <c r="E10841" t="s">
        <v>11</v>
      </c>
      <c r="F10841">
        <v>3463.8999999999996</v>
      </c>
      <c r="G10841">
        <v>18</v>
      </c>
    </row>
    <row r="10842" spans="1:7" x14ac:dyDescent="0.25">
      <c r="A10842" t="s">
        <v>41</v>
      </c>
      <c r="B10842" t="s">
        <v>12675</v>
      </c>
      <c r="C10842" t="s">
        <v>18324</v>
      </c>
      <c r="D10842" t="s">
        <v>20</v>
      </c>
      <c r="E10842" t="s">
        <v>11</v>
      </c>
      <c r="F10842">
        <v>739.1999999999999</v>
      </c>
      <c r="G10842">
        <v>18</v>
      </c>
    </row>
    <row r="10843" spans="1:7" x14ac:dyDescent="0.25">
      <c r="A10843" t="s">
        <v>41</v>
      </c>
      <c r="B10843" t="s">
        <v>12678</v>
      </c>
      <c r="C10843" t="s">
        <v>18324</v>
      </c>
      <c r="D10843" t="s">
        <v>20</v>
      </c>
      <c r="E10843" t="s">
        <v>11</v>
      </c>
      <c r="F10843">
        <v>1026.3</v>
      </c>
      <c r="G10843">
        <v>18</v>
      </c>
    </row>
    <row r="10844" spans="1:7" x14ac:dyDescent="0.25">
      <c r="A10844" t="s">
        <v>41</v>
      </c>
      <c r="B10844" t="s">
        <v>12681</v>
      </c>
      <c r="C10844" t="s">
        <v>17722</v>
      </c>
      <c r="D10844" t="s">
        <v>20</v>
      </c>
      <c r="E10844" t="s">
        <v>11</v>
      </c>
      <c r="F10844">
        <v>574.1999999999999</v>
      </c>
      <c r="G10844">
        <v>18</v>
      </c>
    </row>
    <row r="10845" spans="1:7" x14ac:dyDescent="0.25">
      <c r="A10845" t="s">
        <v>41</v>
      </c>
      <c r="B10845" t="s">
        <v>12684</v>
      </c>
      <c r="C10845" t="s">
        <v>20214</v>
      </c>
      <c r="D10845" t="s">
        <v>20</v>
      </c>
      <c r="E10845" t="s">
        <v>11</v>
      </c>
      <c r="F10845">
        <v>427.90000000000003</v>
      </c>
      <c r="G10845">
        <v>18</v>
      </c>
    </row>
    <row r="10846" spans="1:7" x14ac:dyDescent="0.25">
      <c r="A10846" t="s">
        <v>41</v>
      </c>
      <c r="B10846" t="s">
        <v>12687</v>
      </c>
      <c r="C10846" t="s">
        <v>18955</v>
      </c>
      <c r="D10846" t="s">
        <v>20</v>
      </c>
      <c r="E10846" t="s">
        <v>11</v>
      </c>
      <c r="F10846">
        <v>1868.8999999999999</v>
      </c>
      <c r="G10846">
        <v>18</v>
      </c>
    </row>
    <row r="10847" spans="1:7" x14ac:dyDescent="0.25">
      <c r="A10847" t="s">
        <v>41</v>
      </c>
      <c r="B10847" t="s">
        <v>12690</v>
      </c>
      <c r="C10847" t="s">
        <v>17592</v>
      </c>
      <c r="D10847" t="s">
        <v>20</v>
      </c>
      <c r="E10847" t="s">
        <v>11</v>
      </c>
      <c r="F10847">
        <v>315.7</v>
      </c>
      <c r="G10847">
        <v>18</v>
      </c>
    </row>
    <row r="10848" spans="1:7" x14ac:dyDescent="0.25">
      <c r="A10848" t="s">
        <v>41</v>
      </c>
      <c r="B10848" t="s">
        <v>12693</v>
      </c>
      <c r="C10848" t="s">
        <v>20215</v>
      </c>
      <c r="D10848" t="s">
        <v>20</v>
      </c>
      <c r="E10848" t="s">
        <v>11</v>
      </c>
      <c r="F10848">
        <v>625.9000000000001</v>
      </c>
      <c r="G10848">
        <v>18</v>
      </c>
    </row>
    <row r="10849" spans="1:7" x14ac:dyDescent="0.25">
      <c r="A10849" t="s">
        <v>41</v>
      </c>
      <c r="B10849" t="s">
        <v>12696</v>
      </c>
      <c r="C10849" t="s">
        <v>20216</v>
      </c>
      <c r="D10849" t="s">
        <v>20</v>
      </c>
      <c r="E10849" t="s">
        <v>11</v>
      </c>
      <c r="F10849">
        <v>4004</v>
      </c>
      <c r="G10849">
        <v>18</v>
      </c>
    </row>
    <row r="10850" spans="1:7" x14ac:dyDescent="0.25">
      <c r="A10850" t="s">
        <v>41</v>
      </c>
      <c r="B10850" t="s">
        <v>12699</v>
      </c>
      <c r="C10850" t="s">
        <v>20217</v>
      </c>
      <c r="D10850" t="s">
        <v>20</v>
      </c>
      <c r="E10850" t="s">
        <v>11</v>
      </c>
      <c r="F10850">
        <v>4576</v>
      </c>
      <c r="G10850">
        <v>18</v>
      </c>
    </row>
    <row r="10851" spans="1:7" x14ac:dyDescent="0.25">
      <c r="A10851" t="s">
        <v>41</v>
      </c>
      <c r="B10851" t="s">
        <v>12702</v>
      </c>
      <c r="C10851" t="s">
        <v>20218</v>
      </c>
      <c r="D10851" t="s">
        <v>20</v>
      </c>
      <c r="E10851" t="s">
        <v>11</v>
      </c>
      <c r="F10851">
        <v>58.300000000000004</v>
      </c>
      <c r="G10851">
        <v>18</v>
      </c>
    </row>
    <row r="10852" spans="1:7" x14ac:dyDescent="0.25">
      <c r="A10852" t="s">
        <v>41</v>
      </c>
      <c r="B10852" t="s">
        <v>12705</v>
      </c>
      <c r="C10852" t="s">
        <v>17673</v>
      </c>
      <c r="D10852" t="s">
        <v>20</v>
      </c>
      <c r="E10852" t="s">
        <v>11</v>
      </c>
      <c r="F10852">
        <v>1345.3</v>
      </c>
      <c r="G10852">
        <v>18</v>
      </c>
    </row>
    <row r="10853" spans="1:7" x14ac:dyDescent="0.25">
      <c r="A10853" t="s">
        <v>41</v>
      </c>
      <c r="B10853" t="s">
        <v>12708</v>
      </c>
      <c r="C10853" t="s">
        <v>17680</v>
      </c>
      <c r="D10853" t="s">
        <v>20</v>
      </c>
      <c r="E10853" t="s">
        <v>11</v>
      </c>
      <c r="F10853">
        <v>2599.2999999999997</v>
      </c>
      <c r="G10853">
        <v>18</v>
      </c>
    </row>
    <row r="10854" spans="1:7" x14ac:dyDescent="0.25">
      <c r="A10854" t="s">
        <v>41</v>
      </c>
      <c r="B10854" t="s">
        <v>12711</v>
      </c>
      <c r="C10854" t="s">
        <v>17545</v>
      </c>
      <c r="D10854" t="s">
        <v>20</v>
      </c>
      <c r="E10854" t="s">
        <v>11</v>
      </c>
      <c r="F10854">
        <v>2516.7999999999997</v>
      </c>
      <c r="G10854">
        <v>18</v>
      </c>
    </row>
    <row r="10855" spans="1:7" x14ac:dyDescent="0.25">
      <c r="A10855" t="s">
        <v>41</v>
      </c>
      <c r="B10855" t="s">
        <v>12714</v>
      </c>
      <c r="C10855" t="s">
        <v>20219</v>
      </c>
      <c r="D10855" t="s">
        <v>20</v>
      </c>
      <c r="E10855" t="s">
        <v>11</v>
      </c>
      <c r="F10855">
        <v>70.4</v>
      </c>
      <c r="G10855">
        <v>18</v>
      </c>
    </row>
    <row r="10856" spans="1:7" x14ac:dyDescent="0.25">
      <c r="A10856" t="s">
        <v>41</v>
      </c>
      <c r="B10856" t="s">
        <v>12717</v>
      </c>
      <c r="C10856" t="s">
        <v>17831</v>
      </c>
      <c r="D10856" t="s">
        <v>20</v>
      </c>
      <c r="E10856" t="s">
        <v>11</v>
      </c>
      <c r="F10856">
        <v>229.89999999999998</v>
      </c>
      <c r="G10856">
        <v>18</v>
      </c>
    </row>
    <row r="10857" spans="1:7" x14ac:dyDescent="0.25">
      <c r="A10857" t="s">
        <v>41</v>
      </c>
      <c r="B10857" t="s">
        <v>12720</v>
      </c>
      <c r="C10857" t="s">
        <v>18430</v>
      </c>
      <c r="D10857" t="s">
        <v>20</v>
      </c>
      <c r="E10857" t="s">
        <v>11</v>
      </c>
      <c r="F10857">
        <v>58.300000000000004</v>
      </c>
      <c r="G10857">
        <v>18</v>
      </c>
    </row>
    <row r="10858" spans="1:7" x14ac:dyDescent="0.25">
      <c r="A10858" t="s">
        <v>41</v>
      </c>
      <c r="B10858" t="s">
        <v>12723</v>
      </c>
      <c r="C10858" t="s">
        <v>20220</v>
      </c>
      <c r="D10858" t="s">
        <v>20</v>
      </c>
      <c r="E10858" t="s">
        <v>11</v>
      </c>
      <c r="F10858">
        <v>63.8</v>
      </c>
      <c r="G10858">
        <v>18</v>
      </c>
    </row>
    <row r="10859" spans="1:7" x14ac:dyDescent="0.25">
      <c r="A10859" t="s">
        <v>41</v>
      </c>
      <c r="B10859" t="s">
        <v>12726</v>
      </c>
      <c r="C10859" t="s">
        <v>20221</v>
      </c>
      <c r="D10859" t="s">
        <v>20</v>
      </c>
      <c r="E10859" t="s">
        <v>11</v>
      </c>
      <c r="F10859">
        <v>5228.3</v>
      </c>
      <c r="G10859">
        <v>18</v>
      </c>
    </row>
    <row r="10860" spans="1:7" x14ac:dyDescent="0.25">
      <c r="A10860" t="s">
        <v>41</v>
      </c>
      <c r="B10860" t="s">
        <v>12729</v>
      </c>
      <c r="C10860" t="s">
        <v>18961</v>
      </c>
      <c r="D10860" t="s">
        <v>20</v>
      </c>
      <c r="E10860" t="s">
        <v>11</v>
      </c>
      <c r="F10860">
        <v>4347.200000000001</v>
      </c>
      <c r="G10860">
        <v>18</v>
      </c>
    </row>
    <row r="10861" spans="1:7" x14ac:dyDescent="0.25">
      <c r="A10861" t="s">
        <v>41</v>
      </c>
      <c r="B10861" t="s">
        <v>12732</v>
      </c>
      <c r="C10861" t="s">
        <v>17697</v>
      </c>
      <c r="D10861" t="s">
        <v>20</v>
      </c>
      <c r="E10861" t="s">
        <v>11</v>
      </c>
      <c r="F10861">
        <v>789.8</v>
      </c>
      <c r="G10861">
        <v>18</v>
      </c>
    </row>
    <row r="10862" spans="1:7" x14ac:dyDescent="0.25">
      <c r="A10862" t="s">
        <v>41</v>
      </c>
      <c r="B10862" t="s">
        <v>12735</v>
      </c>
      <c r="C10862" t="s">
        <v>20222</v>
      </c>
      <c r="D10862" t="s">
        <v>20</v>
      </c>
      <c r="E10862" t="s">
        <v>11</v>
      </c>
      <c r="F10862">
        <v>1716</v>
      </c>
      <c r="G10862">
        <v>18</v>
      </c>
    </row>
    <row r="10863" spans="1:7" x14ac:dyDescent="0.25">
      <c r="A10863" t="s">
        <v>41</v>
      </c>
      <c r="B10863" t="s">
        <v>12738</v>
      </c>
      <c r="C10863" t="s">
        <v>19571</v>
      </c>
      <c r="D10863" t="s">
        <v>20</v>
      </c>
      <c r="E10863" t="s">
        <v>11</v>
      </c>
      <c r="F10863">
        <v>789.8</v>
      </c>
      <c r="G10863">
        <v>18</v>
      </c>
    </row>
    <row r="10864" spans="1:7" x14ac:dyDescent="0.25">
      <c r="A10864" t="s">
        <v>41</v>
      </c>
      <c r="B10864" t="s">
        <v>12741</v>
      </c>
      <c r="C10864" t="s">
        <v>20223</v>
      </c>
      <c r="D10864" t="s">
        <v>20</v>
      </c>
      <c r="E10864" t="s">
        <v>11</v>
      </c>
      <c r="F10864">
        <v>275</v>
      </c>
      <c r="G10864">
        <v>18</v>
      </c>
    </row>
    <row r="10865" spans="1:7" x14ac:dyDescent="0.25">
      <c r="A10865" t="s">
        <v>41</v>
      </c>
      <c r="B10865" t="s">
        <v>12744</v>
      </c>
      <c r="C10865" t="s">
        <v>20013</v>
      </c>
      <c r="D10865" t="s">
        <v>20</v>
      </c>
      <c r="E10865" t="s">
        <v>11</v>
      </c>
      <c r="F10865">
        <v>561</v>
      </c>
      <c r="G10865">
        <v>18</v>
      </c>
    </row>
    <row r="10866" spans="1:7" x14ac:dyDescent="0.25">
      <c r="A10866" t="s">
        <v>41</v>
      </c>
      <c r="B10866" t="s">
        <v>12747</v>
      </c>
      <c r="C10866" t="s">
        <v>19427</v>
      </c>
      <c r="D10866" t="s">
        <v>20</v>
      </c>
      <c r="E10866" t="s">
        <v>11</v>
      </c>
      <c r="F10866">
        <v>57.2</v>
      </c>
      <c r="G10866">
        <v>18</v>
      </c>
    </row>
    <row r="10867" spans="1:7" x14ac:dyDescent="0.25">
      <c r="A10867" t="s">
        <v>41</v>
      </c>
      <c r="B10867" t="s">
        <v>12750</v>
      </c>
      <c r="C10867" t="s">
        <v>18968</v>
      </c>
      <c r="D10867" t="s">
        <v>20</v>
      </c>
      <c r="E10867" t="s">
        <v>11</v>
      </c>
      <c r="F10867">
        <v>3660.8</v>
      </c>
      <c r="G10867">
        <v>18</v>
      </c>
    </row>
    <row r="10868" spans="1:7" x14ac:dyDescent="0.25">
      <c r="A10868" t="s">
        <v>41</v>
      </c>
      <c r="B10868" t="s">
        <v>12753</v>
      </c>
      <c r="C10868" t="s">
        <v>20224</v>
      </c>
      <c r="D10868" t="s">
        <v>20</v>
      </c>
      <c r="E10868" t="s">
        <v>11</v>
      </c>
      <c r="F10868">
        <v>25053.6</v>
      </c>
      <c r="G10868">
        <v>18</v>
      </c>
    </row>
    <row r="10869" spans="1:7" x14ac:dyDescent="0.25">
      <c r="A10869" t="s">
        <v>41</v>
      </c>
      <c r="B10869" t="s">
        <v>12756</v>
      </c>
      <c r="C10869" t="s">
        <v>20225</v>
      </c>
      <c r="D10869" t="s">
        <v>20</v>
      </c>
      <c r="E10869" t="s">
        <v>11</v>
      </c>
      <c r="F10869">
        <v>14071.2</v>
      </c>
      <c r="G10869">
        <v>18</v>
      </c>
    </row>
    <row r="10870" spans="1:7" x14ac:dyDescent="0.25">
      <c r="A10870" t="s">
        <v>41</v>
      </c>
      <c r="B10870" t="s">
        <v>12759</v>
      </c>
      <c r="C10870" t="s">
        <v>20226</v>
      </c>
      <c r="D10870" t="s">
        <v>20</v>
      </c>
      <c r="E10870" t="s">
        <v>11</v>
      </c>
      <c r="F10870">
        <v>435.6</v>
      </c>
      <c r="G10870">
        <v>18</v>
      </c>
    </row>
    <row r="10871" spans="1:7" x14ac:dyDescent="0.25">
      <c r="A10871" t="s">
        <v>41</v>
      </c>
      <c r="B10871" t="s">
        <v>12761</v>
      </c>
      <c r="C10871" t="s">
        <v>20227</v>
      </c>
      <c r="D10871" t="s">
        <v>20</v>
      </c>
      <c r="E10871" t="s">
        <v>11</v>
      </c>
      <c r="F10871">
        <v>6944.3</v>
      </c>
      <c r="G10871">
        <v>18</v>
      </c>
    </row>
    <row r="10872" spans="1:7" x14ac:dyDescent="0.25">
      <c r="A10872" t="s">
        <v>41</v>
      </c>
      <c r="B10872" t="s">
        <v>12764</v>
      </c>
      <c r="C10872" t="s">
        <v>17863</v>
      </c>
      <c r="D10872" t="s">
        <v>20</v>
      </c>
      <c r="E10872" t="s">
        <v>11</v>
      </c>
      <c r="F10872">
        <v>45.099999999999994</v>
      </c>
      <c r="G10872">
        <v>18</v>
      </c>
    </row>
    <row r="10873" spans="1:7" x14ac:dyDescent="0.25">
      <c r="A10873" t="s">
        <v>41</v>
      </c>
      <c r="B10873" t="s">
        <v>12767</v>
      </c>
      <c r="C10873" t="s">
        <v>18974</v>
      </c>
      <c r="D10873" t="s">
        <v>20</v>
      </c>
      <c r="E10873" t="s">
        <v>11</v>
      </c>
      <c r="F10873">
        <v>1281.5</v>
      </c>
      <c r="G10873">
        <v>18</v>
      </c>
    </row>
    <row r="10874" spans="1:7" x14ac:dyDescent="0.25">
      <c r="A10874" t="s">
        <v>41</v>
      </c>
      <c r="B10874" t="s">
        <v>12770</v>
      </c>
      <c r="C10874" t="s">
        <v>20020</v>
      </c>
      <c r="D10874" t="s">
        <v>20</v>
      </c>
      <c r="E10874" t="s">
        <v>11</v>
      </c>
      <c r="F10874">
        <v>11554.400000000001</v>
      </c>
      <c r="G10874">
        <v>18</v>
      </c>
    </row>
    <row r="10875" spans="1:7" x14ac:dyDescent="0.25">
      <c r="A10875" t="s">
        <v>41</v>
      </c>
      <c r="B10875" t="s">
        <v>12773</v>
      </c>
      <c r="C10875" t="s">
        <v>20228</v>
      </c>
      <c r="D10875" t="s">
        <v>20</v>
      </c>
      <c r="E10875" t="s">
        <v>11</v>
      </c>
      <c r="F10875">
        <v>454.3</v>
      </c>
      <c r="G10875">
        <v>18</v>
      </c>
    </row>
    <row r="10876" spans="1:7" x14ac:dyDescent="0.25">
      <c r="A10876" t="s">
        <v>41</v>
      </c>
      <c r="B10876" t="s">
        <v>12776</v>
      </c>
      <c r="C10876" t="s">
        <v>20229</v>
      </c>
      <c r="D10876" t="s">
        <v>20</v>
      </c>
      <c r="E10876" t="s">
        <v>11</v>
      </c>
      <c r="F10876">
        <v>412.5</v>
      </c>
      <c r="G10876">
        <v>18</v>
      </c>
    </row>
    <row r="10877" spans="1:7" x14ac:dyDescent="0.25">
      <c r="A10877" t="s">
        <v>41</v>
      </c>
      <c r="B10877" t="s">
        <v>12779</v>
      </c>
      <c r="C10877" t="s">
        <v>20230</v>
      </c>
      <c r="D10877" t="s">
        <v>20</v>
      </c>
      <c r="E10877" t="s">
        <v>11</v>
      </c>
      <c r="F10877">
        <v>183.7</v>
      </c>
      <c r="G10877">
        <v>18</v>
      </c>
    </row>
    <row r="10878" spans="1:7" x14ac:dyDescent="0.25">
      <c r="A10878" t="s">
        <v>41</v>
      </c>
      <c r="B10878" t="s">
        <v>12782</v>
      </c>
      <c r="C10878" t="s">
        <v>20231</v>
      </c>
      <c r="D10878" t="s">
        <v>20</v>
      </c>
      <c r="E10878" t="s">
        <v>11</v>
      </c>
      <c r="F10878">
        <v>486.2</v>
      </c>
      <c r="G10878">
        <v>18</v>
      </c>
    </row>
    <row r="10879" spans="1:7" x14ac:dyDescent="0.25">
      <c r="A10879" t="s">
        <v>41</v>
      </c>
      <c r="B10879" t="s">
        <v>12785</v>
      </c>
      <c r="C10879" t="s">
        <v>17952</v>
      </c>
      <c r="D10879" t="s">
        <v>20</v>
      </c>
      <c r="E10879" t="s">
        <v>11</v>
      </c>
      <c r="F10879">
        <v>70.4</v>
      </c>
      <c r="G10879">
        <v>18</v>
      </c>
    </row>
    <row r="10880" spans="1:7" x14ac:dyDescent="0.25">
      <c r="A10880" t="s">
        <v>41</v>
      </c>
      <c r="B10880" t="s">
        <v>12788</v>
      </c>
      <c r="C10880" t="s">
        <v>20232</v>
      </c>
      <c r="D10880" t="s">
        <v>20</v>
      </c>
      <c r="E10880" t="s">
        <v>11</v>
      </c>
      <c r="F10880">
        <v>2860</v>
      </c>
      <c r="G10880">
        <v>18</v>
      </c>
    </row>
    <row r="10881" spans="1:7" x14ac:dyDescent="0.25">
      <c r="A10881" t="s">
        <v>41</v>
      </c>
      <c r="B10881" t="s">
        <v>12791</v>
      </c>
      <c r="C10881" t="s">
        <v>19686</v>
      </c>
      <c r="D10881" t="s">
        <v>20</v>
      </c>
      <c r="E10881" t="s">
        <v>11</v>
      </c>
      <c r="F10881">
        <v>71.5</v>
      </c>
      <c r="G10881">
        <v>18</v>
      </c>
    </row>
    <row r="10882" spans="1:7" x14ac:dyDescent="0.25">
      <c r="A10882" t="s">
        <v>41</v>
      </c>
      <c r="B10882" t="s">
        <v>12794</v>
      </c>
      <c r="C10882" t="s">
        <v>20233</v>
      </c>
      <c r="D10882" t="s">
        <v>20</v>
      </c>
      <c r="E10882" t="s">
        <v>11</v>
      </c>
      <c r="F10882">
        <v>457.6</v>
      </c>
      <c r="G10882">
        <v>18</v>
      </c>
    </row>
    <row r="10883" spans="1:7" x14ac:dyDescent="0.25">
      <c r="A10883" t="s">
        <v>41</v>
      </c>
      <c r="B10883" t="s">
        <v>12797</v>
      </c>
      <c r="C10883" t="s">
        <v>20234</v>
      </c>
      <c r="D10883" t="s">
        <v>20</v>
      </c>
      <c r="E10883" t="s">
        <v>11</v>
      </c>
      <c r="F10883">
        <v>4518.8</v>
      </c>
      <c r="G10883">
        <v>18</v>
      </c>
    </row>
    <row r="10884" spans="1:7" x14ac:dyDescent="0.25">
      <c r="A10884" t="s">
        <v>41</v>
      </c>
      <c r="B10884" t="s">
        <v>12800</v>
      </c>
      <c r="C10884" t="s">
        <v>20235</v>
      </c>
      <c r="D10884" t="s">
        <v>20</v>
      </c>
      <c r="E10884" t="s">
        <v>11</v>
      </c>
      <c r="F10884">
        <v>8236.8</v>
      </c>
      <c r="G10884">
        <v>18</v>
      </c>
    </row>
    <row r="10885" spans="1:7" x14ac:dyDescent="0.25">
      <c r="A10885" t="s">
        <v>41</v>
      </c>
      <c r="B10885" t="s">
        <v>12803</v>
      </c>
      <c r="C10885" t="s">
        <v>17799</v>
      </c>
      <c r="D10885" t="s">
        <v>20</v>
      </c>
      <c r="E10885" t="s">
        <v>11</v>
      </c>
      <c r="F10885">
        <v>6520.8</v>
      </c>
      <c r="G10885">
        <v>18</v>
      </c>
    </row>
    <row r="10886" spans="1:7" x14ac:dyDescent="0.25">
      <c r="A10886" t="s">
        <v>41</v>
      </c>
      <c r="B10886" t="s">
        <v>12806</v>
      </c>
      <c r="C10886" t="s">
        <v>18834</v>
      </c>
      <c r="D10886" t="s">
        <v>20</v>
      </c>
      <c r="E10886" t="s">
        <v>11</v>
      </c>
      <c r="F10886">
        <v>464.2</v>
      </c>
      <c r="G10886">
        <v>18</v>
      </c>
    </row>
    <row r="10887" spans="1:7" x14ac:dyDescent="0.25">
      <c r="A10887" t="s">
        <v>41</v>
      </c>
      <c r="B10887" t="s">
        <v>12809</v>
      </c>
      <c r="C10887" t="s">
        <v>20236</v>
      </c>
      <c r="D10887" t="s">
        <v>20</v>
      </c>
      <c r="E10887" t="s">
        <v>11</v>
      </c>
      <c r="F10887">
        <v>34892</v>
      </c>
      <c r="G10887">
        <v>18</v>
      </c>
    </row>
    <row r="10888" spans="1:7" x14ac:dyDescent="0.25">
      <c r="A10888" t="s">
        <v>41</v>
      </c>
      <c r="B10888" t="s">
        <v>12812</v>
      </c>
      <c r="C10888" t="s">
        <v>19318</v>
      </c>
      <c r="D10888" t="s">
        <v>20</v>
      </c>
      <c r="E10888" t="s">
        <v>11</v>
      </c>
      <c r="F10888">
        <v>6292</v>
      </c>
      <c r="G10888">
        <v>18</v>
      </c>
    </row>
    <row r="10889" spans="1:7" x14ac:dyDescent="0.25">
      <c r="A10889" t="s">
        <v>41</v>
      </c>
      <c r="B10889" t="s">
        <v>12815</v>
      </c>
      <c r="C10889" t="s">
        <v>17643</v>
      </c>
      <c r="D10889" t="s">
        <v>20</v>
      </c>
      <c r="E10889" t="s">
        <v>11</v>
      </c>
      <c r="F10889">
        <v>5948.8</v>
      </c>
      <c r="G10889">
        <v>18</v>
      </c>
    </row>
    <row r="10890" spans="1:7" x14ac:dyDescent="0.25">
      <c r="A10890" t="s">
        <v>41</v>
      </c>
      <c r="B10890" t="s">
        <v>12818</v>
      </c>
      <c r="C10890" t="s">
        <v>20144</v>
      </c>
      <c r="D10890" t="s">
        <v>20</v>
      </c>
      <c r="E10890" t="s">
        <v>11</v>
      </c>
      <c r="F10890">
        <v>183.7</v>
      </c>
      <c r="G10890">
        <v>18</v>
      </c>
    </row>
    <row r="10891" spans="1:7" x14ac:dyDescent="0.25">
      <c r="A10891" t="s">
        <v>41</v>
      </c>
      <c r="B10891" t="s">
        <v>12821</v>
      </c>
      <c r="C10891" t="s">
        <v>18932</v>
      </c>
      <c r="D10891" t="s">
        <v>20</v>
      </c>
      <c r="E10891" t="s">
        <v>11</v>
      </c>
      <c r="F10891">
        <v>70.4</v>
      </c>
      <c r="G10891">
        <v>18</v>
      </c>
    </row>
    <row r="10892" spans="1:7" x14ac:dyDescent="0.25">
      <c r="A10892" t="s">
        <v>41</v>
      </c>
      <c r="B10892" t="s">
        <v>12824</v>
      </c>
      <c r="C10892" t="s">
        <v>20237</v>
      </c>
      <c r="D10892" t="s">
        <v>20</v>
      </c>
      <c r="E10892" t="s">
        <v>11</v>
      </c>
      <c r="F10892">
        <v>5148</v>
      </c>
      <c r="G10892">
        <v>18</v>
      </c>
    </row>
    <row r="10893" spans="1:7" x14ac:dyDescent="0.25">
      <c r="A10893" t="s">
        <v>41</v>
      </c>
      <c r="B10893" t="s">
        <v>12827</v>
      </c>
      <c r="C10893" t="s">
        <v>17648</v>
      </c>
      <c r="D10893" t="s">
        <v>20</v>
      </c>
      <c r="E10893" t="s">
        <v>11</v>
      </c>
      <c r="F10893">
        <v>5605.6</v>
      </c>
      <c r="G10893">
        <v>18</v>
      </c>
    </row>
    <row r="10894" spans="1:7" x14ac:dyDescent="0.25">
      <c r="A10894" t="s">
        <v>41</v>
      </c>
      <c r="B10894" t="s">
        <v>12830</v>
      </c>
      <c r="C10894" t="s">
        <v>18275</v>
      </c>
      <c r="D10894" t="s">
        <v>20</v>
      </c>
      <c r="E10894" t="s">
        <v>11</v>
      </c>
      <c r="F10894">
        <v>435.6</v>
      </c>
      <c r="G10894">
        <v>18</v>
      </c>
    </row>
    <row r="10895" spans="1:7" x14ac:dyDescent="0.25">
      <c r="A10895" t="s">
        <v>41</v>
      </c>
      <c r="B10895" t="s">
        <v>12833</v>
      </c>
      <c r="C10895" t="s">
        <v>18993</v>
      </c>
      <c r="D10895" t="s">
        <v>20</v>
      </c>
      <c r="E10895" t="s">
        <v>11</v>
      </c>
      <c r="F10895">
        <v>291.5</v>
      </c>
      <c r="G10895">
        <v>18</v>
      </c>
    </row>
    <row r="10896" spans="1:7" x14ac:dyDescent="0.25">
      <c r="A10896" t="s">
        <v>41</v>
      </c>
      <c r="B10896" t="s">
        <v>12836</v>
      </c>
      <c r="C10896" t="s">
        <v>18231</v>
      </c>
      <c r="D10896" t="s">
        <v>20</v>
      </c>
      <c r="E10896" t="s">
        <v>11</v>
      </c>
      <c r="F10896">
        <v>58.300000000000004</v>
      </c>
      <c r="G10896">
        <v>18</v>
      </c>
    </row>
    <row r="10897" spans="1:7" x14ac:dyDescent="0.25">
      <c r="A10897" t="s">
        <v>41</v>
      </c>
      <c r="B10897" t="s">
        <v>12839</v>
      </c>
      <c r="C10897" t="s">
        <v>20201</v>
      </c>
      <c r="D10897" t="s">
        <v>20</v>
      </c>
      <c r="E10897" t="s">
        <v>11</v>
      </c>
      <c r="F10897">
        <v>57.2</v>
      </c>
      <c r="G10897">
        <v>18</v>
      </c>
    </row>
    <row r="10898" spans="1:7" x14ac:dyDescent="0.25">
      <c r="A10898" t="s">
        <v>41</v>
      </c>
      <c r="B10898" t="s">
        <v>12842</v>
      </c>
      <c r="C10898" t="s">
        <v>20238</v>
      </c>
      <c r="D10898" t="s">
        <v>20</v>
      </c>
      <c r="E10898" t="s">
        <v>11</v>
      </c>
      <c r="F10898">
        <v>9152</v>
      </c>
      <c r="G10898">
        <v>18</v>
      </c>
    </row>
    <row r="10899" spans="1:7" x14ac:dyDescent="0.25">
      <c r="A10899" t="s">
        <v>41</v>
      </c>
      <c r="B10899" t="s">
        <v>12845</v>
      </c>
      <c r="C10899" t="s">
        <v>20239</v>
      </c>
      <c r="D10899" t="s">
        <v>20</v>
      </c>
      <c r="E10899" t="s">
        <v>11</v>
      </c>
      <c r="F10899">
        <v>13728</v>
      </c>
      <c r="G10899">
        <v>18</v>
      </c>
    </row>
    <row r="10900" spans="1:7" x14ac:dyDescent="0.25">
      <c r="A10900" t="s">
        <v>41</v>
      </c>
      <c r="B10900" t="s">
        <v>12848</v>
      </c>
      <c r="C10900" t="s">
        <v>20240</v>
      </c>
      <c r="D10900" t="s">
        <v>20</v>
      </c>
      <c r="E10900" t="s">
        <v>11</v>
      </c>
      <c r="F10900">
        <v>18304</v>
      </c>
      <c r="G10900">
        <v>18</v>
      </c>
    </row>
    <row r="10901" spans="1:7" x14ac:dyDescent="0.25">
      <c r="A10901" t="s">
        <v>41</v>
      </c>
      <c r="B10901" t="s">
        <v>12851</v>
      </c>
      <c r="C10901" t="s">
        <v>20241</v>
      </c>
      <c r="D10901" t="s">
        <v>20</v>
      </c>
      <c r="E10901" t="s">
        <v>11</v>
      </c>
      <c r="F10901">
        <v>4004</v>
      </c>
      <c r="G10901">
        <v>18</v>
      </c>
    </row>
    <row r="10902" spans="1:7" x14ac:dyDescent="0.25">
      <c r="A10902" t="s">
        <v>41</v>
      </c>
      <c r="B10902" t="s">
        <v>12854</v>
      </c>
      <c r="C10902" t="s">
        <v>20242</v>
      </c>
      <c r="D10902" t="s">
        <v>20</v>
      </c>
      <c r="E10902" t="s">
        <v>11</v>
      </c>
      <c r="F10902">
        <v>1320</v>
      </c>
      <c r="G10902">
        <v>18</v>
      </c>
    </row>
    <row r="10903" spans="1:7" x14ac:dyDescent="0.25">
      <c r="A10903" t="s">
        <v>41</v>
      </c>
      <c r="B10903" t="s">
        <v>12857</v>
      </c>
      <c r="C10903" t="s">
        <v>17673</v>
      </c>
      <c r="D10903" t="s">
        <v>20</v>
      </c>
      <c r="E10903" t="s">
        <v>11</v>
      </c>
      <c r="F10903">
        <v>641.3</v>
      </c>
      <c r="G10903">
        <v>18</v>
      </c>
    </row>
    <row r="10904" spans="1:7" x14ac:dyDescent="0.25">
      <c r="A10904" t="s">
        <v>41</v>
      </c>
      <c r="B10904" t="s">
        <v>12860</v>
      </c>
      <c r="C10904" t="s">
        <v>19041</v>
      </c>
      <c r="D10904" t="s">
        <v>20</v>
      </c>
      <c r="E10904" t="s">
        <v>11</v>
      </c>
      <c r="F10904">
        <v>57.2</v>
      </c>
      <c r="G10904">
        <v>18</v>
      </c>
    </row>
    <row r="10905" spans="1:7" x14ac:dyDescent="0.25">
      <c r="A10905" t="s">
        <v>41</v>
      </c>
      <c r="B10905" t="s">
        <v>12863</v>
      </c>
      <c r="C10905" t="s">
        <v>20189</v>
      </c>
      <c r="D10905" t="s">
        <v>20</v>
      </c>
      <c r="E10905" t="s">
        <v>11</v>
      </c>
      <c r="F10905">
        <v>57.2</v>
      </c>
      <c r="G10905">
        <v>18</v>
      </c>
    </row>
    <row r="10906" spans="1:7" x14ac:dyDescent="0.25">
      <c r="A10906" t="s">
        <v>41</v>
      </c>
      <c r="B10906" t="s">
        <v>12866</v>
      </c>
      <c r="C10906" t="s">
        <v>19784</v>
      </c>
      <c r="D10906" t="s">
        <v>20</v>
      </c>
      <c r="E10906" t="s">
        <v>11</v>
      </c>
      <c r="F10906">
        <v>229.89999999999998</v>
      </c>
      <c r="G10906">
        <v>18</v>
      </c>
    </row>
    <row r="10907" spans="1:7" x14ac:dyDescent="0.25">
      <c r="A10907" t="s">
        <v>41</v>
      </c>
      <c r="B10907" t="s">
        <v>12869</v>
      </c>
      <c r="C10907" t="s">
        <v>18053</v>
      </c>
      <c r="D10907" t="s">
        <v>20</v>
      </c>
      <c r="E10907" t="s">
        <v>11</v>
      </c>
      <c r="F10907">
        <v>70.4</v>
      </c>
      <c r="G10907">
        <v>18</v>
      </c>
    </row>
    <row r="10908" spans="1:7" x14ac:dyDescent="0.25">
      <c r="A10908" t="s">
        <v>41</v>
      </c>
      <c r="B10908" t="s">
        <v>12872</v>
      </c>
      <c r="C10908" t="s">
        <v>17680</v>
      </c>
      <c r="D10908" t="s">
        <v>20</v>
      </c>
      <c r="E10908" t="s">
        <v>11</v>
      </c>
      <c r="F10908">
        <v>2599.2999999999997</v>
      </c>
      <c r="G10908">
        <v>18</v>
      </c>
    </row>
    <row r="10909" spans="1:7" x14ac:dyDescent="0.25">
      <c r="A10909" t="s">
        <v>41</v>
      </c>
      <c r="B10909" t="s">
        <v>12875</v>
      </c>
      <c r="C10909" t="s">
        <v>18430</v>
      </c>
      <c r="D10909" t="s">
        <v>20</v>
      </c>
      <c r="E10909" t="s">
        <v>11</v>
      </c>
      <c r="F10909">
        <v>58.300000000000004</v>
      </c>
      <c r="G10909">
        <v>18</v>
      </c>
    </row>
    <row r="10910" spans="1:7" x14ac:dyDescent="0.25">
      <c r="A10910" t="s">
        <v>41</v>
      </c>
      <c r="B10910" t="s">
        <v>12878</v>
      </c>
      <c r="C10910" t="s">
        <v>17841</v>
      </c>
      <c r="D10910" t="s">
        <v>20</v>
      </c>
      <c r="E10910" t="s">
        <v>11</v>
      </c>
      <c r="F10910">
        <v>2054.8</v>
      </c>
      <c r="G10910">
        <v>18</v>
      </c>
    </row>
    <row r="10911" spans="1:7" x14ac:dyDescent="0.25">
      <c r="A10911" t="s">
        <v>41</v>
      </c>
      <c r="B10911" t="s">
        <v>12881</v>
      </c>
      <c r="C10911" t="s">
        <v>19294</v>
      </c>
      <c r="D10911" t="s">
        <v>20</v>
      </c>
      <c r="E10911" t="s">
        <v>11</v>
      </c>
      <c r="F10911">
        <v>11454.3</v>
      </c>
      <c r="G10911">
        <v>18</v>
      </c>
    </row>
    <row r="10912" spans="1:7" x14ac:dyDescent="0.25">
      <c r="A10912" t="s">
        <v>41</v>
      </c>
      <c r="B10912" t="s">
        <v>12884</v>
      </c>
      <c r="C10912" t="s">
        <v>17952</v>
      </c>
      <c r="D10912" t="s">
        <v>20</v>
      </c>
      <c r="E10912" t="s">
        <v>11</v>
      </c>
      <c r="F10912">
        <v>70.4</v>
      </c>
      <c r="G10912">
        <v>18</v>
      </c>
    </row>
    <row r="10913" spans="1:7" x14ac:dyDescent="0.25">
      <c r="A10913" t="s">
        <v>41</v>
      </c>
      <c r="B10913" t="s">
        <v>12887</v>
      </c>
      <c r="C10913" t="s">
        <v>18932</v>
      </c>
      <c r="D10913" t="s">
        <v>20</v>
      </c>
      <c r="E10913" t="s">
        <v>11</v>
      </c>
      <c r="F10913">
        <v>70.4</v>
      </c>
      <c r="G10913">
        <v>18</v>
      </c>
    </row>
    <row r="10914" spans="1:7" x14ac:dyDescent="0.25">
      <c r="A10914" t="s">
        <v>41</v>
      </c>
      <c r="B10914" t="s">
        <v>12890</v>
      </c>
      <c r="C10914" t="s">
        <v>19822</v>
      </c>
      <c r="D10914" t="s">
        <v>20</v>
      </c>
      <c r="E10914" t="s">
        <v>11</v>
      </c>
      <c r="F10914">
        <v>1450.8999999999999</v>
      </c>
      <c r="G10914">
        <v>18</v>
      </c>
    </row>
    <row r="10915" spans="1:7" x14ac:dyDescent="0.25">
      <c r="A10915" t="s">
        <v>41</v>
      </c>
      <c r="B10915" t="s">
        <v>12893</v>
      </c>
      <c r="C10915" t="s">
        <v>17952</v>
      </c>
      <c r="D10915" t="s">
        <v>20</v>
      </c>
      <c r="E10915" t="s">
        <v>11</v>
      </c>
      <c r="F10915">
        <v>70.4</v>
      </c>
      <c r="G10915">
        <v>18</v>
      </c>
    </row>
    <row r="10916" spans="1:7" x14ac:dyDescent="0.25">
      <c r="A10916" t="s">
        <v>41</v>
      </c>
      <c r="B10916" t="s">
        <v>12896</v>
      </c>
      <c r="C10916" t="s">
        <v>19788</v>
      </c>
      <c r="D10916" t="s">
        <v>20</v>
      </c>
      <c r="E10916" t="s">
        <v>11</v>
      </c>
      <c r="F10916">
        <v>71.5</v>
      </c>
      <c r="G10916">
        <v>18</v>
      </c>
    </row>
    <row r="10917" spans="1:7" x14ac:dyDescent="0.25">
      <c r="A10917" t="s">
        <v>41</v>
      </c>
      <c r="B10917" t="s">
        <v>12899</v>
      </c>
      <c r="C10917" t="s">
        <v>20243</v>
      </c>
      <c r="D10917" t="s">
        <v>20</v>
      </c>
      <c r="E10917" t="s">
        <v>11</v>
      </c>
      <c r="F10917">
        <v>1018.6</v>
      </c>
      <c r="G10917">
        <v>18</v>
      </c>
    </row>
    <row r="10918" spans="1:7" x14ac:dyDescent="0.25">
      <c r="A10918" t="s">
        <v>41</v>
      </c>
      <c r="B10918" t="s">
        <v>12902</v>
      </c>
      <c r="C10918" t="s">
        <v>20072</v>
      </c>
      <c r="D10918" t="s">
        <v>20</v>
      </c>
      <c r="E10918" t="s">
        <v>11</v>
      </c>
      <c r="F10918">
        <v>600.6</v>
      </c>
      <c r="G10918">
        <v>18</v>
      </c>
    </row>
    <row r="10919" spans="1:7" x14ac:dyDescent="0.25">
      <c r="A10919" t="s">
        <v>41</v>
      </c>
      <c r="B10919" t="s">
        <v>12905</v>
      </c>
      <c r="C10919" t="s">
        <v>19609</v>
      </c>
      <c r="D10919" t="s">
        <v>20</v>
      </c>
      <c r="E10919" t="s">
        <v>11</v>
      </c>
      <c r="F10919">
        <v>3660.8</v>
      </c>
      <c r="G10919">
        <v>18</v>
      </c>
    </row>
    <row r="10920" spans="1:7" x14ac:dyDescent="0.25">
      <c r="A10920" t="s">
        <v>41</v>
      </c>
      <c r="B10920" t="s">
        <v>12908</v>
      </c>
      <c r="C10920" t="s">
        <v>18152</v>
      </c>
      <c r="D10920" t="s">
        <v>20</v>
      </c>
      <c r="E10920" t="s">
        <v>11</v>
      </c>
      <c r="F10920">
        <v>1089</v>
      </c>
      <c r="G10920">
        <v>18</v>
      </c>
    </row>
    <row r="10921" spans="1:7" x14ac:dyDescent="0.25">
      <c r="A10921" t="s">
        <v>41</v>
      </c>
      <c r="B10921" t="s">
        <v>12911</v>
      </c>
      <c r="C10921" t="s">
        <v>19670</v>
      </c>
      <c r="D10921" t="s">
        <v>20</v>
      </c>
      <c r="E10921" t="s">
        <v>11</v>
      </c>
      <c r="F10921">
        <v>858</v>
      </c>
      <c r="G10921">
        <v>18</v>
      </c>
    </row>
    <row r="10922" spans="1:7" x14ac:dyDescent="0.25">
      <c r="A10922" t="s">
        <v>41</v>
      </c>
      <c r="B10922" t="s">
        <v>12914</v>
      </c>
      <c r="C10922" t="s">
        <v>18723</v>
      </c>
      <c r="D10922" t="s">
        <v>20</v>
      </c>
      <c r="E10922" t="s">
        <v>11</v>
      </c>
      <c r="F10922">
        <v>1372.8</v>
      </c>
      <c r="G10922">
        <v>18</v>
      </c>
    </row>
    <row r="10923" spans="1:7" x14ac:dyDescent="0.25">
      <c r="A10923" t="s">
        <v>41</v>
      </c>
      <c r="B10923" t="s">
        <v>12917</v>
      </c>
      <c r="C10923" t="s">
        <v>19802</v>
      </c>
      <c r="D10923" t="s">
        <v>20</v>
      </c>
      <c r="E10923" t="s">
        <v>11</v>
      </c>
      <c r="F10923">
        <v>1716</v>
      </c>
      <c r="G10923">
        <v>18</v>
      </c>
    </row>
    <row r="10924" spans="1:7" x14ac:dyDescent="0.25">
      <c r="A10924" t="s">
        <v>41</v>
      </c>
      <c r="B10924" t="s">
        <v>12920</v>
      </c>
      <c r="C10924" t="s">
        <v>19567</v>
      </c>
      <c r="D10924" t="s">
        <v>20</v>
      </c>
      <c r="E10924" t="s">
        <v>11</v>
      </c>
      <c r="F10924">
        <v>595.1</v>
      </c>
      <c r="G10924">
        <v>18</v>
      </c>
    </row>
    <row r="10925" spans="1:7" x14ac:dyDescent="0.25">
      <c r="A10925" t="s">
        <v>41</v>
      </c>
      <c r="B10925" t="s">
        <v>12923</v>
      </c>
      <c r="C10925" t="s">
        <v>18300</v>
      </c>
      <c r="D10925" t="s">
        <v>20</v>
      </c>
      <c r="E10925" t="s">
        <v>11</v>
      </c>
      <c r="F10925">
        <v>61.60000000000001</v>
      </c>
      <c r="G10925">
        <v>18</v>
      </c>
    </row>
    <row r="10926" spans="1:7" x14ac:dyDescent="0.25">
      <c r="A10926" t="s">
        <v>41</v>
      </c>
      <c r="B10926" t="s">
        <v>12926</v>
      </c>
      <c r="C10926" t="s">
        <v>20244</v>
      </c>
      <c r="D10926" t="s">
        <v>20</v>
      </c>
      <c r="E10926" t="s">
        <v>11</v>
      </c>
      <c r="F10926">
        <v>1716</v>
      </c>
      <c r="G10926">
        <v>18</v>
      </c>
    </row>
    <row r="10927" spans="1:7" x14ac:dyDescent="0.25">
      <c r="A10927" t="s">
        <v>41</v>
      </c>
      <c r="B10927" t="s">
        <v>12929</v>
      </c>
      <c r="C10927" t="s">
        <v>20036</v>
      </c>
      <c r="D10927" t="s">
        <v>20</v>
      </c>
      <c r="E10927" t="s">
        <v>11</v>
      </c>
      <c r="F10927">
        <v>595.1</v>
      </c>
      <c r="G10927">
        <v>18</v>
      </c>
    </row>
    <row r="10928" spans="1:7" x14ac:dyDescent="0.25">
      <c r="A10928" t="s">
        <v>41</v>
      </c>
      <c r="B10928" t="s">
        <v>12932</v>
      </c>
      <c r="C10928" t="s">
        <v>20245</v>
      </c>
      <c r="D10928" t="s">
        <v>20</v>
      </c>
      <c r="E10928" t="s">
        <v>11</v>
      </c>
      <c r="F10928">
        <v>457.6</v>
      </c>
      <c r="G10928">
        <v>18</v>
      </c>
    </row>
    <row r="10929" spans="1:7" x14ac:dyDescent="0.25">
      <c r="A10929" t="s">
        <v>41</v>
      </c>
      <c r="B10929" t="s">
        <v>12935</v>
      </c>
      <c r="C10929" t="s">
        <v>19627</v>
      </c>
      <c r="D10929" t="s">
        <v>20</v>
      </c>
      <c r="E10929" t="s">
        <v>11</v>
      </c>
      <c r="F10929">
        <v>2974.4</v>
      </c>
      <c r="G10929">
        <v>18</v>
      </c>
    </row>
    <row r="10930" spans="1:7" x14ac:dyDescent="0.25">
      <c r="A10930" t="s">
        <v>41</v>
      </c>
      <c r="B10930" t="s">
        <v>12938</v>
      </c>
      <c r="C10930" t="s">
        <v>19146</v>
      </c>
      <c r="D10930" t="s">
        <v>20</v>
      </c>
      <c r="E10930" t="s">
        <v>11</v>
      </c>
      <c r="F10930">
        <v>114.4</v>
      </c>
      <c r="G10930">
        <v>18</v>
      </c>
    </row>
    <row r="10931" spans="1:7" x14ac:dyDescent="0.25">
      <c r="A10931" t="s">
        <v>41</v>
      </c>
      <c r="B10931" t="s">
        <v>12941</v>
      </c>
      <c r="C10931" t="s">
        <v>20246</v>
      </c>
      <c r="D10931" t="s">
        <v>20</v>
      </c>
      <c r="E10931" t="s">
        <v>11</v>
      </c>
      <c r="F10931">
        <v>904.2</v>
      </c>
      <c r="G10931">
        <v>18</v>
      </c>
    </row>
    <row r="10932" spans="1:7" x14ac:dyDescent="0.25">
      <c r="A10932" t="s">
        <v>41</v>
      </c>
      <c r="B10932" t="s">
        <v>12944</v>
      </c>
      <c r="C10932" t="s">
        <v>20247</v>
      </c>
      <c r="D10932" t="s">
        <v>20</v>
      </c>
      <c r="E10932" t="s">
        <v>11</v>
      </c>
      <c r="F10932">
        <v>503.8</v>
      </c>
      <c r="G10932">
        <v>18</v>
      </c>
    </row>
    <row r="10933" spans="1:7" x14ac:dyDescent="0.25">
      <c r="A10933" t="s">
        <v>41</v>
      </c>
      <c r="B10933" t="s">
        <v>12947</v>
      </c>
      <c r="C10933" t="s">
        <v>20248</v>
      </c>
      <c r="D10933" t="s">
        <v>20</v>
      </c>
      <c r="E10933" t="s">
        <v>11</v>
      </c>
      <c r="F10933">
        <v>1716</v>
      </c>
      <c r="G10933">
        <v>18</v>
      </c>
    </row>
    <row r="10934" spans="1:7" x14ac:dyDescent="0.25">
      <c r="A10934" t="s">
        <v>41</v>
      </c>
      <c r="B10934" t="s">
        <v>12950</v>
      </c>
      <c r="C10934" t="s">
        <v>19146</v>
      </c>
      <c r="D10934" t="s">
        <v>20</v>
      </c>
      <c r="E10934" t="s">
        <v>11</v>
      </c>
      <c r="F10934">
        <v>114.4</v>
      </c>
      <c r="G10934">
        <v>18</v>
      </c>
    </row>
    <row r="10935" spans="1:7" x14ac:dyDescent="0.25">
      <c r="A10935" t="s">
        <v>41</v>
      </c>
      <c r="B10935" t="s">
        <v>12953</v>
      </c>
      <c r="C10935" t="s">
        <v>20249</v>
      </c>
      <c r="D10935" t="s">
        <v>20</v>
      </c>
      <c r="E10935" t="s">
        <v>11</v>
      </c>
      <c r="F10935">
        <v>915.2</v>
      </c>
      <c r="G10935">
        <v>18</v>
      </c>
    </row>
    <row r="10936" spans="1:7" x14ac:dyDescent="0.25">
      <c r="A10936" t="s">
        <v>41</v>
      </c>
      <c r="B10936" t="s">
        <v>12956</v>
      </c>
      <c r="C10936" t="s">
        <v>20250</v>
      </c>
      <c r="D10936" t="s">
        <v>20</v>
      </c>
      <c r="E10936" t="s">
        <v>11</v>
      </c>
      <c r="F10936">
        <v>686.4</v>
      </c>
      <c r="G10936">
        <v>18</v>
      </c>
    </row>
    <row r="10937" spans="1:7" x14ac:dyDescent="0.25">
      <c r="A10937" t="s">
        <v>41</v>
      </c>
      <c r="B10937" t="s">
        <v>12959</v>
      </c>
      <c r="C10937" t="s">
        <v>20251</v>
      </c>
      <c r="D10937" t="s">
        <v>20</v>
      </c>
      <c r="E10937" t="s">
        <v>11</v>
      </c>
      <c r="F10937">
        <v>30474.4</v>
      </c>
      <c r="G10937">
        <v>18</v>
      </c>
    </row>
    <row r="10938" spans="1:7" x14ac:dyDescent="0.25">
      <c r="A10938" t="s">
        <v>41</v>
      </c>
      <c r="B10938" t="s">
        <v>12962</v>
      </c>
      <c r="C10938" t="s">
        <v>20252</v>
      </c>
      <c r="D10938" t="s">
        <v>20</v>
      </c>
      <c r="E10938" t="s">
        <v>11</v>
      </c>
      <c r="F10938">
        <v>63.8</v>
      </c>
      <c r="G10938">
        <v>18</v>
      </c>
    </row>
    <row r="10939" spans="1:7" x14ac:dyDescent="0.25">
      <c r="A10939" t="s">
        <v>41</v>
      </c>
      <c r="B10939" t="s">
        <v>12965</v>
      </c>
      <c r="C10939" t="s">
        <v>20253</v>
      </c>
      <c r="D10939" t="s">
        <v>20</v>
      </c>
      <c r="E10939" t="s">
        <v>11</v>
      </c>
      <c r="F10939">
        <v>418</v>
      </c>
      <c r="G10939">
        <v>18</v>
      </c>
    </row>
    <row r="10940" spans="1:7" x14ac:dyDescent="0.25">
      <c r="A10940" t="s">
        <v>41</v>
      </c>
      <c r="B10940" t="s">
        <v>12968</v>
      </c>
      <c r="C10940" t="s">
        <v>18095</v>
      </c>
      <c r="D10940" t="s">
        <v>20</v>
      </c>
      <c r="E10940" t="s">
        <v>11</v>
      </c>
      <c r="F10940">
        <v>7442.599999999999</v>
      </c>
      <c r="G10940">
        <v>18</v>
      </c>
    </row>
    <row r="10941" spans="1:7" x14ac:dyDescent="0.25">
      <c r="A10941" t="s">
        <v>41</v>
      </c>
      <c r="B10941" t="s">
        <v>12971</v>
      </c>
      <c r="C10941" t="s">
        <v>18096</v>
      </c>
      <c r="D10941" t="s">
        <v>20</v>
      </c>
      <c r="E10941" t="s">
        <v>11</v>
      </c>
      <c r="F10941">
        <v>200.20000000000002</v>
      </c>
      <c r="G10941">
        <v>18</v>
      </c>
    </row>
    <row r="10942" spans="1:7" x14ac:dyDescent="0.25">
      <c r="A10942" t="s">
        <v>41</v>
      </c>
      <c r="B10942" t="s">
        <v>12974</v>
      </c>
      <c r="C10942" t="s">
        <v>18097</v>
      </c>
      <c r="D10942" t="s">
        <v>20</v>
      </c>
      <c r="E10942" t="s">
        <v>11</v>
      </c>
      <c r="F10942">
        <v>931.7</v>
      </c>
      <c r="G10942">
        <v>18</v>
      </c>
    </row>
    <row r="10943" spans="1:7" x14ac:dyDescent="0.25">
      <c r="A10943" t="s">
        <v>41</v>
      </c>
      <c r="B10943" t="s">
        <v>12977</v>
      </c>
      <c r="C10943" t="s">
        <v>18098</v>
      </c>
      <c r="D10943" t="s">
        <v>20</v>
      </c>
      <c r="E10943" t="s">
        <v>11</v>
      </c>
      <c r="F10943">
        <v>2997.5</v>
      </c>
      <c r="G10943">
        <v>18</v>
      </c>
    </row>
    <row r="10944" spans="1:7" x14ac:dyDescent="0.25">
      <c r="A10944" t="s">
        <v>41</v>
      </c>
      <c r="B10944" t="s">
        <v>12980</v>
      </c>
      <c r="C10944" t="s">
        <v>18099</v>
      </c>
      <c r="D10944" t="s">
        <v>20</v>
      </c>
      <c r="E10944" t="s">
        <v>11</v>
      </c>
      <c r="F10944">
        <v>6098.4</v>
      </c>
      <c r="G10944">
        <v>18</v>
      </c>
    </row>
    <row r="10945" spans="1:7" x14ac:dyDescent="0.25">
      <c r="A10945" t="s">
        <v>41</v>
      </c>
      <c r="B10945" t="s">
        <v>12983</v>
      </c>
      <c r="C10945" t="s">
        <v>18100</v>
      </c>
      <c r="D10945" t="s">
        <v>20</v>
      </c>
      <c r="E10945" t="s">
        <v>11</v>
      </c>
      <c r="F10945">
        <v>202.4</v>
      </c>
      <c r="G10945">
        <v>18</v>
      </c>
    </row>
    <row r="10946" spans="1:7" x14ac:dyDescent="0.25">
      <c r="A10946" t="s">
        <v>41</v>
      </c>
      <c r="B10946" t="s">
        <v>12986</v>
      </c>
      <c r="C10946" t="s">
        <v>20254</v>
      </c>
      <c r="D10946" t="s">
        <v>20</v>
      </c>
      <c r="E10946" t="s">
        <v>11</v>
      </c>
      <c r="F10946">
        <v>200.20000000000002</v>
      </c>
      <c r="G10946">
        <v>18</v>
      </c>
    </row>
    <row r="10947" spans="1:7" x14ac:dyDescent="0.25">
      <c r="A10947" t="s">
        <v>41</v>
      </c>
      <c r="B10947" t="s">
        <v>12989</v>
      </c>
      <c r="C10947" t="s">
        <v>20255</v>
      </c>
      <c r="D10947" t="s">
        <v>20</v>
      </c>
      <c r="E10947" t="s">
        <v>11</v>
      </c>
      <c r="F10947">
        <v>15418.699999999999</v>
      </c>
      <c r="G10947">
        <v>18</v>
      </c>
    </row>
    <row r="10948" spans="1:7" x14ac:dyDescent="0.25">
      <c r="A10948" t="s">
        <v>41</v>
      </c>
      <c r="B10948" t="s">
        <v>12992</v>
      </c>
      <c r="C10948" t="s">
        <v>18103</v>
      </c>
      <c r="D10948" t="s">
        <v>20</v>
      </c>
      <c r="E10948" t="s">
        <v>11</v>
      </c>
      <c r="F10948">
        <v>2299</v>
      </c>
      <c r="G10948">
        <v>18</v>
      </c>
    </row>
    <row r="10949" spans="1:7" x14ac:dyDescent="0.25">
      <c r="A10949" t="s">
        <v>41</v>
      </c>
      <c r="B10949" t="s">
        <v>12995</v>
      </c>
      <c r="C10949" t="s">
        <v>18104</v>
      </c>
      <c r="D10949" t="s">
        <v>20</v>
      </c>
      <c r="E10949" t="s">
        <v>11</v>
      </c>
      <c r="F10949">
        <v>783.2</v>
      </c>
      <c r="G10949">
        <v>18</v>
      </c>
    </row>
    <row r="10950" spans="1:7" x14ac:dyDescent="0.25">
      <c r="A10950" t="s">
        <v>41</v>
      </c>
      <c r="B10950" t="s">
        <v>12998</v>
      </c>
      <c r="C10950" t="s">
        <v>18105</v>
      </c>
      <c r="D10950" t="s">
        <v>20</v>
      </c>
      <c r="E10950" t="s">
        <v>11</v>
      </c>
      <c r="F10950">
        <v>573.1</v>
      </c>
      <c r="G10950">
        <v>18</v>
      </c>
    </row>
    <row r="10951" spans="1:7" x14ac:dyDescent="0.25">
      <c r="A10951" t="s">
        <v>41</v>
      </c>
      <c r="B10951" t="s">
        <v>13001</v>
      </c>
      <c r="C10951" t="s">
        <v>17845</v>
      </c>
      <c r="D10951" t="s">
        <v>20</v>
      </c>
      <c r="E10951" t="s">
        <v>11</v>
      </c>
      <c r="F10951">
        <v>61.60000000000001</v>
      </c>
      <c r="G10951">
        <v>18</v>
      </c>
    </row>
    <row r="10952" spans="1:7" x14ac:dyDescent="0.25">
      <c r="A10952" t="s">
        <v>41</v>
      </c>
      <c r="B10952" t="s">
        <v>13004</v>
      </c>
      <c r="C10952" t="s">
        <v>18106</v>
      </c>
      <c r="D10952" t="s">
        <v>20</v>
      </c>
      <c r="E10952" t="s">
        <v>11</v>
      </c>
      <c r="F10952">
        <v>58.300000000000004</v>
      </c>
      <c r="G10952">
        <v>18</v>
      </c>
    </row>
    <row r="10953" spans="1:7" x14ac:dyDescent="0.25">
      <c r="A10953" t="s">
        <v>41</v>
      </c>
      <c r="B10953" t="s">
        <v>13007</v>
      </c>
      <c r="C10953" t="s">
        <v>17838</v>
      </c>
      <c r="D10953" t="s">
        <v>20</v>
      </c>
      <c r="E10953" t="s">
        <v>11</v>
      </c>
      <c r="F10953">
        <v>40.7</v>
      </c>
      <c r="G10953">
        <v>18</v>
      </c>
    </row>
    <row r="10954" spans="1:7" x14ac:dyDescent="0.25">
      <c r="A10954" t="s">
        <v>41</v>
      </c>
      <c r="B10954" t="s">
        <v>13010</v>
      </c>
      <c r="C10954" t="s">
        <v>17737</v>
      </c>
      <c r="D10954" t="s">
        <v>20</v>
      </c>
      <c r="E10954" t="s">
        <v>11</v>
      </c>
      <c r="F10954">
        <v>57.2</v>
      </c>
      <c r="G10954">
        <v>18</v>
      </c>
    </row>
    <row r="10955" spans="1:7" x14ac:dyDescent="0.25">
      <c r="A10955" t="s">
        <v>41</v>
      </c>
      <c r="B10955" t="s">
        <v>13013</v>
      </c>
      <c r="C10955" t="s">
        <v>18107</v>
      </c>
      <c r="D10955" t="s">
        <v>20</v>
      </c>
      <c r="E10955" t="s">
        <v>11</v>
      </c>
      <c r="F10955">
        <v>886.6</v>
      </c>
      <c r="G10955">
        <v>18</v>
      </c>
    </row>
    <row r="10956" spans="1:7" x14ac:dyDescent="0.25">
      <c r="A10956" t="s">
        <v>41</v>
      </c>
      <c r="B10956" t="s">
        <v>13016</v>
      </c>
      <c r="C10956" t="s">
        <v>18108</v>
      </c>
      <c r="D10956" t="s">
        <v>20</v>
      </c>
      <c r="E10956" t="s">
        <v>11</v>
      </c>
      <c r="F10956">
        <v>57.2</v>
      </c>
      <c r="G10956">
        <v>18</v>
      </c>
    </row>
    <row r="10957" spans="1:7" x14ac:dyDescent="0.25">
      <c r="A10957" t="s">
        <v>41</v>
      </c>
      <c r="B10957" t="s">
        <v>13019</v>
      </c>
      <c r="C10957" t="s">
        <v>18084</v>
      </c>
      <c r="D10957" t="s">
        <v>20</v>
      </c>
      <c r="E10957" t="s">
        <v>11</v>
      </c>
      <c r="F10957">
        <v>613.8</v>
      </c>
      <c r="G10957">
        <v>18</v>
      </c>
    </row>
    <row r="10958" spans="1:7" x14ac:dyDescent="0.25">
      <c r="A10958" t="s">
        <v>41</v>
      </c>
      <c r="B10958" t="s">
        <v>13022</v>
      </c>
      <c r="C10958" t="s">
        <v>18107</v>
      </c>
      <c r="D10958" t="s">
        <v>20</v>
      </c>
      <c r="E10958" t="s">
        <v>11</v>
      </c>
      <c r="F10958">
        <v>535.7</v>
      </c>
      <c r="G10958">
        <v>18</v>
      </c>
    </row>
    <row r="10959" spans="1:7" x14ac:dyDescent="0.25">
      <c r="A10959" t="s">
        <v>41</v>
      </c>
      <c r="B10959" t="s">
        <v>13025</v>
      </c>
      <c r="C10959" t="s">
        <v>17677</v>
      </c>
      <c r="D10959" t="s">
        <v>20</v>
      </c>
      <c r="E10959" t="s">
        <v>11</v>
      </c>
      <c r="F10959">
        <v>57.2</v>
      </c>
      <c r="G10959">
        <v>18</v>
      </c>
    </row>
    <row r="10960" spans="1:7" x14ac:dyDescent="0.25">
      <c r="A10960" t="s">
        <v>41</v>
      </c>
      <c r="B10960" t="s">
        <v>13028</v>
      </c>
      <c r="C10960" t="s">
        <v>18116</v>
      </c>
      <c r="D10960" t="s">
        <v>20</v>
      </c>
      <c r="E10960" t="s">
        <v>11</v>
      </c>
      <c r="F10960">
        <v>70.4</v>
      </c>
      <c r="G10960">
        <v>18</v>
      </c>
    </row>
    <row r="10961" spans="1:7" x14ac:dyDescent="0.25">
      <c r="A10961" t="s">
        <v>41</v>
      </c>
      <c r="B10961" t="s">
        <v>13031</v>
      </c>
      <c r="C10961" t="s">
        <v>18111</v>
      </c>
      <c r="D10961" t="s">
        <v>20</v>
      </c>
      <c r="E10961" t="s">
        <v>11</v>
      </c>
      <c r="F10961">
        <v>749.0999999999999</v>
      </c>
      <c r="G10961">
        <v>18</v>
      </c>
    </row>
    <row r="10962" spans="1:7" x14ac:dyDescent="0.25">
      <c r="A10962" t="s">
        <v>41</v>
      </c>
      <c r="B10962" t="s">
        <v>13034</v>
      </c>
      <c r="C10962" t="s">
        <v>18105</v>
      </c>
      <c r="D10962" t="s">
        <v>20</v>
      </c>
      <c r="E10962" t="s">
        <v>11</v>
      </c>
      <c r="F10962">
        <v>573.1</v>
      </c>
      <c r="G10962">
        <v>18</v>
      </c>
    </row>
    <row r="10963" spans="1:7" x14ac:dyDescent="0.25">
      <c r="A10963" t="s">
        <v>41</v>
      </c>
      <c r="B10963" t="s">
        <v>13037</v>
      </c>
      <c r="C10963" t="s">
        <v>17845</v>
      </c>
      <c r="D10963" t="s">
        <v>20</v>
      </c>
      <c r="E10963" t="s">
        <v>11</v>
      </c>
      <c r="F10963">
        <v>61.60000000000001</v>
      </c>
      <c r="G10963">
        <v>18</v>
      </c>
    </row>
    <row r="10964" spans="1:7" x14ac:dyDescent="0.25">
      <c r="A10964" t="s">
        <v>41</v>
      </c>
      <c r="B10964" t="s">
        <v>13040</v>
      </c>
      <c r="C10964" t="s">
        <v>17677</v>
      </c>
      <c r="D10964" t="s">
        <v>20</v>
      </c>
      <c r="E10964" t="s">
        <v>11</v>
      </c>
      <c r="F10964">
        <v>57.2</v>
      </c>
      <c r="G10964">
        <v>18</v>
      </c>
    </row>
    <row r="10965" spans="1:7" x14ac:dyDescent="0.25">
      <c r="A10965" t="s">
        <v>41</v>
      </c>
      <c r="B10965" t="s">
        <v>13043</v>
      </c>
      <c r="C10965" t="s">
        <v>18112</v>
      </c>
      <c r="D10965" t="s">
        <v>20</v>
      </c>
      <c r="E10965" t="s">
        <v>11</v>
      </c>
      <c r="F10965">
        <v>710.6</v>
      </c>
      <c r="G10965">
        <v>18</v>
      </c>
    </row>
    <row r="10966" spans="1:7" x14ac:dyDescent="0.25">
      <c r="A10966" t="s">
        <v>41</v>
      </c>
      <c r="B10966" t="s">
        <v>13046</v>
      </c>
      <c r="C10966" t="s">
        <v>18113</v>
      </c>
      <c r="D10966" t="s">
        <v>20</v>
      </c>
      <c r="E10966" t="s">
        <v>11</v>
      </c>
      <c r="F10966">
        <v>183.7</v>
      </c>
      <c r="G10966">
        <v>18</v>
      </c>
    </row>
    <row r="10967" spans="1:7" x14ac:dyDescent="0.25">
      <c r="A10967" t="s">
        <v>41</v>
      </c>
      <c r="B10967" t="s">
        <v>13049</v>
      </c>
      <c r="C10967" t="s">
        <v>18115</v>
      </c>
      <c r="D10967" t="s">
        <v>20</v>
      </c>
      <c r="E10967" t="s">
        <v>11</v>
      </c>
      <c r="F10967">
        <v>717.1999999999999</v>
      </c>
      <c r="G10967">
        <v>18</v>
      </c>
    </row>
    <row r="10968" spans="1:7" x14ac:dyDescent="0.25">
      <c r="A10968" t="s">
        <v>41</v>
      </c>
      <c r="B10968" t="s">
        <v>13052</v>
      </c>
      <c r="C10968" t="s">
        <v>17677</v>
      </c>
      <c r="D10968" t="s">
        <v>20</v>
      </c>
      <c r="E10968" t="s">
        <v>11</v>
      </c>
      <c r="F10968">
        <v>157.29999999999998</v>
      </c>
      <c r="G10968">
        <v>18</v>
      </c>
    </row>
    <row r="10969" spans="1:7" x14ac:dyDescent="0.25">
      <c r="A10969" t="s">
        <v>41</v>
      </c>
      <c r="B10969" t="s">
        <v>13055</v>
      </c>
      <c r="C10969" t="s">
        <v>18116</v>
      </c>
      <c r="D10969" t="s">
        <v>20</v>
      </c>
      <c r="E10969" t="s">
        <v>11</v>
      </c>
      <c r="F10969">
        <v>70.4</v>
      </c>
      <c r="G10969">
        <v>18</v>
      </c>
    </row>
    <row r="10970" spans="1:7" x14ac:dyDescent="0.25">
      <c r="A10970" t="s">
        <v>41</v>
      </c>
      <c r="B10970" t="s">
        <v>13058</v>
      </c>
      <c r="C10970" t="s">
        <v>18102</v>
      </c>
      <c r="D10970" t="s">
        <v>20</v>
      </c>
      <c r="E10970" t="s">
        <v>11</v>
      </c>
      <c r="F10970">
        <v>25388</v>
      </c>
      <c r="G10970">
        <v>18</v>
      </c>
    </row>
    <row r="10971" spans="1:7" x14ac:dyDescent="0.25">
      <c r="A10971" t="s">
        <v>41</v>
      </c>
      <c r="B10971" t="s">
        <v>13061</v>
      </c>
      <c r="C10971" t="s">
        <v>20256</v>
      </c>
      <c r="D10971" t="s">
        <v>20</v>
      </c>
      <c r="E10971" t="s">
        <v>11</v>
      </c>
      <c r="F10971">
        <v>8393</v>
      </c>
      <c r="G10971">
        <v>18</v>
      </c>
    </row>
    <row r="10972" spans="1:7" x14ac:dyDescent="0.25">
      <c r="A10972" t="s">
        <v>41</v>
      </c>
      <c r="B10972" t="s">
        <v>13064</v>
      </c>
      <c r="C10972" t="s">
        <v>20257</v>
      </c>
      <c r="D10972" t="s">
        <v>20</v>
      </c>
      <c r="E10972" t="s">
        <v>11</v>
      </c>
      <c r="F10972">
        <v>5491.2</v>
      </c>
      <c r="G10972">
        <v>18</v>
      </c>
    </row>
    <row r="10973" spans="1:7" x14ac:dyDescent="0.25">
      <c r="A10973" t="s">
        <v>41</v>
      </c>
      <c r="B10973" t="s">
        <v>13067</v>
      </c>
      <c r="C10973" t="s">
        <v>20258</v>
      </c>
      <c r="D10973" t="s">
        <v>20</v>
      </c>
      <c r="E10973" t="s">
        <v>11</v>
      </c>
      <c r="F10973">
        <v>6015.9</v>
      </c>
      <c r="G10973">
        <v>18</v>
      </c>
    </row>
    <row r="10974" spans="1:7" x14ac:dyDescent="0.25">
      <c r="A10974" t="s">
        <v>41</v>
      </c>
      <c r="B10974" t="s">
        <v>13070</v>
      </c>
      <c r="C10974" t="s">
        <v>20259</v>
      </c>
      <c r="D10974" t="s">
        <v>20</v>
      </c>
      <c r="E10974" t="s">
        <v>11</v>
      </c>
      <c r="F10974">
        <v>1637.9</v>
      </c>
      <c r="G10974">
        <v>18</v>
      </c>
    </row>
    <row r="10975" spans="1:7" x14ac:dyDescent="0.25">
      <c r="A10975" t="s">
        <v>41</v>
      </c>
      <c r="B10975" t="s">
        <v>13073</v>
      </c>
      <c r="C10975" t="s">
        <v>20260</v>
      </c>
      <c r="D10975" t="s">
        <v>20</v>
      </c>
      <c r="E10975" t="s">
        <v>11</v>
      </c>
      <c r="F10975">
        <v>212.29999999999998</v>
      </c>
      <c r="G10975">
        <v>18</v>
      </c>
    </row>
    <row r="10976" spans="1:7" x14ac:dyDescent="0.25">
      <c r="A10976" t="s">
        <v>41</v>
      </c>
      <c r="B10976" t="s">
        <v>13076</v>
      </c>
      <c r="C10976" t="s">
        <v>18118</v>
      </c>
      <c r="D10976" t="s">
        <v>20</v>
      </c>
      <c r="E10976" t="s">
        <v>11</v>
      </c>
      <c r="F10976">
        <v>3300</v>
      </c>
      <c r="G10976">
        <v>18</v>
      </c>
    </row>
    <row r="10977" spans="1:7" x14ac:dyDescent="0.25">
      <c r="A10977" t="s">
        <v>41</v>
      </c>
      <c r="B10977" t="s">
        <v>13079</v>
      </c>
      <c r="C10977" t="s">
        <v>20261</v>
      </c>
      <c r="D10977" t="s">
        <v>20</v>
      </c>
      <c r="E10977" t="s">
        <v>11</v>
      </c>
      <c r="F10977">
        <v>133.1</v>
      </c>
      <c r="G10977">
        <v>18</v>
      </c>
    </row>
    <row r="10978" spans="1:7" x14ac:dyDescent="0.25">
      <c r="A10978" t="s">
        <v>41</v>
      </c>
      <c r="B10978" t="s">
        <v>13082</v>
      </c>
      <c r="C10978" t="s">
        <v>20262</v>
      </c>
      <c r="D10978" t="s">
        <v>20</v>
      </c>
      <c r="E10978" t="s">
        <v>11</v>
      </c>
      <c r="F10978">
        <v>221.09999999999997</v>
      </c>
      <c r="G10978">
        <v>18</v>
      </c>
    </row>
    <row r="10979" spans="1:7" x14ac:dyDescent="0.25">
      <c r="A10979" t="s">
        <v>41</v>
      </c>
      <c r="B10979" t="s">
        <v>13085</v>
      </c>
      <c r="C10979" t="s">
        <v>20263</v>
      </c>
      <c r="D10979" t="s">
        <v>20</v>
      </c>
      <c r="E10979" t="s">
        <v>11</v>
      </c>
      <c r="F10979">
        <v>302.5</v>
      </c>
      <c r="G10979">
        <v>18</v>
      </c>
    </row>
    <row r="10980" spans="1:7" x14ac:dyDescent="0.25">
      <c r="A10980" t="s">
        <v>41</v>
      </c>
      <c r="B10980" t="s">
        <v>13088</v>
      </c>
      <c r="C10980" t="s">
        <v>18119</v>
      </c>
      <c r="D10980" t="s">
        <v>20</v>
      </c>
      <c r="E10980" t="s">
        <v>11</v>
      </c>
      <c r="F10980">
        <v>535.7</v>
      </c>
      <c r="G10980">
        <v>18</v>
      </c>
    </row>
    <row r="10981" spans="1:7" x14ac:dyDescent="0.25">
      <c r="A10981" t="s">
        <v>41</v>
      </c>
      <c r="B10981" t="s">
        <v>13091</v>
      </c>
      <c r="C10981" t="s">
        <v>20264</v>
      </c>
      <c r="D10981" t="s">
        <v>20</v>
      </c>
      <c r="E10981" t="s">
        <v>11</v>
      </c>
      <c r="F10981">
        <v>63.8</v>
      </c>
      <c r="G10981">
        <v>18</v>
      </c>
    </row>
    <row r="10982" spans="1:7" x14ac:dyDescent="0.25">
      <c r="A10982" t="s">
        <v>41</v>
      </c>
      <c r="B10982" t="s">
        <v>13094</v>
      </c>
      <c r="C10982" t="s">
        <v>17757</v>
      </c>
      <c r="D10982" t="s">
        <v>20</v>
      </c>
      <c r="E10982" t="s">
        <v>11</v>
      </c>
      <c r="F10982">
        <v>1856.8</v>
      </c>
      <c r="G10982">
        <v>18</v>
      </c>
    </row>
    <row r="10983" spans="1:7" x14ac:dyDescent="0.25">
      <c r="A10983" t="s">
        <v>41</v>
      </c>
      <c r="B10983" t="s">
        <v>13097</v>
      </c>
      <c r="C10983" t="s">
        <v>17645</v>
      </c>
      <c r="D10983" t="s">
        <v>20</v>
      </c>
      <c r="E10983" t="s">
        <v>11</v>
      </c>
      <c r="F10983">
        <v>167.2</v>
      </c>
      <c r="G10983">
        <v>18</v>
      </c>
    </row>
    <row r="10984" spans="1:7" x14ac:dyDescent="0.25">
      <c r="A10984" t="s">
        <v>41</v>
      </c>
      <c r="B10984" t="s">
        <v>13100</v>
      </c>
      <c r="C10984" t="s">
        <v>17900</v>
      </c>
      <c r="D10984" t="s">
        <v>20</v>
      </c>
      <c r="E10984" t="s">
        <v>11</v>
      </c>
      <c r="F10984">
        <v>473</v>
      </c>
      <c r="G10984">
        <v>18</v>
      </c>
    </row>
    <row r="10985" spans="1:7" x14ac:dyDescent="0.25">
      <c r="A10985" t="s">
        <v>41</v>
      </c>
      <c r="B10985" t="s">
        <v>13103</v>
      </c>
      <c r="C10985" t="s">
        <v>17901</v>
      </c>
      <c r="D10985" t="s">
        <v>20</v>
      </c>
      <c r="E10985" t="s">
        <v>11</v>
      </c>
      <c r="F10985">
        <v>70.4</v>
      </c>
      <c r="G10985">
        <v>18</v>
      </c>
    </row>
    <row r="10986" spans="1:7" x14ac:dyDescent="0.25">
      <c r="A10986" t="s">
        <v>41</v>
      </c>
      <c r="B10986" t="s">
        <v>13106</v>
      </c>
      <c r="C10986" t="s">
        <v>17757</v>
      </c>
      <c r="D10986" t="s">
        <v>20</v>
      </c>
      <c r="E10986" t="s">
        <v>11</v>
      </c>
      <c r="F10986">
        <v>1856.8</v>
      </c>
      <c r="G10986">
        <v>18</v>
      </c>
    </row>
    <row r="10987" spans="1:7" x14ac:dyDescent="0.25">
      <c r="A10987" t="s">
        <v>41</v>
      </c>
      <c r="B10987" t="s">
        <v>13109</v>
      </c>
      <c r="C10987" t="s">
        <v>18120</v>
      </c>
      <c r="D10987" t="s">
        <v>20</v>
      </c>
      <c r="E10987" t="s">
        <v>11</v>
      </c>
      <c r="F10987">
        <v>114.4</v>
      </c>
      <c r="G10987">
        <v>18</v>
      </c>
    </row>
    <row r="10988" spans="1:7" x14ac:dyDescent="0.25">
      <c r="A10988" t="s">
        <v>41</v>
      </c>
      <c r="B10988" t="s">
        <v>13112</v>
      </c>
      <c r="C10988" t="s">
        <v>17819</v>
      </c>
      <c r="D10988" t="s">
        <v>20</v>
      </c>
      <c r="E10988" t="s">
        <v>11</v>
      </c>
      <c r="F10988">
        <v>79.2</v>
      </c>
      <c r="G10988">
        <v>18</v>
      </c>
    </row>
    <row r="10989" spans="1:7" x14ac:dyDescent="0.25">
      <c r="A10989" t="s">
        <v>41</v>
      </c>
      <c r="B10989" t="s">
        <v>13115</v>
      </c>
      <c r="C10989" t="s">
        <v>17657</v>
      </c>
      <c r="D10989" t="s">
        <v>20</v>
      </c>
      <c r="E10989" t="s">
        <v>11</v>
      </c>
      <c r="F10989">
        <v>58.300000000000004</v>
      </c>
      <c r="G10989">
        <v>18</v>
      </c>
    </row>
    <row r="10990" spans="1:7" x14ac:dyDescent="0.25">
      <c r="A10990" t="s">
        <v>41</v>
      </c>
      <c r="B10990" t="s">
        <v>13118</v>
      </c>
      <c r="C10990" t="s">
        <v>17904</v>
      </c>
      <c r="D10990" t="s">
        <v>20</v>
      </c>
      <c r="E10990" t="s">
        <v>11</v>
      </c>
      <c r="F10990">
        <v>341</v>
      </c>
      <c r="G10990">
        <v>18</v>
      </c>
    </row>
    <row r="10991" spans="1:7" x14ac:dyDescent="0.25">
      <c r="A10991" t="s">
        <v>41</v>
      </c>
      <c r="B10991" t="s">
        <v>13121</v>
      </c>
      <c r="C10991" t="s">
        <v>18121</v>
      </c>
      <c r="D10991" t="s">
        <v>20</v>
      </c>
      <c r="E10991" t="s">
        <v>11</v>
      </c>
      <c r="F10991">
        <v>7504.2</v>
      </c>
      <c r="G10991">
        <v>18</v>
      </c>
    </row>
    <row r="10992" spans="1:7" x14ac:dyDescent="0.25">
      <c r="A10992" t="s">
        <v>41</v>
      </c>
      <c r="B10992" t="s">
        <v>13124</v>
      </c>
      <c r="C10992" t="s">
        <v>18122</v>
      </c>
      <c r="D10992" t="s">
        <v>20</v>
      </c>
      <c r="E10992" t="s">
        <v>11</v>
      </c>
      <c r="F10992">
        <v>7310.599999999999</v>
      </c>
      <c r="G10992">
        <v>18</v>
      </c>
    </row>
    <row r="10993" spans="1:7" x14ac:dyDescent="0.25">
      <c r="A10993" t="s">
        <v>41</v>
      </c>
      <c r="B10993" t="s">
        <v>13127</v>
      </c>
      <c r="C10993" t="s">
        <v>18123</v>
      </c>
      <c r="D10993" t="s">
        <v>20</v>
      </c>
      <c r="E10993" t="s">
        <v>11</v>
      </c>
      <c r="F10993">
        <v>114.4</v>
      </c>
      <c r="G10993">
        <v>18</v>
      </c>
    </row>
    <row r="10994" spans="1:7" x14ac:dyDescent="0.25">
      <c r="A10994" t="s">
        <v>41</v>
      </c>
      <c r="B10994" t="s">
        <v>13130</v>
      </c>
      <c r="C10994" t="s">
        <v>17814</v>
      </c>
      <c r="D10994" t="s">
        <v>20</v>
      </c>
      <c r="E10994" t="s">
        <v>11</v>
      </c>
      <c r="F10994">
        <v>1027.4</v>
      </c>
      <c r="G10994">
        <v>18</v>
      </c>
    </row>
    <row r="10995" spans="1:7" x14ac:dyDescent="0.25">
      <c r="A10995" t="s">
        <v>41</v>
      </c>
      <c r="B10995" t="s">
        <v>13133</v>
      </c>
      <c r="C10995" t="s">
        <v>18124</v>
      </c>
      <c r="D10995" t="s">
        <v>20</v>
      </c>
      <c r="E10995" t="s">
        <v>11</v>
      </c>
      <c r="F10995">
        <v>58.300000000000004</v>
      </c>
      <c r="G10995">
        <v>18</v>
      </c>
    </row>
    <row r="10996" spans="1:7" x14ac:dyDescent="0.25">
      <c r="A10996" t="s">
        <v>41</v>
      </c>
      <c r="B10996" t="s">
        <v>13136</v>
      </c>
      <c r="C10996" t="s">
        <v>20265</v>
      </c>
      <c r="D10996" t="s">
        <v>20</v>
      </c>
      <c r="E10996" t="s">
        <v>11</v>
      </c>
      <c r="F10996">
        <v>473</v>
      </c>
      <c r="G10996">
        <v>18</v>
      </c>
    </row>
    <row r="10997" spans="1:7" x14ac:dyDescent="0.25">
      <c r="A10997" t="s">
        <v>41</v>
      </c>
      <c r="B10997" t="s">
        <v>13139</v>
      </c>
      <c r="C10997" t="s">
        <v>17653</v>
      </c>
      <c r="D10997" t="s">
        <v>20</v>
      </c>
      <c r="E10997" t="s">
        <v>11</v>
      </c>
      <c r="F10997">
        <v>214.5</v>
      </c>
      <c r="G10997">
        <v>18</v>
      </c>
    </row>
    <row r="10998" spans="1:7" x14ac:dyDescent="0.25">
      <c r="A10998" t="s">
        <v>41</v>
      </c>
      <c r="B10998" t="s">
        <v>13142</v>
      </c>
      <c r="C10998" t="s">
        <v>18028</v>
      </c>
      <c r="D10998" t="s">
        <v>20</v>
      </c>
      <c r="E10998" t="s">
        <v>11</v>
      </c>
      <c r="F10998">
        <v>94.6</v>
      </c>
      <c r="G10998">
        <v>18</v>
      </c>
    </row>
    <row r="10999" spans="1:7" x14ac:dyDescent="0.25">
      <c r="A10999" t="s">
        <v>41</v>
      </c>
      <c r="B10999" t="s">
        <v>13145</v>
      </c>
      <c r="C10999" t="s">
        <v>17906</v>
      </c>
      <c r="D10999" t="s">
        <v>20</v>
      </c>
      <c r="E10999" t="s">
        <v>11</v>
      </c>
      <c r="F10999">
        <v>730.4</v>
      </c>
      <c r="G10999">
        <v>18</v>
      </c>
    </row>
    <row r="11000" spans="1:7" x14ac:dyDescent="0.25">
      <c r="A11000" t="s">
        <v>41</v>
      </c>
      <c r="B11000" t="s">
        <v>13148</v>
      </c>
      <c r="C11000" t="s">
        <v>17907</v>
      </c>
      <c r="D11000" t="s">
        <v>20</v>
      </c>
      <c r="E11000" t="s">
        <v>11</v>
      </c>
      <c r="F11000">
        <v>302.5</v>
      </c>
      <c r="G11000">
        <v>18</v>
      </c>
    </row>
    <row r="11001" spans="1:7" x14ac:dyDescent="0.25">
      <c r="A11001" t="s">
        <v>41</v>
      </c>
      <c r="B11001" t="s">
        <v>13151</v>
      </c>
      <c r="C11001" t="s">
        <v>17872</v>
      </c>
      <c r="D11001" t="s">
        <v>20</v>
      </c>
      <c r="E11001" t="s">
        <v>11</v>
      </c>
      <c r="F11001">
        <v>178.20000000000002</v>
      </c>
      <c r="G11001">
        <v>18</v>
      </c>
    </row>
    <row r="11002" spans="1:7" x14ac:dyDescent="0.25">
      <c r="A11002" t="s">
        <v>41</v>
      </c>
      <c r="B11002" t="s">
        <v>13154</v>
      </c>
      <c r="C11002" t="s">
        <v>18126</v>
      </c>
      <c r="D11002" t="s">
        <v>20</v>
      </c>
      <c r="E11002" t="s">
        <v>11</v>
      </c>
      <c r="F11002">
        <v>2371.6</v>
      </c>
      <c r="G11002">
        <v>18</v>
      </c>
    </row>
    <row r="11003" spans="1:7" x14ac:dyDescent="0.25">
      <c r="A11003" t="s">
        <v>41</v>
      </c>
      <c r="B11003" t="s">
        <v>13157</v>
      </c>
      <c r="C11003" t="s">
        <v>18127</v>
      </c>
      <c r="D11003" t="s">
        <v>20</v>
      </c>
      <c r="E11003" t="s">
        <v>11</v>
      </c>
      <c r="F11003">
        <v>61.60000000000001</v>
      </c>
      <c r="G11003">
        <v>18</v>
      </c>
    </row>
    <row r="11004" spans="1:7" x14ac:dyDescent="0.25">
      <c r="A11004" t="s">
        <v>41</v>
      </c>
      <c r="B11004" t="s">
        <v>13160</v>
      </c>
      <c r="C11004" t="s">
        <v>20266</v>
      </c>
      <c r="D11004" t="s">
        <v>20</v>
      </c>
      <c r="E11004" t="s">
        <v>11</v>
      </c>
      <c r="F11004">
        <v>183.7</v>
      </c>
      <c r="G11004">
        <v>18</v>
      </c>
    </row>
    <row r="11005" spans="1:7" x14ac:dyDescent="0.25">
      <c r="A11005" t="s">
        <v>41</v>
      </c>
      <c r="B11005" t="s">
        <v>13163</v>
      </c>
      <c r="C11005" t="s">
        <v>18129</v>
      </c>
      <c r="D11005" t="s">
        <v>20</v>
      </c>
      <c r="E11005" t="s">
        <v>11</v>
      </c>
      <c r="F11005">
        <v>129.79999999999998</v>
      </c>
      <c r="G11005">
        <v>18</v>
      </c>
    </row>
    <row r="11006" spans="1:7" x14ac:dyDescent="0.25">
      <c r="A11006" t="s">
        <v>41</v>
      </c>
      <c r="B11006" t="s">
        <v>13166</v>
      </c>
      <c r="C11006" t="s">
        <v>18138</v>
      </c>
      <c r="D11006" t="s">
        <v>20</v>
      </c>
      <c r="E11006" t="s">
        <v>11</v>
      </c>
      <c r="F11006">
        <v>80175.7</v>
      </c>
      <c r="G11006">
        <v>18</v>
      </c>
    </row>
    <row r="11007" spans="1:7" x14ac:dyDescent="0.25">
      <c r="A11007" t="s">
        <v>41</v>
      </c>
      <c r="B11007" t="s">
        <v>13169</v>
      </c>
      <c r="C11007" t="s">
        <v>17805</v>
      </c>
      <c r="D11007" t="s">
        <v>20</v>
      </c>
      <c r="E11007" t="s">
        <v>11</v>
      </c>
      <c r="F11007">
        <v>8336.900000000001</v>
      </c>
      <c r="G11007">
        <v>18</v>
      </c>
    </row>
    <row r="11008" spans="1:7" x14ac:dyDescent="0.25">
      <c r="A11008" t="s">
        <v>41</v>
      </c>
      <c r="B11008" t="s">
        <v>13172</v>
      </c>
      <c r="C11008" t="s">
        <v>18138</v>
      </c>
      <c r="D11008" t="s">
        <v>20</v>
      </c>
      <c r="E11008" t="s">
        <v>11</v>
      </c>
      <c r="F11008">
        <v>80175.7</v>
      </c>
      <c r="G11008">
        <v>18</v>
      </c>
    </row>
    <row r="11009" spans="1:7" x14ac:dyDescent="0.25">
      <c r="A11009" t="s">
        <v>41</v>
      </c>
      <c r="B11009" t="s">
        <v>13175</v>
      </c>
      <c r="C11009" t="s">
        <v>18140</v>
      </c>
      <c r="D11009" t="s">
        <v>20</v>
      </c>
      <c r="E11009" t="s">
        <v>11</v>
      </c>
      <c r="F11009">
        <v>1075.8</v>
      </c>
      <c r="G11009">
        <v>18</v>
      </c>
    </row>
    <row r="11010" spans="1:7" x14ac:dyDescent="0.25">
      <c r="A11010" t="s">
        <v>41</v>
      </c>
      <c r="B11010" t="s">
        <v>13178</v>
      </c>
      <c r="C11010" t="s">
        <v>20267</v>
      </c>
      <c r="D11010" t="s">
        <v>20</v>
      </c>
      <c r="E11010" t="s">
        <v>11</v>
      </c>
      <c r="F11010">
        <v>157.29999999999998</v>
      </c>
      <c r="G11010">
        <v>18</v>
      </c>
    </row>
    <row r="11011" spans="1:7" x14ac:dyDescent="0.25">
      <c r="A11011" t="s">
        <v>41</v>
      </c>
      <c r="B11011" t="s">
        <v>13181</v>
      </c>
      <c r="C11011" t="s">
        <v>17832</v>
      </c>
      <c r="D11011" t="s">
        <v>20</v>
      </c>
      <c r="E11011" t="s">
        <v>11</v>
      </c>
      <c r="F11011">
        <v>63.8</v>
      </c>
      <c r="G11011">
        <v>18</v>
      </c>
    </row>
    <row r="11012" spans="1:7" x14ac:dyDescent="0.25">
      <c r="A11012" t="s">
        <v>41</v>
      </c>
      <c r="B11012" t="s">
        <v>13184</v>
      </c>
      <c r="C11012" t="s">
        <v>17833</v>
      </c>
      <c r="D11012" t="s">
        <v>20</v>
      </c>
      <c r="E11012" t="s">
        <v>11</v>
      </c>
      <c r="F11012">
        <v>4437.400000000001</v>
      </c>
      <c r="G11012">
        <v>18</v>
      </c>
    </row>
    <row r="11013" spans="1:7" x14ac:dyDescent="0.25">
      <c r="A11013" t="s">
        <v>41</v>
      </c>
      <c r="B11013" t="s">
        <v>13187</v>
      </c>
      <c r="C11013" t="s">
        <v>17779</v>
      </c>
      <c r="D11013" t="s">
        <v>20</v>
      </c>
      <c r="E11013" t="s">
        <v>11</v>
      </c>
      <c r="F11013">
        <v>58.300000000000004</v>
      </c>
      <c r="G11013">
        <v>18</v>
      </c>
    </row>
    <row r="11014" spans="1:7" x14ac:dyDescent="0.25">
      <c r="A11014" t="s">
        <v>41</v>
      </c>
      <c r="B11014" t="s">
        <v>13190</v>
      </c>
      <c r="C11014" t="s">
        <v>17838</v>
      </c>
      <c r="D11014" t="s">
        <v>20</v>
      </c>
      <c r="E11014" t="s">
        <v>11</v>
      </c>
      <c r="F11014">
        <v>40.7</v>
      </c>
      <c r="G11014">
        <v>18</v>
      </c>
    </row>
    <row r="11015" spans="1:7" x14ac:dyDescent="0.25">
      <c r="A11015" t="s">
        <v>41</v>
      </c>
      <c r="B11015" t="s">
        <v>13193</v>
      </c>
      <c r="C11015" t="s">
        <v>18045</v>
      </c>
      <c r="D11015" t="s">
        <v>20</v>
      </c>
      <c r="E11015" t="s">
        <v>11</v>
      </c>
      <c r="F11015">
        <v>2098.7999999999997</v>
      </c>
      <c r="G11015">
        <v>18</v>
      </c>
    </row>
    <row r="11016" spans="1:7" x14ac:dyDescent="0.25">
      <c r="A11016" t="s">
        <v>41</v>
      </c>
      <c r="B11016" t="s">
        <v>13195</v>
      </c>
      <c r="C11016" t="s">
        <v>17837</v>
      </c>
      <c r="D11016" t="s">
        <v>20</v>
      </c>
      <c r="E11016" t="s">
        <v>11</v>
      </c>
      <c r="F11016">
        <v>564.3</v>
      </c>
      <c r="G11016">
        <v>18</v>
      </c>
    </row>
    <row r="11017" spans="1:7" x14ac:dyDescent="0.25">
      <c r="A11017" t="s">
        <v>41</v>
      </c>
      <c r="B11017" t="s">
        <v>13198</v>
      </c>
      <c r="C11017" t="s">
        <v>18144</v>
      </c>
      <c r="D11017" t="s">
        <v>20</v>
      </c>
      <c r="E11017" t="s">
        <v>11</v>
      </c>
      <c r="F11017">
        <v>58.300000000000004</v>
      </c>
      <c r="G11017">
        <v>18</v>
      </c>
    </row>
    <row r="11018" spans="1:7" x14ac:dyDescent="0.25">
      <c r="A11018" t="s">
        <v>41</v>
      </c>
      <c r="B11018" t="s">
        <v>13200</v>
      </c>
      <c r="C11018" t="s">
        <v>17680</v>
      </c>
      <c r="D11018" t="s">
        <v>20</v>
      </c>
      <c r="E11018" t="s">
        <v>11</v>
      </c>
      <c r="F11018">
        <v>2599.2999999999997</v>
      </c>
      <c r="G11018">
        <v>18</v>
      </c>
    </row>
    <row r="11019" spans="1:7" x14ac:dyDescent="0.25">
      <c r="A11019" t="s">
        <v>41</v>
      </c>
      <c r="B11019" t="s">
        <v>13203</v>
      </c>
      <c r="C11019" t="s">
        <v>18145</v>
      </c>
      <c r="D11019" t="s">
        <v>20</v>
      </c>
      <c r="E11019" t="s">
        <v>11</v>
      </c>
      <c r="F11019">
        <v>229.89999999999998</v>
      </c>
      <c r="G11019">
        <v>18</v>
      </c>
    </row>
    <row r="11020" spans="1:7" x14ac:dyDescent="0.25">
      <c r="A11020" t="s">
        <v>41</v>
      </c>
      <c r="B11020" t="s">
        <v>13205</v>
      </c>
      <c r="C11020" t="s">
        <v>18146</v>
      </c>
      <c r="D11020" t="s">
        <v>20</v>
      </c>
      <c r="E11020" t="s">
        <v>11</v>
      </c>
      <c r="F11020">
        <v>8492</v>
      </c>
      <c r="G11020">
        <v>18</v>
      </c>
    </row>
    <row r="11021" spans="1:7" x14ac:dyDescent="0.25">
      <c r="A11021" t="s">
        <v>41</v>
      </c>
      <c r="B11021" t="s">
        <v>13208</v>
      </c>
      <c r="C11021" t="s">
        <v>17673</v>
      </c>
      <c r="D11021" t="s">
        <v>20</v>
      </c>
      <c r="E11021" t="s">
        <v>11</v>
      </c>
      <c r="F11021">
        <v>733.7</v>
      </c>
      <c r="G11021">
        <v>18</v>
      </c>
    </row>
    <row r="11022" spans="1:7" x14ac:dyDescent="0.25">
      <c r="A11022" t="s">
        <v>41</v>
      </c>
      <c r="B11022" t="s">
        <v>13211</v>
      </c>
      <c r="C11022" t="s">
        <v>17935</v>
      </c>
      <c r="D11022" t="s">
        <v>20</v>
      </c>
      <c r="E11022" t="s">
        <v>11</v>
      </c>
      <c r="F11022">
        <v>61.60000000000001</v>
      </c>
      <c r="G11022">
        <v>18</v>
      </c>
    </row>
    <row r="11023" spans="1:7" x14ac:dyDescent="0.25">
      <c r="A11023" t="s">
        <v>41</v>
      </c>
      <c r="B11023" t="s">
        <v>13214</v>
      </c>
      <c r="C11023" t="s">
        <v>19221</v>
      </c>
      <c r="D11023" t="s">
        <v>20</v>
      </c>
      <c r="E11023" t="s">
        <v>11</v>
      </c>
      <c r="F11023">
        <v>9508.4</v>
      </c>
      <c r="G11023">
        <v>18</v>
      </c>
    </row>
    <row r="11024" spans="1:7" x14ac:dyDescent="0.25">
      <c r="A11024" t="s">
        <v>41</v>
      </c>
      <c r="B11024" t="s">
        <v>13217</v>
      </c>
      <c r="C11024" t="s">
        <v>17930</v>
      </c>
      <c r="D11024" t="s">
        <v>20</v>
      </c>
      <c r="E11024" t="s">
        <v>11</v>
      </c>
      <c r="F11024">
        <v>61.60000000000001</v>
      </c>
      <c r="G11024">
        <v>18</v>
      </c>
    </row>
    <row r="11025" spans="1:7" x14ac:dyDescent="0.25">
      <c r="A11025" t="s">
        <v>41</v>
      </c>
      <c r="B11025" t="s">
        <v>13220</v>
      </c>
      <c r="C11025" t="s">
        <v>17931</v>
      </c>
      <c r="D11025" t="s">
        <v>20</v>
      </c>
      <c r="E11025" t="s">
        <v>11</v>
      </c>
      <c r="F11025">
        <v>430.1</v>
      </c>
      <c r="G11025">
        <v>18</v>
      </c>
    </row>
    <row r="11026" spans="1:7" x14ac:dyDescent="0.25">
      <c r="A11026" t="s">
        <v>41</v>
      </c>
      <c r="B11026" t="s">
        <v>13223</v>
      </c>
      <c r="C11026" t="s">
        <v>17849</v>
      </c>
      <c r="D11026" t="s">
        <v>20</v>
      </c>
      <c r="E11026" t="s">
        <v>11</v>
      </c>
      <c r="F11026">
        <v>1642.3</v>
      </c>
      <c r="G11026">
        <v>18</v>
      </c>
    </row>
    <row r="11027" spans="1:7" x14ac:dyDescent="0.25">
      <c r="A11027" t="s">
        <v>41</v>
      </c>
      <c r="B11027" t="s">
        <v>13226</v>
      </c>
      <c r="C11027" t="s">
        <v>18149</v>
      </c>
      <c r="D11027" t="s">
        <v>20</v>
      </c>
      <c r="E11027" t="s">
        <v>11</v>
      </c>
      <c r="F11027">
        <v>7764.900000000001</v>
      </c>
      <c r="G11027">
        <v>18</v>
      </c>
    </row>
    <row r="11028" spans="1:7" x14ac:dyDescent="0.25">
      <c r="A11028" t="s">
        <v>41</v>
      </c>
      <c r="B11028" t="s">
        <v>13229</v>
      </c>
      <c r="C11028" t="s">
        <v>17737</v>
      </c>
      <c r="D11028" t="s">
        <v>20</v>
      </c>
      <c r="E11028" t="s">
        <v>11</v>
      </c>
      <c r="F11028">
        <v>57.2</v>
      </c>
      <c r="G11028">
        <v>18</v>
      </c>
    </row>
    <row r="11029" spans="1:7" x14ac:dyDescent="0.25">
      <c r="A11029" t="s">
        <v>41</v>
      </c>
      <c r="B11029" t="s">
        <v>13232</v>
      </c>
      <c r="C11029" t="s">
        <v>17850</v>
      </c>
      <c r="D11029" t="s">
        <v>20</v>
      </c>
      <c r="E11029" t="s">
        <v>11</v>
      </c>
      <c r="F11029">
        <v>3526.6000000000004</v>
      </c>
      <c r="G11029">
        <v>18</v>
      </c>
    </row>
    <row r="11030" spans="1:7" x14ac:dyDescent="0.25">
      <c r="A11030" t="s">
        <v>41</v>
      </c>
      <c r="B11030" t="s">
        <v>13235</v>
      </c>
      <c r="C11030" t="s">
        <v>18312</v>
      </c>
      <c r="D11030" t="s">
        <v>20</v>
      </c>
      <c r="E11030" t="s">
        <v>11</v>
      </c>
      <c r="F11030">
        <v>546.6999999999999</v>
      </c>
      <c r="G11030">
        <v>18</v>
      </c>
    </row>
    <row r="11031" spans="1:7" x14ac:dyDescent="0.25">
      <c r="A11031" t="s">
        <v>41</v>
      </c>
      <c r="B11031" t="s">
        <v>13238</v>
      </c>
      <c r="C11031" t="s">
        <v>20268</v>
      </c>
      <c r="D11031" t="s">
        <v>20</v>
      </c>
      <c r="E11031" t="s">
        <v>11</v>
      </c>
      <c r="F11031">
        <v>1642.3</v>
      </c>
      <c r="G11031">
        <v>18</v>
      </c>
    </row>
    <row r="11032" spans="1:7" x14ac:dyDescent="0.25">
      <c r="A11032" t="s">
        <v>41</v>
      </c>
      <c r="B11032" t="s">
        <v>13241</v>
      </c>
      <c r="C11032" t="s">
        <v>20269</v>
      </c>
      <c r="D11032" t="s">
        <v>20</v>
      </c>
      <c r="E11032" t="s">
        <v>11</v>
      </c>
      <c r="F11032">
        <v>32942.8</v>
      </c>
      <c r="G11032">
        <v>18</v>
      </c>
    </row>
    <row r="11033" spans="1:7" x14ac:dyDescent="0.25">
      <c r="A11033" t="s">
        <v>41</v>
      </c>
      <c r="B11033" t="s">
        <v>13244</v>
      </c>
      <c r="C11033" t="s">
        <v>18149</v>
      </c>
      <c r="D11033" t="s">
        <v>20</v>
      </c>
      <c r="E11033" t="s">
        <v>11</v>
      </c>
      <c r="F11033">
        <v>7764.900000000001</v>
      </c>
      <c r="G11033">
        <v>18</v>
      </c>
    </row>
    <row r="11034" spans="1:7" x14ac:dyDescent="0.25">
      <c r="A11034" t="s">
        <v>41</v>
      </c>
      <c r="B11034" t="s">
        <v>13247</v>
      </c>
      <c r="C11034" t="s">
        <v>20270</v>
      </c>
      <c r="D11034" t="s">
        <v>20</v>
      </c>
      <c r="E11034" t="s">
        <v>11</v>
      </c>
      <c r="F11034">
        <v>2656.5</v>
      </c>
      <c r="G11034">
        <v>18</v>
      </c>
    </row>
    <row r="11035" spans="1:7" x14ac:dyDescent="0.25">
      <c r="A11035" t="s">
        <v>41</v>
      </c>
      <c r="B11035" t="s">
        <v>13250</v>
      </c>
      <c r="C11035" t="s">
        <v>17952</v>
      </c>
      <c r="D11035" t="s">
        <v>20</v>
      </c>
      <c r="E11035" t="s">
        <v>11</v>
      </c>
      <c r="F11035">
        <v>70.4</v>
      </c>
      <c r="G11035">
        <v>18</v>
      </c>
    </row>
    <row r="11036" spans="1:7" x14ac:dyDescent="0.25">
      <c r="A11036" t="s">
        <v>41</v>
      </c>
      <c r="B11036" t="s">
        <v>13253</v>
      </c>
      <c r="C11036" t="s">
        <v>20271</v>
      </c>
      <c r="D11036" t="s">
        <v>20</v>
      </c>
      <c r="E11036" t="s">
        <v>11</v>
      </c>
      <c r="F11036">
        <v>1035.1</v>
      </c>
      <c r="G11036">
        <v>18</v>
      </c>
    </row>
    <row r="11037" spans="1:7" x14ac:dyDescent="0.25">
      <c r="A11037" t="s">
        <v>41</v>
      </c>
      <c r="B11037" t="s">
        <v>13256</v>
      </c>
      <c r="C11037" t="s">
        <v>20272</v>
      </c>
      <c r="D11037" t="s">
        <v>20</v>
      </c>
      <c r="E11037" t="s">
        <v>11</v>
      </c>
      <c r="F11037">
        <v>1399.2</v>
      </c>
      <c r="G11037">
        <v>18</v>
      </c>
    </row>
    <row r="11038" spans="1:7" x14ac:dyDescent="0.25">
      <c r="A11038" t="s">
        <v>41</v>
      </c>
      <c r="B11038" t="s">
        <v>13259</v>
      </c>
      <c r="C11038" t="s">
        <v>20273</v>
      </c>
      <c r="D11038" t="s">
        <v>20</v>
      </c>
      <c r="E11038" t="s">
        <v>11</v>
      </c>
      <c r="F11038">
        <v>6144.6</v>
      </c>
      <c r="G11038">
        <v>18</v>
      </c>
    </row>
    <row r="11039" spans="1:7" x14ac:dyDescent="0.25">
      <c r="A11039" t="s">
        <v>41</v>
      </c>
      <c r="B11039" t="s">
        <v>13262</v>
      </c>
      <c r="C11039" t="s">
        <v>20274</v>
      </c>
      <c r="D11039" t="s">
        <v>20</v>
      </c>
      <c r="E11039" t="s">
        <v>11</v>
      </c>
      <c r="F11039">
        <v>2288</v>
      </c>
      <c r="G11039">
        <v>18</v>
      </c>
    </row>
    <row r="11040" spans="1:7" x14ac:dyDescent="0.25">
      <c r="A11040" t="s">
        <v>41</v>
      </c>
      <c r="B11040" t="s">
        <v>13265</v>
      </c>
      <c r="C11040" t="s">
        <v>20275</v>
      </c>
      <c r="D11040" t="s">
        <v>20</v>
      </c>
      <c r="E11040" t="s">
        <v>11</v>
      </c>
      <c r="F11040">
        <v>2288</v>
      </c>
      <c r="G11040">
        <v>18</v>
      </c>
    </row>
    <row r="11041" spans="1:7" x14ac:dyDescent="0.25">
      <c r="A11041" t="s">
        <v>41</v>
      </c>
      <c r="B11041" t="s">
        <v>13268</v>
      </c>
      <c r="C11041" t="s">
        <v>20276</v>
      </c>
      <c r="D11041" t="s">
        <v>20</v>
      </c>
      <c r="E11041" t="s">
        <v>11</v>
      </c>
      <c r="F11041">
        <v>122530.1</v>
      </c>
      <c r="G11041">
        <v>18</v>
      </c>
    </row>
    <row r="11042" spans="1:7" x14ac:dyDescent="0.25">
      <c r="A11042" t="s">
        <v>47</v>
      </c>
      <c r="B11042" t="s">
        <v>16</v>
      </c>
      <c r="C11042" t="s">
        <v>20277</v>
      </c>
      <c r="D11042" t="s">
        <v>20</v>
      </c>
      <c r="E11042" t="s">
        <v>11</v>
      </c>
      <c r="F11042">
        <v>1520</v>
      </c>
      <c r="G11042">
        <v>18</v>
      </c>
    </row>
    <row r="11043" spans="1:7" x14ac:dyDescent="0.25">
      <c r="A11043" t="s">
        <v>47</v>
      </c>
      <c r="B11043" t="s">
        <v>24</v>
      </c>
      <c r="C11043" t="s">
        <v>20278</v>
      </c>
      <c r="D11043" t="s">
        <v>20</v>
      </c>
      <c r="E11043" t="s">
        <v>11</v>
      </c>
      <c r="F11043">
        <v>0</v>
      </c>
      <c r="G11043">
        <v>18</v>
      </c>
    </row>
    <row r="11044" spans="1:7" x14ac:dyDescent="0.25">
      <c r="A11044" t="s">
        <v>47</v>
      </c>
      <c r="B11044" t="s">
        <v>31</v>
      </c>
      <c r="C11044" t="s">
        <v>20279</v>
      </c>
      <c r="D11044" t="s">
        <v>20</v>
      </c>
      <c r="E11044" t="s">
        <v>11</v>
      </c>
      <c r="F11044">
        <v>0</v>
      </c>
      <c r="G11044">
        <v>18</v>
      </c>
    </row>
    <row r="11045" spans="1:7" x14ac:dyDescent="0.25">
      <c r="A11045" t="s">
        <v>47</v>
      </c>
      <c r="B11045" t="s">
        <v>38</v>
      </c>
      <c r="C11045" t="s">
        <v>20280</v>
      </c>
      <c r="D11045" t="s">
        <v>17504</v>
      </c>
      <c r="E11045" t="s">
        <v>11</v>
      </c>
      <c r="F11045">
        <v>13651</v>
      </c>
      <c r="G11045">
        <v>18</v>
      </c>
    </row>
    <row r="11046" spans="1:7" x14ac:dyDescent="0.25">
      <c r="A11046" t="s">
        <v>47</v>
      </c>
      <c r="B11046" t="s">
        <v>45</v>
      </c>
      <c r="C11046" t="s">
        <v>20281</v>
      </c>
      <c r="D11046" t="s">
        <v>20</v>
      </c>
      <c r="E11046" t="s">
        <v>11</v>
      </c>
      <c r="F11046">
        <v>0</v>
      </c>
      <c r="G11046">
        <v>18</v>
      </c>
    </row>
    <row r="11047" spans="1:7" x14ac:dyDescent="0.25">
      <c r="A11047" t="s">
        <v>51</v>
      </c>
      <c r="B11047" t="s">
        <v>17</v>
      </c>
      <c r="C11047" t="s">
        <v>20282</v>
      </c>
      <c r="D11047" t="s">
        <v>20283</v>
      </c>
      <c r="E11047" t="s">
        <v>11</v>
      </c>
      <c r="F11047">
        <v>16100</v>
      </c>
      <c r="G11047">
        <v>18</v>
      </c>
    </row>
    <row r="11048" spans="1:7" x14ac:dyDescent="0.25">
      <c r="A11048" t="s">
        <v>51</v>
      </c>
      <c r="B11048" t="s">
        <v>25</v>
      </c>
      <c r="C11048" t="s">
        <v>20282</v>
      </c>
      <c r="D11048" t="s">
        <v>20283</v>
      </c>
      <c r="E11048" t="s">
        <v>11</v>
      </c>
      <c r="F11048">
        <v>20700</v>
      </c>
      <c r="G11048">
        <v>18</v>
      </c>
    </row>
    <row r="11049" spans="1:7" x14ac:dyDescent="0.25">
      <c r="A11049" t="s">
        <v>51</v>
      </c>
      <c r="B11049" t="s">
        <v>32</v>
      </c>
      <c r="C11049" t="s">
        <v>20282</v>
      </c>
      <c r="D11049" t="s">
        <v>20283</v>
      </c>
      <c r="E11049" t="s">
        <v>11</v>
      </c>
      <c r="F11049">
        <v>16200</v>
      </c>
      <c r="G11049">
        <v>18</v>
      </c>
    </row>
    <row r="11050" spans="1:7" x14ac:dyDescent="0.25">
      <c r="A11050" t="s">
        <v>51</v>
      </c>
      <c r="B11050" t="s">
        <v>39</v>
      </c>
      <c r="C11050" t="s">
        <v>20282</v>
      </c>
      <c r="D11050" t="s">
        <v>20283</v>
      </c>
      <c r="E11050" t="s">
        <v>11</v>
      </c>
      <c r="F11050">
        <v>19400</v>
      </c>
      <c r="G11050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6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40" customWidth="1"/>
    <col min="5" max="5" width="12" customWidth="1"/>
    <col min="6" max="7" width="8" customWidth="1"/>
    <col min="8" max="8" width="12" customWidth="1"/>
    <col min="9" max="9" width="15" customWidth="1"/>
    <col min="10" max="10" width="10" customWidth="1"/>
    <col min="11" max="11" width="12" customWidth="1"/>
    <col min="12" max="12" width="15" customWidth="1"/>
  </cols>
  <sheetData>
    <row r="1" spans="1:12" x14ac:dyDescent="0.25">
      <c r="A1" s="1" t="s">
        <v>20284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30" customHeight="1" spans="1:12" x14ac:dyDescent="0.25">
      <c r="A3" s="2" t="s">
        <v>20285</v>
      </c>
      <c r="B3" s="2" t="s">
        <v>0</v>
      </c>
      <c r="C3" s="2" t="s">
        <v>20286</v>
      </c>
      <c r="D3" s="2" t="s">
        <v>2</v>
      </c>
      <c r="E3" s="2" t="s">
        <v>20287</v>
      </c>
      <c r="F3" s="2" t="s">
        <v>4</v>
      </c>
      <c r="G3" s="2" t="s">
        <v>20288</v>
      </c>
      <c r="H3" s="2" t="s">
        <v>20289</v>
      </c>
      <c r="I3" s="2" t="s">
        <v>20290</v>
      </c>
      <c r="J3" s="2" t="s">
        <v>20291</v>
      </c>
      <c r="K3" s="2" t="s">
        <v>20292</v>
      </c>
      <c r="L3" s="2" t="s">
        <v>20293</v>
      </c>
    </row>
    <row r="4" spans="1:12" x14ac:dyDescent="0.25">
      <c r="A4" s="3">
        <f>IF(C4&lt;&gt;"", ROW()-3, "")</f>
      </c>
      <c r="B4" s="3"/>
      <c r="C4" s="3"/>
      <c r="D4" s="3">
        <f>IFERROR(VLOOKUP(C4, MasterData!B:G, 2, FALSE), "")</f>
      </c>
      <c r="E4" s="3">
        <f>IFERROR(VLOOKUP(C4, MasterData!B:G, 3, FALSE), "")</f>
      </c>
      <c r="F4" s="3">
        <f>IFERROR(VLOOKUP(C4, MasterData!B:G, 4, FALSE), "")</f>
      </c>
      <c r="G4" s="4"/>
      <c r="H4" s="4">
        <f>IFERROR(VLOOKUP(C4, MasterData!B:G, 5, FALSE), "")</f>
      </c>
      <c r="I4" s="4">
        <f>IF(AND(G4&lt;&gt;"", H4&lt;&gt;""), G4*H4, "")</f>
      </c>
      <c r="J4" s="4">
        <f>IFERROR(VLOOKUP(C4, MasterData!B:G, 6, FALSE), 18)</f>
      </c>
      <c r="K4" s="4">
        <f>IF(I4&lt;&gt;"", I4*J4/100, "")</f>
      </c>
      <c r="L4" s="4">
        <f>IF(I4&lt;&gt;"", I4+K4, "")</f>
      </c>
    </row>
    <row r="5" spans="1:12" x14ac:dyDescent="0.25">
      <c r="A5" s="3">
        <f>IF(C5&lt;&gt;"", ROW()-3, "")</f>
      </c>
      <c r="B5" s="3"/>
      <c r="C5" s="3"/>
      <c r="D5" s="3">
        <f>IFERROR(VLOOKUP(C5, MasterData!B:G, 2, FALSE), "")</f>
      </c>
      <c r="E5" s="3">
        <f>IFERROR(VLOOKUP(C5, MasterData!B:G, 3, FALSE), "")</f>
      </c>
      <c r="F5" s="3">
        <f>IFERROR(VLOOKUP(C5, MasterData!B:G, 4, FALSE), "")</f>
      </c>
      <c r="G5" s="4"/>
      <c r="H5" s="4">
        <f>IFERROR(VLOOKUP(C5, MasterData!B:G, 5, FALSE), "")</f>
      </c>
      <c r="I5" s="4">
        <f>IF(AND(G5&lt;&gt;"", H5&lt;&gt;""), G5*H5, "")</f>
      </c>
      <c r="J5" s="4">
        <f>IFERROR(VLOOKUP(C5, MasterData!B:G, 6, FALSE), 18)</f>
      </c>
      <c r="K5" s="4">
        <f>IF(I5&lt;&gt;"", I5*J5/100, "")</f>
      </c>
      <c r="L5" s="4">
        <f>IF(I5&lt;&gt;"", I5+K5, "")</f>
      </c>
    </row>
    <row r="6" spans="1:12" x14ac:dyDescent="0.25">
      <c r="A6" s="3">
        <f>IF(C6&lt;&gt;"", ROW()-3, "")</f>
      </c>
      <c r="B6" s="3"/>
      <c r="C6" s="3"/>
      <c r="D6" s="3">
        <f>IFERROR(VLOOKUP(C6, MasterData!B:G, 2, FALSE), "")</f>
      </c>
      <c r="E6" s="3">
        <f>IFERROR(VLOOKUP(C6, MasterData!B:G, 3, FALSE), "")</f>
      </c>
      <c r="F6" s="3">
        <f>IFERROR(VLOOKUP(C6, MasterData!B:G, 4, FALSE), "")</f>
      </c>
      <c r="G6" s="4"/>
      <c r="H6" s="4">
        <f>IFERROR(VLOOKUP(C6, MasterData!B:G, 5, FALSE), "")</f>
      </c>
      <c r="I6" s="4">
        <f>IF(AND(G6&lt;&gt;"", H6&lt;&gt;""), G6*H6, "")</f>
      </c>
      <c r="J6" s="4">
        <f>IFERROR(VLOOKUP(C6, MasterData!B:G, 6, FALSE), 18)</f>
      </c>
      <c r="K6" s="4">
        <f>IF(I6&lt;&gt;"", I6*J6/100, "")</f>
      </c>
      <c r="L6" s="4">
        <f>IF(I6&lt;&gt;"", I6+K6, "")</f>
      </c>
    </row>
    <row r="7" spans="1:12" x14ac:dyDescent="0.25">
      <c r="A7" s="3">
        <f>IF(C7&lt;&gt;"", ROW()-3, "")</f>
      </c>
      <c r="B7" s="3"/>
      <c r="C7" s="3"/>
      <c r="D7" s="3">
        <f>IFERROR(VLOOKUP(C7, MasterData!B:G, 2, FALSE), "")</f>
      </c>
      <c r="E7" s="3">
        <f>IFERROR(VLOOKUP(C7, MasterData!B:G, 3, FALSE), "")</f>
      </c>
      <c r="F7" s="3">
        <f>IFERROR(VLOOKUP(C7, MasterData!B:G, 4, FALSE), "")</f>
      </c>
      <c r="G7" s="4"/>
      <c r="H7" s="4">
        <f>IFERROR(VLOOKUP(C7, MasterData!B:G, 5, FALSE), "")</f>
      </c>
      <c r="I7" s="4">
        <f>IF(AND(G7&lt;&gt;"", H7&lt;&gt;""), G7*H7, "")</f>
      </c>
      <c r="J7" s="4">
        <f>IFERROR(VLOOKUP(C7, MasterData!B:G, 6, FALSE), 18)</f>
      </c>
      <c r="K7" s="4">
        <f>IF(I7&lt;&gt;"", I7*J7/100, "")</f>
      </c>
      <c r="L7" s="4">
        <f>IF(I7&lt;&gt;"", I7+K7, "")</f>
      </c>
    </row>
    <row r="8" spans="1:12" x14ac:dyDescent="0.25">
      <c r="A8" s="3">
        <f>IF(C8&lt;&gt;"", ROW()-3, "")</f>
      </c>
      <c r="B8" s="3"/>
      <c r="C8" s="3"/>
      <c r="D8" s="3">
        <f>IFERROR(VLOOKUP(C8, MasterData!B:G, 2, FALSE), "")</f>
      </c>
      <c r="E8" s="3">
        <f>IFERROR(VLOOKUP(C8, MasterData!B:G, 3, FALSE), "")</f>
      </c>
      <c r="F8" s="3">
        <f>IFERROR(VLOOKUP(C8, MasterData!B:G, 4, FALSE), "")</f>
      </c>
      <c r="G8" s="4"/>
      <c r="H8" s="4">
        <f>IFERROR(VLOOKUP(C8, MasterData!B:G, 5, FALSE), "")</f>
      </c>
      <c r="I8" s="4">
        <f>IF(AND(G8&lt;&gt;"", H8&lt;&gt;""), G8*H8, "")</f>
      </c>
      <c r="J8" s="4">
        <f>IFERROR(VLOOKUP(C8, MasterData!B:G, 6, FALSE), 18)</f>
      </c>
      <c r="K8" s="4">
        <f>IF(I8&lt;&gt;"", I8*J8/100, "")</f>
      </c>
      <c r="L8" s="4">
        <f>IF(I8&lt;&gt;"", I8+K8, "")</f>
      </c>
    </row>
    <row r="9" spans="1:12" x14ac:dyDescent="0.25">
      <c r="A9" s="3">
        <f>IF(C9&lt;&gt;"", ROW()-3, "")</f>
      </c>
      <c r="B9" s="3"/>
      <c r="C9" s="3"/>
      <c r="D9" s="3">
        <f>IFERROR(VLOOKUP(C9, MasterData!B:G, 2, FALSE), "")</f>
      </c>
      <c r="E9" s="3">
        <f>IFERROR(VLOOKUP(C9, MasterData!B:G, 3, FALSE), "")</f>
      </c>
      <c r="F9" s="3">
        <f>IFERROR(VLOOKUP(C9, MasterData!B:G, 4, FALSE), "")</f>
      </c>
      <c r="G9" s="4"/>
      <c r="H9" s="4">
        <f>IFERROR(VLOOKUP(C9, MasterData!B:G, 5, FALSE), "")</f>
      </c>
      <c r="I9" s="4">
        <f>IF(AND(G9&lt;&gt;"", H9&lt;&gt;""), G9*H9, "")</f>
      </c>
      <c r="J9" s="4">
        <f>IFERROR(VLOOKUP(C9, MasterData!B:G, 6, FALSE), 18)</f>
      </c>
      <c r="K9" s="4">
        <f>IF(I9&lt;&gt;"", I9*J9/100, "")</f>
      </c>
      <c r="L9" s="4">
        <f>IF(I9&lt;&gt;"", I9+K9, "")</f>
      </c>
    </row>
    <row r="10" spans="1:12" x14ac:dyDescent="0.25">
      <c r="A10" s="3">
        <f>IF(C10&lt;&gt;"", ROW()-3, "")</f>
      </c>
      <c r="B10" s="3"/>
      <c r="C10" s="3"/>
      <c r="D10" s="3">
        <f>IFERROR(VLOOKUP(C10, MasterData!B:G, 2, FALSE), "")</f>
      </c>
      <c r="E10" s="3">
        <f>IFERROR(VLOOKUP(C10, MasterData!B:G, 3, FALSE), "")</f>
      </c>
      <c r="F10" s="3">
        <f>IFERROR(VLOOKUP(C10, MasterData!B:G, 4, FALSE), "")</f>
      </c>
      <c r="G10" s="4"/>
      <c r="H10" s="4">
        <f>IFERROR(VLOOKUP(C10, MasterData!B:G, 5, FALSE), "")</f>
      </c>
      <c r="I10" s="4">
        <f>IF(AND(G10&lt;&gt;"", H10&lt;&gt;""), G10*H10, "")</f>
      </c>
      <c r="J10" s="4">
        <f>IFERROR(VLOOKUP(C10, MasterData!B:G, 6, FALSE), 18)</f>
      </c>
      <c r="K10" s="4">
        <f>IF(I10&lt;&gt;"", I10*J10/100, "")</f>
      </c>
      <c r="L10" s="4">
        <f>IF(I10&lt;&gt;"", I10+K10, "")</f>
      </c>
    </row>
    <row r="11" spans="1:12" x14ac:dyDescent="0.25">
      <c r="A11" s="3">
        <f>IF(C11&lt;&gt;"", ROW()-3, "")</f>
      </c>
      <c r="B11" s="3"/>
      <c r="C11" s="3"/>
      <c r="D11" s="3">
        <f>IFERROR(VLOOKUP(C11, MasterData!B:G, 2, FALSE), "")</f>
      </c>
      <c r="E11" s="3">
        <f>IFERROR(VLOOKUP(C11, MasterData!B:G, 3, FALSE), "")</f>
      </c>
      <c r="F11" s="3">
        <f>IFERROR(VLOOKUP(C11, MasterData!B:G, 4, FALSE), "")</f>
      </c>
      <c r="G11" s="4"/>
      <c r="H11" s="4">
        <f>IFERROR(VLOOKUP(C11, MasterData!B:G, 5, FALSE), "")</f>
      </c>
      <c r="I11" s="4">
        <f>IF(AND(G11&lt;&gt;"", H11&lt;&gt;""), G11*H11, "")</f>
      </c>
      <c r="J11" s="4">
        <f>IFERROR(VLOOKUP(C11, MasterData!B:G, 6, FALSE), 18)</f>
      </c>
      <c r="K11" s="4">
        <f>IF(I11&lt;&gt;"", I11*J11/100, "")</f>
      </c>
      <c r="L11" s="4">
        <f>IF(I11&lt;&gt;"", I11+K11, "")</f>
      </c>
    </row>
    <row r="12" spans="1:12" x14ac:dyDescent="0.25">
      <c r="A12" s="3">
        <f>IF(C12&lt;&gt;"", ROW()-3, "")</f>
      </c>
      <c r="B12" s="3"/>
      <c r="C12" s="3"/>
      <c r="D12" s="3">
        <f>IFERROR(VLOOKUP(C12, MasterData!B:G, 2, FALSE), "")</f>
      </c>
      <c r="E12" s="3">
        <f>IFERROR(VLOOKUP(C12, MasterData!B:G, 3, FALSE), "")</f>
      </c>
      <c r="F12" s="3">
        <f>IFERROR(VLOOKUP(C12, MasterData!B:G, 4, FALSE), "")</f>
      </c>
      <c r="G12" s="4"/>
      <c r="H12" s="4">
        <f>IFERROR(VLOOKUP(C12, MasterData!B:G, 5, FALSE), "")</f>
      </c>
      <c r="I12" s="4">
        <f>IF(AND(G12&lt;&gt;"", H12&lt;&gt;""), G12*H12, "")</f>
      </c>
      <c r="J12" s="4">
        <f>IFERROR(VLOOKUP(C12, MasterData!B:G, 6, FALSE), 18)</f>
      </c>
      <c r="K12" s="4">
        <f>IF(I12&lt;&gt;"", I12*J12/100, "")</f>
      </c>
      <c r="L12" s="4">
        <f>IF(I12&lt;&gt;"", I12+K12, "")</f>
      </c>
    </row>
    <row r="13" spans="1:12" x14ac:dyDescent="0.25">
      <c r="A13" s="3">
        <f>IF(C13&lt;&gt;"", ROW()-3, "")</f>
      </c>
      <c r="B13" s="3"/>
      <c r="C13" s="3"/>
      <c r="D13" s="3">
        <f>IFERROR(VLOOKUP(C13, MasterData!B:G, 2, FALSE), "")</f>
      </c>
      <c r="E13" s="3">
        <f>IFERROR(VLOOKUP(C13, MasterData!B:G, 3, FALSE), "")</f>
      </c>
      <c r="F13" s="3">
        <f>IFERROR(VLOOKUP(C13, MasterData!B:G, 4, FALSE), "")</f>
      </c>
      <c r="G13" s="4"/>
      <c r="H13" s="4">
        <f>IFERROR(VLOOKUP(C13, MasterData!B:G, 5, FALSE), "")</f>
      </c>
      <c r="I13" s="4">
        <f>IF(AND(G13&lt;&gt;"", H13&lt;&gt;""), G13*H13, "")</f>
      </c>
      <c r="J13" s="4">
        <f>IFERROR(VLOOKUP(C13, MasterData!B:G, 6, FALSE), 18)</f>
      </c>
      <c r="K13" s="4">
        <f>IF(I13&lt;&gt;"", I13*J13/100, "")</f>
      </c>
      <c r="L13" s="4">
        <f>IF(I13&lt;&gt;"", I13+K13, "")</f>
      </c>
    </row>
    <row r="14" spans="1:12" x14ac:dyDescent="0.25">
      <c r="A14" s="3">
        <f>IF(C14&lt;&gt;"", ROW()-3, "")</f>
      </c>
      <c r="B14" s="3"/>
      <c r="C14" s="3"/>
      <c r="D14" s="3">
        <f>IFERROR(VLOOKUP(C14, MasterData!B:G, 2, FALSE), "")</f>
      </c>
      <c r="E14" s="3">
        <f>IFERROR(VLOOKUP(C14, MasterData!B:G, 3, FALSE), "")</f>
      </c>
      <c r="F14" s="3">
        <f>IFERROR(VLOOKUP(C14, MasterData!B:G, 4, FALSE), "")</f>
      </c>
      <c r="G14" s="4"/>
      <c r="H14" s="4">
        <f>IFERROR(VLOOKUP(C14, MasterData!B:G, 5, FALSE), "")</f>
      </c>
      <c r="I14" s="4">
        <f>IF(AND(G14&lt;&gt;"", H14&lt;&gt;""), G14*H14, "")</f>
      </c>
      <c r="J14" s="4">
        <f>IFERROR(VLOOKUP(C14, MasterData!B:G, 6, FALSE), 18)</f>
      </c>
      <c r="K14" s="4">
        <f>IF(I14&lt;&gt;"", I14*J14/100, "")</f>
      </c>
      <c r="L14" s="4">
        <f>IF(I14&lt;&gt;"", I14+K14, "")</f>
      </c>
    </row>
    <row r="15" spans="1:12" x14ac:dyDescent="0.25">
      <c r="A15" s="3">
        <f>IF(C15&lt;&gt;"", ROW()-3, "")</f>
      </c>
      <c r="B15" s="3"/>
      <c r="C15" s="3"/>
      <c r="D15" s="3">
        <f>IFERROR(VLOOKUP(C15, MasterData!B:G, 2, FALSE), "")</f>
      </c>
      <c r="E15" s="3">
        <f>IFERROR(VLOOKUP(C15, MasterData!B:G, 3, FALSE), "")</f>
      </c>
      <c r="F15" s="3">
        <f>IFERROR(VLOOKUP(C15, MasterData!B:G, 4, FALSE), "")</f>
      </c>
      <c r="G15" s="4"/>
      <c r="H15" s="4">
        <f>IFERROR(VLOOKUP(C15, MasterData!B:G, 5, FALSE), "")</f>
      </c>
      <c r="I15" s="4">
        <f>IF(AND(G15&lt;&gt;"", H15&lt;&gt;""), G15*H15, "")</f>
      </c>
      <c r="J15" s="4">
        <f>IFERROR(VLOOKUP(C15, MasterData!B:G, 6, FALSE), 18)</f>
      </c>
      <c r="K15" s="4">
        <f>IF(I15&lt;&gt;"", I15*J15/100, "")</f>
      </c>
      <c r="L15" s="4">
        <f>IF(I15&lt;&gt;"", I15+K15, "")</f>
      </c>
    </row>
    <row r="16" spans="1:12" x14ac:dyDescent="0.25">
      <c r="A16" s="3">
        <f>IF(C16&lt;&gt;"", ROW()-3, "")</f>
      </c>
      <c r="B16" s="3"/>
      <c r="C16" s="3"/>
      <c r="D16" s="3">
        <f>IFERROR(VLOOKUP(C16, MasterData!B:G, 2, FALSE), "")</f>
      </c>
      <c r="E16" s="3">
        <f>IFERROR(VLOOKUP(C16, MasterData!B:G, 3, FALSE), "")</f>
      </c>
      <c r="F16" s="3">
        <f>IFERROR(VLOOKUP(C16, MasterData!B:G, 4, FALSE), "")</f>
      </c>
      <c r="G16" s="4"/>
      <c r="H16" s="4">
        <f>IFERROR(VLOOKUP(C16, MasterData!B:G, 5, FALSE), "")</f>
      </c>
      <c r="I16" s="4">
        <f>IF(AND(G16&lt;&gt;"", H16&lt;&gt;""), G16*H16, "")</f>
      </c>
      <c r="J16" s="4">
        <f>IFERROR(VLOOKUP(C16, MasterData!B:G, 6, FALSE), 18)</f>
      </c>
      <c r="K16" s="4">
        <f>IF(I16&lt;&gt;"", I16*J16/100, "")</f>
      </c>
      <c r="L16" s="4">
        <f>IF(I16&lt;&gt;"", I16+K16, "")</f>
      </c>
    </row>
    <row r="17" spans="1:12" x14ac:dyDescent="0.25">
      <c r="A17" s="3">
        <f>IF(C17&lt;&gt;"", ROW()-3, "")</f>
      </c>
      <c r="B17" s="3"/>
      <c r="C17" s="3"/>
      <c r="D17" s="3">
        <f>IFERROR(VLOOKUP(C17, MasterData!B:G, 2, FALSE), "")</f>
      </c>
      <c r="E17" s="3">
        <f>IFERROR(VLOOKUP(C17, MasterData!B:G, 3, FALSE), "")</f>
      </c>
      <c r="F17" s="3">
        <f>IFERROR(VLOOKUP(C17, MasterData!B:G, 4, FALSE), "")</f>
      </c>
      <c r="G17" s="4"/>
      <c r="H17" s="4">
        <f>IFERROR(VLOOKUP(C17, MasterData!B:G, 5, FALSE), "")</f>
      </c>
      <c r="I17" s="4">
        <f>IF(AND(G17&lt;&gt;"", H17&lt;&gt;""), G17*H17, "")</f>
      </c>
      <c r="J17" s="4">
        <f>IFERROR(VLOOKUP(C17, MasterData!B:G, 6, FALSE), 18)</f>
      </c>
      <c r="K17" s="4">
        <f>IF(I17&lt;&gt;"", I17*J17/100, "")</f>
      </c>
      <c r="L17" s="4">
        <f>IF(I17&lt;&gt;"", I17+K17, "")</f>
      </c>
    </row>
    <row r="18" spans="1:12" x14ac:dyDescent="0.25">
      <c r="A18" s="3">
        <f>IF(C18&lt;&gt;"", ROW()-3, "")</f>
      </c>
      <c r="B18" s="3"/>
      <c r="C18" s="3"/>
      <c r="D18" s="3">
        <f>IFERROR(VLOOKUP(C18, MasterData!B:G, 2, FALSE), "")</f>
      </c>
      <c r="E18" s="3">
        <f>IFERROR(VLOOKUP(C18, MasterData!B:G, 3, FALSE), "")</f>
      </c>
      <c r="F18" s="3">
        <f>IFERROR(VLOOKUP(C18, MasterData!B:G, 4, FALSE), "")</f>
      </c>
      <c r="G18" s="4"/>
      <c r="H18" s="4">
        <f>IFERROR(VLOOKUP(C18, MasterData!B:G, 5, FALSE), "")</f>
      </c>
      <c r="I18" s="4">
        <f>IF(AND(G18&lt;&gt;"", H18&lt;&gt;""), G18*H18, "")</f>
      </c>
      <c r="J18" s="4">
        <f>IFERROR(VLOOKUP(C18, MasterData!B:G, 6, FALSE), 18)</f>
      </c>
      <c r="K18" s="4">
        <f>IF(I18&lt;&gt;"", I18*J18/100, "")</f>
      </c>
      <c r="L18" s="4">
        <f>IF(I18&lt;&gt;"", I18+K18, "")</f>
      </c>
    </row>
    <row r="19" spans="1:12" x14ac:dyDescent="0.25">
      <c r="A19" s="3">
        <f>IF(C19&lt;&gt;"", ROW()-3, "")</f>
      </c>
      <c r="B19" s="3"/>
      <c r="C19" s="3"/>
      <c r="D19" s="3">
        <f>IFERROR(VLOOKUP(C19, MasterData!B:G, 2, FALSE), "")</f>
      </c>
      <c r="E19" s="3">
        <f>IFERROR(VLOOKUP(C19, MasterData!B:G, 3, FALSE), "")</f>
      </c>
      <c r="F19" s="3">
        <f>IFERROR(VLOOKUP(C19, MasterData!B:G, 4, FALSE), "")</f>
      </c>
      <c r="G19" s="4"/>
      <c r="H19" s="4">
        <f>IFERROR(VLOOKUP(C19, MasterData!B:G, 5, FALSE), "")</f>
      </c>
      <c r="I19" s="4">
        <f>IF(AND(G19&lt;&gt;"", H19&lt;&gt;""), G19*H19, "")</f>
      </c>
      <c r="J19" s="4">
        <f>IFERROR(VLOOKUP(C19, MasterData!B:G, 6, FALSE), 18)</f>
      </c>
      <c r="K19" s="4">
        <f>IF(I19&lt;&gt;"", I19*J19/100, "")</f>
      </c>
      <c r="L19" s="4">
        <f>IF(I19&lt;&gt;"", I19+K19, "")</f>
      </c>
    </row>
    <row r="20" spans="1:12" x14ac:dyDescent="0.25">
      <c r="A20" s="3">
        <f>IF(C20&lt;&gt;"", ROW()-3, "")</f>
      </c>
      <c r="B20" s="3"/>
      <c r="C20" s="3"/>
      <c r="D20" s="3">
        <f>IFERROR(VLOOKUP(C20, MasterData!B:G, 2, FALSE), "")</f>
      </c>
      <c r="E20" s="3">
        <f>IFERROR(VLOOKUP(C20, MasterData!B:G, 3, FALSE), "")</f>
      </c>
      <c r="F20" s="3">
        <f>IFERROR(VLOOKUP(C20, MasterData!B:G, 4, FALSE), "")</f>
      </c>
      <c r="G20" s="4"/>
      <c r="H20" s="4">
        <f>IFERROR(VLOOKUP(C20, MasterData!B:G, 5, FALSE), "")</f>
      </c>
      <c r="I20" s="4">
        <f>IF(AND(G20&lt;&gt;"", H20&lt;&gt;""), G20*H20, "")</f>
      </c>
      <c r="J20" s="4">
        <f>IFERROR(VLOOKUP(C20, MasterData!B:G, 6, FALSE), 18)</f>
      </c>
      <c r="K20" s="4">
        <f>IF(I20&lt;&gt;"", I20*J20/100, "")</f>
      </c>
      <c r="L20" s="4">
        <f>IF(I20&lt;&gt;"", I20+K20, "")</f>
      </c>
    </row>
    <row r="21" spans="1:12" x14ac:dyDescent="0.25">
      <c r="A21" s="3">
        <f>IF(C21&lt;&gt;"", ROW()-3, "")</f>
      </c>
      <c r="B21" s="3"/>
      <c r="C21" s="3"/>
      <c r="D21" s="3">
        <f>IFERROR(VLOOKUP(C21, MasterData!B:G, 2, FALSE), "")</f>
      </c>
      <c r="E21" s="3">
        <f>IFERROR(VLOOKUP(C21, MasterData!B:G, 3, FALSE), "")</f>
      </c>
      <c r="F21" s="3">
        <f>IFERROR(VLOOKUP(C21, MasterData!B:G, 4, FALSE), "")</f>
      </c>
      <c r="G21" s="4"/>
      <c r="H21" s="4">
        <f>IFERROR(VLOOKUP(C21, MasterData!B:G, 5, FALSE), "")</f>
      </c>
      <c r="I21" s="4">
        <f>IF(AND(G21&lt;&gt;"", H21&lt;&gt;""), G21*H21, "")</f>
      </c>
      <c r="J21" s="4">
        <f>IFERROR(VLOOKUP(C21, MasterData!B:G, 6, FALSE), 18)</f>
      </c>
      <c r="K21" s="4">
        <f>IF(I21&lt;&gt;"", I21*J21/100, "")</f>
      </c>
      <c r="L21" s="4">
        <f>IF(I21&lt;&gt;"", I21+K21, "")</f>
      </c>
    </row>
    <row r="22" spans="1:12" x14ac:dyDescent="0.25">
      <c r="A22" s="3">
        <f>IF(C22&lt;&gt;"", ROW()-3, "")</f>
      </c>
      <c r="B22" s="3"/>
      <c r="C22" s="3"/>
      <c r="D22" s="3">
        <f>IFERROR(VLOOKUP(C22, MasterData!B:G, 2, FALSE), "")</f>
      </c>
      <c r="E22" s="3">
        <f>IFERROR(VLOOKUP(C22, MasterData!B:G, 3, FALSE), "")</f>
      </c>
      <c r="F22" s="3">
        <f>IFERROR(VLOOKUP(C22, MasterData!B:G, 4, FALSE), "")</f>
      </c>
      <c r="G22" s="4"/>
      <c r="H22" s="4">
        <f>IFERROR(VLOOKUP(C22, MasterData!B:G, 5, FALSE), "")</f>
      </c>
      <c r="I22" s="4">
        <f>IF(AND(G22&lt;&gt;"", H22&lt;&gt;""), G22*H22, "")</f>
      </c>
      <c r="J22" s="4">
        <f>IFERROR(VLOOKUP(C22, MasterData!B:G, 6, FALSE), 18)</f>
      </c>
      <c r="K22" s="4">
        <f>IF(I22&lt;&gt;"", I22*J22/100, "")</f>
      </c>
      <c r="L22" s="4">
        <f>IF(I22&lt;&gt;"", I22+K22, "")</f>
      </c>
    </row>
    <row r="23" spans="1:12" x14ac:dyDescent="0.25">
      <c r="A23" s="3">
        <f>IF(C23&lt;&gt;"", ROW()-3, "")</f>
      </c>
      <c r="B23" s="3"/>
      <c r="C23" s="3"/>
      <c r="D23" s="3">
        <f>IFERROR(VLOOKUP(C23, MasterData!B:G, 2, FALSE), "")</f>
      </c>
      <c r="E23" s="3">
        <f>IFERROR(VLOOKUP(C23, MasterData!B:G, 3, FALSE), "")</f>
      </c>
      <c r="F23" s="3">
        <f>IFERROR(VLOOKUP(C23, MasterData!B:G, 4, FALSE), "")</f>
      </c>
      <c r="G23" s="4"/>
      <c r="H23" s="4">
        <f>IFERROR(VLOOKUP(C23, MasterData!B:G, 5, FALSE), "")</f>
      </c>
      <c r="I23" s="4">
        <f>IF(AND(G23&lt;&gt;"", H23&lt;&gt;""), G23*H23, "")</f>
      </c>
      <c r="J23" s="4">
        <f>IFERROR(VLOOKUP(C23, MasterData!B:G, 6, FALSE), 18)</f>
      </c>
      <c r="K23" s="4">
        <f>IF(I23&lt;&gt;"", I23*J23/100, "")</f>
      </c>
      <c r="L23" s="4">
        <f>IF(I23&lt;&gt;"", I23+K23, "")</f>
      </c>
    </row>
    <row r="24" spans="1:12" x14ac:dyDescent="0.25">
      <c r="A24" s="3">
        <f>IF(C24&lt;&gt;"", ROW()-3, "")</f>
      </c>
      <c r="B24" s="3"/>
      <c r="C24" s="3"/>
      <c r="D24" s="3">
        <f>IFERROR(VLOOKUP(C24, MasterData!B:G, 2, FALSE), "")</f>
      </c>
      <c r="E24" s="3">
        <f>IFERROR(VLOOKUP(C24, MasterData!B:G, 3, FALSE), "")</f>
      </c>
      <c r="F24" s="3">
        <f>IFERROR(VLOOKUP(C24, MasterData!B:G, 4, FALSE), "")</f>
      </c>
      <c r="G24" s="4"/>
      <c r="H24" s="4">
        <f>IFERROR(VLOOKUP(C24, MasterData!B:G, 5, FALSE), "")</f>
      </c>
      <c r="I24" s="4">
        <f>IF(AND(G24&lt;&gt;"", H24&lt;&gt;""), G24*H24, "")</f>
      </c>
      <c r="J24" s="4">
        <f>IFERROR(VLOOKUP(C24, MasterData!B:G, 6, FALSE), 18)</f>
      </c>
      <c r="K24" s="4">
        <f>IF(I24&lt;&gt;"", I24*J24/100, "")</f>
      </c>
      <c r="L24" s="4">
        <f>IF(I24&lt;&gt;"", I24+K24, "")</f>
      </c>
    </row>
    <row r="25" spans="1:12" x14ac:dyDescent="0.25">
      <c r="A25" s="3">
        <f>IF(C25&lt;&gt;"", ROW()-3, "")</f>
      </c>
      <c r="B25" s="3"/>
      <c r="C25" s="3"/>
      <c r="D25" s="3">
        <f>IFERROR(VLOOKUP(C25, MasterData!B:G, 2, FALSE), "")</f>
      </c>
      <c r="E25" s="3">
        <f>IFERROR(VLOOKUP(C25, MasterData!B:G, 3, FALSE), "")</f>
      </c>
      <c r="F25" s="3">
        <f>IFERROR(VLOOKUP(C25, MasterData!B:G, 4, FALSE), "")</f>
      </c>
      <c r="G25" s="4"/>
      <c r="H25" s="4">
        <f>IFERROR(VLOOKUP(C25, MasterData!B:G, 5, FALSE), "")</f>
      </c>
      <c r="I25" s="4">
        <f>IF(AND(G25&lt;&gt;"", H25&lt;&gt;""), G25*H25, "")</f>
      </c>
      <c r="J25" s="4">
        <f>IFERROR(VLOOKUP(C25, MasterData!B:G, 6, FALSE), 18)</f>
      </c>
      <c r="K25" s="4">
        <f>IF(I25&lt;&gt;"", I25*J25/100, "")</f>
      </c>
      <c r="L25" s="4">
        <f>IF(I25&lt;&gt;"", I25+K25, "")</f>
      </c>
    </row>
    <row r="26" spans="1:12" x14ac:dyDescent="0.25">
      <c r="A26" s="3">
        <f>IF(C26&lt;&gt;"", ROW()-3, "")</f>
      </c>
      <c r="B26" s="3"/>
      <c r="C26" s="3"/>
      <c r="D26" s="3">
        <f>IFERROR(VLOOKUP(C26, MasterData!B:G, 2, FALSE), "")</f>
      </c>
      <c r="E26" s="3">
        <f>IFERROR(VLOOKUP(C26, MasterData!B:G, 3, FALSE), "")</f>
      </c>
      <c r="F26" s="3">
        <f>IFERROR(VLOOKUP(C26, MasterData!B:G, 4, FALSE), "")</f>
      </c>
      <c r="G26" s="4"/>
      <c r="H26" s="4">
        <f>IFERROR(VLOOKUP(C26, MasterData!B:G, 5, FALSE), "")</f>
      </c>
      <c r="I26" s="4">
        <f>IF(AND(G26&lt;&gt;"", H26&lt;&gt;""), G26*H26, "")</f>
      </c>
      <c r="J26" s="4">
        <f>IFERROR(VLOOKUP(C26, MasterData!B:G, 6, FALSE), 18)</f>
      </c>
      <c r="K26" s="4">
        <f>IF(I26&lt;&gt;"", I26*J26/100, "")</f>
      </c>
      <c r="L26" s="4">
        <f>IF(I26&lt;&gt;"", I26+K26, "")</f>
      </c>
    </row>
    <row r="27" spans="1:12" x14ac:dyDescent="0.25">
      <c r="A27" s="3">
        <f>IF(C27&lt;&gt;"", ROW()-3, "")</f>
      </c>
      <c r="B27" s="3"/>
      <c r="C27" s="3"/>
      <c r="D27" s="3">
        <f>IFERROR(VLOOKUP(C27, MasterData!B:G, 2, FALSE), "")</f>
      </c>
      <c r="E27" s="3">
        <f>IFERROR(VLOOKUP(C27, MasterData!B:G, 3, FALSE), "")</f>
      </c>
      <c r="F27" s="3">
        <f>IFERROR(VLOOKUP(C27, MasterData!B:G, 4, FALSE), "")</f>
      </c>
      <c r="G27" s="4"/>
      <c r="H27" s="4">
        <f>IFERROR(VLOOKUP(C27, MasterData!B:G, 5, FALSE), "")</f>
      </c>
      <c r="I27" s="4">
        <f>IF(AND(G27&lt;&gt;"", H27&lt;&gt;""), G27*H27, "")</f>
      </c>
      <c r="J27" s="4">
        <f>IFERROR(VLOOKUP(C27, MasterData!B:G, 6, FALSE), 18)</f>
      </c>
      <c r="K27" s="4">
        <f>IF(I27&lt;&gt;"", I27*J27/100, "")</f>
      </c>
      <c r="L27" s="4">
        <f>IF(I27&lt;&gt;"", I27+K27, "")</f>
      </c>
    </row>
    <row r="28" spans="1:12" x14ac:dyDescent="0.25">
      <c r="A28" s="3">
        <f>IF(C28&lt;&gt;"", ROW()-3, "")</f>
      </c>
      <c r="B28" s="3"/>
      <c r="C28" s="3"/>
      <c r="D28" s="3">
        <f>IFERROR(VLOOKUP(C28, MasterData!B:G, 2, FALSE), "")</f>
      </c>
      <c r="E28" s="3">
        <f>IFERROR(VLOOKUP(C28, MasterData!B:G, 3, FALSE), "")</f>
      </c>
      <c r="F28" s="3">
        <f>IFERROR(VLOOKUP(C28, MasterData!B:G, 4, FALSE), "")</f>
      </c>
      <c r="G28" s="4"/>
      <c r="H28" s="4">
        <f>IFERROR(VLOOKUP(C28, MasterData!B:G, 5, FALSE), "")</f>
      </c>
      <c r="I28" s="4">
        <f>IF(AND(G28&lt;&gt;"", H28&lt;&gt;""), G28*H28, "")</f>
      </c>
      <c r="J28" s="4">
        <f>IFERROR(VLOOKUP(C28, MasterData!B:G, 6, FALSE), 18)</f>
      </c>
      <c r="K28" s="4">
        <f>IF(I28&lt;&gt;"", I28*J28/100, "")</f>
      </c>
      <c r="L28" s="4">
        <f>IF(I28&lt;&gt;"", I28+K28, "")</f>
      </c>
    </row>
    <row r="29" spans="1:12" x14ac:dyDescent="0.25">
      <c r="A29" s="3">
        <f>IF(C29&lt;&gt;"", ROW()-3, "")</f>
      </c>
      <c r="B29" s="3"/>
      <c r="C29" s="3"/>
      <c r="D29" s="3">
        <f>IFERROR(VLOOKUP(C29, MasterData!B:G, 2, FALSE), "")</f>
      </c>
      <c r="E29" s="3">
        <f>IFERROR(VLOOKUP(C29, MasterData!B:G, 3, FALSE), "")</f>
      </c>
      <c r="F29" s="3">
        <f>IFERROR(VLOOKUP(C29, MasterData!B:G, 4, FALSE), "")</f>
      </c>
      <c r="G29" s="4"/>
      <c r="H29" s="4">
        <f>IFERROR(VLOOKUP(C29, MasterData!B:G, 5, FALSE), "")</f>
      </c>
      <c r="I29" s="4">
        <f>IF(AND(G29&lt;&gt;"", H29&lt;&gt;""), G29*H29, "")</f>
      </c>
      <c r="J29" s="4">
        <f>IFERROR(VLOOKUP(C29, MasterData!B:G, 6, FALSE), 18)</f>
      </c>
      <c r="K29" s="4">
        <f>IF(I29&lt;&gt;"", I29*J29/100, "")</f>
      </c>
      <c r="L29" s="4">
        <f>IF(I29&lt;&gt;"", I29+K29, "")</f>
      </c>
    </row>
    <row r="30" spans="1:12" x14ac:dyDescent="0.25">
      <c r="A30" s="3">
        <f>IF(C30&lt;&gt;"", ROW()-3, "")</f>
      </c>
      <c r="B30" s="3"/>
      <c r="C30" s="3"/>
      <c r="D30" s="3">
        <f>IFERROR(VLOOKUP(C30, MasterData!B:G, 2, FALSE), "")</f>
      </c>
      <c r="E30" s="3">
        <f>IFERROR(VLOOKUP(C30, MasterData!B:G, 3, FALSE), "")</f>
      </c>
      <c r="F30" s="3">
        <f>IFERROR(VLOOKUP(C30, MasterData!B:G, 4, FALSE), "")</f>
      </c>
      <c r="G30" s="4"/>
      <c r="H30" s="4">
        <f>IFERROR(VLOOKUP(C30, MasterData!B:G, 5, FALSE), "")</f>
      </c>
      <c r="I30" s="4">
        <f>IF(AND(G30&lt;&gt;"", H30&lt;&gt;""), G30*H30, "")</f>
      </c>
      <c r="J30" s="4">
        <f>IFERROR(VLOOKUP(C30, MasterData!B:G, 6, FALSE), 18)</f>
      </c>
      <c r="K30" s="4">
        <f>IF(I30&lt;&gt;"", I30*J30/100, "")</f>
      </c>
      <c r="L30" s="4">
        <f>IF(I30&lt;&gt;"", I30+K30, "")</f>
      </c>
    </row>
    <row r="31" spans="1:12" x14ac:dyDescent="0.25">
      <c r="A31" s="3">
        <f>IF(C31&lt;&gt;"", ROW()-3, "")</f>
      </c>
      <c r="B31" s="3"/>
      <c r="C31" s="3"/>
      <c r="D31" s="3">
        <f>IFERROR(VLOOKUP(C31, MasterData!B:G, 2, FALSE), "")</f>
      </c>
      <c r="E31" s="3">
        <f>IFERROR(VLOOKUP(C31, MasterData!B:G, 3, FALSE), "")</f>
      </c>
      <c r="F31" s="3">
        <f>IFERROR(VLOOKUP(C31, MasterData!B:G, 4, FALSE), "")</f>
      </c>
      <c r="G31" s="4"/>
      <c r="H31" s="4">
        <f>IFERROR(VLOOKUP(C31, MasterData!B:G, 5, FALSE), "")</f>
      </c>
      <c r="I31" s="4">
        <f>IF(AND(G31&lt;&gt;"", H31&lt;&gt;""), G31*H31, "")</f>
      </c>
      <c r="J31" s="4">
        <f>IFERROR(VLOOKUP(C31, MasterData!B:G, 6, FALSE), 18)</f>
      </c>
      <c r="K31" s="4">
        <f>IF(I31&lt;&gt;"", I31*J31/100, "")</f>
      </c>
      <c r="L31" s="4">
        <f>IF(I31&lt;&gt;"", I31+K31, "")</f>
      </c>
    </row>
    <row r="32" spans="1:12" x14ac:dyDescent="0.25">
      <c r="A32" s="3">
        <f>IF(C32&lt;&gt;"", ROW()-3, "")</f>
      </c>
      <c r="B32" s="3"/>
      <c r="C32" s="3"/>
      <c r="D32" s="3">
        <f>IFERROR(VLOOKUP(C32, MasterData!B:G, 2, FALSE), "")</f>
      </c>
      <c r="E32" s="3">
        <f>IFERROR(VLOOKUP(C32, MasterData!B:G, 3, FALSE), "")</f>
      </c>
      <c r="F32" s="3">
        <f>IFERROR(VLOOKUP(C32, MasterData!B:G, 4, FALSE), "")</f>
      </c>
      <c r="G32" s="4"/>
      <c r="H32" s="4">
        <f>IFERROR(VLOOKUP(C32, MasterData!B:G, 5, FALSE), "")</f>
      </c>
      <c r="I32" s="4">
        <f>IF(AND(G32&lt;&gt;"", H32&lt;&gt;""), G32*H32, "")</f>
      </c>
      <c r="J32" s="4">
        <f>IFERROR(VLOOKUP(C32, MasterData!B:G, 6, FALSE), 18)</f>
      </c>
      <c r="K32" s="4">
        <f>IF(I32&lt;&gt;"", I32*J32/100, "")</f>
      </c>
      <c r="L32" s="4">
        <f>IF(I32&lt;&gt;"", I32+K32, "")</f>
      </c>
    </row>
    <row r="33" spans="1:12" x14ac:dyDescent="0.25">
      <c r="A33" s="3">
        <f>IF(C33&lt;&gt;"", ROW()-3, "")</f>
      </c>
      <c r="B33" s="3"/>
      <c r="C33" s="3"/>
      <c r="D33" s="3">
        <f>IFERROR(VLOOKUP(C33, MasterData!B:G, 2, FALSE), "")</f>
      </c>
      <c r="E33" s="3">
        <f>IFERROR(VLOOKUP(C33, MasterData!B:G, 3, FALSE), "")</f>
      </c>
      <c r="F33" s="3">
        <f>IFERROR(VLOOKUP(C33, MasterData!B:G, 4, FALSE), "")</f>
      </c>
      <c r="G33" s="4"/>
      <c r="H33" s="4">
        <f>IFERROR(VLOOKUP(C33, MasterData!B:G, 5, FALSE), "")</f>
      </c>
      <c r="I33" s="4">
        <f>IF(AND(G33&lt;&gt;"", H33&lt;&gt;""), G33*H33, "")</f>
      </c>
      <c r="J33" s="4">
        <f>IFERROR(VLOOKUP(C33, MasterData!B:G, 6, FALSE), 18)</f>
      </c>
      <c r="K33" s="4">
        <f>IF(I33&lt;&gt;"", I33*J33/100, "")</f>
      </c>
      <c r="L33" s="4">
        <f>IF(I33&lt;&gt;"", I33+K33, "")</f>
      </c>
    </row>
    <row r="34" spans="1:12" x14ac:dyDescent="0.25">
      <c r="A34" s="3">
        <f>IF(C34&lt;&gt;"", ROW()-3, "")</f>
      </c>
      <c r="B34" s="3"/>
      <c r="C34" s="3"/>
      <c r="D34" s="3">
        <f>IFERROR(VLOOKUP(C34, MasterData!B:G, 2, FALSE), "")</f>
      </c>
      <c r="E34" s="3">
        <f>IFERROR(VLOOKUP(C34, MasterData!B:G, 3, FALSE), "")</f>
      </c>
      <c r="F34" s="3">
        <f>IFERROR(VLOOKUP(C34, MasterData!B:G, 4, FALSE), "")</f>
      </c>
      <c r="G34" s="4"/>
      <c r="H34" s="4">
        <f>IFERROR(VLOOKUP(C34, MasterData!B:G, 5, FALSE), "")</f>
      </c>
      <c r="I34" s="4">
        <f>IF(AND(G34&lt;&gt;"", H34&lt;&gt;""), G34*H34, "")</f>
      </c>
      <c r="J34" s="4">
        <f>IFERROR(VLOOKUP(C34, MasterData!B:G, 6, FALSE), 18)</f>
      </c>
      <c r="K34" s="4">
        <f>IF(I34&lt;&gt;"", I34*J34/100, "")</f>
      </c>
      <c r="L34" s="4">
        <f>IF(I34&lt;&gt;"", I34+K34, "")</f>
      </c>
    </row>
    <row r="35" spans="1:12" x14ac:dyDescent="0.25">
      <c r="A35" s="3">
        <f>IF(C35&lt;&gt;"", ROW()-3, "")</f>
      </c>
      <c r="B35" s="3"/>
      <c r="C35" s="3"/>
      <c r="D35" s="3">
        <f>IFERROR(VLOOKUP(C35, MasterData!B:G, 2, FALSE), "")</f>
      </c>
      <c r="E35" s="3">
        <f>IFERROR(VLOOKUP(C35, MasterData!B:G, 3, FALSE), "")</f>
      </c>
      <c r="F35" s="3">
        <f>IFERROR(VLOOKUP(C35, MasterData!B:G, 4, FALSE), "")</f>
      </c>
      <c r="G35" s="4"/>
      <c r="H35" s="4">
        <f>IFERROR(VLOOKUP(C35, MasterData!B:G, 5, FALSE), "")</f>
      </c>
      <c r="I35" s="4">
        <f>IF(AND(G35&lt;&gt;"", H35&lt;&gt;""), G35*H35, "")</f>
      </c>
      <c r="J35" s="4">
        <f>IFERROR(VLOOKUP(C35, MasterData!B:G, 6, FALSE), 18)</f>
      </c>
      <c r="K35" s="4">
        <f>IF(I35&lt;&gt;"", I35*J35/100, "")</f>
      </c>
      <c r="L35" s="4">
        <f>IF(I35&lt;&gt;"", I35+K35, "")</f>
      </c>
    </row>
    <row r="36" spans="1:12" x14ac:dyDescent="0.25">
      <c r="A36" s="3">
        <f>IF(C36&lt;&gt;"", ROW()-3, "")</f>
      </c>
      <c r="B36" s="3"/>
      <c r="C36" s="3"/>
      <c r="D36" s="3">
        <f>IFERROR(VLOOKUP(C36, MasterData!B:G, 2, FALSE), "")</f>
      </c>
      <c r="E36" s="3">
        <f>IFERROR(VLOOKUP(C36, MasterData!B:G, 3, FALSE), "")</f>
      </c>
      <c r="F36" s="3">
        <f>IFERROR(VLOOKUP(C36, MasterData!B:G, 4, FALSE), "")</f>
      </c>
      <c r="G36" s="4"/>
      <c r="H36" s="4">
        <f>IFERROR(VLOOKUP(C36, MasterData!B:G, 5, FALSE), "")</f>
      </c>
      <c r="I36" s="4">
        <f>IF(AND(G36&lt;&gt;"", H36&lt;&gt;""), G36*H36, "")</f>
      </c>
      <c r="J36" s="4">
        <f>IFERROR(VLOOKUP(C36, MasterData!B:G, 6, FALSE), 18)</f>
      </c>
      <c r="K36" s="4">
        <f>IF(I36&lt;&gt;"", I36*J36/100, "")</f>
      </c>
      <c r="L36" s="4">
        <f>IF(I36&lt;&gt;"", I36+K36, "")</f>
      </c>
    </row>
    <row r="37" spans="1:12" x14ac:dyDescent="0.25">
      <c r="A37" s="3">
        <f>IF(C37&lt;&gt;"", ROW()-3, "")</f>
      </c>
      <c r="B37" s="3"/>
      <c r="C37" s="3"/>
      <c r="D37" s="3">
        <f>IFERROR(VLOOKUP(C37, MasterData!B:G, 2, FALSE), "")</f>
      </c>
      <c r="E37" s="3">
        <f>IFERROR(VLOOKUP(C37, MasterData!B:G, 3, FALSE), "")</f>
      </c>
      <c r="F37" s="3">
        <f>IFERROR(VLOOKUP(C37, MasterData!B:G, 4, FALSE), "")</f>
      </c>
      <c r="G37" s="4"/>
      <c r="H37" s="4">
        <f>IFERROR(VLOOKUP(C37, MasterData!B:G, 5, FALSE), "")</f>
      </c>
      <c r="I37" s="4">
        <f>IF(AND(G37&lt;&gt;"", H37&lt;&gt;""), G37*H37, "")</f>
      </c>
      <c r="J37" s="4">
        <f>IFERROR(VLOOKUP(C37, MasterData!B:G, 6, FALSE), 18)</f>
      </c>
      <c r="K37" s="4">
        <f>IF(I37&lt;&gt;"", I37*J37/100, "")</f>
      </c>
      <c r="L37" s="4">
        <f>IF(I37&lt;&gt;"", I37+K37, "")</f>
      </c>
    </row>
    <row r="38" spans="1:12" x14ac:dyDescent="0.25">
      <c r="A38" s="3">
        <f>IF(C38&lt;&gt;"", ROW()-3, "")</f>
      </c>
      <c r="B38" s="3"/>
      <c r="C38" s="3"/>
      <c r="D38" s="3">
        <f>IFERROR(VLOOKUP(C38, MasterData!B:G, 2, FALSE), "")</f>
      </c>
      <c r="E38" s="3">
        <f>IFERROR(VLOOKUP(C38, MasterData!B:G, 3, FALSE), "")</f>
      </c>
      <c r="F38" s="3">
        <f>IFERROR(VLOOKUP(C38, MasterData!B:G, 4, FALSE), "")</f>
      </c>
      <c r="G38" s="4"/>
      <c r="H38" s="4">
        <f>IFERROR(VLOOKUP(C38, MasterData!B:G, 5, FALSE), "")</f>
      </c>
      <c r="I38" s="4">
        <f>IF(AND(G38&lt;&gt;"", H38&lt;&gt;""), G38*H38, "")</f>
      </c>
      <c r="J38" s="4">
        <f>IFERROR(VLOOKUP(C38, MasterData!B:G, 6, FALSE), 18)</f>
      </c>
      <c r="K38" s="4">
        <f>IF(I38&lt;&gt;"", I38*J38/100, "")</f>
      </c>
      <c r="L38" s="4">
        <f>IF(I38&lt;&gt;"", I38+K38, "")</f>
      </c>
    </row>
    <row r="39" spans="1:12" x14ac:dyDescent="0.25">
      <c r="A39" s="3">
        <f>IF(C39&lt;&gt;"", ROW()-3, "")</f>
      </c>
      <c r="B39" s="3"/>
      <c r="C39" s="3"/>
      <c r="D39" s="3">
        <f>IFERROR(VLOOKUP(C39, MasterData!B:G, 2, FALSE), "")</f>
      </c>
      <c r="E39" s="3">
        <f>IFERROR(VLOOKUP(C39, MasterData!B:G, 3, FALSE), "")</f>
      </c>
      <c r="F39" s="3">
        <f>IFERROR(VLOOKUP(C39, MasterData!B:G, 4, FALSE), "")</f>
      </c>
      <c r="G39" s="4"/>
      <c r="H39" s="4">
        <f>IFERROR(VLOOKUP(C39, MasterData!B:G, 5, FALSE), "")</f>
      </c>
      <c r="I39" s="4">
        <f>IF(AND(G39&lt;&gt;"", H39&lt;&gt;""), G39*H39, "")</f>
      </c>
      <c r="J39" s="4">
        <f>IFERROR(VLOOKUP(C39, MasterData!B:G, 6, FALSE), 18)</f>
      </c>
      <c r="K39" s="4">
        <f>IF(I39&lt;&gt;"", I39*J39/100, "")</f>
      </c>
      <c r="L39" s="4">
        <f>IF(I39&lt;&gt;"", I39+K39, "")</f>
      </c>
    </row>
    <row r="40" spans="1:12" x14ac:dyDescent="0.25">
      <c r="A40" s="3">
        <f>IF(C40&lt;&gt;"", ROW()-3, "")</f>
      </c>
      <c r="B40" s="3"/>
      <c r="C40" s="3"/>
      <c r="D40" s="3">
        <f>IFERROR(VLOOKUP(C40, MasterData!B:G, 2, FALSE), "")</f>
      </c>
      <c r="E40" s="3">
        <f>IFERROR(VLOOKUP(C40, MasterData!B:G, 3, FALSE), "")</f>
      </c>
      <c r="F40" s="3">
        <f>IFERROR(VLOOKUP(C40, MasterData!B:G, 4, FALSE), "")</f>
      </c>
      <c r="G40" s="4"/>
      <c r="H40" s="4">
        <f>IFERROR(VLOOKUP(C40, MasterData!B:G, 5, FALSE), "")</f>
      </c>
      <c r="I40" s="4">
        <f>IF(AND(G40&lt;&gt;"", H40&lt;&gt;""), G40*H40, "")</f>
      </c>
      <c r="J40" s="4">
        <f>IFERROR(VLOOKUP(C40, MasterData!B:G, 6, FALSE), 18)</f>
      </c>
      <c r="K40" s="4">
        <f>IF(I40&lt;&gt;"", I40*J40/100, "")</f>
      </c>
      <c r="L40" s="4">
        <f>IF(I40&lt;&gt;"", I40+K40, "")</f>
      </c>
    </row>
    <row r="41" spans="1:12" x14ac:dyDescent="0.25">
      <c r="A41" s="3">
        <f>IF(C41&lt;&gt;"", ROW()-3, "")</f>
      </c>
      <c r="B41" s="3"/>
      <c r="C41" s="3"/>
      <c r="D41" s="3">
        <f>IFERROR(VLOOKUP(C41, MasterData!B:G, 2, FALSE), "")</f>
      </c>
      <c r="E41" s="3">
        <f>IFERROR(VLOOKUP(C41, MasterData!B:G, 3, FALSE), "")</f>
      </c>
      <c r="F41" s="3">
        <f>IFERROR(VLOOKUP(C41, MasterData!B:G, 4, FALSE), "")</f>
      </c>
      <c r="G41" s="4"/>
      <c r="H41" s="4">
        <f>IFERROR(VLOOKUP(C41, MasterData!B:G, 5, FALSE), "")</f>
      </c>
      <c r="I41" s="4">
        <f>IF(AND(G41&lt;&gt;"", H41&lt;&gt;""), G41*H41, "")</f>
      </c>
      <c r="J41" s="4">
        <f>IFERROR(VLOOKUP(C41, MasterData!B:G, 6, FALSE), 18)</f>
      </c>
      <c r="K41" s="4">
        <f>IF(I41&lt;&gt;"", I41*J41/100, "")</f>
      </c>
      <c r="L41" s="4">
        <f>IF(I41&lt;&gt;"", I41+K41, "")</f>
      </c>
    </row>
    <row r="42" spans="1:12" x14ac:dyDescent="0.25">
      <c r="A42" s="3">
        <f>IF(C42&lt;&gt;"", ROW()-3, "")</f>
      </c>
      <c r="B42" s="3"/>
      <c r="C42" s="3"/>
      <c r="D42" s="3">
        <f>IFERROR(VLOOKUP(C42, MasterData!B:G, 2, FALSE), "")</f>
      </c>
      <c r="E42" s="3">
        <f>IFERROR(VLOOKUP(C42, MasterData!B:G, 3, FALSE), "")</f>
      </c>
      <c r="F42" s="3">
        <f>IFERROR(VLOOKUP(C42, MasterData!B:G, 4, FALSE), "")</f>
      </c>
      <c r="G42" s="4"/>
      <c r="H42" s="4">
        <f>IFERROR(VLOOKUP(C42, MasterData!B:G, 5, FALSE), "")</f>
      </c>
      <c r="I42" s="4">
        <f>IF(AND(G42&lt;&gt;"", H42&lt;&gt;""), G42*H42, "")</f>
      </c>
      <c r="J42" s="4">
        <f>IFERROR(VLOOKUP(C42, MasterData!B:G, 6, FALSE), 18)</f>
      </c>
      <c r="K42" s="4">
        <f>IF(I42&lt;&gt;"", I42*J42/100, "")</f>
      </c>
      <c r="L42" s="4">
        <f>IF(I42&lt;&gt;"", I42+K42, "")</f>
      </c>
    </row>
    <row r="43" spans="1:12" x14ac:dyDescent="0.25">
      <c r="A43" s="3">
        <f>IF(C43&lt;&gt;"", ROW()-3, "")</f>
      </c>
      <c r="B43" s="3"/>
      <c r="C43" s="3"/>
      <c r="D43" s="3">
        <f>IFERROR(VLOOKUP(C43, MasterData!B:G, 2, FALSE), "")</f>
      </c>
      <c r="E43" s="3">
        <f>IFERROR(VLOOKUP(C43, MasterData!B:G, 3, FALSE), "")</f>
      </c>
      <c r="F43" s="3">
        <f>IFERROR(VLOOKUP(C43, MasterData!B:G, 4, FALSE), "")</f>
      </c>
      <c r="G43" s="4"/>
      <c r="H43" s="4">
        <f>IFERROR(VLOOKUP(C43, MasterData!B:G, 5, FALSE), "")</f>
      </c>
      <c r="I43" s="4">
        <f>IF(AND(G43&lt;&gt;"", H43&lt;&gt;""), G43*H43, "")</f>
      </c>
      <c r="J43" s="4">
        <f>IFERROR(VLOOKUP(C43, MasterData!B:G, 6, FALSE), 18)</f>
      </c>
      <c r="K43" s="4">
        <f>IF(I43&lt;&gt;"", I43*J43/100, "")</f>
      </c>
      <c r="L43" s="4">
        <f>IF(I43&lt;&gt;"", I43+K43, "")</f>
      </c>
    </row>
    <row r="44" spans="1:12" x14ac:dyDescent="0.25">
      <c r="A44" s="3">
        <f>IF(C44&lt;&gt;"", ROW()-3, "")</f>
      </c>
      <c r="B44" s="3"/>
      <c r="C44" s="3"/>
      <c r="D44" s="3">
        <f>IFERROR(VLOOKUP(C44, MasterData!B:G, 2, FALSE), "")</f>
      </c>
      <c r="E44" s="3">
        <f>IFERROR(VLOOKUP(C44, MasterData!B:G, 3, FALSE), "")</f>
      </c>
      <c r="F44" s="3">
        <f>IFERROR(VLOOKUP(C44, MasterData!B:G, 4, FALSE), "")</f>
      </c>
      <c r="G44" s="4"/>
      <c r="H44" s="4">
        <f>IFERROR(VLOOKUP(C44, MasterData!B:G, 5, FALSE), "")</f>
      </c>
      <c r="I44" s="4">
        <f>IF(AND(G44&lt;&gt;"", H44&lt;&gt;""), G44*H44, "")</f>
      </c>
      <c r="J44" s="4">
        <f>IFERROR(VLOOKUP(C44, MasterData!B:G, 6, FALSE), 18)</f>
      </c>
      <c r="K44" s="4">
        <f>IF(I44&lt;&gt;"", I44*J44/100, "")</f>
      </c>
      <c r="L44" s="4">
        <f>IF(I44&lt;&gt;"", I44+K44, "")</f>
      </c>
    </row>
    <row r="45" spans="1:12" x14ac:dyDescent="0.25">
      <c r="A45" s="3">
        <f>IF(C45&lt;&gt;"", ROW()-3, "")</f>
      </c>
      <c r="B45" s="3"/>
      <c r="C45" s="3"/>
      <c r="D45" s="3">
        <f>IFERROR(VLOOKUP(C45, MasterData!B:G, 2, FALSE), "")</f>
      </c>
      <c r="E45" s="3">
        <f>IFERROR(VLOOKUP(C45, MasterData!B:G, 3, FALSE), "")</f>
      </c>
      <c r="F45" s="3">
        <f>IFERROR(VLOOKUP(C45, MasterData!B:G, 4, FALSE), "")</f>
      </c>
      <c r="G45" s="4"/>
      <c r="H45" s="4">
        <f>IFERROR(VLOOKUP(C45, MasterData!B:G, 5, FALSE), "")</f>
      </c>
      <c r="I45" s="4">
        <f>IF(AND(G45&lt;&gt;"", H45&lt;&gt;""), G45*H45, "")</f>
      </c>
      <c r="J45" s="4">
        <f>IFERROR(VLOOKUP(C45, MasterData!B:G, 6, FALSE), 18)</f>
      </c>
      <c r="K45" s="4">
        <f>IF(I45&lt;&gt;"", I45*J45/100, "")</f>
      </c>
      <c r="L45" s="4">
        <f>IF(I45&lt;&gt;"", I45+K45, "")</f>
      </c>
    </row>
    <row r="46" spans="1:12" x14ac:dyDescent="0.25">
      <c r="A46" s="3">
        <f>IF(C46&lt;&gt;"", ROW()-3, "")</f>
      </c>
      <c r="B46" s="3"/>
      <c r="C46" s="3"/>
      <c r="D46" s="3">
        <f>IFERROR(VLOOKUP(C46, MasterData!B:G, 2, FALSE), "")</f>
      </c>
      <c r="E46" s="3">
        <f>IFERROR(VLOOKUP(C46, MasterData!B:G, 3, FALSE), "")</f>
      </c>
      <c r="F46" s="3">
        <f>IFERROR(VLOOKUP(C46, MasterData!B:G, 4, FALSE), "")</f>
      </c>
      <c r="G46" s="4"/>
      <c r="H46" s="4">
        <f>IFERROR(VLOOKUP(C46, MasterData!B:G, 5, FALSE), "")</f>
      </c>
      <c r="I46" s="4">
        <f>IF(AND(G46&lt;&gt;"", H46&lt;&gt;""), G46*H46, "")</f>
      </c>
      <c r="J46" s="4">
        <f>IFERROR(VLOOKUP(C46, MasterData!B:G, 6, FALSE), 18)</f>
      </c>
      <c r="K46" s="4">
        <f>IF(I46&lt;&gt;"", I46*J46/100, "")</f>
      </c>
      <c r="L46" s="4">
        <f>IF(I46&lt;&gt;"", I46+K46, "")</f>
      </c>
    </row>
    <row r="47" spans="1:12" x14ac:dyDescent="0.25">
      <c r="A47" s="3">
        <f>IF(C47&lt;&gt;"", ROW()-3, "")</f>
      </c>
      <c r="B47" s="3"/>
      <c r="C47" s="3"/>
      <c r="D47" s="3">
        <f>IFERROR(VLOOKUP(C47, MasterData!B:G, 2, FALSE), "")</f>
      </c>
      <c r="E47" s="3">
        <f>IFERROR(VLOOKUP(C47, MasterData!B:G, 3, FALSE), "")</f>
      </c>
      <c r="F47" s="3">
        <f>IFERROR(VLOOKUP(C47, MasterData!B:G, 4, FALSE), "")</f>
      </c>
      <c r="G47" s="4"/>
      <c r="H47" s="4">
        <f>IFERROR(VLOOKUP(C47, MasterData!B:G, 5, FALSE), "")</f>
      </c>
      <c r="I47" s="4">
        <f>IF(AND(G47&lt;&gt;"", H47&lt;&gt;""), G47*H47, "")</f>
      </c>
      <c r="J47" s="4">
        <f>IFERROR(VLOOKUP(C47, MasterData!B:G, 6, FALSE), 18)</f>
      </c>
      <c r="K47" s="4">
        <f>IF(I47&lt;&gt;"", I47*J47/100, "")</f>
      </c>
      <c r="L47" s="4">
        <f>IF(I47&lt;&gt;"", I47+K47, "")</f>
      </c>
    </row>
    <row r="48" spans="1:12" x14ac:dyDescent="0.25">
      <c r="A48" s="3">
        <f>IF(C48&lt;&gt;"", ROW()-3, "")</f>
      </c>
      <c r="B48" s="3"/>
      <c r="C48" s="3"/>
      <c r="D48" s="3">
        <f>IFERROR(VLOOKUP(C48, MasterData!B:G, 2, FALSE), "")</f>
      </c>
      <c r="E48" s="3">
        <f>IFERROR(VLOOKUP(C48, MasterData!B:G, 3, FALSE), "")</f>
      </c>
      <c r="F48" s="3">
        <f>IFERROR(VLOOKUP(C48, MasterData!B:G, 4, FALSE), "")</f>
      </c>
      <c r="G48" s="4"/>
      <c r="H48" s="4">
        <f>IFERROR(VLOOKUP(C48, MasterData!B:G, 5, FALSE), "")</f>
      </c>
      <c r="I48" s="4">
        <f>IF(AND(G48&lt;&gt;"", H48&lt;&gt;""), G48*H48, "")</f>
      </c>
      <c r="J48" s="4">
        <f>IFERROR(VLOOKUP(C48, MasterData!B:G, 6, FALSE), 18)</f>
      </c>
      <c r="K48" s="4">
        <f>IF(I48&lt;&gt;"", I48*J48/100, "")</f>
      </c>
      <c r="L48" s="4">
        <f>IF(I48&lt;&gt;"", I48+K48, "")</f>
      </c>
    </row>
    <row r="49" spans="1:12" x14ac:dyDescent="0.25">
      <c r="A49" s="3">
        <f>IF(C49&lt;&gt;"", ROW()-3, "")</f>
      </c>
      <c r="B49" s="3"/>
      <c r="C49" s="3"/>
      <c r="D49" s="3">
        <f>IFERROR(VLOOKUP(C49, MasterData!B:G, 2, FALSE), "")</f>
      </c>
      <c r="E49" s="3">
        <f>IFERROR(VLOOKUP(C49, MasterData!B:G, 3, FALSE), "")</f>
      </c>
      <c r="F49" s="3">
        <f>IFERROR(VLOOKUP(C49, MasterData!B:G, 4, FALSE), "")</f>
      </c>
      <c r="G49" s="4"/>
      <c r="H49" s="4">
        <f>IFERROR(VLOOKUP(C49, MasterData!B:G, 5, FALSE), "")</f>
      </c>
      <c r="I49" s="4">
        <f>IF(AND(G49&lt;&gt;"", H49&lt;&gt;""), G49*H49, "")</f>
      </c>
      <c r="J49" s="4">
        <f>IFERROR(VLOOKUP(C49, MasterData!B:G, 6, FALSE), 18)</f>
      </c>
      <c r="K49" s="4">
        <f>IF(I49&lt;&gt;"", I49*J49/100, "")</f>
      </c>
      <c r="L49" s="4">
        <f>IF(I49&lt;&gt;"", I49+K49, "")</f>
      </c>
    </row>
    <row r="50" spans="1:12" x14ac:dyDescent="0.25">
      <c r="A50" s="3">
        <f>IF(C50&lt;&gt;"", ROW()-3, "")</f>
      </c>
      <c r="B50" s="3"/>
      <c r="C50" s="3"/>
      <c r="D50" s="3">
        <f>IFERROR(VLOOKUP(C50, MasterData!B:G, 2, FALSE), "")</f>
      </c>
      <c r="E50" s="3">
        <f>IFERROR(VLOOKUP(C50, MasterData!B:G, 3, FALSE), "")</f>
      </c>
      <c r="F50" s="3">
        <f>IFERROR(VLOOKUP(C50, MasterData!B:G, 4, FALSE), "")</f>
      </c>
      <c r="G50" s="4"/>
      <c r="H50" s="4">
        <f>IFERROR(VLOOKUP(C50, MasterData!B:G, 5, FALSE), "")</f>
      </c>
      <c r="I50" s="4">
        <f>IF(AND(G50&lt;&gt;"", H50&lt;&gt;""), G50*H50, "")</f>
      </c>
      <c r="J50" s="4">
        <f>IFERROR(VLOOKUP(C50, MasterData!B:G, 6, FALSE), 18)</f>
      </c>
      <c r="K50" s="4">
        <f>IF(I50&lt;&gt;"", I50*J50/100, "")</f>
      </c>
      <c r="L50" s="4">
        <f>IF(I50&lt;&gt;"", I50+K50, "")</f>
      </c>
    </row>
    <row r="51" spans="1:12" x14ac:dyDescent="0.25">
      <c r="A51" s="3">
        <f>IF(C51&lt;&gt;"", ROW()-3, "")</f>
      </c>
      <c r="B51" s="3"/>
      <c r="C51" s="3"/>
      <c r="D51" s="3">
        <f>IFERROR(VLOOKUP(C51, MasterData!B:G, 2, FALSE), "")</f>
      </c>
      <c r="E51" s="3">
        <f>IFERROR(VLOOKUP(C51, MasterData!B:G, 3, FALSE), "")</f>
      </c>
      <c r="F51" s="3">
        <f>IFERROR(VLOOKUP(C51, MasterData!B:G, 4, FALSE), "")</f>
      </c>
      <c r="G51" s="4"/>
      <c r="H51" s="4">
        <f>IFERROR(VLOOKUP(C51, MasterData!B:G, 5, FALSE), "")</f>
      </c>
      <c r="I51" s="4">
        <f>IF(AND(G51&lt;&gt;"", H51&lt;&gt;""), G51*H51, "")</f>
      </c>
      <c r="J51" s="4">
        <f>IFERROR(VLOOKUP(C51, MasterData!B:G, 6, FALSE), 18)</f>
      </c>
      <c r="K51" s="4">
        <f>IF(I51&lt;&gt;"", I51*J51/100, "")</f>
      </c>
      <c r="L51" s="4">
        <f>IF(I51&lt;&gt;"", I51+K51, "")</f>
      </c>
    </row>
    <row r="52" spans="1:12" x14ac:dyDescent="0.25">
      <c r="A52" s="3">
        <f>IF(C52&lt;&gt;"", ROW()-3, "")</f>
      </c>
      <c r="B52" s="3"/>
      <c r="C52" s="3"/>
      <c r="D52" s="3">
        <f>IFERROR(VLOOKUP(C52, MasterData!B:G, 2, FALSE), "")</f>
      </c>
      <c r="E52" s="3">
        <f>IFERROR(VLOOKUP(C52, MasterData!B:G, 3, FALSE), "")</f>
      </c>
      <c r="F52" s="3">
        <f>IFERROR(VLOOKUP(C52, MasterData!B:G, 4, FALSE), "")</f>
      </c>
      <c r="G52" s="4"/>
      <c r="H52" s="4">
        <f>IFERROR(VLOOKUP(C52, MasterData!B:G, 5, FALSE), "")</f>
      </c>
      <c r="I52" s="4">
        <f>IF(AND(G52&lt;&gt;"", H52&lt;&gt;""), G52*H52, "")</f>
      </c>
      <c r="J52" s="4">
        <f>IFERROR(VLOOKUP(C52, MasterData!B:G, 6, FALSE), 18)</f>
      </c>
      <c r="K52" s="4">
        <f>IF(I52&lt;&gt;"", I52*J52/100, "")</f>
      </c>
      <c r="L52" s="4">
        <f>IF(I52&lt;&gt;"", I52+K52, "")</f>
      </c>
    </row>
    <row r="53" spans="1:12" x14ac:dyDescent="0.25">
      <c r="A53" s="3">
        <f>IF(C53&lt;&gt;"", ROW()-3, "")</f>
      </c>
      <c r="B53" s="3"/>
      <c r="C53" s="3"/>
      <c r="D53" s="3">
        <f>IFERROR(VLOOKUP(C53, MasterData!B:G, 2, FALSE), "")</f>
      </c>
      <c r="E53" s="3">
        <f>IFERROR(VLOOKUP(C53, MasterData!B:G, 3, FALSE), "")</f>
      </c>
      <c r="F53" s="3">
        <f>IFERROR(VLOOKUP(C53, MasterData!B:G, 4, FALSE), "")</f>
      </c>
      <c r="G53" s="4"/>
      <c r="H53" s="4">
        <f>IFERROR(VLOOKUP(C53, MasterData!B:G, 5, FALSE), "")</f>
      </c>
      <c r="I53" s="4">
        <f>IF(AND(G53&lt;&gt;"", H53&lt;&gt;""), G53*H53, "")</f>
      </c>
      <c r="J53" s="4">
        <f>IFERROR(VLOOKUP(C53, MasterData!B:G, 6, FALSE), 18)</f>
      </c>
      <c r="K53" s="4">
        <f>IF(I53&lt;&gt;"", I53*J53/100, "")</f>
      </c>
      <c r="L53" s="4">
        <f>IF(I53&lt;&gt;"", I53+K53, "")</f>
      </c>
    </row>
    <row r="54" spans="1:12" x14ac:dyDescent="0.25">
      <c r="A54" s="3">
        <f>IF(C54&lt;&gt;"", ROW()-3, "")</f>
      </c>
      <c r="B54" s="3"/>
      <c r="C54" s="3"/>
      <c r="D54" s="3">
        <f>IFERROR(VLOOKUP(C54, MasterData!B:G, 2, FALSE), "")</f>
      </c>
      <c r="E54" s="3">
        <f>IFERROR(VLOOKUP(C54, MasterData!B:G, 3, FALSE), "")</f>
      </c>
      <c r="F54" s="3">
        <f>IFERROR(VLOOKUP(C54, MasterData!B:G, 4, FALSE), "")</f>
      </c>
      <c r="G54" s="4"/>
      <c r="H54" s="4">
        <f>IFERROR(VLOOKUP(C54, MasterData!B:G, 5, FALSE), "")</f>
      </c>
      <c r="I54" s="4">
        <f>IF(AND(G54&lt;&gt;"", H54&lt;&gt;""), G54*H54, "")</f>
      </c>
      <c r="J54" s="4">
        <f>IFERROR(VLOOKUP(C54, MasterData!B:G, 6, FALSE), 18)</f>
      </c>
      <c r="K54" s="4">
        <f>IF(I54&lt;&gt;"", I54*J54/100, "")</f>
      </c>
      <c r="L54" s="4">
        <f>IF(I54&lt;&gt;"", I54+K54, "")</f>
      </c>
    </row>
    <row r="55" spans="1:12" x14ac:dyDescent="0.25">
      <c r="A55" s="3">
        <f>IF(C55&lt;&gt;"", ROW()-3, "")</f>
      </c>
      <c r="B55" s="3"/>
      <c r="C55" s="3"/>
      <c r="D55" s="3">
        <f>IFERROR(VLOOKUP(C55, MasterData!B:G, 2, FALSE), "")</f>
      </c>
      <c r="E55" s="3">
        <f>IFERROR(VLOOKUP(C55, MasterData!B:G, 3, FALSE), "")</f>
      </c>
      <c r="F55" s="3">
        <f>IFERROR(VLOOKUP(C55, MasterData!B:G, 4, FALSE), "")</f>
      </c>
      <c r="G55" s="4"/>
      <c r="H55" s="4">
        <f>IFERROR(VLOOKUP(C55, MasterData!B:G, 5, FALSE), "")</f>
      </c>
      <c r="I55" s="4">
        <f>IF(AND(G55&lt;&gt;"", H55&lt;&gt;""), G55*H55, "")</f>
      </c>
      <c r="J55" s="4">
        <f>IFERROR(VLOOKUP(C55, MasterData!B:G, 6, FALSE), 18)</f>
      </c>
      <c r="K55" s="4">
        <f>IF(I55&lt;&gt;"", I55*J55/100, "")</f>
      </c>
      <c r="L55" s="4">
        <f>IF(I55&lt;&gt;"", I55+K55, "")</f>
      </c>
    </row>
    <row r="56" spans="1:12" x14ac:dyDescent="0.25">
      <c r="A56" s="3">
        <f>IF(C56&lt;&gt;"", ROW()-3, "")</f>
      </c>
      <c r="B56" s="3"/>
      <c r="C56" s="3"/>
      <c r="D56" s="3">
        <f>IFERROR(VLOOKUP(C56, MasterData!B:G, 2, FALSE), "")</f>
      </c>
      <c r="E56" s="3">
        <f>IFERROR(VLOOKUP(C56, MasterData!B:G, 3, FALSE), "")</f>
      </c>
      <c r="F56" s="3">
        <f>IFERROR(VLOOKUP(C56, MasterData!B:G, 4, FALSE), "")</f>
      </c>
      <c r="G56" s="4"/>
      <c r="H56" s="4">
        <f>IFERROR(VLOOKUP(C56, MasterData!B:G, 5, FALSE), "")</f>
      </c>
      <c r="I56" s="4">
        <f>IF(AND(G56&lt;&gt;"", H56&lt;&gt;""), G56*H56, "")</f>
      </c>
      <c r="J56" s="4">
        <f>IFERROR(VLOOKUP(C56, MasterData!B:G, 6, FALSE), 18)</f>
      </c>
      <c r="K56" s="4">
        <f>IF(I56&lt;&gt;"", I56*J56/100, "")</f>
      </c>
      <c r="L56" s="4">
        <f>IF(I56&lt;&gt;"", I56+K56, "")</f>
      </c>
    </row>
    <row r="57" spans="1:12" x14ac:dyDescent="0.25">
      <c r="A57" s="3">
        <f>IF(C57&lt;&gt;"", ROW()-3, "")</f>
      </c>
      <c r="B57" s="3"/>
      <c r="C57" s="3"/>
      <c r="D57" s="3">
        <f>IFERROR(VLOOKUP(C57, MasterData!B:G, 2, FALSE), "")</f>
      </c>
      <c r="E57" s="3">
        <f>IFERROR(VLOOKUP(C57, MasterData!B:G, 3, FALSE), "")</f>
      </c>
      <c r="F57" s="3">
        <f>IFERROR(VLOOKUP(C57, MasterData!B:G, 4, FALSE), "")</f>
      </c>
      <c r="G57" s="4"/>
      <c r="H57" s="4">
        <f>IFERROR(VLOOKUP(C57, MasterData!B:G, 5, FALSE), "")</f>
      </c>
      <c r="I57" s="4">
        <f>IF(AND(G57&lt;&gt;"", H57&lt;&gt;""), G57*H57, "")</f>
      </c>
      <c r="J57" s="4">
        <f>IFERROR(VLOOKUP(C57, MasterData!B:G, 6, FALSE), 18)</f>
      </c>
      <c r="K57" s="4">
        <f>IF(I57&lt;&gt;"", I57*J57/100, "")</f>
      </c>
      <c r="L57" s="4">
        <f>IF(I57&lt;&gt;"", I57+K57, "")</f>
      </c>
    </row>
    <row r="58" spans="1:12" x14ac:dyDescent="0.25">
      <c r="A58" s="3">
        <f>IF(C58&lt;&gt;"", ROW()-3, "")</f>
      </c>
      <c r="B58" s="3"/>
      <c r="C58" s="3"/>
      <c r="D58" s="3">
        <f>IFERROR(VLOOKUP(C58, MasterData!B:G, 2, FALSE), "")</f>
      </c>
      <c r="E58" s="3">
        <f>IFERROR(VLOOKUP(C58, MasterData!B:G, 3, FALSE), "")</f>
      </c>
      <c r="F58" s="3">
        <f>IFERROR(VLOOKUP(C58, MasterData!B:G, 4, FALSE), "")</f>
      </c>
      <c r="G58" s="4"/>
      <c r="H58" s="4">
        <f>IFERROR(VLOOKUP(C58, MasterData!B:G, 5, FALSE), "")</f>
      </c>
      <c r="I58" s="4">
        <f>IF(AND(G58&lt;&gt;"", H58&lt;&gt;""), G58*H58, "")</f>
      </c>
      <c r="J58" s="4">
        <f>IFERROR(VLOOKUP(C58, MasterData!B:G, 6, FALSE), 18)</f>
      </c>
      <c r="K58" s="4">
        <f>IF(I58&lt;&gt;"", I58*J58/100, "")</f>
      </c>
      <c r="L58" s="4">
        <f>IF(I58&lt;&gt;"", I58+K58, "")</f>
      </c>
    </row>
    <row r="59" spans="1:12" x14ac:dyDescent="0.25">
      <c r="A59" s="3">
        <f>IF(C59&lt;&gt;"", ROW()-3, "")</f>
      </c>
      <c r="B59" s="3"/>
      <c r="C59" s="3"/>
      <c r="D59" s="3">
        <f>IFERROR(VLOOKUP(C59, MasterData!B:G, 2, FALSE), "")</f>
      </c>
      <c r="E59" s="3">
        <f>IFERROR(VLOOKUP(C59, MasterData!B:G, 3, FALSE), "")</f>
      </c>
      <c r="F59" s="3">
        <f>IFERROR(VLOOKUP(C59, MasterData!B:G, 4, FALSE), "")</f>
      </c>
      <c r="G59" s="4"/>
      <c r="H59" s="4">
        <f>IFERROR(VLOOKUP(C59, MasterData!B:G, 5, FALSE), "")</f>
      </c>
      <c r="I59" s="4">
        <f>IF(AND(G59&lt;&gt;"", H59&lt;&gt;""), G59*H59, "")</f>
      </c>
      <c r="J59" s="4">
        <f>IFERROR(VLOOKUP(C59, MasterData!B:G, 6, FALSE), 18)</f>
      </c>
      <c r="K59" s="4">
        <f>IF(I59&lt;&gt;"", I59*J59/100, "")</f>
      </c>
      <c r="L59" s="4">
        <f>IF(I59&lt;&gt;"", I59+K59, "")</f>
      </c>
    </row>
    <row r="60" spans="1:12" x14ac:dyDescent="0.25">
      <c r="A60" s="3">
        <f>IF(C60&lt;&gt;"", ROW()-3, "")</f>
      </c>
      <c r="B60" s="3"/>
      <c r="C60" s="3"/>
      <c r="D60" s="3">
        <f>IFERROR(VLOOKUP(C60, MasterData!B:G, 2, FALSE), "")</f>
      </c>
      <c r="E60" s="3">
        <f>IFERROR(VLOOKUP(C60, MasterData!B:G, 3, FALSE), "")</f>
      </c>
      <c r="F60" s="3">
        <f>IFERROR(VLOOKUP(C60, MasterData!B:G, 4, FALSE), "")</f>
      </c>
      <c r="G60" s="4"/>
      <c r="H60" s="4">
        <f>IFERROR(VLOOKUP(C60, MasterData!B:G, 5, FALSE), "")</f>
      </c>
      <c r="I60" s="4">
        <f>IF(AND(G60&lt;&gt;"", H60&lt;&gt;""), G60*H60, "")</f>
      </c>
      <c r="J60" s="4">
        <f>IFERROR(VLOOKUP(C60, MasterData!B:G, 6, FALSE), 18)</f>
      </c>
      <c r="K60" s="4">
        <f>IF(I60&lt;&gt;"", I60*J60/100, "")</f>
      </c>
      <c r="L60" s="4">
        <f>IF(I60&lt;&gt;"", I60+K60, "")</f>
      </c>
    </row>
    <row r="61" spans="1:12" x14ac:dyDescent="0.25">
      <c r="A61" s="3">
        <f>IF(C61&lt;&gt;"", ROW()-3, "")</f>
      </c>
      <c r="B61" s="3"/>
      <c r="C61" s="3"/>
      <c r="D61" s="3">
        <f>IFERROR(VLOOKUP(C61, MasterData!B:G, 2, FALSE), "")</f>
      </c>
      <c r="E61" s="3">
        <f>IFERROR(VLOOKUP(C61, MasterData!B:G, 3, FALSE), "")</f>
      </c>
      <c r="F61" s="3">
        <f>IFERROR(VLOOKUP(C61, MasterData!B:G, 4, FALSE), "")</f>
      </c>
      <c r="G61" s="4"/>
      <c r="H61" s="4">
        <f>IFERROR(VLOOKUP(C61, MasterData!B:G, 5, FALSE), "")</f>
      </c>
      <c r="I61" s="4">
        <f>IF(AND(G61&lt;&gt;"", H61&lt;&gt;""), G61*H61, "")</f>
      </c>
      <c r="J61" s="4">
        <f>IFERROR(VLOOKUP(C61, MasterData!B:G, 6, FALSE), 18)</f>
      </c>
      <c r="K61" s="4">
        <f>IF(I61&lt;&gt;"", I61*J61/100, "")</f>
      </c>
      <c r="L61" s="4">
        <f>IF(I61&lt;&gt;"", I61+K61, "")</f>
      </c>
    </row>
    <row r="62" spans="1:12" x14ac:dyDescent="0.25">
      <c r="A62" s="3">
        <f>IF(C62&lt;&gt;"", ROW()-3, "")</f>
      </c>
      <c r="B62" s="3"/>
      <c r="C62" s="3"/>
      <c r="D62" s="3">
        <f>IFERROR(VLOOKUP(C62, MasterData!B:G, 2, FALSE), "")</f>
      </c>
      <c r="E62" s="3">
        <f>IFERROR(VLOOKUP(C62, MasterData!B:G, 3, FALSE), "")</f>
      </c>
      <c r="F62" s="3">
        <f>IFERROR(VLOOKUP(C62, MasterData!B:G, 4, FALSE), "")</f>
      </c>
      <c r="G62" s="4"/>
      <c r="H62" s="4">
        <f>IFERROR(VLOOKUP(C62, MasterData!B:G, 5, FALSE), "")</f>
      </c>
      <c r="I62" s="4">
        <f>IF(AND(G62&lt;&gt;"", H62&lt;&gt;""), G62*H62, "")</f>
      </c>
      <c r="J62" s="4">
        <f>IFERROR(VLOOKUP(C62, MasterData!B:G, 6, FALSE), 18)</f>
      </c>
      <c r="K62" s="4">
        <f>IF(I62&lt;&gt;"", I62*J62/100, "")</f>
      </c>
      <c r="L62" s="4">
        <f>IF(I62&lt;&gt;"", I62+K62, "")</f>
      </c>
    </row>
    <row r="63" spans="1:12" x14ac:dyDescent="0.25">
      <c r="A63" s="3">
        <f>IF(C63&lt;&gt;"", ROW()-3, "")</f>
      </c>
      <c r="B63" s="3"/>
      <c r="C63" s="3"/>
      <c r="D63" s="3">
        <f>IFERROR(VLOOKUP(C63, MasterData!B:G, 2, FALSE), "")</f>
      </c>
      <c r="E63" s="3">
        <f>IFERROR(VLOOKUP(C63, MasterData!B:G, 3, FALSE), "")</f>
      </c>
      <c r="F63" s="3">
        <f>IFERROR(VLOOKUP(C63, MasterData!B:G, 4, FALSE), "")</f>
      </c>
      <c r="G63" s="4"/>
      <c r="H63" s="4">
        <f>IFERROR(VLOOKUP(C63, MasterData!B:G, 5, FALSE), "")</f>
      </c>
      <c r="I63" s="4">
        <f>IF(AND(G63&lt;&gt;"", H63&lt;&gt;""), G63*H63, "")</f>
      </c>
      <c r="J63" s="4">
        <f>IFERROR(VLOOKUP(C63, MasterData!B:G, 6, FALSE), 18)</f>
      </c>
      <c r="K63" s="4">
        <f>IF(I63&lt;&gt;"", I63*J63/100, "")</f>
      </c>
      <c r="L63" s="4">
        <f>IF(I63&lt;&gt;"", I63+K63, "")</f>
      </c>
    </row>
    <row r="64" spans="1:12" x14ac:dyDescent="0.25">
      <c r="A64" s="3">
        <f>IF(C64&lt;&gt;"", ROW()-3, "")</f>
      </c>
      <c r="B64" s="3"/>
      <c r="C64" s="3"/>
      <c r="D64" s="3">
        <f>IFERROR(VLOOKUP(C64, MasterData!B:G, 2, FALSE), "")</f>
      </c>
      <c r="E64" s="3">
        <f>IFERROR(VLOOKUP(C64, MasterData!B:G, 3, FALSE), "")</f>
      </c>
      <c r="F64" s="3">
        <f>IFERROR(VLOOKUP(C64, MasterData!B:G, 4, FALSE), "")</f>
      </c>
      <c r="G64" s="4"/>
      <c r="H64" s="4">
        <f>IFERROR(VLOOKUP(C64, MasterData!B:G, 5, FALSE), "")</f>
      </c>
      <c r="I64" s="4">
        <f>IF(AND(G64&lt;&gt;"", H64&lt;&gt;""), G64*H64, "")</f>
      </c>
      <c r="J64" s="4">
        <f>IFERROR(VLOOKUP(C64, MasterData!B:G, 6, FALSE), 18)</f>
      </c>
      <c r="K64" s="4">
        <f>IF(I64&lt;&gt;"", I64*J64/100, "")</f>
      </c>
      <c r="L64" s="4">
        <f>IF(I64&lt;&gt;"", I64+K64, "")</f>
      </c>
    </row>
    <row r="65" spans="1:12" x14ac:dyDescent="0.25">
      <c r="A65" s="3">
        <f>IF(C65&lt;&gt;"", ROW()-3, "")</f>
      </c>
      <c r="B65" s="3"/>
      <c r="C65" s="3"/>
      <c r="D65" s="3">
        <f>IFERROR(VLOOKUP(C65, MasterData!B:G, 2, FALSE), "")</f>
      </c>
      <c r="E65" s="3">
        <f>IFERROR(VLOOKUP(C65, MasterData!B:G, 3, FALSE), "")</f>
      </c>
      <c r="F65" s="3">
        <f>IFERROR(VLOOKUP(C65, MasterData!B:G, 4, FALSE), "")</f>
      </c>
      <c r="G65" s="4"/>
      <c r="H65" s="4">
        <f>IFERROR(VLOOKUP(C65, MasterData!B:G, 5, FALSE), "")</f>
      </c>
      <c r="I65" s="4">
        <f>IF(AND(G65&lt;&gt;"", H65&lt;&gt;""), G65*H65, "")</f>
      </c>
      <c r="J65" s="4">
        <f>IFERROR(VLOOKUP(C65, MasterData!B:G, 6, FALSE), 18)</f>
      </c>
      <c r="K65" s="4">
        <f>IF(I65&lt;&gt;"", I65*J65/100, "")</f>
      </c>
      <c r="L65" s="4">
        <f>IF(I65&lt;&gt;"", I65+K65, "")</f>
      </c>
    </row>
    <row r="66" spans="1:12" x14ac:dyDescent="0.25">
      <c r="A66" s="3">
        <f>IF(C66&lt;&gt;"", ROW()-3, "")</f>
      </c>
      <c r="B66" s="3"/>
      <c r="C66" s="3"/>
      <c r="D66" s="3">
        <f>IFERROR(VLOOKUP(C66, MasterData!B:G, 2, FALSE), "")</f>
      </c>
      <c r="E66" s="3">
        <f>IFERROR(VLOOKUP(C66, MasterData!B:G, 3, FALSE), "")</f>
      </c>
      <c r="F66" s="3">
        <f>IFERROR(VLOOKUP(C66, MasterData!B:G, 4, FALSE), "")</f>
      </c>
      <c r="G66" s="4"/>
      <c r="H66" s="4">
        <f>IFERROR(VLOOKUP(C66, MasterData!B:G, 5, FALSE), "")</f>
      </c>
      <c r="I66" s="4">
        <f>IF(AND(G66&lt;&gt;"", H66&lt;&gt;""), G66*H66, "")</f>
      </c>
      <c r="J66" s="4">
        <f>IFERROR(VLOOKUP(C66, MasterData!B:G, 6, FALSE), 18)</f>
      </c>
      <c r="K66" s="4">
        <f>IF(I66&lt;&gt;"", I66*J66/100, "")</f>
      </c>
      <c r="L66" s="4">
        <f>IF(I66&lt;&gt;"", I66+K66, "")</f>
      </c>
    </row>
    <row r="67" spans="1:12" x14ac:dyDescent="0.25">
      <c r="A67" s="3">
        <f>IF(C67&lt;&gt;"", ROW()-3, "")</f>
      </c>
      <c r="B67" s="3"/>
      <c r="C67" s="3"/>
      <c r="D67" s="3">
        <f>IFERROR(VLOOKUP(C67, MasterData!B:G, 2, FALSE), "")</f>
      </c>
      <c r="E67" s="3">
        <f>IFERROR(VLOOKUP(C67, MasterData!B:G, 3, FALSE), "")</f>
      </c>
      <c r="F67" s="3">
        <f>IFERROR(VLOOKUP(C67, MasterData!B:G, 4, FALSE), "")</f>
      </c>
      <c r="G67" s="4"/>
      <c r="H67" s="4">
        <f>IFERROR(VLOOKUP(C67, MasterData!B:G, 5, FALSE), "")</f>
      </c>
      <c r="I67" s="4">
        <f>IF(AND(G67&lt;&gt;"", H67&lt;&gt;""), G67*H67, "")</f>
      </c>
      <c r="J67" s="4">
        <f>IFERROR(VLOOKUP(C67, MasterData!B:G, 6, FALSE), 18)</f>
      </c>
      <c r="K67" s="4">
        <f>IF(I67&lt;&gt;"", I67*J67/100, "")</f>
      </c>
      <c r="L67" s="4">
        <f>IF(I67&lt;&gt;"", I67+K67, "")</f>
      </c>
    </row>
    <row r="68" spans="1:12" x14ac:dyDescent="0.25">
      <c r="A68" s="3">
        <f>IF(C68&lt;&gt;"", ROW()-3, "")</f>
      </c>
      <c r="B68" s="3"/>
      <c r="C68" s="3"/>
      <c r="D68" s="3">
        <f>IFERROR(VLOOKUP(C68, MasterData!B:G, 2, FALSE), "")</f>
      </c>
      <c r="E68" s="3">
        <f>IFERROR(VLOOKUP(C68, MasterData!B:G, 3, FALSE), "")</f>
      </c>
      <c r="F68" s="3">
        <f>IFERROR(VLOOKUP(C68, MasterData!B:G, 4, FALSE), "")</f>
      </c>
      <c r="G68" s="4"/>
      <c r="H68" s="4">
        <f>IFERROR(VLOOKUP(C68, MasterData!B:G, 5, FALSE), "")</f>
      </c>
      <c r="I68" s="4">
        <f>IF(AND(G68&lt;&gt;"", H68&lt;&gt;""), G68*H68, "")</f>
      </c>
      <c r="J68" s="4">
        <f>IFERROR(VLOOKUP(C68, MasterData!B:G, 6, FALSE), 18)</f>
      </c>
      <c r="K68" s="4">
        <f>IF(I68&lt;&gt;"", I68*J68/100, "")</f>
      </c>
      <c r="L68" s="4">
        <f>IF(I68&lt;&gt;"", I68+K68, "")</f>
      </c>
    </row>
    <row r="69" spans="1:12" x14ac:dyDescent="0.25">
      <c r="A69" s="3">
        <f>IF(C69&lt;&gt;"", ROW()-3, "")</f>
      </c>
      <c r="B69" s="3"/>
      <c r="C69" s="3"/>
      <c r="D69" s="3">
        <f>IFERROR(VLOOKUP(C69, MasterData!B:G, 2, FALSE), "")</f>
      </c>
      <c r="E69" s="3">
        <f>IFERROR(VLOOKUP(C69, MasterData!B:G, 3, FALSE), "")</f>
      </c>
      <c r="F69" s="3">
        <f>IFERROR(VLOOKUP(C69, MasterData!B:G, 4, FALSE), "")</f>
      </c>
      <c r="G69" s="4"/>
      <c r="H69" s="4">
        <f>IFERROR(VLOOKUP(C69, MasterData!B:G, 5, FALSE), "")</f>
      </c>
      <c r="I69" s="4">
        <f>IF(AND(G69&lt;&gt;"", H69&lt;&gt;""), G69*H69, "")</f>
      </c>
      <c r="J69" s="4">
        <f>IFERROR(VLOOKUP(C69, MasterData!B:G, 6, FALSE), 18)</f>
      </c>
      <c r="K69" s="4">
        <f>IF(I69&lt;&gt;"", I69*J69/100, "")</f>
      </c>
      <c r="L69" s="4">
        <f>IF(I69&lt;&gt;"", I69+K69, "")</f>
      </c>
    </row>
    <row r="70" spans="1:12" x14ac:dyDescent="0.25">
      <c r="A70" s="3">
        <f>IF(C70&lt;&gt;"", ROW()-3, "")</f>
      </c>
      <c r="B70" s="3"/>
      <c r="C70" s="3"/>
      <c r="D70" s="3">
        <f>IFERROR(VLOOKUP(C70, MasterData!B:G, 2, FALSE), "")</f>
      </c>
      <c r="E70" s="3">
        <f>IFERROR(VLOOKUP(C70, MasterData!B:G, 3, FALSE), "")</f>
      </c>
      <c r="F70" s="3">
        <f>IFERROR(VLOOKUP(C70, MasterData!B:G, 4, FALSE), "")</f>
      </c>
      <c r="G70" s="4"/>
      <c r="H70" s="4">
        <f>IFERROR(VLOOKUP(C70, MasterData!B:G, 5, FALSE), "")</f>
      </c>
      <c r="I70" s="4">
        <f>IF(AND(G70&lt;&gt;"", H70&lt;&gt;""), G70*H70, "")</f>
      </c>
      <c r="J70" s="4">
        <f>IFERROR(VLOOKUP(C70, MasterData!B:G, 6, FALSE), 18)</f>
      </c>
      <c r="K70" s="4">
        <f>IF(I70&lt;&gt;"", I70*J70/100, "")</f>
      </c>
      <c r="L70" s="4">
        <f>IF(I70&lt;&gt;"", I70+K70, "")</f>
      </c>
    </row>
    <row r="71" spans="1:12" x14ac:dyDescent="0.25">
      <c r="A71" s="3">
        <f>IF(C71&lt;&gt;"", ROW()-3, "")</f>
      </c>
      <c r="B71" s="3"/>
      <c r="C71" s="3"/>
      <c r="D71" s="3">
        <f>IFERROR(VLOOKUP(C71, MasterData!B:G, 2, FALSE), "")</f>
      </c>
      <c r="E71" s="3">
        <f>IFERROR(VLOOKUP(C71, MasterData!B:G, 3, FALSE), "")</f>
      </c>
      <c r="F71" s="3">
        <f>IFERROR(VLOOKUP(C71, MasterData!B:G, 4, FALSE), "")</f>
      </c>
      <c r="G71" s="4"/>
      <c r="H71" s="4">
        <f>IFERROR(VLOOKUP(C71, MasterData!B:G, 5, FALSE), "")</f>
      </c>
      <c r="I71" s="4">
        <f>IF(AND(G71&lt;&gt;"", H71&lt;&gt;""), G71*H71, "")</f>
      </c>
      <c r="J71" s="4">
        <f>IFERROR(VLOOKUP(C71, MasterData!B:G, 6, FALSE), 18)</f>
      </c>
      <c r="K71" s="4">
        <f>IF(I71&lt;&gt;"", I71*J71/100, "")</f>
      </c>
      <c r="L71" s="4">
        <f>IF(I71&lt;&gt;"", I71+K71, "")</f>
      </c>
    </row>
    <row r="72" spans="1:12" x14ac:dyDescent="0.25">
      <c r="A72" s="3">
        <f>IF(C72&lt;&gt;"", ROW()-3, "")</f>
      </c>
      <c r="B72" s="3"/>
      <c r="C72" s="3"/>
      <c r="D72" s="3">
        <f>IFERROR(VLOOKUP(C72, MasterData!B:G, 2, FALSE), "")</f>
      </c>
      <c r="E72" s="3">
        <f>IFERROR(VLOOKUP(C72, MasterData!B:G, 3, FALSE), "")</f>
      </c>
      <c r="F72" s="3">
        <f>IFERROR(VLOOKUP(C72, MasterData!B:G, 4, FALSE), "")</f>
      </c>
      <c r="G72" s="4"/>
      <c r="H72" s="4">
        <f>IFERROR(VLOOKUP(C72, MasterData!B:G, 5, FALSE), "")</f>
      </c>
      <c r="I72" s="4">
        <f>IF(AND(G72&lt;&gt;"", H72&lt;&gt;""), G72*H72, "")</f>
      </c>
      <c r="J72" s="4">
        <f>IFERROR(VLOOKUP(C72, MasterData!B:G, 6, FALSE), 18)</f>
      </c>
      <c r="K72" s="4">
        <f>IF(I72&lt;&gt;"", I72*J72/100, "")</f>
      </c>
      <c r="L72" s="4">
        <f>IF(I72&lt;&gt;"", I72+K72, "")</f>
      </c>
    </row>
    <row r="73" spans="1:12" x14ac:dyDescent="0.25">
      <c r="A73" s="3">
        <f>IF(C73&lt;&gt;"", ROW()-3, "")</f>
      </c>
      <c r="B73" s="3"/>
      <c r="C73" s="3"/>
      <c r="D73" s="3">
        <f>IFERROR(VLOOKUP(C73, MasterData!B:G, 2, FALSE), "")</f>
      </c>
      <c r="E73" s="3">
        <f>IFERROR(VLOOKUP(C73, MasterData!B:G, 3, FALSE), "")</f>
      </c>
      <c r="F73" s="3">
        <f>IFERROR(VLOOKUP(C73, MasterData!B:G, 4, FALSE), "")</f>
      </c>
      <c r="G73" s="4"/>
      <c r="H73" s="4">
        <f>IFERROR(VLOOKUP(C73, MasterData!B:G, 5, FALSE), "")</f>
      </c>
      <c r="I73" s="4">
        <f>IF(AND(G73&lt;&gt;"", H73&lt;&gt;""), G73*H73, "")</f>
      </c>
      <c r="J73" s="4">
        <f>IFERROR(VLOOKUP(C73, MasterData!B:G, 6, FALSE), 18)</f>
      </c>
      <c r="K73" s="4">
        <f>IF(I73&lt;&gt;"", I73*J73/100, "")</f>
      </c>
      <c r="L73" s="4">
        <f>IF(I73&lt;&gt;"", I73+K73, "")</f>
      </c>
    </row>
    <row r="74" spans="1:12" x14ac:dyDescent="0.25">
      <c r="A74" s="3">
        <f>IF(C74&lt;&gt;"", ROW()-3, "")</f>
      </c>
      <c r="B74" s="3"/>
      <c r="C74" s="3"/>
      <c r="D74" s="3">
        <f>IFERROR(VLOOKUP(C74, MasterData!B:G, 2, FALSE), "")</f>
      </c>
      <c r="E74" s="3">
        <f>IFERROR(VLOOKUP(C74, MasterData!B:G, 3, FALSE), "")</f>
      </c>
      <c r="F74" s="3">
        <f>IFERROR(VLOOKUP(C74, MasterData!B:G, 4, FALSE), "")</f>
      </c>
      <c r="G74" s="4"/>
      <c r="H74" s="4">
        <f>IFERROR(VLOOKUP(C74, MasterData!B:G, 5, FALSE), "")</f>
      </c>
      <c r="I74" s="4">
        <f>IF(AND(G74&lt;&gt;"", H74&lt;&gt;""), G74*H74, "")</f>
      </c>
      <c r="J74" s="4">
        <f>IFERROR(VLOOKUP(C74, MasterData!B:G, 6, FALSE), 18)</f>
      </c>
      <c r="K74" s="4">
        <f>IF(I74&lt;&gt;"", I74*J74/100, "")</f>
      </c>
      <c r="L74" s="4">
        <f>IF(I74&lt;&gt;"", I74+K74, "")</f>
      </c>
    </row>
    <row r="75" spans="1:12" x14ac:dyDescent="0.25">
      <c r="A75" s="3">
        <f>IF(C75&lt;&gt;"", ROW()-3, "")</f>
      </c>
      <c r="B75" s="3"/>
      <c r="C75" s="3"/>
      <c r="D75" s="3">
        <f>IFERROR(VLOOKUP(C75, MasterData!B:G, 2, FALSE), "")</f>
      </c>
      <c r="E75" s="3">
        <f>IFERROR(VLOOKUP(C75, MasterData!B:G, 3, FALSE), "")</f>
      </c>
      <c r="F75" s="3">
        <f>IFERROR(VLOOKUP(C75, MasterData!B:G, 4, FALSE), "")</f>
      </c>
      <c r="G75" s="4"/>
      <c r="H75" s="4">
        <f>IFERROR(VLOOKUP(C75, MasterData!B:G, 5, FALSE), "")</f>
      </c>
      <c r="I75" s="4">
        <f>IF(AND(G75&lt;&gt;"", H75&lt;&gt;""), G75*H75, "")</f>
      </c>
      <c r="J75" s="4">
        <f>IFERROR(VLOOKUP(C75, MasterData!B:G, 6, FALSE), 18)</f>
      </c>
      <c r="K75" s="4">
        <f>IF(I75&lt;&gt;"", I75*J75/100, "")</f>
      </c>
      <c r="L75" s="4">
        <f>IF(I75&lt;&gt;"", I75+K75, "")</f>
      </c>
    </row>
    <row r="76" spans="1:12" x14ac:dyDescent="0.25">
      <c r="A76" s="3">
        <f>IF(C76&lt;&gt;"", ROW()-3, "")</f>
      </c>
      <c r="B76" s="3"/>
      <c r="C76" s="3"/>
      <c r="D76" s="3">
        <f>IFERROR(VLOOKUP(C76, MasterData!B:G, 2, FALSE), "")</f>
      </c>
      <c r="E76" s="3">
        <f>IFERROR(VLOOKUP(C76, MasterData!B:G, 3, FALSE), "")</f>
      </c>
      <c r="F76" s="3">
        <f>IFERROR(VLOOKUP(C76, MasterData!B:G, 4, FALSE), "")</f>
      </c>
      <c r="G76" s="4"/>
      <c r="H76" s="4">
        <f>IFERROR(VLOOKUP(C76, MasterData!B:G, 5, FALSE), "")</f>
      </c>
      <c r="I76" s="4">
        <f>IF(AND(G76&lt;&gt;"", H76&lt;&gt;""), G76*H76, "")</f>
      </c>
      <c r="J76" s="4">
        <f>IFERROR(VLOOKUP(C76, MasterData!B:G, 6, FALSE), 18)</f>
      </c>
      <c r="K76" s="4">
        <f>IF(I76&lt;&gt;"", I76*J76/100, "")</f>
      </c>
      <c r="L76" s="4">
        <f>IF(I76&lt;&gt;"", I76+K76, "")</f>
      </c>
    </row>
    <row r="77" spans="1:12" x14ac:dyDescent="0.25">
      <c r="A77" s="3">
        <f>IF(C77&lt;&gt;"", ROW()-3, "")</f>
      </c>
      <c r="B77" s="3"/>
      <c r="C77" s="3"/>
      <c r="D77" s="3">
        <f>IFERROR(VLOOKUP(C77, MasterData!B:G, 2, FALSE), "")</f>
      </c>
      <c r="E77" s="3">
        <f>IFERROR(VLOOKUP(C77, MasterData!B:G, 3, FALSE), "")</f>
      </c>
      <c r="F77" s="3">
        <f>IFERROR(VLOOKUP(C77, MasterData!B:G, 4, FALSE), "")</f>
      </c>
      <c r="G77" s="4"/>
      <c r="H77" s="4">
        <f>IFERROR(VLOOKUP(C77, MasterData!B:G, 5, FALSE), "")</f>
      </c>
      <c r="I77" s="4">
        <f>IF(AND(G77&lt;&gt;"", H77&lt;&gt;""), G77*H77, "")</f>
      </c>
      <c r="J77" s="4">
        <f>IFERROR(VLOOKUP(C77, MasterData!B:G, 6, FALSE), 18)</f>
      </c>
      <c r="K77" s="4">
        <f>IF(I77&lt;&gt;"", I77*J77/100, "")</f>
      </c>
      <c r="L77" s="4">
        <f>IF(I77&lt;&gt;"", I77+K77, "")</f>
      </c>
    </row>
    <row r="78" spans="1:12" x14ac:dyDescent="0.25">
      <c r="A78" s="3">
        <f>IF(C78&lt;&gt;"", ROW()-3, "")</f>
      </c>
      <c r="B78" s="3"/>
      <c r="C78" s="3"/>
      <c r="D78" s="3">
        <f>IFERROR(VLOOKUP(C78, MasterData!B:G, 2, FALSE), "")</f>
      </c>
      <c r="E78" s="3">
        <f>IFERROR(VLOOKUP(C78, MasterData!B:G, 3, FALSE), "")</f>
      </c>
      <c r="F78" s="3">
        <f>IFERROR(VLOOKUP(C78, MasterData!B:G, 4, FALSE), "")</f>
      </c>
      <c r="G78" s="4"/>
      <c r="H78" s="4">
        <f>IFERROR(VLOOKUP(C78, MasterData!B:G, 5, FALSE), "")</f>
      </c>
      <c r="I78" s="4">
        <f>IF(AND(G78&lt;&gt;"", H78&lt;&gt;""), G78*H78, "")</f>
      </c>
      <c r="J78" s="4">
        <f>IFERROR(VLOOKUP(C78, MasterData!B:G, 6, FALSE), 18)</f>
      </c>
      <c r="K78" s="4">
        <f>IF(I78&lt;&gt;"", I78*J78/100, "")</f>
      </c>
      <c r="L78" s="4">
        <f>IF(I78&lt;&gt;"", I78+K78, "")</f>
      </c>
    </row>
    <row r="79" spans="1:12" x14ac:dyDescent="0.25">
      <c r="A79" s="3">
        <f>IF(C79&lt;&gt;"", ROW()-3, "")</f>
      </c>
      <c r="B79" s="3"/>
      <c r="C79" s="3"/>
      <c r="D79" s="3">
        <f>IFERROR(VLOOKUP(C79, MasterData!B:G, 2, FALSE), "")</f>
      </c>
      <c r="E79" s="3">
        <f>IFERROR(VLOOKUP(C79, MasterData!B:G, 3, FALSE), "")</f>
      </c>
      <c r="F79" s="3">
        <f>IFERROR(VLOOKUP(C79, MasterData!B:G, 4, FALSE), "")</f>
      </c>
      <c r="G79" s="4"/>
      <c r="H79" s="4">
        <f>IFERROR(VLOOKUP(C79, MasterData!B:G, 5, FALSE), "")</f>
      </c>
      <c r="I79" s="4">
        <f>IF(AND(G79&lt;&gt;"", H79&lt;&gt;""), G79*H79, "")</f>
      </c>
      <c r="J79" s="4">
        <f>IFERROR(VLOOKUP(C79, MasterData!B:G, 6, FALSE), 18)</f>
      </c>
      <c r="K79" s="4">
        <f>IF(I79&lt;&gt;"", I79*J79/100, "")</f>
      </c>
      <c r="L79" s="4">
        <f>IF(I79&lt;&gt;"", I79+K79, "")</f>
      </c>
    </row>
    <row r="80" spans="1:12" x14ac:dyDescent="0.25">
      <c r="A80" s="3">
        <f>IF(C80&lt;&gt;"", ROW()-3, "")</f>
      </c>
      <c r="B80" s="3"/>
      <c r="C80" s="3"/>
      <c r="D80" s="3">
        <f>IFERROR(VLOOKUP(C80, MasterData!B:G, 2, FALSE), "")</f>
      </c>
      <c r="E80" s="3">
        <f>IFERROR(VLOOKUP(C80, MasterData!B:G, 3, FALSE), "")</f>
      </c>
      <c r="F80" s="3">
        <f>IFERROR(VLOOKUP(C80, MasterData!B:G, 4, FALSE), "")</f>
      </c>
      <c r="G80" s="4"/>
      <c r="H80" s="4">
        <f>IFERROR(VLOOKUP(C80, MasterData!B:G, 5, FALSE), "")</f>
      </c>
      <c r="I80" s="4">
        <f>IF(AND(G80&lt;&gt;"", H80&lt;&gt;""), G80*H80, "")</f>
      </c>
      <c r="J80" s="4">
        <f>IFERROR(VLOOKUP(C80, MasterData!B:G, 6, FALSE), 18)</f>
      </c>
      <c r="K80" s="4">
        <f>IF(I80&lt;&gt;"", I80*J80/100, "")</f>
      </c>
      <c r="L80" s="4">
        <f>IF(I80&lt;&gt;"", I80+K80, "")</f>
      </c>
    </row>
    <row r="81" spans="1:12" x14ac:dyDescent="0.25">
      <c r="A81" s="3">
        <f>IF(C81&lt;&gt;"", ROW()-3, "")</f>
      </c>
      <c r="B81" s="3"/>
      <c r="C81" s="3"/>
      <c r="D81" s="3">
        <f>IFERROR(VLOOKUP(C81, MasterData!B:G, 2, FALSE), "")</f>
      </c>
      <c r="E81" s="3">
        <f>IFERROR(VLOOKUP(C81, MasterData!B:G, 3, FALSE), "")</f>
      </c>
      <c r="F81" s="3">
        <f>IFERROR(VLOOKUP(C81, MasterData!B:G, 4, FALSE), "")</f>
      </c>
      <c r="G81" s="4"/>
      <c r="H81" s="4">
        <f>IFERROR(VLOOKUP(C81, MasterData!B:G, 5, FALSE), "")</f>
      </c>
      <c r="I81" s="4">
        <f>IF(AND(G81&lt;&gt;"", H81&lt;&gt;""), G81*H81, "")</f>
      </c>
      <c r="J81" s="4">
        <f>IFERROR(VLOOKUP(C81, MasterData!B:G, 6, FALSE), 18)</f>
      </c>
      <c r="K81" s="4">
        <f>IF(I81&lt;&gt;"", I81*J81/100, "")</f>
      </c>
      <c r="L81" s="4">
        <f>IF(I81&lt;&gt;"", I81+K81, "")</f>
      </c>
    </row>
    <row r="82" spans="1:12" x14ac:dyDescent="0.25">
      <c r="A82" s="3">
        <f>IF(C82&lt;&gt;"", ROW()-3, "")</f>
      </c>
      <c r="B82" s="3"/>
      <c r="C82" s="3"/>
      <c r="D82" s="3">
        <f>IFERROR(VLOOKUP(C82, MasterData!B:G, 2, FALSE), "")</f>
      </c>
      <c r="E82" s="3">
        <f>IFERROR(VLOOKUP(C82, MasterData!B:G, 3, FALSE), "")</f>
      </c>
      <c r="F82" s="3">
        <f>IFERROR(VLOOKUP(C82, MasterData!B:G, 4, FALSE), "")</f>
      </c>
      <c r="G82" s="4"/>
      <c r="H82" s="4">
        <f>IFERROR(VLOOKUP(C82, MasterData!B:G, 5, FALSE), "")</f>
      </c>
      <c r="I82" s="4">
        <f>IF(AND(G82&lt;&gt;"", H82&lt;&gt;""), G82*H82, "")</f>
      </c>
      <c r="J82" s="4">
        <f>IFERROR(VLOOKUP(C82, MasterData!B:G, 6, FALSE), 18)</f>
      </c>
      <c r="K82" s="4">
        <f>IF(I82&lt;&gt;"", I82*J82/100, "")</f>
      </c>
      <c r="L82" s="4">
        <f>IF(I82&lt;&gt;"", I82+K82, "")</f>
      </c>
    </row>
    <row r="83" spans="1:12" x14ac:dyDescent="0.25">
      <c r="A83" s="3">
        <f>IF(C83&lt;&gt;"", ROW()-3, "")</f>
      </c>
      <c r="B83" s="3"/>
      <c r="C83" s="3"/>
      <c r="D83" s="3">
        <f>IFERROR(VLOOKUP(C83, MasterData!B:G, 2, FALSE), "")</f>
      </c>
      <c r="E83" s="3">
        <f>IFERROR(VLOOKUP(C83, MasterData!B:G, 3, FALSE), "")</f>
      </c>
      <c r="F83" s="3">
        <f>IFERROR(VLOOKUP(C83, MasterData!B:G, 4, FALSE), "")</f>
      </c>
      <c r="G83" s="4"/>
      <c r="H83" s="4">
        <f>IFERROR(VLOOKUP(C83, MasterData!B:G, 5, FALSE), "")</f>
      </c>
      <c r="I83" s="4">
        <f>IF(AND(G83&lt;&gt;"", H83&lt;&gt;""), G83*H83, "")</f>
      </c>
      <c r="J83" s="4">
        <f>IFERROR(VLOOKUP(C83, MasterData!B:G, 6, FALSE), 18)</f>
      </c>
      <c r="K83" s="4">
        <f>IF(I83&lt;&gt;"", I83*J83/100, "")</f>
      </c>
      <c r="L83" s="4">
        <f>IF(I83&lt;&gt;"", I83+K83, "")</f>
      </c>
    </row>
    <row r="84" spans="1:12" x14ac:dyDescent="0.25">
      <c r="A84" s="3">
        <f>IF(C84&lt;&gt;"", ROW()-3, "")</f>
      </c>
      <c r="B84" s="3"/>
      <c r="C84" s="3"/>
      <c r="D84" s="3">
        <f>IFERROR(VLOOKUP(C84, MasterData!B:G, 2, FALSE), "")</f>
      </c>
      <c r="E84" s="3">
        <f>IFERROR(VLOOKUP(C84, MasterData!B:G, 3, FALSE), "")</f>
      </c>
      <c r="F84" s="3">
        <f>IFERROR(VLOOKUP(C84, MasterData!B:G, 4, FALSE), "")</f>
      </c>
      <c r="G84" s="4"/>
      <c r="H84" s="4">
        <f>IFERROR(VLOOKUP(C84, MasterData!B:G, 5, FALSE), "")</f>
      </c>
      <c r="I84" s="4">
        <f>IF(AND(G84&lt;&gt;"", H84&lt;&gt;""), G84*H84, "")</f>
      </c>
      <c r="J84" s="4">
        <f>IFERROR(VLOOKUP(C84, MasterData!B:G, 6, FALSE), 18)</f>
      </c>
      <c r="K84" s="4">
        <f>IF(I84&lt;&gt;"", I84*J84/100, "")</f>
      </c>
      <c r="L84" s="4">
        <f>IF(I84&lt;&gt;"", I84+K84, "")</f>
      </c>
    </row>
    <row r="85" spans="1:12" x14ac:dyDescent="0.25">
      <c r="A85" s="3">
        <f>IF(C85&lt;&gt;"", ROW()-3, "")</f>
      </c>
      <c r="B85" s="3"/>
      <c r="C85" s="3"/>
      <c r="D85" s="3">
        <f>IFERROR(VLOOKUP(C85, MasterData!B:G, 2, FALSE), "")</f>
      </c>
      <c r="E85" s="3">
        <f>IFERROR(VLOOKUP(C85, MasterData!B:G, 3, FALSE), "")</f>
      </c>
      <c r="F85" s="3">
        <f>IFERROR(VLOOKUP(C85, MasterData!B:G, 4, FALSE), "")</f>
      </c>
      <c r="G85" s="4"/>
      <c r="H85" s="4">
        <f>IFERROR(VLOOKUP(C85, MasterData!B:G, 5, FALSE), "")</f>
      </c>
      <c r="I85" s="4">
        <f>IF(AND(G85&lt;&gt;"", H85&lt;&gt;""), G85*H85, "")</f>
      </c>
      <c r="J85" s="4">
        <f>IFERROR(VLOOKUP(C85, MasterData!B:G, 6, FALSE), 18)</f>
      </c>
      <c r="K85" s="4">
        <f>IF(I85&lt;&gt;"", I85*J85/100, "")</f>
      </c>
      <c r="L85" s="4">
        <f>IF(I85&lt;&gt;"", I85+K85, "")</f>
      </c>
    </row>
    <row r="86" spans="1:12" x14ac:dyDescent="0.25">
      <c r="A86" s="3">
        <f>IF(C86&lt;&gt;"", ROW()-3, "")</f>
      </c>
      <c r="B86" s="3"/>
      <c r="C86" s="3"/>
      <c r="D86" s="3">
        <f>IFERROR(VLOOKUP(C86, MasterData!B:G, 2, FALSE), "")</f>
      </c>
      <c r="E86" s="3">
        <f>IFERROR(VLOOKUP(C86, MasterData!B:G, 3, FALSE), "")</f>
      </c>
      <c r="F86" s="3">
        <f>IFERROR(VLOOKUP(C86, MasterData!B:G, 4, FALSE), "")</f>
      </c>
      <c r="G86" s="4"/>
      <c r="H86" s="4">
        <f>IFERROR(VLOOKUP(C86, MasterData!B:G, 5, FALSE), "")</f>
      </c>
      <c r="I86" s="4">
        <f>IF(AND(G86&lt;&gt;"", H86&lt;&gt;""), G86*H86, "")</f>
      </c>
      <c r="J86" s="4">
        <f>IFERROR(VLOOKUP(C86, MasterData!B:G, 6, FALSE), 18)</f>
      </c>
      <c r="K86" s="4">
        <f>IF(I86&lt;&gt;"", I86*J86/100, "")</f>
      </c>
      <c r="L86" s="4">
        <f>IF(I86&lt;&gt;"", I86+K86, "")</f>
      </c>
    </row>
    <row r="87" spans="1:12" x14ac:dyDescent="0.25">
      <c r="A87" s="3">
        <f>IF(C87&lt;&gt;"", ROW()-3, "")</f>
      </c>
      <c r="B87" s="3"/>
      <c r="C87" s="3"/>
      <c r="D87" s="3">
        <f>IFERROR(VLOOKUP(C87, MasterData!B:G, 2, FALSE), "")</f>
      </c>
      <c r="E87" s="3">
        <f>IFERROR(VLOOKUP(C87, MasterData!B:G, 3, FALSE), "")</f>
      </c>
      <c r="F87" s="3">
        <f>IFERROR(VLOOKUP(C87, MasterData!B:G, 4, FALSE), "")</f>
      </c>
      <c r="G87" s="4"/>
      <c r="H87" s="4">
        <f>IFERROR(VLOOKUP(C87, MasterData!B:G, 5, FALSE), "")</f>
      </c>
      <c r="I87" s="4">
        <f>IF(AND(G87&lt;&gt;"", H87&lt;&gt;""), G87*H87, "")</f>
      </c>
      <c r="J87" s="4">
        <f>IFERROR(VLOOKUP(C87, MasterData!B:G, 6, FALSE), 18)</f>
      </c>
      <c r="K87" s="4">
        <f>IF(I87&lt;&gt;"", I87*J87/100, "")</f>
      </c>
      <c r="L87" s="4">
        <f>IF(I87&lt;&gt;"", I87+K87, "")</f>
      </c>
    </row>
    <row r="88" spans="1:12" x14ac:dyDescent="0.25">
      <c r="A88" s="3">
        <f>IF(C88&lt;&gt;"", ROW()-3, "")</f>
      </c>
      <c r="B88" s="3"/>
      <c r="C88" s="3"/>
      <c r="D88" s="3">
        <f>IFERROR(VLOOKUP(C88, MasterData!B:G, 2, FALSE), "")</f>
      </c>
      <c r="E88" s="3">
        <f>IFERROR(VLOOKUP(C88, MasterData!B:G, 3, FALSE), "")</f>
      </c>
      <c r="F88" s="3">
        <f>IFERROR(VLOOKUP(C88, MasterData!B:G, 4, FALSE), "")</f>
      </c>
      <c r="G88" s="4"/>
      <c r="H88" s="4">
        <f>IFERROR(VLOOKUP(C88, MasterData!B:G, 5, FALSE), "")</f>
      </c>
      <c r="I88" s="4">
        <f>IF(AND(G88&lt;&gt;"", H88&lt;&gt;""), G88*H88, "")</f>
      </c>
      <c r="J88" s="4">
        <f>IFERROR(VLOOKUP(C88, MasterData!B:G, 6, FALSE), 18)</f>
      </c>
      <c r="K88" s="4">
        <f>IF(I88&lt;&gt;"", I88*J88/100, "")</f>
      </c>
      <c r="L88" s="4">
        <f>IF(I88&lt;&gt;"", I88+K88, "")</f>
      </c>
    </row>
    <row r="89" spans="1:12" x14ac:dyDescent="0.25">
      <c r="A89" s="3">
        <f>IF(C89&lt;&gt;"", ROW()-3, "")</f>
      </c>
      <c r="B89" s="3"/>
      <c r="C89" s="3"/>
      <c r="D89" s="3">
        <f>IFERROR(VLOOKUP(C89, MasterData!B:G, 2, FALSE), "")</f>
      </c>
      <c r="E89" s="3">
        <f>IFERROR(VLOOKUP(C89, MasterData!B:G, 3, FALSE), "")</f>
      </c>
      <c r="F89" s="3">
        <f>IFERROR(VLOOKUP(C89, MasterData!B:G, 4, FALSE), "")</f>
      </c>
      <c r="G89" s="4"/>
      <c r="H89" s="4">
        <f>IFERROR(VLOOKUP(C89, MasterData!B:G, 5, FALSE), "")</f>
      </c>
      <c r="I89" s="4">
        <f>IF(AND(G89&lt;&gt;"", H89&lt;&gt;""), G89*H89, "")</f>
      </c>
      <c r="J89" s="4">
        <f>IFERROR(VLOOKUP(C89, MasterData!B:G, 6, FALSE), 18)</f>
      </c>
      <c r="K89" s="4">
        <f>IF(I89&lt;&gt;"", I89*J89/100, "")</f>
      </c>
      <c r="L89" s="4">
        <f>IF(I89&lt;&gt;"", I89+K89, "")</f>
      </c>
    </row>
    <row r="90" spans="1:12" x14ac:dyDescent="0.25">
      <c r="A90" s="3">
        <f>IF(C90&lt;&gt;"", ROW()-3, "")</f>
      </c>
      <c r="B90" s="3"/>
      <c r="C90" s="3"/>
      <c r="D90" s="3">
        <f>IFERROR(VLOOKUP(C90, MasterData!B:G, 2, FALSE), "")</f>
      </c>
      <c r="E90" s="3">
        <f>IFERROR(VLOOKUP(C90, MasterData!B:G, 3, FALSE), "")</f>
      </c>
      <c r="F90" s="3">
        <f>IFERROR(VLOOKUP(C90, MasterData!B:G, 4, FALSE), "")</f>
      </c>
      <c r="G90" s="4"/>
      <c r="H90" s="4">
        <f>IFERROR(VLOOKUP(C90, MasterData!B:G, 5, FALSE), "")</f>
      </c>
      <c r="I90" s="4">
        <f>IF(AND(G90&lt;&gt;"", H90&lt;&gt;""), G90*H90, "")</f>
      </c>
      <c r="J90" s="4">
        <f>IFERROR(VLOOKUP(C90, MasterData!B:G, 6, FALSE), 18)</f>
      </c>
      <c r="K90" s="4">
        <f>IF(I90&lt;&gt;"", I90*J90/100, "")</f>
      </c>
      <c r="L90" s="4">
        <f>IF(I90&lt;&gt;"", I90+K90, "")</f>
      </c>
    </row>
    <row r="91" spans="1:12" x14ac:dyDescent="0.25">
      <c r="A91" s="3">
        <f>IF(C91&lt;&gt;"", ROW()-3, "")</f>
      </c>
      <c r="B91" s="3"/>
      <c r="C91" s="3"/>
      <c r="D91" s="3">
        <f>IFERROR(VLOOKUP(C91, MasterData!B:G, 2, FALSE), "")</f>
      </c>
      <c r="E91" s="3">
        <f>IFERROR(VLOOKUP(C91, MasterData!B:G, 3, FALSE), "")</f>
      </c>
      <c r="F91" s="3">
        <f>IFERROR(VLOOKUP(C91, MasterData!B:G, 4, FALSE), "")</f>
      </c>
      <c r="G91" s="4"/>
      <c r="H91" s="4">
        <f>IFERROR(VLOOKUP(C91, MasterData!B:G, 5, FALSE), "")</f>
      </c>
      <c r="I91" s="4">
        <f>IF(AND(G91&lt;&gt;"", H91&lt;&gt;""), G91*H91, "")</f>
      </c>
      <c r="J91" s="4">
        <f>IFERROR(VLOOKUP(C91, MasterData!B:G, 6, FALSE), 18)</f>
      </c>
      <c r="K91" s="4">
        <f>IF(I91&lt;&gt;"", I91*J91/100, "")</f>
      </c>
      <c r="L91" s="4">
        <f>IF(I91&lt;&gt;"", I91+K91, "")</f>
      </c>
    </row>
    <row r="92" spans="1:12" x14ac:dyDescent="0.25">
      <c r="A92" s="3">
        <f>IF(C92&lt;&gt;"", ROW()-3, "")</f>
      </c>
      <c r="B92" s="3"/>
      <c r="C92" s="3"/>
      <c r="D92" s="3">
        <f>IFERROR(VLOOKUP(C92, MasterData!B:G, 2, FALSE), "")</f>
      </c>
      <c r="E92" s="3">
        <f>IFERROR(VLOOKUP(C92, MasterData!B:G, 3, FALSE), "")</f>
      </c>
      <c r="F92" s="3">
        <f>IFERROR(VLOOKUP(C92, MasterData!B:G, 4, FALSE), "")</f>
      </c>
      <c r="G92" s="4"/>
      <c r="H92" s="4">
        <f>IFERROR(VLOOKUP(C92, MasterData!B:G, 5, FALSE), "")</f>
      </c>
      <c r="I92" s="4">
        <f>IF(AND(G92&lt;&gt;"", H92&lt;&gt;""), G92*H92, "")</f>
      </c>
      <c r="J92" s="4">
        <f>IFERROR(VLOOKUP(C92, MasterData!B:G, 6, FALSE), 18)</f>
      </c>
      <c r="K92" s="4">
        <f>IF(I92&lt;&gt;"", I92*J92/100, "")</f>
      </c>
      <c r="L92" s="4">
        <f>IF(I92&lt;&gt;"", I92+K92, "")</f>
      </c>
    </row>
    <row r="93" spans="1:12" x14ac:dyDescent="0.25">
      <c r="A93" s="3">
        <f>IF(C93&lt;&gt;"", ROW()-3, "")</f>
      </c>
      <c r="B93" s="3"/>
      <c r="C93" s="3"/>
      <c r="D93" s="3">
        <f>IFERROR(VLOOKUP(C93, MasterData!B:G, 2, FALSE), "")</f>
      </c>
      <c r="E93" s="3">
        <f>IFERROR(VLOOKUP(C93, MasterData!B:G, 3, FALSE), "")</f>
      </c>
      <c r="F93" s="3">
        <f>IFERROR(VLOOKUP(C93, MasterData!B:G, 4, FALSE), "")</f>
      </c>
      <c r="G93" s="4"/>
      <c r="H93" s="4">
        <f>IFERROR(VLOOKUP(C93, MasterData!B:G, 5, FALSE), "")</f>
      </c>
      <c r="I93" s="4">
        <f>IF(AND(G93&lt;&gt;"", H93&lt;&gt;""), G93*H93, "")</f>
      </c>
      <c r="J93" s="4">
        <f>IFERROR(VLOOKUP(C93, MasterData!B:G, 6, FALSE), 18)</f>
      </c>
      <c r="K93" s="4">
        <f>IF(I93&lt;&gt;"", I93*J93/100, "")</f>
      </c>
      <c r="L93" s="4">
        <f>IF(I93&lt;&gt;"", I93+K93, "")</f>
      </c>
    </row>
    <row r="94" spans="1:12" x14ac:dyDescent="0.25">
      <c r="A94" s="3">
        <f>IF(C94&lt;&gt;"", ROW()-3, "")</f>
      </c>
      <c r="B94" s="3"/>
      <c r="C94" s="3"/>
      <c r="D94" s="3">
        <f>IFERROR(VLOOKUP(C94, MasterData!B:G, 2, FALSE), "")</f>
      </c>
      <c r="E94" s="3">
        <f>IFERROR(VLOOKUP(C94, MasterData!B:G, 3, FALSE), "")</f>
      </c>
      <c r="F94" s="3">
        <f>IFERROR(VLOOKUP(C94, MasterData!B:G, 4, FALSE), "")</f>
      </c>
      <c r="G94" s="4"/>
      <c r="H94" s="4">
        <f>IFERROR(VLOOKUP(C94, MasterData!B:G, 5, FALSE), "")</f>
      </c>
      <c r="I94" s="4">
        <f>IF(AND(G94&lt;&gt;"", H94&lt;&gt;""), G94*H94, "")</f>
      </c>
      <c r="J94" s="4">
        <f>IFERROR(VLOOKUP(C94, MasterData!B:G, 6, FALSE), 18)</f>
      </c>
      <c r="K94" s="4">
        <f>IF(I94&lt;&gt;"", I94*J94/100, "")</f>
      </c>
      <c r="L94" s="4">
        <f>IF(I94&lt;&gt;"", I94+K94, "")</f>
      </c>
    </row>
    <row r="95" spans="1:12" x14ac:dyDescent="0.25">
      <c r="A95" s="3">
        <f>IF(C95&lt;&gt;"", ROW()-3, "")</f>
      </c>
      <c r="B95" s="3"/>
      <c r="C95" s="3"/>
      <c r="D95" s="3">
        <f>IFERROR(VLOOKUP(C95, MasterData!B:G, 2, FALSE), "")</f>
      </c>
      <c r="E95" s="3">
        <f>IFERROR(VLOOKUP(C95, MasterData!B:G, 3, FALSE), "")</f>
      </c>
      <c r="F95" s="3">
        <f>IFERROR(VLOOKUP(C95, MasterData!B:G, 4, FALSE), "")</f>
      </c>
      <c r="G95" s="4"/>
      <c r="H95" s="4">
        <f>IFERROR(VLOOKUP(C95, MasterData!B:G, 5, FALSE), "")</f>
      </c>
      <c r="I95" s="4">
        <f>IF(AND(G95&lt;&gt;"", H95&lt;&gt;""), G95*H95, "")</f>
      </c>
      <c r="J95" s="4">
        <f>IFERROR(VLOOKUP(C95, MasterData!B:G, 6, FALSE), 18)</f>
      </c>
      <c r="K95" s="4">
        <f>IF(I95&lt;&gt;"", I95*J95/100, "")</f>
      </c>
      <c r="L95" s="4">
        <f>IF(I95&lt;&gt;"", I95+K95, "")</f>
      </c>
    </row>
    <row r="96" spans="1:12" x14ac:dyDescent="0.25">
      <c r="A96" s="3">
        <f>IF(C96&lt;&gt;"", ROW()-3, "")</f>
      </c>
      <c r="B96" s="3"/>
      <c r="C96" s="3"/>
      <c r="D96" s="3">
        <f>IFERROR(VLOOKUP(C96, MasterData!B:G, 2, FALSE), "")</f>
      </c>
      <c r="E96" s="3">
        <f>IFERROR(VLOOKUP(C96, MasterData!B:G, 3, FALSE), "")</f>
      </c>
      <c r="F96" s="3">
        <f>IFERROR(VLOOKUP(C96, MasterData!B:G, 4, FALSE), "")</f>
      </c>
      <c r="G96" s="4"/>
      <c r="H96" s="4">
        <f>IFERROR(VLOOKUP(C96, MasterData!B:G, 5, FALSE), "")</f>
      </c>
      <c r="I96" s="4">
        <f>IF(AND(G96&lt;&gt;"", H96&lt;&gt;""), G96*H96, "")</f>
      </c>
      <c r="J96" s="4">
        <f>IFERROR(VLOOKUP(C96, MasterData!B:G, 6, FALSE), 18)</f>
      </c>
      <c r="K96" s="4">
        <f>IF(I96&lt;&gt;"", I96*J96/100, "")</f>
      </c>
      <c r="L96" s="4">
        <f>IF(I96&lt;&gt;"", I96+K96, "")</f>
      </c>
    </row>
    <row r="97" spans="1:12" x14ac:dyDescent="0.25">
      <c r="A97" s="3">
        <f>IF(C97&lt;&gt;"", ROW()-3, "")</f>
      </c>
      <c r="B97" s="3"/>
      <c r="C97" s="3"/>
      <c r="D97" s="3">
        <f>IFERROR(VLOOKUP(C97, MasterData!B:G, 2, FALSE), "")</f>
      </c>
      <c r="E97" s="3">
        <f>IFERROR(VLOOKUP(C97, MasterData!B:G, 3, FALSE), "")</f>
      </c>
      <c r="F97" s="3">
        <f>IFERROR(VLOOKUP(C97, MasterData!B:G, 4, FALSE), "")</f>
      </c>
      <c r="G97" s="4"/>
      <c r="H97" s="4">
        <f>IFERROR(VLOOKUP(C97, MasterData!B:G, 5, FALSE), "")</f>
      </c>
      <c r="I97" s="4">
        <f>IF(AND(G97&lt;&gt;"", H97&lt;&gt;""), G97*H97, "")</f>
      </c>
      <c r="J97" s="4">
        <f>IFERROR(VLOOKUP(C97, MasterData!B:G, 6, FALSE), 18)</f>
      </c>
      <c r="K97" s="4">
        <f>IF(I97&lt;&gt;"", I97*J97/100, "")</f>
      </c>
      <c r="L97" s="4">
        <f>IF(I97&lt;&gt;"", I97+K97, "")</f>
      </c>
    </row>
    <row r="98" spans="1:12" x14ac:dyDescent="0.25">
      <c r="A98" s="3">
        <f>IF(C98&lt;&gt;"", ROW()-3, "")</f>
      </c>
      <c r="B98" s="3"/>
      <c r="C98" s="3"/>
      <c r="D98" s="3">
        <f>IFERROR(VLOOKUP(C98, MasterData!B:G, 2, FALSE), "")</f>
      </c>
      <c r="E98" s="3">
        <f>IFERROR(VLOOKUP(C98, MasterData!B:G, 3, FALSE), "")</f>
      </c>
      <c r="F98" s="3">
        <f>IFERROR(VLOOKUP(C98, MasterData!B:G, 4, FALSE), "")</f>
      </c>
      <c r="G98" s="4"/>
      <c r="H98" s="4">
        <f>IFERROR(VLOOKUP(C98, MasterData!B:G, 5, FALSE), "")</f>
      </c>
      <c r="I98" s="4">
        <f>IF(AND(G98&lt;&gt;"", H98&lt;&gt;""), G98*H98, "")</f>
      </c>
      <c r="J98" s="4">
        <f>IFERROR(VLOOKUP(C98, MasterData!B:G, 6, FALSE), 18)</f>
      </c>
      <c r="K98" s="4">
        <f>IF(I98&lt;&gt;"", I98*J98/100, "")</f>
      </c>
      <c r="L98" s="4">
        <f>IF(I98&lt;&gt;"", I98+K98, "")</f>
      </c>
    </row>
    <row r="99" spans="1:12" x14ac:dyDescent="0.25">
      <c r="A99" s="3">
        <f>IF(C99&lt;&gt;"", ROW()-3, "")</f>
      </c>
      <c r="B99" s="3"/>
      <c r="C99" s="3"/>
      <c r="D99" s="3">
        <f>IFERROR(VLOOKUP(C99, MasterData!B:G, 2, FALSE), "")</f>
      </c>
      <c r="E99" s="3">
        <f>IFERROR(VLOOKUP(C99, MasterData!B:G, 3, FALSE), "")</f>
      </c>
      <c r="F99" s="3">
        <f>IFERROR(VLOOKUP(C99, MasterData!B:G, 4, FALSE), "")</f>
      </c>
      <c r="G99" s="4"/>
      <c r="H99" s="4">
        <f>IFERROR(VLOOKUP(C99, MasterData!B:G, 5, FALSE), "")</f>
      </c>
      <c r="I99" s="4">
        <f>IF(AND(G99&lt;&gt;"", H99&lt;&gt;""), G99*H99, "")</f>
      </c>
      <c r="J99" s="4">
        <f>IFERROR(VLOOKUP(C99, MasterData!B:G, 6, FALSE), 18)</f>
      </c>
      <c r="K99" s="4">
        <f>IF(I99&lt;&gt;"", I99*J99/100, "")</f>
      </c>
      <c r="L99" s="4">
        <f>IF(I99&lt;&gt;"", I99+K99, "")</f>
      </c>
    </row>
    <row r="100" spans="1:12" x14ac:dyDescent="0.25">
      <c r="A100" s="3">
        <f>IF(C100&lt;&gt;"", ROW()-3, "")</f>
      </c>
      <c r="B100" s="3"/>
      <c r="C100" s="3"/>
      <c r="D100" s="3">
        <f>IFERROR(VLOOKUP(C100, MasterData!B:G, 2, FALSE), "")</f>
      </c>
      <c r="E100" s="3">
        <f>IFERROR(VLOOKUP(C100, MasterData!B:G, 3, FALSE), "")</f>
      </c>
      <c r="F100" s="3">
        <f>IFERROR(VLOOKUP(C100, MasterData!B:G, 4, FALSE), "")</f>
      </c>
      <c r="G100" s="4"/>
      <c r="H100" s="4">
        <f>IFERROR(VLOOKUP(C100, MasterData!B:G, 5, FALSE), "")</f>
      </c>
      <c r="I100" s="4">
        <f>IF(AND(G100&lt;&gt;"", H100&lt;&gt;""), G100*H100, "")</f>
      </c>
      <c r="J100" s="4">
        <f>IFERROR(VLOOKUP(C100, MasterData!B:G, 6, FALSE), 18)</f>
      </c>
      <c r="K100" s="4">
        <f>IF(I100&lt;&gt;"", I100*J100/100, "")</f>
      </c>
      <c r="L100" s="4">
        <f>IF(I100&lt;&gt;"", I100+K100, "")</f>
      </c>
    </row>
    <row r="101" spans="1:12" x14ac:dyDescent="0.25">
      <c r="A101" s="3">
        <f>IF(C101&lt;&gt;"", ROW()-3, "")</f>
      </c>
      <c r="B101" s="3"/>
      <c r="C101" s="3"/>
      <c r="D101" s="3">
        <f>IFERROR(VLOOKUP(C101, MasterData!B:G, 2, FALSE), "")</f>
      </c>
      <c r="E101" s="3">
        <f>IFERROR(VLOOKUP(C101, MasterData!B:G, 3, FALSE), "")</f>
      </c>
      <c r="F101" s="3">
        <f>IFERROR(VLOOKUP(C101, MasterData!B:G, 4, FALSE), "")</f>
      </c>
      <c r="G101" s="4"/>
      <c r="H101" s="4">
        <f>IFERROR(VLOOKUP(C101, MasterData!B:G, 5, FALSE), "")</f>
      </c>
      <c r="I101" s="4">
        <f>IF(AND(G101&lt;&gt;"", H101&lt;&gt;""), G101*H101, "")</f>
      </c>
      <c r="J101" s="4">
        <f>IFERROR(VLOOKUP(C101, MasterData!B:G, 6, FALSE), 18)</f>
      </c>
      <c r="K101" s="4">
        <f>IF(I101&lt;&gt;"", I101*J101/100, "")</f>
      </c>
      <c r="L101" s="4">
        <f>IF(I101&lt;&gt;"", I101+K101, "")</f>
      </c>
    </row>
    <row r="102" spans="1:12" x14ac:dyDescent="0.25">
      <c r="A102" s="3">
        <f>IF(C102&lt;&gt;"", ROW()-3, "")</f>
      </c>
      <c r="B102" s="3"/>
      <c r="C102" s="3"/>
      <c r="D102" s="3">
        <f>IFERROR(VLOOKUP(C102, MasterData!B:G, 2, FALSE), "")</f>
      </c>
      <c r="E102" s="3">
        <f>IFERROR(VLOOKUP(C102, MasterData!B:G, 3, FALSE), "")</f>
      </c>
      <c r="F102" s="3">
        <f>IFERROR(VLOOKUP(C102, MasterData!B:G, 4, FALSE), "")</f>
      </c>
      <c r="G102" s="4"/>
      <c r="H102" s="4">
        <f>IFERROR(VLOOKUP(C102, MasterData!B:G, 5, FALSE), "")</f>
      </c>
      <c r="I102" s="4">
        <f>IF(AND(G102&lt;&gt;"", H102&lt;&gt;""), G102*H102, "")</f>
      </c>
      <c r="J102" s="4">
        <f>IFERROR(VLOOKUP(C102, MasterData!B:G, 6, FALSE), 18)</f>
      </c>
      <c r="K102" s="4">
        <f>IF(I102&lt;&gt;"", I102*J102/100, "")</f>
      </c>
      <c r="L102" s="4">
        <f>IF(I102&lt;&gt;"", I102+K102, "")</f>
      </c>
    </row>
    <row r="103" spans="1:12" x14ac:dyDescent="0.25">
      <c r="A103" s="3">
        <f>IF(C103&lt;&gt;"", ROW()-3, "")</f>
      </c>
      <c r="B103" s="3"/>
      <c r="C103" s="3"/>
      <c r="D103" s="3">
        <f>IFERROR(VLOOKUP(C103, MasterData!B:G, 2, FALSE), "")</f>
      </c>
      <c r="E103" s="3">
        <f>IFERROR(VLOOKUP(C103, MasterData!B:G, 3, FALSE), "")</f>
      </c>
      <c r="F103" s="3">
        <f>IFERROR(VLOOKUP(C103, MasterData!B:G, 4, FALSE), "")</f>
      </c>
      <c r="G103" s="4"/>
      <c r="H103" s="4">
        <f>IFERROR(VLOOKUP(C103, MasterData!B:G, 5, FALSE), "")</f>
      </c>
      <c r="I103" s="4">
        <f>IF(AND(G103&lt;&gt;"", H103&lt;&gt;""), G103*H103, "")</f>
      </c>
      <c r="J103" s="4">
        <f>IFERROR(VLOOKUP(C103, MasterData!B:G, 6, FALSE), 18)</f>
      </c>
      <c r="K103" s="4">
        <f>IF(I103&lt;&gt;"", I103*J103/100, "")</f>
      </c>
      <c r="L103" s="4">
        <f>IF(I103&lt;&gt;"", I103+K103, "")</f>
      </c>
    </row>
    <row r="104" spans="1:12" x14ac:dyDescent="0.25">
      <c r="A104" s="3">
        <f>IF(C104&lt;&gt;"", ROW()-3, "")</f>
      </c>
      <c r="B104" s="3"/>
      <c r="C104" s="3"/>
      <c r="D104" s="3">
        <f>IFERROR(VLOOKUP(C104, MasterData!B:G, 2, FALSE), "")</f>
      </c>
      <c r="E104" s="3">
        <f>IFERROR(VLOOKUP(C104, MasterData!B:G, 3, FALSE), "")</f>
      </c>
      <c r="F104" s="3">
        <f>IFERROR(VLOOKUP(C104, MasterData!B:G, 4, FALSE), "")</f>
      </c>
      <c r="G104" s="4"/>
      <c r="H104" s="4">
        <f>IFERROR(VLOOKUP(C104, MasterData!B:G, 5, FALSE), "")</f>
      </c>
      <c r="I104" s="4">
        <f>IF(AND(G104&lt;&gt;"", H104&lt;&gt;""), G104*H104, "")</f>
      </c>
      <c r="J104" s="4">
        <f>IFERROR(VLOOKUP(C104, MasterData!B:G, 6, FALSE), 18)</f>
      </c>
      <c r="K104" s="4">
        <f>IF(I104&lt;&gt;"", I104*J104/100, "")</f>
      </c>
      <c r="L104" s="4">
        <f>IF(I104&lt;&gt;"", I104+K104, "")</f>
      </c>
    </row>
    <row r="105" spans="1:12" x14ac:dyDescent="0.25">
      <c r="A105" s="3">
        <f>IF(C105&lt;&gt;"", ROW()-3, "")</f>
      </c>
      <c r="B105" s="3"/>
      <c r="C105" s="3"/>
      <c r="D105" s="3">
        <f>IFERROR(VLOOKUP(C105, MasterData!B:G, 2, FALSE), "")</f>
      </c>
      <c r="E105" s="3">
        <f>IFERROR(VLOOKUP(C105, MasterData!B:G, 3, FALSE), "")</f>
      </c>
      <c r="F105" s="3">
        <f>IFERROR(VLOOKUP(C105, MasterData!B:G, 4, FALSE), "")</f>
      </c>
      <c r="G105" s="4"/>
      <c r="H105" s="4">
        <f>IFERROR(VLOOKUP(C105, MasterData!B:G, 5, FALSE), "")</f>
      </c>
      <c r="I105" s="4">
        <f>IF(AND(G105&lt;&gt;"", H105&lt;&gt;""), G105*H105, "")</f>
      </c>
      <c r="J105" s="4">
        <f>IFERROR(VLOOKUP(C105, MasterData!B:G, 6, FALSE), 18)</f>
      </c>
      <c r="K105" s="4">
        <f>IF(I105&lt;&gt;"", I105*J105/100, "")</f>
      </c>
      <c r="L105" s="4">
        <f>IF(I105&lt;&gt;"", I105+K105, "")</f>
      </c>
    </row>
    <row r="106" spans="1:12" x14ac:dyDescent="0.25">
      <c r="A106" s="3">
        <f>IF(C106&lt;&gt;"", ROW()-3, "")</f>
      </c>
      <c r="B106" s="3"/>
      <c r="C106" s="3"/>
      <c r="D106" s="3">
        <f>IFERROR(VLOOKUP(C106, MasterData!B:G, 2, FALSE), "")</f>
      </c>
      <c r="E106" s="3">
        <f>IFERROR(VLOOKUP(C106, MasterData!B:G, 3, FALSE), "")</f>
      </c>
      <c r="F106" s="3">
        <f>IFERROR(VLOOKUP(C106, MasterData!B:G, 4, FALSE), "")</f>
      </c>
      <c r="G106" s="4"/>
      <c r="H106" s="4">
        <f>IFERROR(VLOOKUP(C106, MasterData!B:G, 5, FALSE), "")</f>
      </c>
      <c r="I106" s="4">
        <f>IF(AND(G106&lt;&gt;"", H106&lt;&gt;""), G106*H106, "")</f>
      </c>
      <c r="J106" s="4">
        <f>IFERROR(VLOOKUP(C106, MasterData!B:G, 6, FALSE), 18)</f>
      </c>
      <c r="K106" s="4">
        <f>IF(I106&lt;&gt;"", I106*J106/100, "")</f>
      </c>
      <c r="L106" s="4">
        <f>IF(I106&lt;&gt;"", I106+K106, "")</f>
      </c>
    </row>
    <row r="107" spans="1:12" x14ac:dyDescent="0.25">
      <c r="A107" s="3">
        <f>IF(C107&lt;&gt;"", ROW()-3, "")</f>
      </c>
      <c r="B107" s="3"/>
      <c r="C107" s="3"/>
      <c r="D107" s="3">
        <f>IFERROR(VLOOKUP(C107, MasterData!B:G, 2, FALSE), "")</f>
      </c>
      <c r="E107" s="3">
        <f>IFERROR(VLOOKUP(C107, MasterData!B:G, 3, FALSE), "")</f>
      </c>
      <c r="F107" s="3">
        <f>IFERROR(VLOOKUP(C107, MasterData!B:G, 4, FALSE), "")</f>
      </c>
      <c r="G107" s="4"/>
      <c r="H107" s="4">
        <f>IFERROR(VLOOKUP(C107, MasterData!B:G, 5, FALSE), "")</f>
      </c>
      <c r="I107" s="4">
        <f>IF(AND(G107&lt;&gt;"", H107&lt;&gt;""), G107*H107, "")</f>
      </c>
      <c r="J107" s="4">
        <f>IFERROR(VLOOKUP(C107, MasterData!B:G, 6, FALSE), 18)</f>
      </c>
      <c r="K107" s="4">
        <f>IF(I107&lt;&gt;"", I107*J107/100, "")</f>
      </c>
      <c r="L107" s="4">
        <f>IF(I107&lt;&gt;"", I107+K107, "")</f>
      </c>
    </row>
    <row r="108" spans="1:12" x14ac:dyDescent="0.25">
      <c r="A108" s="3">
        <f>IF(C108&lt;&gt;"", ROW()-3, "")</f>
      </c>
      <c r="B108" s="3"/>
      <c r="C108" s="3"/>
      <c r="D108" s="3">
        <f>IFERROR(VLOOKUP(C108, MasterData!B:G, 2, FALSE), "")</f>
      </c>
      <c r="E108" s="3">
        <f>IFERROR(VLOOKUP(C108, MasterData!B:G, 3, FALSE), "")</f>
      </c>
      <c r="F108" s="3">
        <f>IFERROR(VLOOKUP(C108, MasterData!B:G, 4, FALSE), "")</f>
      </c>
      <c r="G108" s="4"/>
      <c r="H108" s="4">
        <f>IFERROR(VLOOKUP(C108, MasterData!B:G, 5, FALSE), "")</f>
      </c>
      <c r="I108" s="4">
        <f>IF(AND(G108&lt;&gt;"", H108&lt;&gt;""), G108*H108, "")</f>
      </c>
      <c r="J108" s="4">
        <f>IFERROR(VLOOKUP(C108, MasterData!B:G, 6, FALSE), 18)</f>
      </c>
      <c r="K108" s="4">
        <f>IF(I108&lt;&gt;"", I108*J108/100, "")</f>
      </c>
      <c r="L108" s="4">
        <f>IF(I108&lt;&gt;"", I108+K108, "")</f>
      </c>
    </row>
    <row r="109" spans="1:12" x14ac:dyDescent="0.25">
      <c r="A109" s="3">
        <f>IF(C109&lt;&gt;"", ROW()-3, "")</f>
      </c>
      <c r="B109" s="3"/>
      <c r="C109" s="3"/>
      <c r="D109" s="3">
        <f>IFERROR(VLOOKUP(C109, MasterData!B:G, 2, FALSE), "")</f>
      </c>
      <c r="E109" s="3">
        <f>IFERROR(VLOOKUP(C109, MasterData!B:G, 3, FALSE), "")</f>
      </c>
      <c r="F109" s="3">
        <f>IFERROR(VLOOKUP(C109, MasterData!B:G, 4, FALSE), "")</f>
      </c>
      <c r="G109" s="4"/>
      <c r="H109" s="4">
        <f>IFERROR(VLOOKUP(C109, MasterData!B:G, 5, FALSE), "")</f>
      </c>
      <c r="I109" s="4">
        <f>IF(AND(G109&lt;&gt;"", H109&lt;&gt;""), G109*H109, "")</f>
      </c>
      <c r="J109" s="4">
        <f>IFERROR(VLOOKUP(C109, MasterData!B:G, 6, FALSE), 18)</f>
      </c>
      <c r="K109" s="4">
        <f>IF(I109&lt;&gt;"", I109*J109/100, "")</f>
      </c>
      <c r="L109" s="4">
        <f>IF(I109&lt;&gt;"", I109+K109, "")</f>
      </c>
    </row>
    <row r="110" spans="1:12" x14ac:dyDescent="0.25">
      <c r="A110" s="3">
        <f>IF(C110&lt;&gt;"", ROW()-3, "")</f>
      </c>
      <c r="B110" s="3"/>
      <c r="C110" s="3"/>
      <c r="D110" s="3">
        <f>IFERROR(VLOOKUP(C110, MasterData!B:G, 2, FALSE), "")</f>
      </c>
      <c r="E110" s="3">
        <f>IFERROR(VLOOKUP(C110, MasterData!B:G, 3, FALSE), "")</f>
      </c>
      <c r="F110" s="3">
        <f>IFERROR(VLOOKUP(C110, MasterData!B:G, 4, FALSE), "")</f>
      </c>
      <c r="G110" s="4"/>
      <c r="H110" s="4">
        <f>IFERROR(VLOOKUP(C110, MasterData!B:G, 5, FALSE), "")</f>
      </c>
      <c r="I110" s="4">
        <f>IF(AND(G110&lt;&gt;"", H110&lt;&gt;""), G110*H110, "")</f>
      </c>
      <c r="J110" s="4">
        <f>IFERROR(VLOOKUP(C110, MasterData!B:G, 6, FALSE), 18)</f>
      </c>
      <c r="K110" s="4">
        <f>IF(I110&lt;&gt;"", I110*J110/100, "")</f>
      </c>
      <c r="L110" s="4">
        <f>IF(I110&lt;&gt;"", I110+K110, "")</f>
      </c>
    </row>
    <row r="111" spans="1:12" x14ac:dyDescent="0.25">
      <c r="A111" s="3">
        <f>IF(C111&lt;&gt;"", ROW()-3, "")</f>
      </c>
      <c r="B111" s="3"/>
      <c r="C111" s="3"/>
      <c r="D111" s="3">
        <f>IFERROR(VLOOKUP(C111, MasterData!B:G, 2, FALSE), "")</f>
      </c>
      <c r="E111" s="3">
        <f>IFERROR(VLOOKUP(C111, MasterData!B:G, 3, FALSE), "")</f>
      </c>
      <c r="F111" s="3">
        <f>IFERROR(VLOOKUP(C111, MasterData!B:G, 4, FALSE), "")</f>
      </c>
      <c r="G111" s="4"/>
      <c r="H111" s="4">
        <f>IFERROR(VLOOKUP(C111, MasterData!B:G, 5, FALSE), "")</f>
      </c>
      <c r="I111" s="4">
        <f>IF(AND(G111&lt;&gt;"", H111&lt;&gt;""), G111*H111, "")</f>
      </c>
      <c r="J111" s="4">
        <f>IFERROR(VLOOKUP(C111, MasterData!B:G, 6, FALSE), 18)</f>
      </c>
      <c r="K111" s="4">
        <f>IF(I111&lt;&gt;"", I111*J111/100, "")</f>
      </c>
      <c r="L111" s="4">
        <f>IF(I111&lt;&gt;"", I111+K111, "")</f>
      </c>
    </row>
    <row r="112" spans="1:12" x14ac:dyDescent="0.25">
      <c r="A112" s="3">
        <f>IF(C112&lt;&gt;"", ROW()-3, "")</f>
      </c>
      <c r="B112" s="3"/>
      <c r="C112" s="3"/>
      <c r="D112" s="3">
        <f>IFERROR(VLOOKUP(C112, MasterData!B:G, 2, FALSE), "")</f>
      </c>
      <c r="E112" s="3">
        <f>IFERROR(VLOOKUP(C112, MasterData!B:G, 3, FALSE), "")</f>
      </c>
      <c r="F112" s="3">
        <f>IFERROR(VLOOKUP(C112, MasterData!B:G, 4, FALSE), "")</f>
      </c>
      <c r="G112" s="4"/>
      <c r="H112" s="4">
        <f>IFERROR(VLOOKUP(C112, MasterData!B:G, 5, FALSE), "")</f>
      </c>
      <c r="I112" s="4">
        <f>IF(AND(G112&lt;&gt;"", H112&lt;&gt;""), G112*H112, "")</f>
      </c>
      <c r="J112" s="4">
        <f>IFERROR(VLOOKUP(C112, MasterData!B:G, 6, FALSE), 18)</f>
      </c>
      <c r="K112" s="4">
        <f>IF(I112&lt;&gt;"", I112*J112/100, "")</f>
      </c>
      <c r="L112" s="4">
        <f>IF(I112&lt;&gt;"", I112+K112, "")</f>
      </c>
    </row>
    <row r="113" spans="1:12" x14ac:dyDescent="0.25">
      <c r="A113" s="3">
        <f>IF(C113&lt;&gt;"", ROW()-3, "")</f>
      </c>
      <c r="B113" s="3"/>
      <c r="C113" s="3"/>
      <c r="D113" s="3">
        <f>IFERROR(VLOOKUP(C113, MasterData!B:G, 2, FALSE), "")</f>
      </c>
      <c r="E113" s="3">
        <f>IFERROR(VLOOKUP(C113, MasterData!B:G, 3, FALSE), "")</f>
      </c>
      <c r="F113" s="3">
        <f>IFERROR(VLOOKUP(C113, MasterData!B:G, 4, FALSE), "")</f>
      </c>
      <c r="G113" s="4"/>
      <c r="H113" s="4">
        <f>IFERROR(VLOOKUP(C113, MasterData!B:G, 5, FALSE), "")</f>
      </c>
      <c r="I113" s="4">
        <f>IF(AND(G113&lt;&gt;"", H113&lt;&gt;""), G113*H113, "")</f>
      </c>
      <c r="J113" s="4">
        <f>IFERROR(VLOOKUP(C113, MasterData!B:G, 6, FALSE), 18)</f>
      </c>
      <c r="K113" s="4">
        <f>IF(I113&lt;&gt;"", I113*J113/100, "")</f>
      </c>
      <c r="L113" s="4">
        <f>IF(I113&lt;&gt;"", I113+K113, "")</f>
      </c>
    </row>
    <row r="114" spans="1:12" x14ac:dyDescent="0.25">
      <c r="A114" s="3">
        <f>IF(C114&lt;&gt;"", ROW()-3, "")</f>
      </c>
      <c r="B114" s="3"/>
      <c r="C114" s="3"/>
      <c r="D114" s="3">
        <f>IFERROR(VLOOKUP(C114, MasterData!B:G, 2, FALSE), "")</f>
      </c>
      <c r="E114" s="3">
        <f>IFERROR(VLOOKUP(C114, MasterData!B:G, 3, FALSE), "")</f>
      </c>
      <c r="F114" s="3">
        <f>IFERROR(VLOOKUP(C114, MasterData!B:G, 4, FALSE), "")</f>
      </c>
      <c r="G114" s="4"/>
      <c r="H114" s="4">
        <f>IFERROR(VLOOKUP(C114, MasterData!B:G, 5, FALSE), "")</f>
      </c>
      <c r="I114" s="4">
        <f>IF(AND(G114&lt;&gt;"", H114&lt;&gt;""), G114*H114, "")</f>
      </c>
      <c r="J114" s="4">
        <f>IFERROR(VLOOKUP(C114, MasterData!B:G, 6, FALSE), 18)</f>
      </c>
      <c r="K114" s="4">
        <f>IF(I114&lt;&gt;"", I114*J114/100, "")</f>
      </c>
      <c r="L114" s="4">
        <f>IF(I114&lt;&gt;"", I114+K114, "")</f>
      </c>
    </row>
    <row r="115" spans="1:12" x14ac:dyDescent="0.25">
      <c r="A115" s="3">
        <f>IF(C115&lt;&gt;"", ROW()-3, "")</f>
      </c>
      <c r="B115" s="3"/>
      <c r="C115" s="3"/>
      <c r="D115" s="3">
        <f>IFERROR(VLOOKUP(C115, MasterData!B:G, 2, FALSE), "")</f>
      </c>
      <c r="E115" s="3">
        <f>IFERROR(VLOOKUP(C115, MasterData!B:G, 3, FALSE), "")</f>
      </c>
      <c r="F115" s="3">
        <f>IFERROR(VLOOKUP(C115, MasterData!B:G, 4, FALSE), "")</f>
      </c>
      <c r="G115" s="4"/>
      <c r="H115" s="4">
        <f>IFERROR(VLOOKUP(C115, MasterData!B:G, 5, FALSE), "")</f>
      </c>
      <c r="I115" s="4">
        <f>IF(AND(G115&lt;&gt;"", H115&lt;&gt;""), G115*H115, "")</f>
      </c>
      <c r="J115" s="4">
        <f>IFERROR(VLOOKUP(C115, MasterData!B:G, 6, FALSE), 18)</f>
      </c>
      <c r="K115" s="4">
        <f>IF(I115&lt;&gt;"", I115*J115/100, "")</f>
      </c>
      <c r="L115" s="4">
        <f>IF(I115&lt;&gt;"", I115+K115, "")</f>
      </c>
    </row>
    <row r="116" spans="1:12" x14ac:dyDescent="0.25">
      <c r="A116" s="3">
        <f>IF(C116&lt;&gt;"", ROW()-3, "")</f>
      </c>
      <c r="B116" s="3"/>
      <c r="C116" s="3"/>
      <c r="D116" s="3">
        <f>IFERROR(VLOOKUP(C116, MasterData!B:G, 2, FALSE), "")</f>
      </c>
      <c r="E116" s="3">
        <f>IFERROR(VLOOKUP(C116, MasterData!B:G, 3, FALSE), "")</f>
      </c>
      <c r="F116" s="3">
        <f>IFERROR(VLOOKUP(C116, MasterData!B:G, 4, FALSE), "")</f>
      </c>
      <c r="G116" s="4"/>
      <c r="H116" s="4">
        <f>IFERROR(VLOOKUP(C116, MasterData!B:G, 5, FALSE), "")</f>
      </c>
      <c r="I116" s="4">
        <f>IF(AND(G116&lt;&gt;"", H116&lt;&gt;""), G116*H116, "")</f>
      </c>
      <c r="J116" s="4">
        <f>IFERROR(VLOOKUP(C116, MasterData!B:G, 6, FALSE), 18)</f>
      </c>
      <c r="K116" s="4">
        <f>IF(I116&lt;&gt;"", I116*J116/100, "")</f>
      </c>
      <c r="L116" s="4">
        <f>IF(I116&lt;&gt;"", I116+K116, "")</f>
      </c>
    </row>
    <row r="117" spans="1:12" x14ac:dyDescent="0.25">
      <c r="A117" s="3">
        <f>IF(C117&lt;&gt;"", ROW()-3, "")</f>
      </c>
      <c r="B117" s="3"/>
      <c r="C117" s="3"/>
      <c r="D117" s="3">
        <f>IFERROR(VLOOKUP(C117, MasterData!B:G, 2, FALSE), "")</f>
      </c>
      <c r="E117" s="3">
        <f>IFERROR(VLOOKUP(C117, MasterData!B:G, 3, FALSE), "")</f>
      </c>
      <c r="F117" s="3">
        <f>IFERROR(VLOOKUP(C117, MasterData!B:G, 4, FALSE), "")</f>
      </c>
      <c r="G117" s="4"/>
      <c r="H117" s="4">
        <f>IFERROR(VLOOKUP(C117, MasterData!B:G, 5, FALSE), "")</f>
      </c>
      <c r="I117" s="4">
        <f>IF(AND(G117&lt;&gt;"", H117&lt;&gt;""), G117*H117, "")</f>
      </c>
      <c r="J117" s="4">
        <f>IFERROR(VLOOKUP(C117, MasterData!B:G, 6, FALSE), 18)</f>
      </c>
      <c r="K117" s="4">
        <f>IF(I117&lt;&gt;"", I117*J117/100, "")</f>
      </c>
      <c r="L117" s="4">
        <f>IF(I117&lt;&gt;"", I117+K117, "")</f>
      </c>
    </row>
    <row r="118" spans="1:12" x14ac:dyDescent="0.25">
      <c r="A118" s="3">
        <f>IF(C118&lt;&gt;"", ROW()-3, "")</f>
      </c>
      <c r="B118" s="3"/>
      <c r="C118" s="3"/>
      <c r="D118" s="3">
        <f>IFERROR(VLOOKUP(C118, MasterData!B:G, 2, FALSE), "")</f>
      </c>
      <c r="E118" s="3">
        <f>IFERROR(VLOOKUP(C118, MasterData!B:G, 3, FALSE), "")</f>
      </c>
      <c r="F118" s="3">
        <f>IFERROR(VLOOKUP(C118, MasterData!B:G, 4, FALSE), "")</f>
      </c>
      <c r="G118" s="4"/>
      <c r="H118" s="4">
        <f>IFERROR(VLOOKUP(C118, MasterData!B:G, 5, FALSE), "")</f>
      </c>
      <c r="I118" s="4">
        <f>IF(AND(G118&lt;&gt;"", H118&lt;&gt;""), G118*H118, "")</f>
      </c>
      <c r="J118" s="4">
        <f>IFERROR(VLOOKUP(C118, MasterData!B:G, 6, FALSE), 18)</f>
      </c>
      <c r="K118" s="4">
        <f>IF(I118&lt;&gt;"", I118*J118/100, "")</f>
      </c>
      <c r="L118" s="4">
        <f>IF(I118&lt;&gt;"", I118+K118, "")</f>
      </c>
    </row>
    <row r="119" spans="1:12" x14ac:dyDescent="0.25">
      <c r="A119" s="3">
        <f>IF(C119&lt;&gt;"", ROW()-3, "")</f>
      </c>
      <c r="B119" s="3"/>
      <c r="C119" s="3"/>
      <c r="D119" s="3">
        <f>IFERROR(VLOOKUP(C119, MasterData!B:G, 2, FALSE), "")</f>
      </c>
      <c r="E119" s="3">
        <f>IFERROR(VLOOKUP(C119, MasterData!B:G, 3, FALSE), "")</f>
      </c>
      <c r="F119" s="3">
        <f>IFERROR(VLOOKUP(C119, MasterData!B:G, 4, FALSE), "")</f>
      </c>
      <c r="G119" s="4"/>
      <c r="H119" s="4">
        <f>IFERROR(VLOOKUP(C119, MasterData!B:G, 5, FALSE), "")</f>
      </c>
      <c r="I119" s="4">
        <f>IF(AND(G119&lt;&gt;"", H119&lt;&gt;""), G119*H119, "")</f>
      </c>
      <c r="J119" s="4">
        <f>IFERROR(VLOOKUP(C119, MasterData!B:G, 6, FALSE), 18)</f>
      </c>
      <c r="K119" s="4">
        <f>IF(I119&lt;&gt;"", I119*J119/100, "")</f>
      </c>
      <c r="L119" s="4">
        <f>IF(I119&lt;&gt;"", I119+K119, "")</f>
      </c>
    </row>
    <row r="120" spans="1:12" x14ac:dyDescent="0.25">
      <c r="A120" s="3">
        <f>IF(C120&lt;&gt;"", ROW()-3, "")</f>
      </c>
      <c r="B120" s="3"/>
      <c r="C120" s="3"/>
      <c r="D120" s="3">
        <f>IFERROR(VLOOKUP(C120, MasterData!B:G, 2, FALSE), "")</f>
      </c>
      <c r="E120" s="3">
        <f>IFERROR(VLOOKUP(C120, MasterData!B:G, 3, FALSE), "")</f>
      </c>
      <c r="F120" s="3">
        <f>IFERROR(VLOOKUP(C120, MasterData!B:G, 4, FALSE), "")</f>
      </c>
      <c r="G120" s="4"/>
      <c r="H120" s="4">
        <f>IFERROR(VLOOKUP(C120, MasterData!B:G, 5, FALSE), "")</f>
      </c>
      <c r="I120" s="4">
        <f>IF(AND(G120&lt;&gt;"", H120&lt;&gt;""), G120*H120, "")</f>
      </c>
      <c r="J120" s="4">
        <f>IFERROR(VLOOKUP(C120, MasterData!B:G, 6, FALSE), 18)</f>
      </c>
      <c r="K120" s="4">
        <f>IF(I120&lt;&gt;"", I120*J120/100, "")</f>
      </c>
      <c r="L120" s="4">
        <f>IF(I120&lt;&gt;"", I120+K120, "")</f>
      </c>
    </row>
    <row r="121" spans="1:12" x14ac:dyDescent="0.25">
      <c r="A121" s="3">
        <f>IF(C121&lt;&gt;"", ROW()-3, "")</f>
      </c>
      <c r="B121" s="3"/>
      <c r="C121" s="3"/>
      <c r="D121" s="3">
        <f>IFERROR(VLOOKUP(C121, MasterData!B:G, 2, FALSE), "")</f>
      </c>
      <c r="E121" s="3">
        <f>IFERROR(VLOOKUP(C121, MasterData!B:G, 3, FALSE), "")</f>
      </c>
      <c r="F121" s="3">
        <f>IFERROR(VLOOKUP(C121, MasterData!B:G, 4, FALSE), "")</f>
      </c>
      <c r="G121" s="4"/>
      <c r="H121" s="4">
        <f>IFERROR(VLOOKUP(C121, MasterData!B:G, 5, FALSE), "")</f>
      </c>
      <c r="I121" s="4">
        <f>IF(AND(G121&lt;&gt;"", H121&lt;&gt;""), G121*H121, "")</f>
      </c>
      <c r="J121" s="4">
        <f>IFERROR(VLOOKUP(C121, MasterData!B:G, 6, FALSE), 18)</f>
      </c>
      <c r="K121" s="4">
        <f>IF(I121&lt;&gt;"", I121*J121/100, "")</f>
      </c>
      <c r="L121" s="4">
        <f>IF(I121&lt;&gt;"", I121+K121, "")</f>
      </c>
    </row>
    <row r="122" spans="1:12" x14ac:dyDescent="0.25">
      <c r="A122" s="3">
        <f>IF(C122&lt;&gt;"", ROW()-3, "")</f>
      </c>
      <c r="B122" s="3"/>
      <c r="C122" s="3"/>
      <c r="D122" s="3">
        <f>IFERROR(VLOOKUP(C122, MasterData!B:G, 2, FALSE), "")</f>
      </c>
      <c r="E122" s="3">
        <f>IFERROR(VLOOKUP(C122, MasterData!B:G, 3, FALSE), "")</f>
      </c>
      <c r="F122" s="3">
        <f>IFERROR(VLOOKUP(C122, MasterData!B:G, 4, FALSE), "")</f>
      </c>
      <c r="G122" s="4"/>
      <c r="H122" s="4">
        <f>IFERROR(VLOOKUP(C122, MasterData!B:G, 5, FALSE), "")</f>
      </c>
      <c r="I122" s="4">
        <f>IF(AND(G122&lt;&gt;"", H122&lt;&gt;""), G122*H122, "")</f>
      </c>
      <c r="J122" s="4">
        <f>IFERROR(VLOOKUP(C122, MasterData!B:G, 6, FALSE), 18)</f>
      </c>
      <c r="K122" s="4">
        <f>IF(I122&lt;&gt;"", I122*J122/100, "")</f>
      </c>
      <c r="L122" s="4">
        <f>IF(I122&lt;&gt;"", I122+K122, "")</f>
      </c>
    </row>
    <row r="123" spans="1:12" x14ac:dyDescent="0.25">
      <c r="A123" s="3">
        <f>IF(C123&lt;&gt;"", ROW()-3, "")</f>
      </c>
      <c r="B123" s="3"/>
      <c r="C123" s="3"/>
      <c r="D123" s="3">
        <f>IFERROR(VLOOKUP(C123, MasterData!B:G, 2, FALSE), "")</f>
      </c>
      <c r="E123" s="3">
        <f>IFERROR(VLOOKUP(C123, MasterData!B:G, 3, FALSE), "")</f>
      </c>
      <c r="F123" s="3">
        <f>IFERROR(VLOOKUP(C123, MasterData!B:G, 4, FALSE), "")</f>
      </c>
      <c r="G123" s="4"/>
      <c r="H123" s="4">
        <f>IFERROR(VLOOKUP(C123, MasterData!B:G, 5, FALSE), "")</f>
      </c>
      <c r="I123" s="4">
        <f>IF(AND(G123&lt;&gt;"", H123&lt;&gt;""), G123*H123, "")</f>
      </c>
      <c r="J123" s="4">
        <f>IFERROR(VLOOKUP(C123, MasterData!B:G, 6, FALSE), 18)</f>
      </c>
      <c r="K123" s="4">
        <f>IF(I123&lt;&gt;"", I123*J123/100, "")</f>
      </c>
      <c r="L123" s="4">
        <f>IF(I123&lt;&gt;"", I123+K123, "")</f>
      </c>
    </row>
    <row r="124" spans="1:12" x14ac:dyDescent="0.25">
      <c r="A124" s="3">
        <f>IF(C124&lt;&gt;"", ROW()-3, "")</f>
      </c>
      <c r="B124" s="3"/>
      <c r="C124" s="3"/>
      <c r="D124" s="3">
        <f>IFERROR(VLOOKUP(C124, MasterData!B:G, 2, FALSE), "")</f>
      </c>
      <c r="E124" s="3">
        <f>IFERROR(VLOOKUP(C124, MasterData!B:G, 3, FALSE), "")</f>
      </c>
      <c r="F124" s="3">
        <f>IFERROR(VLOOKUP(C124, MasterData!B:G, 4, FALSE), "")</f>
      </c>
      <c r="G124" s="4"/>
      <c r="H124" s="4">
        <f>IFERROR(VLOOKUP(C124, MasterData!B:G, 5, FALSE), "")</f>
      </c>
      <c r="I124" s="4">
        <f>IF(AND(G124&lt;&gt;"", H124&lt;&gt;""), G124*H124, "")</f>
      </c>
      <c r="J124" s="4">
        <f>IFERROR(VLOOKUP(C124, MasterData!B:G, 6, FALSE), 18)</f>
      </c>
      <c r="K124" s="4">
        <f>IF(I124&lt;&gt;"", I124*J124/100, "")</f>
      </c>
      <c r="L124" s="4">
        <f>IF(I124&lt;&gt;"", I124+K124, "")</f>
      </c>
    </row>
    <row r="125" spans="1:12" x14ac:dyDescent="0.25">
      <c r="A125" s="3">
        <f>IF(C125&lt;&gt;"", ROW()-3, "")</f>
      </c>
      <c r="B125" s="3"/>
      <c r="C125" s="3"/>
      <c r="D125" s="3">
        <f>IFERROR(VLOOKUP(C125, MasterData!B:G, 2, FALSE), "")</f>
      </c>
      <c r="E125" s="3">
        <f>IFERROR(VLOOKUP(C125, MasterData!B:G, 3, FALSE), "")</f>
      </c>
      <c r="F125" s="3">
        <f>IFERROR(VLOOKUP(C125, MasterData!B:G, 4, FALSE), "")</f>
      </c>
      <c r="G125" s="4"/>
      <c r="H125" s="4">
        <f>IFERROR(VLOOKUP(C125, MasterData!B:G, 5, FALSE), "")</f>
      </c>
      <c r="I125" s="4">
        <f>IF(AND(G125&lt;&gt;"", H125&lt;&gt;""), G125*H125, "")</f>
      </c>
      <c r="J125" s="4">
        <f>IFERROR(VLOOKUP(C125, MasterData!B:G, 6, FALSE), 18)</f>
      </c>
      <c r="K125" s="4">
        <f>IF(I125&lt;&gt;"", I125*J125/100, "")</f>
      </c>
      <c r="L125" s="4">
        <f>IF(I125&lt;&gt;"", I125+K125, "")</f>
      </c>
    </row>
    <row r="126" spans="1:12" x14ac:dyDescent="0.25">
      <c r="A126" s="3">
        <f>IF(C126&lt;&gt;"", ROW()-3, "")</f>
      </c>
      <c r="B126" s="3"/>
      <c r="C126" s="3"/>
      <c r="D126" s="3">
        <f>IFERROR(VLOOKUP(C126, MasterData!B:G, 2, FALSE), "")</f>
      </c>
      <c r="E126" s="3">
        <f>IFERROR(VLOOKUP(C126, MasterData!B:G, 3, FALSE), "")</f>
      </c>
      <c r="F126" s="3">
        <f>IFERROR(VLOOKUP(C126, MasterData!B:G, 4, FALSE), "")</f>
      </c>
      <c r="G126" s="4"/>
      <c r="H126" s="4">
        <f>IFERROR(VLOOKUP(C126, MasterData!B:G, 5, FALSE), "")</f>
      </c>
      <c r="I126" s="4">
        <f>IF(AND(G126&lt;&gt;"", H126&lt;&gt;""), G126*H126, "")</f>
      </c>
      <c r="J126" s="4">
        <f>IFERROR(VLOOKUP(C126, MasterData!B:G, 6, FALSE), 18)</f>
      </c>
      <c r="K126" s="4">
        <f>IF(I126&lt;&gt;"", I126*J126/100, "")</f>
      </c>
      <c r="L126" s="4">
        <f>IF(I126&lt;&gt;"", I126+K126, "")</f>
      </c>
    </row>
    <row r="127" spans="1:12" x14ac:dyDescent="0.25">
      <c r="A127" s="3">
        <f>IF(C127&lt;&gt;"", ROW()-3, "")</f>
      </c>
      <c r="B127" s="3"/>
      <c r="C127" s="3"/>
      <c r="D127" s="3">
        <f>IFERROR(VLOOKUP(C127, MasterData!B:G, 2, FALSE), "")</f>
      </c>
      <c r="E127" s="3">
        <f>IFERROR(VLOOKUP(C127, MasterData!B:G, 3, FALSE), "")</f>
      </c>
      <c r="F127" s="3">
        <f>IFERROR(VLOOKUP(C127, MasterData!B:G, 4, FALSE), "")</f>
      </c>
      <c r="G127" s="4"/>
      <c r="H127" s="4">
        <f>IFERROR(VLOOKUP(C127, MasterData!B:G, 5, FALSE), "")</f>
      </c>
      <c r="I127" s="4">
        <f>IF(AND(G127&lt;&gt;"", H127&lt;&gt;""), G127*H127, "")</f>
      </c>
      <c r="J127" s="4">
        <f>IFERROR(VLOOKUP(C127, MasterData!B:G, 6, FALSE), 18)</f>
      </c>
      <c r="K127" s="4">
        <f>IF(I127&lt;&gt;"", I127*J127/100, "")</f>
      </c>
      <c r="L127" s="4">
        <f>IF(I127&lt;&gt;"", I127+K127, "")</f>
      </c>
    </row>
    <row r="128" spans="1:12" x14ac:dyDescent="0.25">
      <c r="A128" s="3">
        <f>IF(C128&lt;&gt;"", ROW()-3, "")</f>
      </c>
      <c r="B128" s="3"/>
      <c r="C128" s="3"/>
      <c r="D128" s="3">
        <f>IFERROR(VLOOKUP(C128, MasterData!B:G, 2, FALSE), "")</f>
      </c>
      <c r="E128" s="3">
        <f>IFERROR(VLOOKUP(C128, MasterData!B:G, 3, FALSE), "")</f>
      </c>
      <c r="F128" s="3">
        <f>IFERROR(VLOOKUP(C128, MasterData!B:G, 4, FALSE), "")</f>
      </c>
      <c r="G128" s="4"/>
      <c r="H128" s="4">
        <f>IFERROR(VLOOKUP(C128, MasterData!B:G, 5, FALSE), "")</f>
      </c>
      <c r="I128" s="4">
        <f>IF(AND(G128&lt;&gt;"", H128&lt;&gt;""), G128*H128, "")</f>
      </c>
      <c r="J128" s="4">
        <f>IFERROR(VLOOKUP(C128, MasterData!B:G, 6, FALSE), 18)</f>
      </c>
      <c r="K128" s="4">
        <f>IF(I128&lt;&gt;"", I128*J128/100, "")</f>
      </c>
      <c r="L128" s="4">
        <f>IF(I128&lt;&gt;"", I128+K128, "")</f>
      </c>
    </row>
    <row r="129" spans="1:12" x14ac:dyDescent="0.25">
      <c r="A129" s="3">
        <f>IF(C129&lt;&gt;"", ROW()-3, "")</f>
      </c>
      <c r="B129" s="3"/>
      <c r="C129" s="3"/>
      <c r="D129" s="3">
        <f>IFERROR(VLOOKUP(C129, MasterData!B:G, 2, FALSE), "")</f>
      </c>
      <c r="E129" s="3">
        <f>IFERROR(VLOOKUP(C129, MasterData!B:G, 3, FALSE), "")</f>
      </c>
      <c r="F129" s="3">
        <f>IFERROR(VLOOKUP(C129, MasterData!B:G, 4, FALSE), "")</f>
      </c>
      <c r="G129" s="4"/>
      <c r="H129" s="4">
        <f>IFERROR(VLOOKUP(C129, MasterData!B:G, 5, FALSE), "")</f>
      </c>
      <c r="I129" s="4">
        <f>IF(AND(G129&lt;&gt;"", H129&lt;&gt;""), G129*H129, "")</f>
      </c>
      <c r="J129" s="4">
        <f>IFERROR(VLOOKUP(C129, MasterData!B:G, 6, FALSE), 18)</f>
      </c>
      <c r="K129" s="4">
        <f>IF(I129&lt;&gt;"", I129*J129/100, "")</f>
      </c>
      <c r="L129" s="4">
        <f>IF(I129&lt;&gt;"", I129+K129, "")</f>
      </c>
    </row>
    <row r="130" spans="1:12" x14ac:dyDescent="0.25">
      <c r="A130" s="3">
        <f>IF(C130&lt;&gt;"", ROW()-3, "")</f>
      </c>
      <c r="B130" s="3"/>
      <c r="C130" s="3"/>
      <c r="D130" s="3">
        <f>IFERROR(VLOOKUP(C130, MasterData!B:G, 2, FALSE), "")</f>
      </c>
      <c r="E130" s="3">
        <f>IFERROR(VLOOKUP(C130, MasterData!B:G, 3, FALSE), "")</f>
      </c>
      <c r="F130" s="3">
        <f>IFERROR(VLOOKUP(C130, MasterData!B:G, 4, FALSE), "")</f>
      </c>
      <c r="G130" s="4"/>
      <c r="H130" s="4">
        <f>IFERROR(VLOOKUP(C130, MasterData!B:G, 5, FALSE), "")</f>
      </c>
      <c r="I130" s="4">
        <f>IF(AND(G130&lt;&gt;"", H130&lt;&gt;""), G130*H130, "")</f>
      </c>
      <c r="J130" s="4">
        <f>IFERROR(VLOOKUP(C130, MasterData!B:G, 6, FALSE), 18)</f>
      </c>
      <c r="K130" s="4">
        <f>IF(I130&lt;&gt;"", I130*J130/100, "")</f>
      </c>
      <c r="L130" s="4">
        <f>IF(I130&lt;&gt;"", I130+K130, "")</f>
      </c>
    </row>
    <row r="131" spans="1:12" x14ac:dyDescent="0.25">
      <c r="A131" s="3">
        <f>IF(C131&lt;&gt;"", ROW()-3, "")</f>
      </c>
      <c r="B131" s="3"/>
      <c r="C131" s="3"/>
      <c r="D131" s="3">
        <f>IFERROR(VLOOKUP(C131, MasterData!B:G, 2, FALSE), "")</f>
      </c>
      <c r="E131" s="3">
        <f>IFERROR(VLOOKUP(C131, MasterData!B:G, 3, FALSE), "")</f>
      </c>
      <c r="F131" s="3">
        <f>IFERROR(VLOOKUP(C131, MasterData!B:G, 4, FALSE), "")</f>
      </c>
      <c r="G131" s="4"/>
      <c r="H131" s="4">
        <f>IFERROR(VLOOKUP(C131, MasterData!B:G, 5, FALSE), "")</f>
      </c>
      <c r="I131" s="4">
        <f>IF(AND(G131&lt;&gt;"", H131&lt;&gt;""), G131*H131, "")</f>
      </c>
      <c r="J131" s="4">
        <f>IFERROR(VLOOKUP(C131, MasterData!B:G, 6, FALSE), 18)</f>
      </c>
      <c r="K131" s="4">
        <f>IF(I131&lt;&gt;"", I131*J131/100, "")</f>
      </c>
      <c r="L131" s="4">
        <f>IF(I131&lt;&gt;"", I131+K131, "")</f>
      </c>
    </row>
    <row r="132" spans="1:12" x14ac:dyDescent="0.25">
      <c r="A132" s="3">
        <f>IF(C132&lt;&gt;"", ROW()-3, "")</f>
      </c>
      <c r="B132" s="3"/>
      <c r="C132" s="3"/>
      <c r="D132" s="3">
        <f>IFERROR(VLOOKUP(C132, MasterData!B:G, 2, FALSE), "")</f>
      </c>
      <c r="E132" s="3">
        <f>IFERROR(VLOOKUP(C132, MasterData!B:G, 3, FALSE), "")</f>
      </c>
      <c r="F132" s="3">
        <f>IFERROR(VLOOKUP(C132, MasterData!B:G, 4, FALSE), "")</f>
      </c>
      <c r="G132" s="4"/>
      <c r="H132" s="4">
        <f>IFERROR(VLOOKUP(C132, MasterData!B:G, 5, FALSE), "")</f>
      </c>
      <c r="I132" s="4">
        <f>IF(AND(G132&lt;&gt;"", H132&lt;&gt;""), G132*H132, "")</f>
      </c>
      <c r="J132" s="4">
        <f>IFERROR(VLOOKUP(C132, MasterData!B:G, 6, FALSE), 18)</f>
      </c>
      <c r="K132" s="4">
        <f>IF(I132&lt;&gt;"", I132*J132/100, "")</f>
      </c>
      <c r="L132" s="4">
        <f>IF(I132&lt;&gt;"", I132+K132, "")</f>
      </c>
    </row>
    <row r="133" spans="1:12" x14ac:dyDescent="0.25">
      <c r="A133" s="3">
        <f>IF(C133&lt;&gt;"", ROW()-3, "")</f>
      </c>
      <c r="B133" s="3"/>
      <c r="C133" s="3"/>
      <c r="D133" s="3">
        <f>IFERROR(VLOOKUP(C133, MasterData!B:G, 2, FALSE), "")</f>
      </c>
      <c r="E133" s="3">
        <f>IFERROR(VLOOKUP(C133, MasterData!B:G, 3, FALSE), "")</f>
      </c>
      <c r="F133" s="3">
        <f>IFERROR(VLOOKUP(C133, MasterData!B:G, 4, FALSE), "")</f>
      </c>
      <c r="G133" s="4"/>
      <c r="H133" s="4">
        <f>IFERROR(VLOOKUP(C133, MasterData!B:G, 5, FALSE), "")</f>
      </c>
      <c r="I133" s="4">
        <f>IF(AND(G133&lt;&gt;"", H133&lt;&gt;""), G133*H133, "")</f>
      </c>
      <c r="J133" s="4">
        <f>IFERROR(VLOOKUP(C133, MasterData!B:G, 6, FALSE), 18)</f>
      </c>
      <c r="K133" s="4">
        <f>IF(I133&lt;&gt;"", I133*J133/100, "")</f>
      </c>
      <c r="L133" s="4">
        <f>IF(I133&lt;&gt;"", I133+K133, "")</f>
      </c>
    </row>
    <row r="134" spans="1:12" x14ac:dyDescent="0.25">
      <c r="A134" s="3">
        <f>IF(C134&lt;&gt;"", ROW()-3, "")</f>
      </c>
      <c r="B134" s="3"/>
      <c r="C134" s="3"/>
      <c r="D134" s="3">
        <f>IFERROR(VLOOKUP(C134, MasterData!B:G, 2, FALSE), "")</f>
      </c>
      <c r="E134" s="3">
        <f>IFERROR(VLOOKUP(C134, MasterData!B:G, 3, FALSE), "")</f>
      </c>
      <c r="F134" s="3">
        <f>IFERROR(VLOOKUP(C134, MasterData!B:G, 4, FALSE), "")</f>
      </c>
      <c r="G134" s="4"/>
      <c r="H134" s="4">
        <f>IFERROR(VLOOKUP(C134, MasterData!B:G, 5, FALSE), "")</f>
      </c>
      <c r="I134" s="4">
        <f>IF(AND(G134&lt;&gt;"", H134&lt;&gt;""), G134*H134, "")</f>
      </c>
      <c r="J134" s="4">
        <f>IFERROR(VLOOKUP(C134, MasterData!B:G, 6, FALSE), 18)</f>
      </c>
      <c r="K134" s="4">
        <f>IF(I134&lt;&gt;"", I134*J134/100, "")</f>
      </c>
      <c r="L134" s="4">
        <f>IF(I134&lt;&gt;"", I134+K134, "")</f>
      </c>
    </row>
    <row r="135" spans="1:12" x14ac:dyDescent="0.25">
      <c r="A135" s="3">
        <f>IF(C135&lt;&gt;"", ROW()-3, "")</f>
      </c>
      <c r="B135" s="3"/>
      <c r="C135" s="3"/>
      <c r="D135" s="3">
        <f>IFERROR(VLOOKUP(C135, MasterData!B:G, 2, FALSE), "")</f>
      </c>
      <c r="E135" s="3">
        <f>IFERROR(VLOOKUP(C135, MasterData!B:G, 3, FALSE), "")</f>
      </c>
      <c r="F135" s="3">
        <f>IFERROR(VLOOKUP(C135, MasterData!B:G, 4, FALSE), "")</f>
      </c>
      <c r="G135" s="4"/>
      <c r="H135" s="4">
        <f>IFERROR(VLOOKUP(C135, MasterData!B:G, 5, FALSE), "")</f>
      </c>
      <c r="I135" s="4">
        <f>IF(AND(G135&lt;&gt;"", H135&lt;&gt;""), G135*H135, "")</f>
      </c>
      <c r="J135" s="4">
        <f>IFERROR(VLOOKUP(C135, MasterData!B:G, 6, FALSE), 18)</f>
      </c>
      <c r="K135" s="4">
        <f>IF(I135&lt;&gt;"", I135*J135/100, "")</f>
      </c>
      <c r="L135" s="4">
        <f>IF(I135&lt;&gt;"", I135+K135, "")</f>
      </c>
    </row>
    <row r="136" spans="1:12" x14ac:dyDescent="0.25">
      <c r="A136" s="3">
        <f>IF(C136&lt;&gt;"", ROW()-3, "")</f>
      </c>
      <c r="B136" s="3"/>
      <c r="C136" s="3"/>
      <c r="D136" s="3">
        <f>IFERROR(VLOOKUP(C136, MasterData!B:G, 2, FALSE), "")</f>
      </c>
      <c r="E136" s="3">
        <f>IFERROR(VLOOKUP(C136, MasterData!B:G, 3, FALSE), "")</f>
      </c>
      <c r="F136" s="3">
        <f>IFERROR(VLOOKUP(C136, MasterData!B:G, 4, FALSE), "")</f>
      </c>
      <c r="G136" s="4"/>
      <c r="H136" s="4">
        <f>IFERROR(VLOOKUP(C136, MasterData!B:G, 5, FALSE), "")</f>
      </c>
      <c r="I136" s="4">
        <f>IF(AND(G136&lt;&gt;"", H136&lt;&gt;""), G136*H136, "")</f>
      </c>
      <c r="J136" s="4">
        <f>IFERROR(VLOOKUP(C136, MasterData!B:G, 6, FALSE), 18)</f>
      </c>
      <c r="K136" s="4">
        <f>IF(I136&lt;&gt;"", I136*J136/100, "")</f>
      </c>
      <c r="L136" s="4">
        <f>IF(I136&lt;&gt;"", I136+K136, "")</f>
      </c>
    </row>
    <row r="137" spans="1:12" x14ac:dyDescent="0.25">
      <c r="A137" s="3">
        <f>IF(C137&lt;&gt;"", ROW()-3, "")</f>
      </c>
      <c r="B137" s="3"/>
      <c r="C137" s="3"/>
      <c r="D137" s="3">
        <f>IFERROR(VLOOKUP(C137, MasterData!B:G, 2, FALSE), "")</f>
      </c>
      <c r="E137" s="3">
        <f>IFERROR(VLOOKUP(C137, MasterData!B:G, 3, FALSE), "")</f>
      </c>
      <c r="F137" s="3">
        <f>IFERROR(VLOOKUP(C137, MasterData!B:G, 4, FALSE), "")</f>
      </c>
      <c r="G137" s="4"/>
      <c r="H137" s="4">
        <f>IFERROR(VLOOKUP(C137, MasterData!B:G, 5, FALSE), "")</f>
      </c>
      <c r="I137" s="4">
        <f>IF(AND(G137&lt;&gt;"", H137&lt;&gt;""), G137*H137, "")</f>
      </c>
      <c r="J137" s="4">
        <f>IFERROR(VLOOKUP(C137, MasterData!B:G, 6, FALSE), 18)</f>
      </c>
      <c r="K137" s="4">
        <f>IF(I137&lt;&gt;"", I137*J137/100, "")</f>
      </c>
      <c r="L137" s="4">
        <f>IF(I137&lt;&gt;"", I137+K137, "")</f>
      </c>
    </row>
    <row r="138" spans="1:12" x14ac:dyDescent="0.25">
      <c r="A138" s="3">
        <f>IF(C138&lt;&gt;"", ROW()-3, "")</f>
      </c>
      <c r="B138" s="3"/>
      <c r="C138" s="3"/>
      <c r="D138" s="3">
        <f>IFERROR(VLOOKUP(C138, MasterData!B:G, 2, FALSE), "")</f>
      </c>
      <c r="E138" s="3">
        <f>IFERROR(VLOOKUP(C138, MasterData!B:G, 3, FALSE), "")</f>
      </c>
      <c r="F138" s="3">
        <f>IFERROR(VLOOKUP(C138, MasterData!B:G, 4, FALSE), "")</f>
      </c>
      <c r="G138" s="4"/>
      <c r="H138" s="4">
        <f>IFERROR(VLOOKUP(C138, MasterData!B:G, 5, FALSE), "")</f>
      </c>
      <c r="I138" s="4">
        <f>IF(AND(G138&lt;&gt;"", H138&lt;&gt;""), G138*H138, "")</f>
      </c>
      <c r="J138" s="4">
        <f>IFERROR(VLOOKUP(C138, MasterData!B:G, 6, FALSE), 18)</f>
      </c>
      <c r="K138" s="4">
        <f>IF(I138&lt;&gt;"", I138*J138/100, "")</f>
      </c>
      <c r="L138" s="4">
        <f>IF(I138&lt;&gt;"", I138+K138, "")</f>
      </c>
    </row>
    <row r="139" spans="1:12" x14ac:dyDescent="0.25">
      <c r="A139" s="3">
        <f>IF(C139&lt;&gt;"", ROW()-3, "")</f>
      </c>
      <c r="B139" s="3"/>
      <c r="C139" s="3"/>
      <c r="D139" s="3">
        <f>IFERROR(VLOOKUP(C139, MasterData!B:G, 2, FALSE), "")</f>
      </c>
      <c r="E139" s="3">
        <f>IFERROR(VLOOKUP(C139, MasterData!B:G, 3, FALSE), "")</f>
      </c>
      <c r="F139" s="3">
        <f>IFERROR(VLOOKUP(C139, MasterData!B:G, 4, FALSE), "")</f>
      </c>
      <c r="G139" s="4"/>
      <c r="H139" s="4">
        <f>IFERROR(VLOOKUP(C139, MasterData!B:G, 5, FALSE), "")</f>
      </c>
      <c r="I139" s="4">
        <f>IF(AND(G139&lt;&gt;"", H139&lt;&gt;""), G139*H139, "")</f>
      </c>
      <c r="J139" s="4">
        <f>IFERROR(VLOOKUP(C139, MasterData!B:G, 6, FALSE), 18)</f>
      </c>
      <c r="K139" s="4">
        <f>IF(I139&lt;&gt;"", I139*J139/100, "")</f>
      </c>
      <c r="L139" s="4">
        <f>IF(I139&lt;&gt;"", I139+K139, "")</f>
      </c>
    </row>
    <row r="140" spans="1:12" x14ac:dyDescent="0.25">
      <c r="A140" s="3">
        <f>IF(C140&lt;&gt;"", ROW()-3, "")</f>
      </c>
      <c r="B140" s="3"/>
      <c r="C140" s="3"/>
      <c r="D140" s="3">
        <f>IFERROR(VLOOKUP(C140, MasterData!B:G, 2, FALSE), "")</f>
      </c>
      <c r="E140" s="3">
        <f>IFERROR(VLOOKUP(C140, MasterData!B:G, 3, FALSE), "")</f>
      </c>
      <c r="F140" s="3">
        <f>IFERROR(VLOOKUP(C140, MasterData!B:G, 4, FALSE), "")</f>
      </c>
      <c r="G140" s="4"/>
      <c r="H140" s="4">
        <f>IFERROR(VLOOKUP(C140, MasterData!B:G, 5, FALSE), "")</f>
      </c>
      <c r="I140" s="4">
        <f>IF(AND(G140&lt;&gt;"", H140&lt;&gt;""), G140*H140, "")</f>
      </c>
      <c r="J140" s="4">
        <f>IFERROR(VLOOKUP(C140, MasterData!B:G, 6, FALSE), 18)</f>
      </c>
      <c r="K140" s="4">
        <f>IF(I140&lt;&gt;"", I140*J140/100, "")</f>
      </c>
      <c r="L140" s="4">
        <f>IF(I140&lt;&gt;"", I140+K140, "")</f>
      </c>
    </row>
    <row r="141" spans="1:12" x14ac:dyDescent="0.25">
      <c r="A141" s="3">
        <f>IF(C141&lt;&gt;"", ROW()-3, "")</f>
      </c>
      <c r="B141" s="3"/>
      <c r="C141" s="3"/>
      <c r="D141" s="3">
        <f>IFERROR(VLOOKUP(C141, MasterData!B:G, 2, FALSE), "")</f>
      </c>
      <c r="E141" s="3">
        <f>IFERROR(VLOOKUP(C141, MasterData!B:G, 3, FALSE), "")</f>
      </c>
      <c r="F141" s="3">
        <f>IFERROR(VLOOKUP(C141, MasterData!B:G, 4, FALSE), "")</f>
      </c>
      <c r="G141" s="4"/>
      <c r="H141" s="4">
        <f>IFERROR(VLOOKUP(C141, MasterData!B:G, 5, FALSE), "")</f>
      </c>
      <c r="I141" s="4">
        <f>IF(AND(G141&lt;&gt;"", H141&lt;&gt;""), G141*H141, "")</f>
      </c>
      <c r="J141" s="4">
        <f>IFERROR(VLOOKUP(C141, MasterData!B:G, 6, FALSE), 18)</f>
      </c>
      <c r="K141" s="4">
        <f>IF(I141&lt;&gt;"", I141*J141/100, "")</f>
      </c>
      <c r="L141" s="4">
        <f>IF(I141&lt;&gt;"", I141+K141, "")</f>
      </c>
    </row>
    <row r="142" spans="1:12" x14ac:dyDescent="0.25">
      <c r="A142" s="3">
        <f>IF(C142&lt;&gt;"", ROW()-3, "")</f>
      </c>
      <c r="B142" s="3"/>
      <c r="C142" s="3"/>
      <c r="D142" s="3">
        <f>IFERROR(VLOOKUP(C142, MasterData!B:G, 2, FALSE), "")</f>
      </c>
      <c r="E142" s="3">
        <f>IFERROR(VLOOKUP(C142, MasterData!B:G, 3, FALSE), "")</f>
      </c>
      <c r="F142" s="3">
        <f>IFERROR(VLOOKUP(C142, MasterData!B:G, 4, FALSE), "")</f>
      </c>
      <c r="G142" s="4"/>
      <c r="H142" s="4">
        <f>IFERROR(VLOOKUP(C142, MasterData!B:G, 5, FALSE), "")</f>
      </c>
      <c r="I142" s="4">
        <f>IF(AND(G142&lt;&gt;"", H142&lt;&gt;""), G142*H142, "")</f>
      </c>
      <c r="J142" s="4">
        <f>IFERROR(VLOOKUP(C142, MasterData!B:G, 6, FALSE), 18)</f>
      </c>
      <c r="K142" s="4">
        <f>IF(I142&lt;&gt;"", I142*J142/100, "")</f>
      </c>
      <c r="L142" s="4">
        <f>IF(I142&lt;&gt;"", I142+K142, "")</f>
      </c>
    </row>
    <row r="143" spans="1:12" x14ac:dyDescent="0.25">
      <c r="A143" s="3">
        <f>IF(C143&lt;&gt;"", ROW()-3, "")</f>
      </c>
      <c r="B143" s="3"/>
      <c r="C143" s="3"/>
      <c r="D143" s="3">
        <f>IFERROR(VLOOKUP(C143, MasterData!B:G, 2, FALSE), "")</f>
      </c>
      <c r="E143" s="3">
        <f>IFERROR(VLOOKUP(C143, MasterData!B:G, 3, FALSE), "")</f>
      </c>
      <c r="F143" s="3">
        <f>IFERROR(VLOOKUP(C143, MasterData!B:G, 4, FALSE), "")</f>
      </c>
      <c r="G143" s="4"/>
      <c r="H143" s="4">
        <f>IFERROR(VLOOKUP(C143, MasterData!B:G, 5, FALSE), "")</f>
      </c>
      <c r="I143" s="4">
        <f>IF(AND(G143&lt;&gt;"", H143&lt;&gt;""), G143*H143, "")</f>
      </c>
      <c r="J143" s="4">
        <f>IFERROR(VLOOKUP(C143, MasterData!B:G, 6, FALSE), 18)</f>
      </c>
      <c r="K143" s="4">
        <f>IF(I143&lt;&gt;"", I143*J143/100, "")</f>
      </c>
      <c r="L143" s="4">
        <f>IF(I143&lt;&gt;"", I143+K143, "")</f>
      </c>
    </row>
    <row r="144" spans="1:12" x14ac:dyDescent="0.25">
      <c r="A144" s="3">
        <f>IF(C144&lt;&gt;"", ROW()-3, "")</f>
      </c>
      <c r="B144" s="3"/>
      <c r="C144" s="3"/>
      <c r="D144" s="3">
        <f>IFERROR(VLOOKUP(C144, MasterData!B:G, 2, FALSE), "")</f>
      </c>
      <c r="E144" s="3">
        <f>IFERROR(VLOOKUP(C144, MasterData!B:G, 3, FALSE), "")</f>
      </c>
      <c r="F144" s="3">
        <f>IFERROR(VLOOKUP(C144, MasterData!B:G, 4, FALSE), "")</f>
      </c>
      <c r="G144" s="4"/>
      <c r="H144" s="4">
        <f>IFERROR(VLOOKUP(C144, MasterData!B:G, 5, FALSE), "")</f>
      </c>
      <c r="I144" s="4">
        <f>IF(AND(G144&lt;&gt;"", H144&lt;&gt;""), G144*H144, "")</f>
      </c>
      <c r="J144" s="4">
        <f>IFERROR(VLOOKUP(C144, MasterData!B:G, 6, FALSE), 18)</f>
      </c>
      <c r="K144" s="4">
        <f>IF(I144&lt;&gt;"", I144*J144/100, "")</f>
      </c>
      <c r="L144" s="4">
        <f>IF(I144&lt;&gt;"", I144+K144, "")</f>
      </c>
    </row>
    <row r="145" spans="1:12" x14ac:dyDescent="0.25">
      <c r="A145" s="3">
        <f>IF(C145&lt;&gt;"", ROW()-3, "")</f>
      </c>
      <c r="B145" s="3"/>
      <c r="C145" s="3"/>
      <c r="D145" s="3">
        <f>IFERROR(VLOOKUP(C145, MasterData!B:G, 2, FALSE), "")</f>
      </c>
      <c r="E145" s="3">
        <f>IFERROR(VLOOKUP(C145, MasterData!B:G, 3, FALSE), "")</f>
      </c>
      <c r="F145" s="3">
        <f>IFERROR(VLOOKUP(C145, MasterData!B:G, 4, FALSE), "")</f>
      </c>
      <c r="G145" s="4"/>
      <c r="H145" s="4">
        <f>IFERROR(VLOOKUP(C145, MasterData!B:G, 5, FALSE), "")</f>
      </c>
      <c r="I145" s="4">
        <f>IF(AND(G145&lt;&gt;"", H145&lt;&gt;""), G145*H145, "")</f>
      </c>
      <c r="J145" s="4">
        <f>IFERROR(VLOOKUP(C145, MasterData!B:G, 6, FALSE), 18)</f>
      </c>
      <c r="K145" s="4">
        <f>IF(I145&lt;&gt;"", I145*J145/100, "")</f>
      </c>
      <c r="L145" s="4">
        <f>IF(I145&lt;&gt;"", I145+K145, "")</f>
      </c>
    </row>
    <row r="146" spans="1:12" x14ac:dyDescent="0.25">
      <c r="A146" s="3">
        <f>IF(C146&lt;&gt;"", ROW()-3, "")</f>
      </c>
      <c r="B146" s="3"/>
      <c r="C146" s="3"/>
      <c r="D146" s="3">
        <f>IFERROR(VLOOKUP(C146, MasterData!B:G, 2, FALSE), "")</f>
      </c>
      <c r="E146" s="3">
        <f>IFERROR(VLOOKUP(C146, MasterData!B:G, 3, FALSE), "")</f>
      </c>
      <c r="F146" s="3">
        <f>IFERROR(VLOOKUP(C146, MasterData!B:G, 4, FALSE), "")</f>
      </c>
      <c r="G146" s="4"/>
      <c r="H146" s="4">
        <f>IFERROR(VLOOKUP(C146, MasterData!B:G, 5, FALSE), "")</f>
      </c>
      <c r="I146" s="4">
        <f>IF(AND(G146&lt;&gt;"", H146&lt;&gt;""), G146*H146, "")</f>
      </c>
      <c r="J146" s="4">
        <f>IFERROR(VLOOKUP(C146, MasterData!B:G, 6, FALSE), 18)</f>
      </c>
      <c r="K146" s="4">
        <f>IF(I146&lt;&gt;"", I146*J146/100, "")</f>
      </c>
      <c r="L146" s="4">
        <f>IF(I146&lt;&gt;"", I146+K146, "")</f>
      </c>
    </row>
    <row r="147" spans="1:12" x14ac:dyDescent="0.25">
      <c r="A147" s="3">
        <f>IF(C147&lt;&gt;"", ROW()-3, "")</f>
      </c>
      <c r="B147" s="3"/>
      <c r="C147" s="3"/>
      <c r="D147" s="3">
        <f>IFERROR(VLOOKUP(C147, MasterData!B:G, 2, FALSE), "")</f>
      </c>
      <c r="E147" s="3">
        <f>IFERROR(VLOOKUP(C147, MasterData!B:G, 3, FALSE), "")</f>
      </c>
      <c r="F147" s="3">
        <f>IFERROR(VLOOKUP(C147, MasterData!B:G, 4, FALSE), "")</f>
      </c>
      <c r="G147" s="4"/>
      <c r="H147" s="4">
        <f>IFERROR(VLOOKUP(C147, MasterData!B:G, 5, FALSE), "")</f>
      </c>
      <c r="I147" s="4">
        <f>IF(AND(G147&lt;&gt;"", H147&lt;&gt;""), G147*H147, "")</f>
      </c>
      <c r="J147" s="4">
        <f>IFERROR(VLOOKUP(C147, MasterData!B:G, 6, FALSE), 18)</f>
      </c>
      <c r="K147" s="4">
        <f>IF(I147&lt;&gt;"", I147*J147/100, "")</f>
      </c>
      <c r="L147" s="4">
        <f>IF(I147&lt;&gt;"", I147+K147, "")</f>
      </c>
    </row>
    <row r="148" spans="1:12" x14ac:dyDescent="0.25">
      <c r="A148" s="3">
        <f>IF(C148&lt;&gt;"", ROW()-3, "")</f>
      </c>
      <c r="B148" s="3"/>
      <c r="C148" s="3"/>
      <c r="D148" s="3">
        <f>IFERROR(VLOOKUP(C148, MasterData!B:G, 2, FALSE), "")</f>
      </c>
      <c r="E148" s="3">
        <f>IFERROR(VLOOKUP(C148, MasterData!B:G, 3, FALSE), "")</f>
      </c>
      <c r="F148" s="3">
        <f>IFERROR(VLOOKUP(C148, MasterData!B:G, 4, FALSE), "")</f>
      </c>
      <c r="G148" s="4"/>
      <c r="H148" s="4">
        <f>IFERROR(VLOOKUP(C148, MasterData!B:G, 5, FALSE), "")</f>
      </c>
      <c r="I148" s="4">
        <f>IF(AND(G148&lt;&gt;"", H148&lt;&gt;""), G148*H148, "")</f>
      </c>
      <c r="J148" s="4">
        <f>IFERROR(VLOOKUP(C148, MasterData!B:G, 6, FALSE), 18)</f>
      </c>
      <c r="K148" s="4">
        <f>IF(I148&lt;&gt;"", I148*J148/100, "")</f>
      </c>
      <c r="L148" s="4">
        <f>IF(I148&lt;&gt;"", I148+K148, "")</f>
      </c>
    </row>
    <row r="149" spans="1:12" x14ac:dyDescent="0.25">
      <c r="A149" s="3">
        <f>IF(C149&lt;&gt;"", ROW()-3, "")</f>
      </c>
      <c r="B149" s="3"/>
      <c r="C149" s="3"/>
      <c r="D149" s="3">
        <f>IFERROR(VLOOKUP(C149, MasterData!B:G, 2, FALSE), "")</f>
      </c>
      <c r="E149" s="3">
        <f>IFERROR(VLOOKUP(C149, MasterData!B:G, 3, FALSE), "")</f>
      </c>
      <c r="F149" s="3">
        <f>IFERROR(VLOOKUP(C149, MasterData!B:G, 4, FALSE), "")</f>
      </c>
      <c r="G149" s="4"/>
      <c r="H149" s="4">
        <f>IFERROR(VLOOKUP(C149, MasterData!B:G, 5, FALSE), "")</f>
      </c>
      <c r="I149" s="4">
        <f>IF(AND(G149&lt;&gt;"", H149&lt;&gt;""), G149*H149, "")</f>
      </c>
      <c r="J149" s="4">
        <f>IFERROR(VLOOKUP(C149, MasterData!B:G, 6, FALSE), 18)</f>
      </c>
      <c r="K149" s="4">
        <f>IF(I149&lt;&gt;"", I149*J149/100, "")</f>
      </c>
      <c r="L149" s="4">
        <f>IF(I149&lt;&gt;"", I149+K149, "")</f>
      </c>
    </row>
    <row r="150" spans="1:12" x14ac:dyDescent="0.25">
      <c r="A150" s="3">
        <f>IF(C150&lt;&gt;"", ROW()-3, "")</f>
      </c>
      <c r="B150" s="3"/>
      <c r="C150" s="3"/>
      <c r="D150" s="3">
        <f>IFERROR(VLOOKUP(C150, MasterData!B:G, 2, FALSE), "")</f>
      </c>
      <c r="E150" s="3">
        <f>IFERROR(VLOOKUP(C150, MasterData!B:G, 3, FALSE), "")</f>
      </c>
      <c r="F150" s="3">
        <f>IFERROR(VLOOKUP(C150, MasterData!B:G, 4, FALSE), "")</f>
      </c>
      <c r="G150" s="4"/>
      <c r="H150" s="4">
        <f>IFERROR(VLOOKUP(C150, MasterData!B:G, 5, FALSE), "")</f>
      </c>
      <c r="I150" s="4">
        <f>IF(AND(G150&lt;&gt;"", H150&lt;&gt;""), G150*H150, "")</f>
      </c>
      <c r="J150" s="4">
        <f>IFERROR(VLOOKUP(C150, MasterData!B:G, 6, FALSE), 18)</f>
      </c>
      <c r="K150" s="4">
        <f>IF(I150&lt;&gt;"", I150*J150/100, "")</f>
      </c>
      <c r="L150" s="4">
        <f>IF(I150&lt;&gt;"", I150+K150, "")</f>
      </c>
    </row>
    <row r="151" spans="1:12" x14ac:dyDescent="0.25">
      <c r="A151" s="3">
        <f>IF(C151&lt;&gt;"", ROW()-3, "")</f>
      </c>
      <c r="B151" s="3"/>
      <c r="C151" s="3"/>
      <c r="D151" s="3">
        <f>IFERROR(VLOOKUP(C151, MasterData!B:G, 2, FALSE), "")</f>
      </c>
      <c r="E151" s="3">
        <f>IFERROR(VLOOKUP(C151, MasterData!B:G, 3, FALSE), "")</f>
      </c>
      <c r="F151" s="3">
        <f>IFERROR(VLOOKUP(C151, MasterData!B:G, 4, FALSE), "")</f>
      </c>
      <c r="G151" s="4"/>
      <c r="H151" s="4">
        <f>IFERROR(VLOOKUP(C151, MasterData!B:G, 5, FALSE), "")</f>
      </c>
      <c r="I151" s="4">
        <f>IF(AND(G151&lt;&gt;"", H151&lt;&gt;""), G151*H151, "")</f>
      </c>
      <c r="J151" s="4">
        <f>IFERROR(VLOOKUP(C151, MasterData!B:G, 6, FALSE), 18)</f>
      </c>
      <c r="K151" s="4">
        <f>IF(I151&lt;&gt;"", I151*J151/100, "")</f>
      </c>
      <c r="L151" s="4">
        <f>IF(I151&lt;&gt;"", I151+K151, "")</f>
      </c>
    </row>
    <row r="152" spans="1:12" x14ac:dyDescent="0.25">
      <c r="A152" s="3">
        <f>IF(C152&lt;&gt;"", ROW()-3, "")</f>
      </c>
      <c r="B152" s="3"/>
      <c r="C152" s="3"/>
      <c r="D152" s="3">
        <f>IFERROR(VLOOKUP(C152, MasterData!B:G, 2, FALSE), "")</f>
      </c>
      <c r="E152" s="3">
        <f>IFERROR(VLOOKUP(C152, MasterData!B:G, 3, FALSE), "")</f>
      </c>
      <c r="F152" s="3">
        <f>IFERROR(VLOOKUP(C152, MasterData!B:G, 4, FALSE), "")</f>
      </c>
      <c r="G152" s="4"/>
      <c r="H152" s="4">
        <f>IFERROR(VLOOKUP(C152, MasterData!B:G, 5, FALSE), "")</f>
      </c>
      <c r="I152" s="4">
        <f>IF(AND(G152&lt;&gt;"", H152&lt;&gt;""), G152*H152, "")</f>
      </c>
      <c r="J152" s="4">
        <f>IFERROR(VLOOKUP(C152, MasterData!B:G, 6, FALSE), 18)</f>
      </c>
      <c r="K152" s="4">
        <f>IF(I152&lt;&gt;"", I152*J152/100, "")</f>
      </c>
      <c r="L152" s="4">
        <f>IF(I152&lt;&gt;"", I152+K152, "")</f>
      </c>
    </row>
    <row r="153" spans="1:12" x14ac:dyDescent="0.25">
      <c r="A153" s="3">
        <f>IF(C153&lt;&gt;"", ROW()-3, "")</f>
      </c>
      <c r="B153" s="3"/>
      <c r="C153" s="3"/>
      <c r="D153" s="3">
        <f>IFERROR(VLOOKUP(C153, MasterData!B:G, 2, FALSE), "")</f>
      </c>
      <c r="E153" s="3">
        <f>IFERROR(VLOOKUP(C153, MasterData!B:G, 3, FALSE), "")</f>
      </c>
      <c r="F153" s="3">
        <f>IFERROR(VLOOKUP(C153, MasterData!B:G, 4, FALSE), "")</f>
      </c>
      <c r="G153" s="4"/>
      <c r="H153" s="4">
        <f>IFERROR(VLOOKUP(C153, MasterData!B:G, 5, FALSE), "")</f>
      </c>
      <c r="I153" s="4">
        <f>IF(AND(G153&lt;&gt;"", H153&lt;&gt;""), G153*H153, "")</f>
      </c>
      <c r="J153" s="4">
        <f>IFERROR(VLOOKUP(C153, MasterData!B:G, 6, FALSE), 18)</f>
      </c>
      <c r="K153" s="4">
        <f>IF(I153&lt;&gt;"", I153*J153/100, "")</f>
      </c>
      <c r="L153" s="4">
        <f>IF(I153&lt;&gt;"", I153+K153, "")</f>
      </c>
    </row>
    <row r="154" spans="1:12" x14ac:dyDescent="0.25">
      <c r="A154" s="3">
        <f>IF(C154&lt;&gt;"", ROW()-3, "")</f>
      </c>
      <c r="B154" s="3"/>
      <c r="C154" s="3"/>
      <c r="D154" s="3">
        <f>IFERROR(VLOOKUP(C154, MasterData!B:G, 2, FALSE), "")</f>
      </c>
      <c r="E154" s="3">
        <f>IFERROR(VLOOKUP(C154, MasterData!B:G, 3, FALSE), "")</f>
      </c>
      <c r="F154" s="3">
        <f>IFERROR(VLOOKUP(C154, MasterData!B:G, 4, FALSE), "")</f>
      </c>
      <c r="G154" s="4"/>
      <c r="H154" s="4">
        <f>IFERROR(VLOOKUP(C154, MasterData!B:G, 5, FALSE), "")</f>
      </c>
      <c r="I154" s="4">
        <f>IF(AND(G154&lt;&gt;"", H154&lt;&gt;""), G154*H154, "")</f>
      </c>
      <c r="J154" s="4">
        <f>IFERROR(VLOOKUP(C154, MasterData!B:G, 6, FALSE), 18)</f>
      </c>
      <c r="K154" s="4">
        <f>IF(I154&lt;&gt;"", I154*J154/100, "")</f>
      </c>
      <c r="L154" s="4">
        <f>IF(I154&lt;&gt;"", I154+K154, "")</f>
      </c>
    </row>
    <row r="155" spans="1:12" x14ac:dyDescent="0.25">
      <c r="A155" s="3">
        <f>IF(C155&lt;&gt;"", ROW()-3, "")</f>
      </c>
      <c r="B155" s="3"/>
      <c r="C155" s="3"/>
      <c r="D155" s="3">
        <f>IFERROR(VLOOKUP(C155, MasterData!B:G, 2, FALSE), "")</f>
      </c>
      <c r="E155" s="3">
        <f>IFERROR(VLOOKUP(C155, MasterData!B:G, 3, FALSE), "")</f>
      </c>
      <c r="F155" s="3">
        <f>IFERROR(VLOOKUP(C155, MasterData!B:G, 4, FALSE), "")</f>
      </c>
      <c r="G155" s="4"/>
      <c r="H155" s="4">
        <f>IFERROR(VLOOKUP(C155, MasterData!B:G, 5, FALSE), "")</f>
      </c>
      <c r="I155" s="4">
        <f>IF(AND(G155&lt;&gt;"", H155&lt;&gt;""), G155*H155, "")</f>
      </c>
      <c r="J155" s="4">
        <f>IFERROR(VLOOKUP(C155, MasterData!B:G, 6, FALSE), 18)</f>
      </c>
      <c r="K155" s="4">
        <f>IF(I155&lt;&gt;"", I155*J155/100, "")</f>
      </c>
      <c r="L155" s="4">
        <f>IF(I155&lt;&gt;"", I155+K155, "")</f>
      </c>
    </row>
    <row r="156" spans="1:12" x14ac:dyDescent="0.25">
      <c r="A156" s="3">
        <f>IF(C156&lt;&gt;"", ROW()-3, "")</f>
      </c>
      <c r="B156" s="3"/>
      <c r="C156" s="3"/>
      <c r="D156" s="3">
        <f>IFERROR(VLOOKUP(C156, MasterData!B:G, 2, FALSE), "")</f>
      </c>
      <c r="E156" s="3">
        <f>IFERROR(VLOOKUP(C156, MasterData!B:G, 3, FALSE), "")</f>
      </c>
      <c r="F156" s="3">
        <f>IFERROR(VLOOKUP(C156, MasterData!B:G, 4, FALSE), "")</f>
      </c>
      <c r="G156" s="4"/>
      <c r="H156" s="4">
        <f>IFERROR(VLOOKUP(C156, MasterData!B:G, 5, FALSE), "")</f>
      </c>
      <c r="I156" s="4">
        <f>IF(AND(G156&lt;&gt;"", H156&lt;&gt;""), G156*H156, "")</f>
      </c>
      <c r="J156" s="4">
        <f>IFERROR(VLOOKUP(C156, MasterData!B:G, 6, FALSE), 18)</f>
      </c>
      <c r="K156" s="4">
        <f>IF(I156&lt;&gt;"", I156*J156/100, "")</f>
      </c>
      <c r="L156" s="4">
        <f>IF(I156&lt;&gt;"", I156+K156, "")</f>
      </c>
    </row>
    <row r="157" spans="1:12" x14ac:dyDescent="0.25">
      <c r="A157" s="3">
        <f>IF(C157&lt;&gt;"", ROW()-3, "")</f>
      </c>
      <c r="B157" s="3"/>
      <c r="C157" s="3"/>
      <c r="D157" s="3">
        <f>IFERROR(VLOOKUP(C157, MasterData!B:G, 2, FALSE), "")</f>
      </c>
      <c r="E157" s="3">
        <f>IFERROR(VLOOKUP(C157, MasterData!B:G, 3, FALSE), "")</f>
      </c>
      <c r="F157" s="3">
        <f>IFERROR(VLOOKUP(C157, MasterData!B:G, 4, FALSE), "")</f>
      </c>
      <c r="G157" s="4"/>
      <c r="H157" s="4">
        <f>IFERROR(VLOOKUP(C157, MasterData!B:G, 5, FALSE), "")</f>
      </c>
      <c r="I157" s="4">
        <f>IF(AND(G157&lt;&gt;"", H157&lt;&gt;""), G157*H157, "")</f>
      </c>
      <c r="J157" s="4">
        <f>IFERROR(VLOOKUP(C157, MasterData!B:G, 6, FALSE), 18)</f>
      </c>
      <c r="K157" s="4">
        <f>IF(I157&lt;&gt;"", I157*J157/100, "")</f>
      </c>
      <c r="L157" s="4">
        <f>IF(I157&lt;&gt;"", I157+K157, "")</f>
      </c>
    </row>
    <row r="158" spans="1:12" x14ac:dyDescent="0.25">
      <c r="A158" s="3">
        <f>IF(C158&lt;&gt;"", ROW()-3, "")</f>
      </c>
      <c r="B158" s="3"/>
      <c r="C158" s="3"/>
      <c r="D158" s="3">
        <f>IFERROR(VLOOKUP(C158, MasterData!B:G, 2, FALSE), "")</f>
      </c>
      <c r="E158" s="3">
        <f>IFERROR(VLOOKUP(C158, MasterData!B:G, 3, FALSE), "")</f>
      </c>
      <c r="F158" s="3">
        <f>IFERROR(VLOOKUP(C158, MasterData!B:G, 4, FALSE), "")</f>
      </c>
      <c r="G158" s="4"/>
      <c r="H158" s="4">
        <f>IFERROR(VLOOKUP(C158, MasterData!B:G, 5, FALSE), "")</f>
      </c>
      <c r="I158" s="4">
        <f>IF(AND(G158&lt;&gt;"", H158&lt;&gt;""), G158*H158, "")</f>
      </c>
      <c r="J158" s="4">
        <f>IFERROR(VLOOKUP(C158, MasterData!B:G, 6, FALSE), 18)</f>
      </c>
      <c r="K158" s="4">
        <f>IF(I158&lt;&gt;"", I158*J158/100, "")</f>
      </c>
      <c r="L158" s="4">
        <f>IF(I158&lt;&gt;"", I158+K158, "")</f>
      </c>
    </row>
    <row r="159" spans="1:12" x14ac:dyDescent="0.25">
      <c r="A159" s="3">
        <f>IF(C159&lt;&gt;"", ROW()-3, "")</f>
      </c>
      <c r="B159" s="3"/>
      <c r="C159" s="3"/>
      <c r="D159" s="3">
        <f>IFERROR(VLOOKUP(C159, MasterData!B:G, 2, FALSE), "")</f>
      </c>
      <c r="E159" s="3">
        <f>IFERROR(VLOOKUP(C159, MasterData!B:G, 3, FALSE), "")</f>
      </c>
      <c r="F159" s="3">
        <f>IFERROR(VLOOKUP(C159, MasterData!B:G, 4, FALSE), "")</f>
      </c>
      <c r="G159" s="4"/>
      <c r="H159" s="4">
        <f>IFERROR(VLOOKUP(C159, MasterData!B:G, 5, FALSE), "")</f>
      </c>
      <c r="I159" s="4">
        <f>IF(AND(G159&lt;&gt;"", H159&lt;&gt;""), G159*H159, "")</f>
      </c>
      <c r="J159" s="4">
        <f>IFERROR(VLOOKUP(C159, MasterData!B:G, 6, FALSE), 18)</f>
      </c>
      <c r="K159" s="4">
        <f>IF(I159&lt;&gt;"", I159*J159/100, "")</f>
      </c>
      <c r="L159" s="4">
        <f>IF(I159&lt;&gt;"", I159+K159, "")</f>
      </c>
    </row>
    <row r="160" spans="1:12" x14ac:dyDescent="0.25">
      <c r="A160" s="3">
        <f>IF(C160&lt;&gt;"", ROW()-3, "")</f>
      </c>
      <c r="B160" s="3"/>
      <c r="C160" s="3"/>
      <c r="D160" s="3">
        <f>IFERROR(VLOOKUP(C160, MasterData!B:G, 2, FALSE), "")</f>
      </c>
      <c r="E160" s="3">
        <f>IFERROR(VLOOKUP(C160, MasterData!B:G, 3, FALSE), "")</f>
      </c>
      <c r="F160" s="3">
        <f>IFERROR(VLOOKUP(C160, MasterData!B:G, 4, FALSE), "")</f>
      </c>
      <c r="G160" s="4"/>
      <c r="H160" s="4">
        <f>IFERROR(VLOOKUP(C160, MasterData!B:G, 5, FALSE), "")</f>
      </c>
      <c r="I160" s="4">
        <f>IF(AND(G160&lt;&gt;"", H160&lt;&gt;""), G160*H160, "")</f>
      </c>
      <c r="J160" s="4">
        <f>IFERROR(VLOOKUP(C160, MasterData!B:G, 6, FALSE), 18)</f>
      </c>
      <c r="K160" s="4">
        <f>IF(I160&lt;&gt;"", I160*J160/100, "")</f>
      </c>
      <c r="L160" s="4">
        <f>IF(I160&lt;&gt;"", I160+K160, "")</f>
      </c>
    </row>
    <row r="161" spans="1:12" x14ac:dyDescent="0.25">
      <c r="A161" s="3">
        <f>IF(C161&lt;&gt;"", ROW()-3, "")</f>
      </c>
      <c r="B161" s="3"/>
      <c r="C161" s="3"/>
      <c r="D161" s="3">
        <f>IFERROR(VLOOKUP(C161, MasterData!B:G, 2, FALSE), "")</f>
      </c>
      <c r="E161" s="3">
        <f>IFERROR(VLOOKUP(C161, MasterData!B:G, 3, FALSE), "")</f>
      </c>
      <c r="F161" s="3">
        <f>IFERROR(VLOOKUP(C161, MasterData!B:G, 4, FALSE), "")</f>
      </c>
      <c r="G161" s="4"/>
      <c r="H161" s="4">
        <f>IFERROR(VLOOKUP(C161, MasterData!B:G, 5, FALSE), "")</f>
      </c>
      <c r="I161" s="4">
        <f>IF(AND(G161&lt;&gt;"", H161&lt;&gt;""), G161*H161, "")</f>
      </c>
      <c r="J161" s="4">
        <f>IFERROR(VLOOKUP(C161, MasterData!B:G, 6, FALSE), 18)</f>
      </c>
      <c r="K161" s="4">
        <f>IF(I161&lt;&gt;"", I161*J161/100, "")</f>
      </c>
      <c r="L161" s="4">
        <f>IF(I161&lt;&gt;"", I161+K161, "")</f>
      </c>
    </row>
    <row r="162" spans="1:12" x14ac:dyDescent="0.25">
      <c r="A162" s="3">
        <f>IF(C162&lt;&gt;"", ROW()-3, "")</f>
      </c>
      <c r="B162" s="3"/>
      <c r="C162" s="3"/>
      <c r="D162" s="3">
        <f>IFERROR(VLOOKUP(C162, MasterData!B:G, 2, FALSE), "")</f>
      </c>
      <c r="E162" s="3">
        <f>IFERROR(VLOOKUP(C162, MasterData!B:G, 3, FALSE), "")</f>
      </c>
      <c r="F162" s="3">
        <f>IFERROR(VLOOKUP(C162, MasterData!B:G, 4, FALSE), "")</f>
      </c>
      <c r="G162" s="4"/>
      <c r="H162" s="4">
        <f>IFERROR(VLOOKUP(C162, MasterData!B:G, 5, FALSE), "")</f>
      </c>
      <c r="I162" s="4">
        <f>IF(AND(G162&lt;&gt;"", H162&lt;&gt;""), G162*H162, "")</f>
      </c>
      <c r="J162" s="4">
        <f>IFERROR(VLOOKUP(C162, MasterData!B:G, 6, FALSE), 18)</f>
      </c>
      <c r="K162" s="4">
        <f>IF(I162&lt;&gt;"", I162*J162/100, "")</f>
      </c>
      <c r="L162" s="4">
        <f>IF(I162&lt;&gt;"", I162+K162, "")</f>
      </c>
    </row>
    <row r="163" spans="1:12" x14ac:dyDescent="0.25">
      <c r="A163" s="3">
        <f>IF(C163&lt;&gt;"", ROW()-3, "")</f>
      </c>
      <c r="B163" s="3"/>
      <c r="C163" s="3"/>
      <c r="D163" s="3">
        <f>IFERROR(VLOOKUP(C163, MasterData!B:G, 2, FALSE), "")</f>
      </c>
      <c r="E163" s="3">
        <f>IFERROR(VLOOKUP(C163, MasterData!B:G, 3, FALSE), "")</f>
      </c>
      <c r="F163" s="3">
        <f>IFERROR(VLOOKUP(C163, MasterData!B:G, 4, FALSE), "")</f>
      </c>
      <c r="G163" s="4"/>
      <c r="H163" s="4">
        <f>IFERROR(VLOOKUP(C163, MasterData!B:G, 5, FALSE), "")</f>
      </c>
      <c r="I163" s="4">
        <f>IF(AND(G163&lt;&gt;"", H163&lt;&gt;""), G163*H163, "")</f>
      </c>
      <c r="J163" s="4">
        <f>IFERROR(VLOOKUP(C163, MasterData!B:G, 6, FALSE), 18)</f>
      </c>
      <c r="K163" s="4">
        <f>IF(I163&lt;&gt;"", I163*J163/100, "")</f>
      </c>
      <c r="L163" s="4">
        <f>IF(I163&lt;&gt;"", I163+K163, "")</f>
      </c>
    </row>
    <row r="164" spans="1:12" x14ac:dyDescent="0.25">
      <c r="A164" s="3">
        <f>IF(C164&lt;&gt;"", ROW()-3, "")</f>
      </c>
      <c r="B164" s="3"/>
      <c r="C164" s="3"/>
      <c r="D164" s="3">
        <f>IFERROR(VLOOKUP(C164, MasterData!B:G, 2, FALSE), "")</f>
      </c>
      <c r="E164" s="3">
        <f>IFERROR(VLOOKUP(C164, MasterData!B:G, 3, FALSE), "")</f>
      </c>
      <c r="F164" s="3">
        <f>IFERROR(VLOOKUP(C164, MasterData!B:G, 4, FALSE), "")</f>
      </c>
      <c r="G164" s="4"/>
      <c r="H164" s="4">
        <f>IFERROR(VLOOKUP(C164, MasterData!B:G, 5, FALSE), "")</f>
      </c>
      <c r="I164" s="4">
        <f>IF(AND(G164&lt;&gt;"", H164&lt;&gt;""), G164*H164, "")</f>
      </c>
      <c r="J164" s="4">
        <f>IFERROR(VLOOKUP(C164, MasterData!B:G, 6, FALSE), 18)</f>
      </c>
      <c r="K164" s="4">
        <f>IF(I164&lt;&gt;"", I164*J164/100, "")</f>
      </c>
      <c r="L164" s="4">
        <f>IF(I164&lt;&gt;"", I164+K164, "")</f>
      </c>
    </row>
    <row r="165" spans="1:12" x14ac:dyDescent="0.25">
      <c r="A165" s="3">
        <f>IF(C165&lt;&gt;"", ROW()-3, "")</f>
      </c>
      <c r="B165" s="3"/>
      <c r="C165" s="3"/>
      <c r="D165" s="3">
        <f>IFERROR(VLOOKUP(C165, MasterData!B:G, 2, FALSE), "")</f>
      </c>
      <c r="E165" s="3">
        <f>IFERROR(VLOOKUP(C165, MasterData!B:G, 3, FALSE), "")</f>
      </c>
      <c r="F165" s="3">
        <f>IFERROR(VLOOKUP(C165, MasterData!B:G, 4, FALSE), "")</f>
      </c>
      <c r="G165" s="4"/>
      <c r="H165" s="4">
        <f>IFERROR(VLOOKUP(C165, MasterData!B:G, 5, FALSE), "")</f>
      </c>
      <c r="I165" s="4">
        <f>IF(AND(G165&lt;&gt;"", H165&lt;&gt;""), G165*H165, "")</f>
      </c>
      <c r="J165" s="4">
        <f>IFERROR(VLOOKUP(C165, MasterData!B:G, 6, FALSE), 18)</f>
      </c>
      <c r="K165" s="4">
        <f>IF(I165&lt;&gt;"", I165*J165/100, "")</f>
      </c>
      <c r="L165" s="4">
        <f>IF(I165&lt;&gt;"", I165+K165, "")</f>
      </c>
    </row>
    <row r="166" spans="1:12" x14ac:dyDescent="0.25">
      <c r="A166" s="3">
        <f>IF(C166&lt;&gt;"", ROW()-3, "")</f>
      </c>
      <c r="B166" s="3"/>
      <c r="C166" s="3"/>
      <c r="D166" s="3">
        <f>IFERROR(VLOOKUP(C166, MasterData!B:G, 2, FALSE), "")</f>
      </c>
      <c r="E166" s="3">
        <f>IFERROR(VLOOKUP(C166, MasterData!B:G, 3, FALSE), "")</f>
      </c>
      <c r="F166" s="3">
        <f>IFERROR(VLOOKUP(C166, MasterData!B:G, 4, FALSE), "")</f>
      </c>
      <c r="G166" s="4"/>
      <c r="H166" s="4">
        <f>IFERROR(VLOOKUP(C166, MasterData!B:G, 5, FALSE), "")</f>
      </c>
      <c r="I166" s="4">
        <f>IF(AND(G166&lt;&gt;"", H166&lt;&gt;""), G166*H166, "")</f>
      </c>
      <c r="J166" s="4">
        <f>IFERROR(VLOOKUP(C166, MasterData!B:G, 6, FALSE), 18)</f>
      </c>
      <c r="K166" s="4">
        <f>IF(I166&lt;&gt;"", I166*J166/100, "")</f>
      </c>
      <c r="L166" s="4">
        <f>IF(I166&lt;&gt;"", I166+K166, "")</f>
      </c>
    </row>
    <row r="167" spans="1:12" x14ac:dyDescent="0.25">
      <c r="A167" s="3">
        <f>IF(C167&lt;&gt;"", ROW()-3, "")</f>
      </c>
      <c r="B167" s="3"/>
      <c r="C167" s="3"/>
      <c r="D167" s="3">
        <f>IFERROR(VLOOKUP(C167, MasterData!B:G, 2, FALSE), "")</f>
      </c>
      <c r="E167" s="3">
        <f>IFERROR(VLOOKUP(C167, MasterData!B:G, 3, FALSE), "")</f>
      </c>
      <c r="F167" s="3">
        <f>IFERROR(VLOOKUP(C167, MasterData!B:G, 4, FALSE), "")</f>
      </c>
      <c r="G167" s="4"/>
      <c r="H167" s="4">
        <f>IFERROR(VLOOKUP(C167, MasterData!B:G, 5, FALSE), "")</f>
      </c>
      <c r="I167" s="4">
        <f>IF(AND(G167&lt;&gt;"", H167&lt;&gt;""), G167*H167, "")</f>
      </c>
      <c r="J167" s="4">
        <f>IFERROR(VLOOKUP(C167, MasterData!B:G, 6, FALSE), 18)</f>
      </c>
      <c r="K167" s="4">
        <f>IF(I167&lt;&gt;"", I167*J167/100, "")</f>
      </c>
      <c r="L167" s="4">
        <f>IF(I167&lt;&gt;"", I167+K167, "")</f>
      </c>
    </row>
    <row r="168" spans="1:12" x14ac:dyDescent="0.25">
      <c r="A168" s="3">
        <f>IF(C168&lt;&gt;"", ROW()-3, "")</f>
      </c>
      <c r="B168" s="3"/>
      <c r="C168" s="3"/>
      <c r="D168" s="3">
        <f>IFERROR(VLOOKUP(C168, MasterData!B:G, 2, FALSE), "")</f>
      </c>
      <c r="E168" s="3">
        <f>IFERROR(VLOOKUP(C168, MasterData!B:G, 3, FALSE), "")</f>
      </c>
      <c r="F168" s="3">
        <f>IFERROR(VLOOKUP(C168, MasterData!B:G, 4, FALSE), "")</f>
      </c>
      <c r="G168" s="4"/>
      <c r="H168" s="4">
        <f>IFERROR(VLOOKUP(C168, MasterData!B:G, 5, FALSE), "")</f>
      </c>
      <c r="I168" s="4">
        <f>IF(AND(G168&lt;&gt;"", H168&lt;&gt;""), G168*H168, "")</f>
      </c>
      <c r="J168" s="4">
        <f>IFERROR(VLOOKUP(C168, MasterData!B:G, 6, FALSE), 18)</f>
      </c>
      <c r="K168" s="4">
        <f>IF(I168&lt;&gt;"", I168*J168/100, "")</f>
      </c>
      <c r="L168" s="4">
        <f>IF(I168&lt;&gt;"", I168+K168, "")</f>
      </c>
    </row>
    <row r="169" spans="1:12" x14ac:dyDescent="0.25">
      <c r="A169" s="3">
        <f>IF(C169&lt;&gt;"", ROW()-3, "")</f>
      </c>
      <c r="B169" s="3"/>
      <c r="C169" s="3"/>
      <c r="D169" s="3">
        <f>IFERROR(VLOOKUP(C169, MasterData!B:G, 2, FALSE), "")</f>
      </c>
      <c r="E169" s="3">
        <f>IFERROR(VLOOKUP(C169, MasterData!B:G, 3, FALSE), "")</f>
      </c>
      <c r="F169" s="3">
        <f>IFERROR(VLOOKUP(C169, MasterData!B:G, 4, FALSE), "")</f>
      </c>
      <c r="G169" s="4"/>
      <c r="H169" s="4">
        <f>IFERROR(VLOOKUP(C169, MasterData!B:G, 5, FALSE), "")</f>
      </c>
      <c r="I169" s="4">
        <f>IF(AND(G169&lt;&gt;"", H169&lt;&gt;""), G169*H169, "")</f>
      </c>
      <c r="J169" s="4">
        <f>IFERROR(VLOOKUP(C169, MasterData!B:G, 6, FALSE), 18)</f>
      </c>
      <c r="K169" s="4">
        <f>IF(I169&lt;&gt;"", I169*J169/100, "")</f>
      </c>
      <c r="L169" s="4">
        <f>IF(I169&lt;&gt;"", I169+K169, "")</f>
      </c>
    </row>
    <row r="170" spans="1:12" x14ac:dyDescent="0.25">
      <c r="A170" s="3">
        <f>IF(C170&lt;&gt;"", ROW()-3, "")</f>
      </c>
      <c r="B170" s="3"/>
      <c r="C170" s="3"/>
      <c r="D170" s="3">
        <f>IFERROR(VLOOKUP(C170, MasterData!B:G, 2, FALSE), "")</f>
      </c>
      <c r="E170" s="3">
        <f>IFERROR(VLOOKUP(C170, MasterData!B:G, 3, FALSE), "")</f>
      </c>
      <c r="F170" s="3">
        <f>IFERROR(VLOOKUP(C170, MasterData!B:G, 4, FALSE), "")</f>
      </c>
      <c r="G170" s="4"/>
      <c r="H170" s="4">
        <f>IFERROR(VLOOKUP(C170, MasterData!B:G, 5, FALSE), "")</f>
      </c>
      <c r="I170" s="4">
        <f>IF(AND(G170&lt;&gt;"", H170&lt;&gt;""), G170*H170, "")</f>
      </c>
      <c r="J170" s="4">
        <f>IFERROR(VLOOKUP(C170, MasterData!B:G, 6, FALSE), 18)</f>
      </c>
      <c r="K170" s="4">
        <f>IF(I170&lt;&gt;"", I170*J170/100, "")</f>
      </c>
      <c r="L170" s="4">
        <f>IF(I170&lt;&gt;"", I170+K170, "")</f>
      </c>
    </row>
    <row r="171" spans="1:12" x14ac:dyDescent="0.25">
      <c r="A171" s="3">
        <f>IF(C171&lt;&gt;"", ROW()-3, "")</f>
      </c>
      <c r="B171" s="3"/>
      <c r="C171" s="3"/>
      <c r="D171" s="3">
        <f>IFERROR(VLOOKUP(C171, MasterData!B:G, 2, FALSE), "")</f>
      </c>
      <c r="E171" s="3">
        <f>IFERROR(VLOOKUP(C171, MasterData!B:G, 3, FALSE), "")</f>
      </c>
      <c r="F171" s="3">
        <f>IFERROR(VLOOKUP(C171, MasterData!B:G, 4, FALSE), "")</f>
      </c>
      <c r="G171" s="4"/>
      <c r="H171" s="4">
        <f>IFERROR(VLOOKUP(C171, MasterData!B:G, 5, FALSE), "")</f>
      </c>
      <c r="I171" s="4">
        <f>IF(AND(G171&lt;&gt;"", H171&lt;&gt;""), G171*H171, "")</f>
      </c>
      <c r="J171" s="4">
        <f>IFERROR(VLOOKUP(C171, MasterData!B:G, 6, FALSE), 18)</f>
      </c>
      <c r="K171" s="4">
        <f>IF(I171&lt;&gt;"", I171*J171/100, "")</f>
      </c>
      <c r="L171" s="4">
        <f>IF(I171&lt;&gt;"", I171+K171, "")</f>
      </c>
    </row>
    <row r="172" spans="1:12" x14ac:dyDescent="0.25">
      <c r="A172" s="3">
        <f>IF(C172&lt;&gt;"", ROW()-3, "")</f>
      </c>
      <c r="B172" s="3"/>
      <c r="C172" s="3"/>
      <c r="D172" s="3">
        <f>IFERROR(VLOOKUP(C172, MasterData!B:G, 2, FALSE), "")</f>
      </c>
      <c r="E172" s="3">
        <f>IFERROR(VLOOKUP(C172, MasterData!B:G, 3, FALSE), "")</f>
      </c>
      <c r="F172" s="3">
        <f>IFERROR(VLOOKUP(C172, MasterData!B:G, 4, FALSE), "")</f>
      </c>
      <c r="G172" s="4"/>
      <c r="H172" s="4">
        <f>IFERROR(VLOOKUP(C172, MasterData!B:G, 5, FALSE), "")</f>
      </c>
      <c r="I172" s="4">
        <f>IF(AND(G172&lt;&gt;"", H172&lt;&gt;""), G172*H172, "")</f>
      </c>
      <c r="J172" s="4">
        <f>IFERROR(VLOOKUP(C172, MasterData!B:G, 6, FALSE), 18)</f>
      </c>
      <c r="K172" s="4">
        <f>IF(I172&lt;&gt;"", I172*J172/100, "")</f>
      </c>
      <c r="L172" s="4">
        <f>IF(I172&lt;&gt;"", I172+K172, "")</f>
      </c>
    </row>
    <row r="173" spans="1:12" x14ac:dyDescent="0.25">
      <c r="A173" s="3">
        <f>IF(C173&lt;&gt;"", ROW()-3, "")</f>
      </c>
      <c r="B173" s="3"/>
      <c r="C173" s="3"/>
      <c r="D173" s="3">
        <f>IFERROR(VLOOKUP(C173, MasterData!B:G, 2, FALSE), "")</f>
      </c>
      <c r="E173" s="3">
        <f>IFERROR(VLOOKUP(C173, MasterData!B:G, 3, FALSE), "")</f>
      </c>
      <c r="F173" s="3">
        <f>IFERROR(VLOOKUP(C173, MasterData!B:G, 4, FALSE), "")</f>
      </c>
      <c r="G173" s="4"/>
      <c r="H173" s="4">
        <f>IFERROR(VLOOKUP(C173, MasterData!B:G, 5, FALSE), "")</f>
      </c>
      <c r="I173" s="4">
        <f>IF(AND(G173&lt;&gt;"", H173&lt;&gt;""), G173*H173, "")</f>
      </c>
      <c r="J173" s="4">
        <f>IFERROR(VLOOKUP(C173, MasterData!B:G, 6, FALSE), 18)</f>
      </c>
      <c r="K173" s="4">
        <f>IF(I173&lt;&gt;"", I173*J173/100, "")</f>
      </c>
      <c r="L173" s="4">
        <f>IF(I173&lt;&gt;"", I173+K173, "")</f>
      </c>
    </row>
    <row r="174" spans="1:12" x14ac:dyDescent="0.25">
      <c r="A174" s="3">
        <f>IF(C174&lt;&gt;"", ROW()-3, "")</f>
      </c>
      <c r="B174" s="3"/>
      <c r="C174" s="3"/>
      <c r="D174" s="3">
        <f>IFERROR(VLOOKUP(C174, MasterData!B:G, 2, FALSE), "")</f>
      </c>
      <c r="E174" s="3">
        <f>IFERROR(VLOOKUP(C174, MasterData!B:G, 3, FALSE), "")</f>
      </c>
      <c r="F174" s="3">
        <f>IFERROR(VLOOKUP(C174, MasterData!B:G, 4, FALSE), "")</f>
      </c>
      <c r="G174" s="4"/>
      <c r="H174" s="4">
        <f>IFERROR(VLOOKUP(C174, MasterData!B:G, 5, FALSE), "")</f>
      </c>
      <c r="I174" s="4">
        <f>IF(AND(G174&lt;&gt;"", H174&lt;&gt;""), G174*H174, "")</f>
      </c>
      <c r="J174" s="4">
        <f>IFERROR(VLOOKUP(C174, MasterData!B:G, 6, FALSE), 18)</f>
      </c>
      <c r="K174" s="4">
        <f>IF(I174&lt;&gt;"", I174*J174/100, "")</f>
      </c>
      <c r="L174" s="4">
        <f>IF(I174&lt;&gt;"", I174+K174, "")</f>
      </c>
    </row>
    <row r="175" spans="1:12" x14ac:dyDescent="0.25">
      <c r="A175" s="3">
        <f>IF(C175&lt;&gt;"", ROW()-3, "")</f>
      </c>
      <c r="B175" s="3"/>
      <c r="C175" s="3"/>
      <c r="D175" s="3">
        <f>IFERROR(VLOOKUP(C175, MasterData!B:G, 2, FALSE), "")</f>
      </c>
      <c r="E175" s="3">
        <f>IFERROR(VLOOKUP(C175, MasterData!B:G, 3, FALSE), "")</f>
      </c>
      <c r="F175" s="3">
        <f>IFERROR(VLOOKUP(C175, MasterData!B:G, 4, FALSE), "")</f>
      </c>
      <c r="G175" s="4"/>
      <c r="H175" s="4">
        <f>IFERROR(VLOOKUP(C175, MasterData!B:G, 5, FALSE), "")</f>
      </c>
      <c r="I175" s="4">
        <f>IF(AND(G175&lt;&gt;"", H175&lt;&gt;""), G175*H175, "")</f>
      </c>
      <c r="J175" s="4">
        <f>IFERROR(VLOOKUP(C175, MasterData!B:G, 6, FALSE), 18)</f>
      </c>
      <c r="K175" s="4">
        <f>IF(I175&lt;&gt;"", I175*J175/100, "")</f>
      </c>
      <c r="L175" s="4">
        <f>IF(I175&lt;&gt;"", I175+K175, "")</f>
      </c>
    </row>
    <row r="176" spans="1:12" x14ac:dyDescent="0.25">
      <c r="A176" s="3">
        <f>IF(C176&lt;&gt;"", ROW()-3, "")</f>
      </c>
      <c r="B176" s="3"/>
      <c r="C176" s="3"/>
      <c r="D176" s="3">
        <f>IFERROR(VLOOKUP(C176, MasterData!B:G, 2, FALSE), "")</f>
      </c>
      <c r="E176" s="3">
        <f>IFERROR(VLOOKUP(C176, MasterData!B:G, 3, FALSE), "")</f>
      </c>
      <c r="F176" s="3">
        <f>IFERROR(VLOOKUP(C176, MasterData!B:G, 4, FALSE), "")</f>
      </c>
      <c r="G176" s="4"/>
      <c r="H176" s="4">
        <f>IFERROR(VLOOKUP(C176, MasterData!B:G, 5, FALSE), "")</f>
      </c>
      <c r="I176" s="4">
        <f>IF(AND(G176&lt;&gt;"", H176&lt;&gt;""), G176*H176, "")</f>
      </c>
      <c r="J176" s="4">
        <f>IFERROR(VLOOKUP(C176, MasterData!B:G, 6, FALSE), 18)</f>
      </c>
      <c r="K176" s="4">
        <f>IF(I176&lt;&gt;"", I176*J176/100, "")</f>
      </c>
      <c r="L176" s="4">
        <f>IF(I176&lt;&gt;"", I176+K176, "")</f>
      </c>
    </row>
    <row r="177" spans="1:12" x14ac:dyDescent="0.25">
      <c r="A177" s="3">
        <f>IF(C177&lt;&gt;"", ROW()-3, "")</f>
      </c>
      <c r="B177" s="3"/>
      <c r="C177" s="3"/>
      <c r="D177" s="3">
        <f>IFERROR(VLOOKUP(C177, MasterData!B:G, 2, FALSE), "")</f>
      </c>
      <c r="E177" s="3">
        <f>IFERROR(VLOOKUP(C177, MasterData!B:G, 3, FALSE), "")</f>
      </c>
      <c r="F177" s="3">
        <f>IFERROR(VLOOKUP(C177, MasterData!B:G, 4, FALSE), "")</f>
      </c>
      <c r="G177" s="4"/>
      <c r="H177" s="4">
        <f>IFERROR(VLOOKUP(C177, MasterData!B:G, 5, FALSE), "")</f>
      </c>
      <c r="I177" s="4">
        <f>IF(AND(G177&lt;&gt;"", H177&lt;&gt;""), G177*H177, "")</f>
      </c>
      <c r="J177" s="4">
        <f>IFERROR(VLOOKUP(C177, MasterData!B:G, 6, FALSE), 18)</f>
      </c>
      <c r="K177" s="4">
        <f>IF(I177&lt;&gt;"", I177*J177/100, "")</f>
      </c>
      <c r="L177" s="4">
        <f>IF(I177&lt;&gt;"", I177+K177, "")</f>
      </c>
    </row>
    <row r="178" spans="1:12" x14ac:dyDescent="0.25">
      <c r="A178" s="3">
        <f>IF(C178&lt;&gt;"", ROW()-3, "")</f>
      </c>
      <c r="B178" s="3"/>
      <c r="C178" s="3"/>
      <c r="D178" s="3">
        <f>IFERROR(VLOOKUP(C178, MasterData!B:G, 2, FALSE), "")</f>
      </c>
      <c r="E178" s="3">
        <f>IFERROR(VLOOKUP(C178, MasterData!B:G, 3, FALSE), "")</f>
      </c>
      <c r="F178" s="3">
        <f>IFERROR(VLOOKUP(C178, MasterData!B:G, 4, FALSE), "")</f>
      </c>
      <c r="G178" s="4"/>
      <c r="H178" s="4">
        <f>IFERROR(VLOOKUP(C178, MasterData!B:G, 5, FALSE), "")</f>
      </c>
      <c r="I178" s="4">
        <f>IF(AND(G178&lt;&gt;"", H178&lt;&gt;""), G178*H178, "")</f>
      </c>
      <c r="J178" s="4">
        <f>IFERROR(VLOOKUP(C178, MasterData!B:G, 6, FALSE), 18)</f>
      </c>
      <c r="K178" s="4">
        <f>IF(I178&lt;&gt;"", I178*J178/100, "")</f>
      </c>
      <c r="L178" s="4">
        <f>IF(I178&lt;&gt;"", I178+K178, "")</f>
      </c>
    </row>
    <row r="179" spans="1:12" x14ac:dyDescent="0.25">
      <c r="A179" s="3">
        <f>IF(C179&lt;&gt;"", ROW()-3, "")</f>
      </c>
      <c r="B179" s="3"/>
      <c r="C179" s="3"/>
      <c r="D179" s="3">
        <f>IFERROR(VLOOKUP(C179, MasterData!B:G, 2, FALSE), "")</f>
      </c>
      <c r="E179" s="3">
        <f>IFERROR(VLOOKUP(C179, MasterData!B:G, 3, FALSE), "")</f>
      </c>
      <c r="F179" s="3">
        <f>IFERROR(VLOOKUP(C179, MasterData!B:G, 4, FALSE), "")</f>
      </c>
      <c r="G179" s="4"/>
      <c r="H179" s="4">
        <f>IFERROR(VLOOKUP(C179, MasterData!B:G, 5, FALSE), "")</f>
      </c>
      <c r="I179" s="4">
        <f>IF(AND(G179&lt;&gt;"", H179&lt;&gt;""), G179*H179, "")</f>
      </c>
      <c r="J179" s="4">
        <f>IFERROR(VLOOKUP(C179, MasterData!B:G, 6, FALSE), 18)</f>
      </c>
      <c r="K179" s="4">
        <f>IF(I179&lt;&gt;"", I179*J179/100, "")</f>
      </c>
      <c r="L179" s="4">
        <f>IF(I179&lt;&gt;"", I179+K179, "")</f>
      </c>
    </row>
    <row r="180" spans="1:12" x14ac:dyDescent="0.25">
      <c r="A180" s="3">
        <f>IF(C180&lt;&gt;"", ROW()-3, "")</f>
      </c>
      <c r="B180" s="3"/>
      <c r="C180" s="3"/>
      <c r="D180" s="3">
        <f>IFERROR(VLOOKUP(C180, MasterData!B:G, 2, FALSE), "")</f>
      </c>
      <c r="E180" s="3">
        <f>IFERROR(VLOOKUP(C180, MasterData!B:G, 3, FALSE), "")</f>
      </c>
      <c r="F180" s="3">
        <f>IFERROR(VLOOKUP(C180, MasterData!B:G, 4, FALSE), "")</f>
      </c>
      <c r="G180" s="4"/>
      <c r="H180" s="4">
        <f>IFERROR(VLOOKUP(C180, MasterData!B:G, 5, FALSE), "")</f>
      </c>
      <c r="I180" s="4">
        <f>IF(AND(G180&lt;&gt;"", H180&lt;&gt;""), G180*H180, "")</f>
      </c>
      <c r="J180" s="4">
        <f>IFERROR(VLOOKUP(C180, MasterData!B:G, 6, FALSE), 18)</f>
      </c>
      <c r="K180" s="4">
        <f>IF(I180&lt;&gt;"", I180*J180/100, "")</f>
      </c>
      <c r="L180" s="4">
        <f>IF(I180&lt;&gt;"", I180+K180, "")</f>
      </c>
    </row>
    <row r="181" spans="1:12" x14ac:dyDescent="0.25">
      <c r="A181" s="3">
        <f>IF(C181&lt;&gt;"", ROW()-3, "")</f>
      </c>
      <c r="B181" s="3"/>
      <c r="C181" s="3"/>
      <c r="D181" s="3">
        <f>IFERROR(VLOOKUP(C181, MasterData!B:G, 2, FALSE), "")</f>
      </c>
      <c r="E181" s="3">
        <f>IFERROR(VLOOKUP(C181, MasterData!B:G, 3, FALSE), "")</f>
      </c>
      <c r="F181" s="3">
        <f>IFERROR(VLOOKUP(C181, MasterData!B:G, 4, FALSE), "")</f>
      </c>
      <c r="G181" s="4"/>
      <c r="H181" s="4">
        <f>IFERROR(VLOOKUP(C181, MasterData!B:G, 5, FALSE), "")</f>
      </c>
      <c r="I181" s="4">
        <f>IF(AND(G181&lt;&gt;"", H181&lt;&gt;""), G181*H181, "")</f>
      </c>
      <c r="J181" s="4">
        <f>IFERROR(VLOOKUP(C181, MasterData!B:G, 6, FALSE), 18)</f>
      </c>
      <c r="K181" s="4">
        <f>IF(I181&lt;&gt;"", I181*J181/100, "")</f>
      </c>
      <c r="L181" s="4">
        <f>IF(I181&lt;&gt;"", I181+K181, "")</f>
      </c>
    </row>
    <row r="182" spans="1:12" x14ac:dyDescent="0.25">
      <c r="A182" s="3">
        <f>IF(C182&lt;&gt;"", ROW()-3, "")</f>
      </c>
      <c r="B182" s="3"/>
      <c r="C182" s="3"/>
      <c r="D182" s="3">
        <f>IFERROR(VLOOKUP(C182, MasterData!B:G, 2, FALSE), "")</f>
      </c>
      <c r="E182" s="3">
        <f>IFERROR(VLOOKUP(C182, MasterData!B:G, 3, FALSE), "")</f>
      </c>
      <c r="F182" s="3">
        <f>IFERROR(VLOOKUP(C182, MasterData!B:G, 4, FALSE), "")</f>
      </c>
      <c r="G182" s="4"/>
      <c r="H182" s="4">
        <f>IFERROR(VLOOKUP(C182, MasterData!B:G, 5, FALSE), "")</f>
      </c>
      <c r="I182" s="4">
        <f>IF(AND(G182&lt;&gt;"", H182&lt;&gt;""), G182*H182, "")</f>
      </c>
      <c r="J182" s="4">
        <f>IFERROR(VLOOKUP(C182, MasterData!B:G, 6, FALSE), 18)</f>
      </c>
      <c r="K182" s="4">
        <f>IF(I182&lt;&gt;"", I182*J182/100, "")</f>
      </c>
      <c r="L182" s="4">
        <f>IF(I182&lt;&gt;"", I182+K182, "")</f>
      </c>
    </row>
    <row r="183" spans="1:12" x14ac:dyDescent="0.25">
      <c r="A183" s="3">
        <f>IF(C183&lt;&gt;"", ROW()-3, "")</f>
      </c>
      <c r="B183" s="3"/>
      <c r="C183" s="3"/>
      <c r="D183" s="3">
        <f>IFERROR(VLOOKUP(C183, MasterData!B:G, 2, FALSE), "")</f>
      </c>
      <c r="E183" s="3">
        <f>IFERROR(VLOOKUP(C183, MasterData!B:G, 3, FALSE), "")</f>
      </c>
      <c r="F183" s="3">
        <f>IFERROR(VLOOKUP(C183, MasterData!B:G, 4, FALSE), "")</f>
      </c>
      <c r="G183" s="4"/>
      <c r="H183" s="4">
        <f>IFERROR(VLOOKUP(C183, MasterData!B:G, 5, FALSE), "")</f>
      </c>
      <c r="I183" s="4">
        <f>IF(AND(G183&lt;&gt;"", H183&lt;&gt;""), G183*H183, "")</f>
      </c>
      <c r="J183" s="4">
        <f>IFERROR(VLOOKUP(C183, MasterData!B:G, 6, FALSE), 18)</f>
      </c>
      <c r="K183" s="4">
        <f>IF(I183&lt;&gt;"", I183*J183/100, "")</f>
      </c>
      <c r="L183" s="4">
        <f>IF(I183&lt;&gt;"", I183+K183, "")</f>
      </c>
    </row>
    <row r="184" spans="1:12" x14ac:dyDescent="0.25">
      <c r="A184" s="3">
        <f>IF(C184&lt;&gt;"", ROW()-3, "")</f>
      </c>
      <c r="B184" s="3"/>
      <c r="C184" s="3"/>
      <c r="D184" s="3">
        <f>IFERROR(VLOOKUP(C184, MasterData!B:G, 2, FALSE), "")</f>
      </c>
      <c r="E184" s="3">
        <f>IFERROR(VLOOKUP(C184, MasterData!B:G, 3, FALSE), "")</f>
      </c>
      <c r="F184" s="3">
        <f>IFERROR(VLOOKUP(C184, MasterData!B:G, 4, FALSE), "")</f>
      </c>
      <c r="G184" s="4"/>
      <c r="H184" s="4">
        <f>IFERROR(VLOOKUP(C184, MasterData!B:G, 5, FALSE), "")</f>
      </c>
      <c r="I184" s="4">
        <f>IF(AND(G184&lt;&gt;"", H184&lt;&gt;""), G184*H184, "")</f>
      </c>
      <c r="J184" s="4">
        <f>IFERROR(VLOOKUP(C184, MasterData!B:G, 6, FALSE), 18)</f>
      </c>
      <c r="K184" s="4">
        <f>IF(I184&lt;&gt;"", I184*J184/100, "")</f>
      </c>
      <c r="L184" s="4">
        <f>IF(I184&lt;&gt;"", I184+K184, "")</f>
      </c>
    </row>
    <row r="185" spans="1:12" x14ac:dyDescent="0.25">
      <c r="A185" s="3">
        <f>IF(C185&lt;&gt;"", ROW()-3, "")</f>
      </c>
      <c r="B185" s="3"/>
      <c r="C185" s="3"/>
      <c r="D185" s="3">
        <f>IFERROR(VLOOKUP(C185, MasterData!B:G, 2, FALSE), "")</f>
      </c>
      <c r="E185" s="3">
        <f>IFERROR(VLOOKUP(C185, MasterData!B:G, 3, FALSE), "")</f>
      </c>
      <c r="F185" s="3">
        <f>IFERROR(VLOOKUP(C185, MasterData!B:G, 4, FALSE), "")</f>
      </c>
      <c r="G185" s="4"/>
      <c r="H185" s="4">
        <f>IFERROR(VLOOKUP(C185, MasterData!B:G, 5, FALSE), "")</f>
      </c>
      <c r="I185" s="4">
        <f>IF(AND(G185&lt;&gt;"", H185&lt;&gt;""), G185*H185, "")</f>
      </c>
      <c r="J185" s="4">
        <f>IFERROR(VLOOKUP(C185, MasterData!B:G, 6, FALSE), 18)</f>
      </c>
      <c r="K185" s="4">
        <f>IF(I185&lt;&gt;"", I185*J185/100, "")</f>
      </c>
      <c r="L185" s="4">
        <f>IF(I185&lt;&gt;"", I185+K185, "")</f>
      </c>
    </row>
    <row r="186" spans="1:12" x14ac:dyDescent="0.25">
      <c r="A186" s="3">
        <f>IF(C186&lt;&gt;"", ROW()-3, "")</f>
      </c>
      <c r="B186" s="3"/>
      <c r="C186" s="3"/>
      <c r="D186" s="3">
        <f>IFERROR(VLOOKUP(C186, MasterData!B:G, 2, FALSE), "")</f>
      </c>
      <c r="E186" s="3">
        <f>IFERROR(VLOOKUP(C186, MasterData!B:G, 3, FALSE), "")</f>
      </c>
      <c r="F186" s="3">
        <f>IFERROR(VLOOKUP(C186, MasterData!B:G, 4, FALSE), "")</f>
      </c>
      <c r="G186" s="4"/>
      <c r="H186" s="4">
        <f>IFERROR(VLOOKUP(C186, MasterData!B:G, 5, FALSE), "")</f>
      </c>
      <c r="I186" s="4">
        <f>IF(AND(G186&lt;&gt;"", H186&lt;&gt;""), G186*H186, "")</f>
      </c>
      <c r="J186" s="4">
        <f>IFERROR(VLOOKUP(C186, MasterData!B:G, 6, FALSE), 18)</f>
      </c>
      <c r="K186" s="4">
        <f>IF(I186&lt;&gt;"", I186*J186/100, "")</f>
      </c>
      <c r="L186" s="4">
        <f>IF(I186&lt;&gt;"", I186+K186, "")</f>
      </c>
    </row>
    <row r="187" spans="1:12" x14ac:dyDescent="0.25">
      <c r="A187" s="3">
        <f>IF(C187&lt;&gt;"", ROW()-3, "")</f>
      </c>
      <c r="B187" s="3"/>
      <c r="C187" s="3"/>
      <c r="D187" s="3">
        <f>IFERROR(VLOOKUP(C187, MasterData!B:G, 2, FALSE), "")</f>
      </c>
      <c r="E187" s="3">
        <f>IFERROR(VLOOKUP(C187, MasterData!B:G, 3, FALSE), "")</f>
      </c>
      <c r="F187" s="3">
        <f>IFERROR(VLOOKUP(C187, MasterData!B:G, 4, FALSE), "")</f>
      </c>
      <c r="G187" s="4"/>
      <c r="H187" s="4">
        <f>IFERROR(VLOOKUP(C187, MasterData!B:G, 5, FALSE), "")</f>
      </c>
      <c r="I187" s="4">
        <f>IF(AND(G187&lt;&gt;"", H187&lt;&gt;""), G187*H187, "")</f>
      </c>
      <c r="J187" s="4">
        <f>IFERROR(VLOOKUP(C187, MasterData!B:G, 6, FALSE), 18)</f>
      </c>
      <c r="K187" s="4">
        <f>IF(I187&lt;&gt;"", I187*J187/100, "")</f>
      </c>
      <c r="L187" s="4">
        <f>IF(I187&lt;&gt;"", I187+K187, "")</f>
      </c>
    </row>
    <row r="188" spans="1:12" x14ac:dyDescent="0.25">
      <c r="A188" s="3">
        <f>IF(C188&lt;&gt;"", ROW()-3, "")</f>
      </c>
      <c r="B188" s="3"/>
      <c r="C188" s="3"/>
      <c r="D188" s="3">
        <f>IFERROR(VLOOKUP(C188, MasterData!B:G, 2, FALSE), "")</f>
      </c>
      <c r="E188" s="3">
        <f>IFERROR(VLOOKUP(C188, MasterData!B:G, 3, FALSE), "")</f>
      </c>
      <c r="F188" s="3">
        <f>IFERROR(VLOOKUP(C188, MasterData!B:G, 4, FALSE), "")</f>
      </c>
      <c r="G188" s="4"/>
      <c r="H188" s="4">
        <f>IFERROR(VLOOKUP(C188, MasterData!B:G, 5, FALSE), "")</f>
      </c>
      <c r="I188" s="4">
        <f>IF(AND(G188&lt;&gt;"", H188&lt;&gt;""), G188*H188, "")</f>
      </c>
      <c r="J188" s="4">
        <f>IFERROR(VLOOKUP(C188, MasterData!B:G, 6, FALSE), 18)</f>
      </c>
      <c r="K188" s="4">
        <f>IF(I188&lt;&gt;"", I188*J188/100, "")</f>
      </c>
      <c r="L188" s="4">
        <f>IF(I188&lt;&gt;"", I188+K188, "")</f>
      </c>
    </row>
    <row r="189" spans="1:12" x14ac:dyDescent="0.25">
      <c r="A189" s="3">
        <f>IF(C189&lt;&gt;"", ROW()-3, "")</f>
      </c>
      <c r="B189" s="3"/>
      <c r="C189" s="3"/>
      <c r="D189" s="3">
        <f>IFERROR(VLOOKUP(C189, MasterData!B:G, 2, FALSE), "")</f>
      </c>
      <c r="E189" s="3">
        <f>IFERROR(VLOOKUP(C189, MasterData!B:G, 3, FALSE), "")</f>
      </c>
      <c r="F189" s="3">
        <f>IFERROR(VLOOKUP(C189, MasterData!B:G, 4, FALSE), "")</f>
      </c>
      <c r="G189" s="4"/>
      <c r="H189" s="4">
        <f>IFERROR(VLOOKUP(C189, MasterData!B:G, 5, FALSE), "")</f>
      </c>
      <c r="I189" s="4">
        <f>IF(AND(G189&lt;&gt;"", H189&lt;&gt;""), G189*H189, "")</f>
      </c>
      <c r="J189" s="4">
        <f>IFERROR(VLOOKUP(C189, MasterData!B:G, 6, FALSE), 18)</f>
      </c>
      <c r="K189" s="4">
        <f>IF(I189&lt;&gt;"", I189*J189/100, "")</f>
      </c>
      <c r="L189" s="4">
        <f>IF(I189&lt;&gt;"", I189+K189, "")</f>
      </c>
    </row>
    <row r="190" spans="1:12" x14ac:dyDescent="0.25">
      <c r="A190" s="3">
        <f>IF(C190&lt;&gt;"", ROW()-3, "")</f>
      </c>
      <c r="B190" s="3"/>
      <c r="C190" s="3"/>
      <c r="D190" s="3">
        <f>IFERROR(VLOOKUP(C190, MasterData!B:G, 2, FALSE), "")</f>
      </c>
      <c r="E190" s="3">
        <f>IFERROR(VLOOKUP(C190, MasterData!B:G, 3, FALSE), "")</f>
      </c>
      <c r="F190" s="3">
        <f>IFERROR(VLOOKUP(C190, MasterData!B:G, 4, FALSE), "")</f>
      </c>
      <c r="G190" s="4"/>
      <c r="H190" s="4">
        <f>IFERROR(VLOOKUP(C190, MasterData!B:G, 5, FALSE), "")</f>
      </c>
      <c r="I190" s="4">
        <f>IF(AND(G190&lt;&gt;"", H190&lt;&gt;""), G190*H190, "")</f>
      </c>
      <c r="J190" s="4">
        <f>IFERROR(VLOOKUP(C190, MasterData!B:G, 6, FALSE), 18)</f>
      </c>
      <c r="K190" s="4">
        <f>IF(I190&lt;&gt;"", I190*J190/100, "")</f>
      </c>
      <c r="L190" s="4">
        <f>IF(I190&lt;&gt;"", I190+K190, "")</f>
      </c>
    </row>
    <row r="191" spans="1:12" x14ac:dyDescent="0.25">
      <c r="A191" s="3">
        <f>IF(C191&lt;&gt;"", ROW()-3, "")</f>
      </c>
      <c r="B191" s="3"/>
      <c r="C191" s="3"/>
      <c r="D191" s="3">
        <f>IFERROR(VLOOKUP(C191, MasterData!B:G, 2, FALSE), "")</f>
      </c>
      <c r="E191" s="3">
        <f>IFERROR(VLOOKUP(C191, MasterData!B:G, 3, FALSE), "")</f>
      </c>
      <c r="F191" s="3">
        <f>IFERROR(VLOOKUP(C191, MasterData!B:G, 4, FALSE), "")</f>
      </c>
      <c r="G191" s="4"/>
      <c r="H191" s="4">
        <f>IFERROR(VLOOKUP(C191, MasterData!B:G, 5, FALSE), "")</f>
      </c>
      <c r="I191" s="4">
        <f>IF(AND(G191&lt;&gt;"", H191&lt;&gt;""), G191*H191, "")</f>
      </c>
      <c r="J191" s="4">
        <f>IFERROR(VLOOKUP(C191, MasterData!B:G, 6, FALSE), 18)</f>
      </c>
      <c r="K191" s="4">
        <f>IF(I191&lt;&gt;"", I191*J191/100, "")</f>
      </c>
      <c r="L191" s="4">
        <f>IF(I191&lt;&gt;"", I191+K191, "")</f>
      </c>
    </row>
    <row r="192" spans="1:12" x14ac:dyDescent="0.25">
      <c r="A192" s="3">
        <f>IF(C192&lt;&gt;"", ROW()-3, "")</f>
      </c>
      <c r="B192" s="3"/>
      <c r="C192" s="3"/>
      <c r="D192" s="3">
        <f>IFERROR(VLOOKUP(C192, MasterData!B:G, 2, FALSE), "")</f>
      </c>
      <c r="E192" s="3">
        <f>IFERROR(VLOOKUP(C192, MasterData!B:G, 3, FALSE), "")</f>
      </c>
      <c r="F192" s="3">
        <f>IFERROR(VLOOKUP(C192, MasterData!B:G, 4, FALSE), "")</f>
      </c>
      <c r="G192" s="4"/>
      <c r="H192" s="4">
        <f>IFERROR(VLOOKUP(C192, MasterData!B:G, 5, FALSE), "")</f>
      </c>
      <c r="I192" s="4">
        <f>IF(AND(G192&lt;&gt;"", H192&lt;&gt;""), G192*H192, "")</f>
      </c>
      <c r="J192" s="4">
        <f>IFERROR(VLOOKUP(C192, MasterData!B:G, 6, FALSE), 18)</f>
      </c>
      <c r="K192" s="4">
        <f>IF(I192&lt;&gt;"", I192*J192/100, "")</f>
      </c>
      <c r="L192" s="4">
        <f>IF(I192&lt;&gt;"", I192+K192, "")</f>
      </c>
    </row>
    <row r="193" spans="1:12" x14ac:dyDescent="0.25">
      <c r="A193" s="3">
        <f>IF(C193&lt;&gt;"", ROW()-3, "")</f>
      </c>
      <c r="B193" s="3"/>
      <c r="C193" s="3"/>
      <c r="D193" s="3">
        <f>IFERROR(VLOOKUP(C193, MasterData!B:G, 2, FALSE), "")</f>
      </c>
      <c r="E193" s="3">
        <f>IFERROR(VLOOKUP(C193, MasterData!B:G, 3, FALSE), "")</f>
      </c>
      <c r="F193" s="3">
        <f>IFERROR(VLOOKUP(C193, MasterData!B:G, 4, FALSE), "")</f>
      </c>
      <c r="G193" s="4"/>
      <c r="H193" s="4">
        <f>IFERROR(VLOOKUP(C193, MasterData!B:G, 5, FALSE), "")</f>
      </c>
      <c r="I193" s="4">
        <f>IF(AND(G193&lt;&gt;"", H193&lt;&gt;""), G193*H193, "")</f>
      </c>
      <c r="J193" s="4">
        <f>IFERROR(VLOOKUP(C193, MasterData!B:G, 6, FALSE), 18)</f>
      </c>
      <c r="K193" s="4">
        <f>IF(I193&lt;&gt;"", I193*J193/100, "")</f>
      </c>
      <c r="L193" s="4">
        <f>IF(I193&lt;&gt;"", I193+K193, "")</f>
      </c>
    </row>
    <row r="194" spans="1:12" x14ac:dyDescent="0.25">
      <c r="A194" s="3">
        <f>IF(C194&lt;&gt;"", ROW()-3, "")</f>
      </c>
      <c r="B194" s="3"/>
      <c r="C194" s="3"/>
      <c r="D194" s="3">
        <f>IFERROR(VLOOKUP(C194, MasterData!B:G, 2, FALSE), "")</f>
      </c>
      <c r="E194" s="3">
        <f>IFERROR(VLOOKUP(C194, MasterData!B:G, 3, FALSE), "")</f>
      </c>
      <c r="F194" s="3">
        <f>IFERROR(VLOOKUP(C194, MasterData!B:G, 4, FALSE), "")</f>
      </c>
      <c r="G194" s="4"/>
      <c r="H194" s="4">
        <f>IFERROR(VLOOKUP(C194, MasterData!B:G, 5, FALSE), "")</f>
      </c>
      <c r="I194" s="4">
        <f>IF(AND(G194&lt;&gt;"", H194&lt;&gt;""), G194*H194, "")</f>
      </c>
      <c r="J194" s="4">
        <f>IFERROR(VLOOKUP(C194, MasterData!B:G, 6, FALSE), 18)</f>
      </c>
      <c r="K194" s="4">
        <f>IF(I194&lt;&gt;"", I194*J194/100, "")</f>
      </c>
      <c r="L194" s="4">
        <f>IF(I194&lt;&gt;"", I194+K194, "")</f>
      </c>
    </row>
    <row r="195" spans="1:12" x14ac:dyDescent="0.25">
      <c r="A195" s="3">
        <f>IF(C195&lt;&gt;"", ROW()-3, "")</f>
      </c>
      <c r="B195" s="3"/>
      <c r="C195" s="3"/>
      <c r="D195" s="3">
        <f>IFERROR(VLOOKUP(C195, MasterData!B:G, 2, FALSE), "")</f>
      </c>
      <c r="E195" s="3">
        <f>IFERROR(VLOOKUP(C195, MasterData!B:G, 3, FALSE), "")</f>
      </c>
      <c r="F195" s="3">
        <f>IFERROR(VLOOKUP(C195, MasterData!B:G, 4, FALSE), "")</f>
      </c>
      <c r="G195" s="4"/>
      <c r="H195" s="4">
        <f>IFERROR(VLOOKUP(C195, MasterData!B:G, 5, FALSE), "")</f>
      </c>
      <c r="I195" s="4">
        <f>IF(AND(G195&lt;&gt;"", H195&lt;&gt;""), G195*H195, "")</f>
      </c>
      <c r="J195" s="4">
        <f>IFERROR(VLOOKUP(C195, MasterData!B:G, 6, FALSE), 18)</f>
      </c>
      <c r="K195" s="4">
        <f>IF(I195&lt;&gt;"", I195*J195/100, "")</f>
      </c>
      <c r="L195" s="4">
        <f>IF(I195&lt;&gt;"", I195+K195, "")</f>
      </c>
    </row>
    <row r="196" spans="1:12" x14ac:dyDescent="0.25">
      <c r="A196" s="3">
        <f>IF(C196&lt;&gt;"", ROW()-3, "")</f>
      </c>
      <c r="B196" s="3"/>
      <c r="C196" s="3"/>
      <c r="D196" s="3">
        <f>IFERROR(VLOOKUP(C196, MasterData!B:G, 2, FALSE), "")</f>
      </c>
      <c r="E196" s="3">
        <f>IFERROR(VLOOKUP(C196, MasterData!B:G, 3, FALSE), "")</f>
      </c>
      <c r="F196" s="3">
        <f>IFERROR(VLOOKUP(C196, MasterData!B:G, 4, FALSE), "")</f>
      </c>
      <c r="G196" s="4"/>
      <c r="H196" s="4">
        <f>IFERROR(VLOOKUP(C196, MasterData!B:G, 5, FALSE), "")</f>
      </c>
      <c r="I196" s="4">
        <f>IF(AND(G196&lt;&gt;"", H196&lt;&gt;""), G196*H196, "")</f>
      </c>
      <c r="J196" s="4">
        <f>IFERROR(VLOOKUP(C196, MasterData!B:G, 6, FALSE), 18)</f>
      </c>
      <c r="K196" s="4">
        <f>IF(I196&lt;&gt;"", I196*J196/100, "")</f>
      </c>
      <c r="L196" s="4">
        <f>IF(I196&lt;&gt;"", I196+K196, "")</f>
      </c>
    </row>
    <row r="197" spans="1:12" x14ac:dyDescent="0.25">
      <c r="A197" s="3">
        <f>IF(C197&lt;&gt;"", ROW()-3, "")</f>
      </c>
      <c r="B197" s="3"/>
      <c r="C197" s="3"/>
      <c r="D197" s="3">
        <f>IFERROR(VLOOKUP(C197, MasterData!B:G, 2, FALSE), "")</f>
      </c>
      <c r="E197" s="3">
        <f>IFERROR(VLOOKUP(C197, MasterData!B:G, 3, FALSE), "")</f>
      </c>
      <c r="F197" s="3">
        <f>IFERROR(VLOOKUP(C197, MasterData!B:G, 4, FALSE), "")</f>
      </c>
      <c r="G197" s="4"/>
      <c r="H197" s="4">
        <f>IFERROR(VLOOKUP(C197, MasterData!B:G, 5, FALSE), "")</f>
      </c>
      <c r="I197" s="4">
        <f>IF(AND(G197&lt;&gt;"", H197&lt;&gt;""), G197*H197, "")</f>
      </c>
      <c r="J197" s="4">
        <f>IFERROR(VLOOKUP(C197, MasterData!B:G, 6, FALSE), 18)</f>
      </c>
      <c r="K197" s="4">
        <f>IF(I197&lt;&gt;"", I197*J197/100, "")</f>
      </c>
      <c r="L197" s="4">
        <f>IF(I197&lt;&gt;"", I197+K197, "")</f>
      </c>
    </row>
    <row r="198" spans="1:12" x14ac:dyDescent="0.25">
      <c r="A198" s="3">
        <f>IF(C198&lt;&gt;"", ROW()-3, "")</f>
      </c>
      <c r="B198" s="3"/>
      <c r="C198" s="3"/>
      <c r="D198" s="3">
        <f>IFERROR(VLOOKUP(C198, MasterData!B:G, 2, FALSE), "")</f>
      </c>
      <c r="E198" s="3">
        <f>IFERROR(VLOOKUP(C198, MasterData!B:G, 3, FALSE), "")</f>
      </c>
      <c r="F198" s="3">
        <f>IFERROR(VLOOKUP(C198, MasterData!B:G, 4, FALSE), "")</f>
      </c>
      <c r="G198" s="4"/>
      <c r="H198" s="4">
        <f>IFERROR(VLOOKUP(C198, MasterData!B:G, 5, FALSE), "")</f>
      </c>
      <c r="I198" s="4">
        <f>IF(AND(G198&lt;&gt;"", H198&lt;&gt;""), G198*H198, "")</f>
      </c>
      <c r="J198" s="4">
        <f>IFERROR(VLOOKUP(C198, MasterData!B:G, 6, FALSE), 18)</f>
      </c>
      <c r="K198" s="4">
        <f>IF(I198&lt;&gt;"", I198*J198/100, "")</f>
      </c>
      <c r="L198" s="4">
        <f>IF(I198&lt;&gt;"", I198+K198, "")</f>
      </c>
    </row>
    <row r="199" spans="1:12" x14ac:dyDescent="0.25">
      <c r="A199" s="3">
        <f>IF(C199&lt;&gt;"", ROW()-3, "")</f>
      </c>
      <c r="B199" s="3"/>
      <c r="C199" s="3"/>
      <c r="D199" s="3">
        <f>IFERROR(VLOOKUP(C199, MasterData!B:G, 2, FALSE), "")</f>
      </c>
      <c r="E199" s="3">
        <f>IFERROR(VLOOKUP(C199, MasterData!B:G, 3, FALSE), "")</f>
      </c>
      <c r="F199" s="3">
        <f>IFERROR(VLOOKUP(C199, MasterData!B:G, 4, FALSE), "")</f>
      </c>
      <c r="G199" s="4"/>
      <c r="H199" s="4">
        <f>IFERROR(VLOOKUP(C199, MasterData!B:G, 5, FALSE), "")</f>
      </c>
      <c r="I199" s="4">
        <f>IF(AND(G199&lt;&gt;"", H199&lt;&gt;""), G199*H199, "")</f>
      </c>
      <c r="J199" s="4">
        <f>IFERROR(VLOOKUP(C199, MasterData!B:G, 6, FALSE), 18)</f>
      </c>
      <c r="K199" s="4">
        <f>IF(I199&lt;&gt;"", I199*J199/100, "")</f>
      </c>
      <c r="L199" s="4">
        <f>IF(I199&lt;&gt;"", I199+K199, "")</f>
      </c>
    </row>
    <row r="200" spans="1:12" x14ac:dyDescent="0.25">
      <c r="A200" s="3">
        <f>IF(C200&lt;&gt;"", ROW()-3, "")</f>
      </c>
      <c r="B200" s="3"/>
      <c r="C200" s="3"/>
      <c r="D200" s="3">
        <f>IFERROR(VLOOKUP(C200, MasterData!B:G, 2, FALSE), "")</f>
      </c>
      <c r="E200" s="3">
        <f>IFERROR(VLOOKUP(C200, MasterData!B:G, 3, FALSE), "")</f>
      </c>
      <c r="F200" s="3">
        <f>IFERROR(VLOOKUP(C200, MasterData!B:G, 4, FALSE), "")</f>
      </c>
      <c r="G200" s="4"/>
      <c r="H200" s="4">
        <f>IFERROR(VLOOKUP(C200, MasterData!B:G, 5, FALSE), "")</f>
      </c>
      <c r="I200" s="4">
        <f>IF(AND(G200&lt;&gt;"", H200&lt;&gt;""), G200*H200, "")</f>
      </c>
      <c r="J200" s="4">
        <f>IFERROR(VLOOKUP(C200, MasterData!B:G, 6, FALSE), 18)</f>
      </c>
      <c r="K200" s="4">
        <f>IF(I200&lt;&gt;"", I200*J200/100, "")</f>
      </c>
      <c r="L200" s="4">
        <f>IF(I200&lt;&gt;"", I200+K200, "")</f>
      </c>
    </row>
    <row r="201" spans="1:12" x14ac:dyDescent="0.25">
      <c r="A201" s="5" t="s">
        <v>20294</v>
      </c>
      <c r="B201" s="5"/>
      <c r="C201" s="5"/>
      <c r="D201" s="5"/>
      <c r="E201" s="5"/>
      <c r="F201" s="5"/>
      <c r="G201" s="3">
        <f>SUM(G4:G200)</f>
      </c>
      <c r="H201" s="3"/>
      <c r="I201" s="3">
        <f>SUM(I4:I200)</f>
      </c>
      <c r="J201" s="3"/>
      <c r="K201" s="3">
        <f>SUM(K4:K200)</f>
      </c>
      <c r="L201" s="3">
        <f>SUM(L4:L200)</f>
      </c>
    </row>
    <row r="202" spans="1:12" x14ac:dyDescent="0.25">
      <c r="A202" s="6" t="s">
        <v>20295</v>
      </c>
      <c r="B202" s="6"/>
      <c r="C202" s="6"/>
      <c r="D202" s="6"/>
      <c r="E202" s="6"/>
      <c r="F202" s="6"/>
      <c r="G202" s="3">
        <v>1</v>
      </c>
      <c r="H202" s="3">
        <v>0</v>
      </c>
      <c r="I202" s="3">
        <f>G202*H202</f>
      </c>
      <c r="J202" s="3">
        <v>18</v>
      </c>
      <c r="K202" s="3">
        <f>I202*J202/100</f>
      </c>
      <c r="L202" s="3">
        <f>I202+K202</f>
      </c>
    </row>
    <row r="203" spans="1:12" x14ac:dyDescent="0.25">
      <c r="A203" s="6" t="s">
        <v>20296</v>
      </c>
      <c r="B203" s="6"/>
      <c r="C203" s="6"/>
      <c r="D203" s="6"/>
      <c r="E203" s="6"/>
      <c r="F203" s="6"/>
      <c r="G203" s="3">
        <v>1</v>
      </c>
      <c r="H203" s="3">
        <v>0</v>
      </c>
      <c r="I203" s="3">
        <f>G203*H203</f>
      </c>
      <c r="J203" s="3">
        <v>18</v>
      </c>
      <c r="K203" s="3">
        <f>I203*J203/100</f>
      </c>
      <c r="L203" s="3">
        <f>I203+K203</f>
      </c>
    </row>
    <row r="204" spans="11:12" x14ac:dyDescent="0.25">
      <c r="K204" s="7" t="s">
        <v>20297</v>
      </c>
      <c r="L204" s="7">
        <f>L201+L202+L203</f>
      </c>
    </row>
    <row r="205" spans="11:12" x14ac:dyDescent="0.25">
      <c r="K205" s="7" t="s">
        <v>20298</v>
      </c>
      <c r="L205">
        <f>ROUND(L204,0)-L204</f>
      </c>
    </row>
    <row r="206" spans="11:12" x14ac:dyDescent="0.25">
      <c r="K206" s="7" t="s">
        <v>20299</v>
      </c>
      <c r="L206" s="8">
        <f>L204+L205</f>
      </c>
    </row>
  </sheetData>
  <mergeCells count="4">
    <mergeCell ref="A1:L1"/>
    <mergeCell ref="A201:F201"/>
    <mergeCell ref="A202:F202"/>
    <mergeCell ref="A203:F203"/>
  </mergeCells>
  <dataValidations count="199">
    <dataValidation type="list" allowBlank="1" sqref="B10:B200">
      <formula1>MasterData!$J$2:$J$8</formula1>
    </dataValidation>
    <dataValidation type="list" allowBlank="1" sqref="B4:B200">
      <formula1>MasterData!$J$2:$J$8</formula1>
    </dataValidation>
    <dataValidation type="list" allowBlank="1" sqref="C10">
      <formula1>INDIRECT(SUBSTITUTE(B10, " ", "_"))</formula1>
    </dataValidation>
    <dataValidation type="list" allowBlank="1" sqref="C100">
      <formula1>INDIRECT(SUBSTITUTE(B100, " ", "_"))</formula1>
    </dataValidation>
    <dataValidation type="list" allowBlank="1" sqref="C101">
      <formula1>INDIRECT(SUBSTITUTE(B101, " ", "_"))</formula1>
    </dataValidation>
    <dataValidation type="list" allowBlank="1" sqref="C102">
      <formula1>INDIRECT(SUBSTITUTE(B102, " ", "_"))</formula1>
    </dataValidation>
    <dataValidation type="list" allowBlank="1" sqref="C103">
      <formula1>INDIRECT(SUBSTITUTE(B103, " ", "_"))</formula1>
    </dataValidation>
    <dataValidation type="list" allowBlank="1" sqref="C104">
      <formula1>INDIRECT(SUBSTITUTE(B104, " ", "_"))</formula1>
    </dataValidation>
    <dataValidation type="list" allowBlank="1" sqref="C105">
      <formula1>INDIRECT(SUBSTITUTE(B105, " ", "_"))</formula1>
    </dataValidation>
    <dataValidation type="list" allowBlank="1" sqref="C106">
      <formula1>INDIRECT(SUBSTITUTE(B106, " ", "_"))</formula1>
    </dataValidation>
    <dataValidation type="list" allowBlank="1" sqref="C107">
      <formula1>INDIRECT(SUBSTITUTE(B107, " ", "_"))</formula1>
    </dataValidation>
    <dataValidation type="list" allowBlank="1" sqref="C108">
      <formula1>INDIRECT(SUBSTITUTE(B108, " ", "_"))</formula1>
    </dataValidation>
    <dataValidation type="list" allowBlank="1" sqref="C109">
      <formula1>INDIRECT(SUBSTITUTE(B109, " ", "_"))</formula1>
    </dataValidation>
    <dataValidation type="list" allowBlank="1" sqref="C11">
      <formula1>INDIRECT(SUBSTITUTE(B11, " ", "_"))</formula1>
    </dataValidation>
    <dataValidation type="list" allowBlank="1" sqref="C110">
      <formula1>INDIRECT(SUBSTITUTE(B110, " ", "_"))</formula1>
    </dataValidation>
    <dataValidation type="list" allowBlank="1" sqref="C111">
      <formula1>INDIRECT(SUBSTITUTE(B111, " ", "_"))</formula1>
    </dataValidation>
    <dataValidation type="list" allowBlank="1" sqref="C112">
      <formula1>INDIRECT(SUBSTITUTE(B112, " ", "_"))</formula1>
    </dataValidation>
    <dataValidation type="list" allowBlank="1" sqref="C113">
      <formula1>INDIRECT(SUBSTITUTE(B113, " ", "_"))</formula1>
    </dataValidation>
    <dataValidation type="list" allowBlank="1" sqref="C114">
      <formula1>INDIRECT(SUBSTITUTE(B114, " ", "_"))</formula1>
    </dataValidation>
    <dataValidation type="list" allowBlank="1" sqref="C115">
      <formula1>INDIRECT(SUBSTITUTE(B115, " ", "_"))</formula1>
    </dataValidation>
    <dataValidation type="list" allowBlank="1" sqref="C116">
      <formula1>INDIRECT(SUBSTITUTE(B116, " ", "_"))</formula1>
    </dataValidation>
    <dataValidation type="list" allowBlank="1" sqref="C117">
      <formula1>INDIRECT(SUBSTITUTE(B117, " ", "_"))</formula1>
    </dataValidation>
    <dataValidation type="list" allowBlank="1" sqref="C118">
      <formula1>INDIRECT(SUBSTITUTE(B118, " ", "_"))</formula1>
    </dataValidation>
    <dataValidation type="list" allowBlank="1" sqref="C119">
      <formula1>INDIRECT(SUBSTITUTE(B119, " ", "_"))</formula1>
    </dataValidation>
    <dataValidation type="list" allowBlank="1" sqref="C12">
      <formula1>INDIRECT(SUBSTITUTE(B12, " ", "_"))</formula1>
    </dataValidation>
    <dataValidation type="list" allowBlank="1" sqref="C120">
      <formula1>INDIRECT(SUBSTITUTE(B120, " ", "_"))</formula1>
    </dataValidation>
    <dataValidation type="list" allowBlank="1" sqref="C121">
      <formula1>INDIRECT(SUBSTITUTE(B121, " ", "_"))</formula1>
    </dataValidation>
    <dataValidation type="list" allowBlank="1" sqref="C122">
      <formula1>INDIRECT(SUBSTITUTE(B122, " ", "_"))</formula1>
    </dataValidation>
    <dataValidation type="list" allowBlank="1" sqref="C123">
      <formula1>INDIRECT(SUBSTITUTE(B123, " ", "_"))</formula1>
    </dataValidation>
    <dataValidation type="list" allowBlank="1" sqref="C124">
      <formula1>INDIRECT(SUBSTITUTE(B124, " ", "_"))</formula1>
    </dataValidation>
    <dataValidation type="list" allowBlank="1" sqref="C125">
      <formula1>INDIRECT(SUBSTITUTE(B125, " ", "_"))</formula1>
    </dataValidation>
    <dataValidation type="list" allowBlank="1" sqref="C126">
      <formula1>INDIRECT(SUBSTITUTE(B126, " ", "_"))</formula1>
    </dataValidation>
    <dataValidation type="list" allowBlank="1" sqref="C127">
      <formula1>INDIRECT(SUBSTITUTE(B127, " ", "_"))</formula1>
    </dataValidation>
    <dataValidation type="list" allowBlank="1" sqref="C128">
      <formula1>INDIRECT(SUBSTITUTE(B128, " ", "_"))</formula1>
    </dataValidation>
    <dataValidation type="list" allowBlank="1" sqref="C129">
      <formula1>INDIRECT(SUBSTITUTE(B129, " ", "_"))</formula1>
    </dataValidation>
    <dataValidation type="list" allowBlank="1" sqref="C13">
      <formula1>INDIRECT(SUBSTITUTE(B13, " ", "_"))</formula1>
    </dataValidation>
    <dataValidation type="list" allowBlank="1" sqref="C130">
      <formula1>INDIRECT(SUBSTITUTE(B130, " ", "_"))</formula1>
    </dataValidation>
    <dataValidation type="list" allowBlank="1" sqref="C131">
      <formula1>INDIRECT(SUBSTITUTE(B131, " ", "_"))</formula1>
    </dataValidation>
    <dataValidation type="list" allowBlank="1" sqref="C132">
      <formula1>INDIRECT(SUBSTITUTE(B132, " ", "_"))</formula1>
    </dataValidation>
    <dataValidation type="list" allowBlank="1" sqref="C133">
      <formula1>INDIRECT(SUBSTITUTE(B133, " ", "_"))</formula1>
    </dataValidation>
    <dataValidation type="list" allowBlank="1" sqref="C134">
      <formula1>INDIRECT(SUBSTITUTE(B134, " ", "_"))</formula1>
    </dataValidation>
    <dataValidation type="list" allowBlank="1" sqref="C135">
      <formula1>INDIRECT(SUBSTITUTE(B135, " ", "_"))</formula1>
    </dataValidation>
    <dataValidation type="list" allowBlank="1" sqref="C136">
      <formula1>INDIRECT(SUBSTITUTE(B136, " ", "_"))</formula1>
    </dataValidation>
    <dataValidation type="list" allowBlank="1" sqref="C137">
      <formula1>INDIRECT(SUBSTITUTE(B137, " ", "_"))</formula1>
    </dataValidation>
    <dataValidation type="list" allowBlank="1" sqref="C138">
      <formula1>INDIRECT(SUBSTITUTE(B138, " ", "_"))</formula1>
    </dataValidation>
    <dataValidation type="list" allowBlank="1" sqref="C139">
      <formula1>INDIRECT(SUBSTITUTE(B139, " ", "_"))</formula1>
    </dataValidation>
    <dataValidation type="list" allowBlank="1" sqref="C14">
      <formula1>INDIRECT(SUBSTITUTE(B14, " ", "_"))</formula1>
    </dataValidation>
    <dataValidation type="list" allowBlank="1" sqref="C140">
      <formula1>INDIRECT(SUBSTITUTE(B140, " ", "_"))</formula1>
    </dataValidation>
    <dataValidation type="list" allowBlank="1" sqref="C141">
      <formula1>INDIRECT(SUBSTITUTE(B141, " ", "_"))</formula1>
    </dataValidation>
    <dataValidation type="list" allowBlank="1" sqref="C142">
      <formula1>INDIRECT(SUBSTITUTE(B142, " ", "_"))</formula1>
    </dataValidation>
    <dataValidation type="list" allowBlank="1" sqref="C143">
      <formula1>INDIRECT(SUBSTITUTE(B143, " ", "_"))</formula1>
    </dataValidation>
    <dataValidation type="list" allowBlank="1" sqref="C144">
      <formula1>INDIRECT(SUBSTITUTE(B144, " ", "_"))</formula1>
    </dataValidation>
    <dataValidation type="list" allowBlank="1" sqref="C145">
      <formula1>INDIRECT(SUBSTITUTE(B145, " ", "_"))</formula1>
    </dataValidation>
    <dataValidation type="list" allowBlank="1" sqref="C146">
      <formula1>INDIRECT(SUBSTITUTE(B146, " ", "_"))</formula1>
    </dataValidation>
    <dataValidation type="list" allowBlank="1" sqref="C147">
      <formula1>INDIRECT(SUBSTITUTE(B147, " ", "_"))</formula1>
    </dataValidation>
    <dataValidation type="list" allowBlank="1" sqref="C148">
      <formula1>INDIRECT(SUBSTITUTE(B148, " ", "_"))</formula1>
    </dataValidation>
    <dataValidation type="list" allowBlank="1" sqref="C149">
      <formula1>INDIRECT(SUBSTITUTE(B149, " ", "_"))</formula1>
    </dataValidation>
    <dataValidation type="list" allowBlank="1" sqref="C15">
      <formula1>INDIRECT(SUBSTITUTE(B15, " ", "_"))</formula1>
    </dataValidation>
    <dataValidation type="list" allowBlank="1" sqref="C150">
      <formula1>INDIRECT(SUBSTITUTE(B150, " ", "_"))</formula1>
    </dataValidation>
    <dataValidation type="list" allowBlank="1" sqref="C151">
      <formula1>INDIRECT(SUBSTITUTE(B151, " ", "_"))</formula1>
    </dataValidation>
    <dataValidation type="list" allowBlank="1" sqref="C152">
      <formula1>INDIRECT(SUBSTITUTE(B152, " ", "_"))</formula1>
    </dataValidation>
    <dataValidation type="list" allowBlank="1" sqref="C153">
      <formula1>INDIRECT(SUBSTITUTE(B153, " ", "_"))</formula1>
    </dataValidation>
    <dataValidation type="list" allowBlank="1" sqref="C154">
      <formula1>INDIRECT(SUBSTITUTE(B154, " ", "_"))</formula1>
    </dataValidation>
    <dataValidation type="list" allowBlank="1" sqref="C155">
      <formula1>INDIRECT(SUBSTITUTE(B155, " ", "_"))</formula1>
    </dataValidation>
    <dataValidation type="list" allowBlank="1" sqref="C156">
      <formula1>INDIRECT(SUBSTITUTE(B156, " ", "_"))</formula1>
    </dataValidation>
    <dataValidation type="list" allowBlank="1" sqref="C157">
      <formula1>INDIRECT(SUBSTITUTE(B157, " ", "_"))</formula1>
    </dataValidation>
    <dataValidation type="list" allowBlank="1" sqref="C158">
      <formula1>INDIRECT(SUBSTITUTE(B158, " ", "_"))</formula1>
    </dataValidation>
    <dataValidation type="list" allowBlank="1" sqref="C159">
      <formula1>INDIRECT(SUBSTITUTE(B159, " ", "_"))</formula1>
    </dataValidation>
    <dataValidation type="list" allowBlank="1" sqref="C16">
      <formula1>INDIRECT(SUBSTITUTE(B16, " ", "_"))</formula1>
    </dataValidation>
    <dataValidation type="list" allowBlank="1" sqref="C160">
      <formula1>INDIRECT(SUBSTITUTE(B160, " ", "_"))</formula1>
    </dataValidation>
    <dataValidation type="list" allowBlank="1" sqref="C161">
      <formula1>INDIRECT(SUBSTITUTE(B161, " ", "_"))</formula1>
    </dataValidation>
    <dataValidation type="list" allowBlank="1" sqref="C162">
      <formula1>INDIRECT(SUBSTITUTE(B162, " ", "_"))</formula1>
    </dataValidation>
    <dataValidation type="list" allowBlank="1" sqref="C163">
      <formula1>INDIRECT(SUBSTITUTE(B163, " ", "_"))</formula1>
    </dataValidation>
    <dataValidation type="list" allowBlank="1" sqref="C164">
      <formula1>INDIRECT(SUBSTITUTE(B164, " ", "_"))</formula1>
    </dataValidation>
    <dataValidation type="list" allowBlank="1" sqref="C165">
      <formula1>INDIRECT(SUBSTITUTE(B165, " ", "_"))</formula1>
    </dataValidation>
    <dataValidation type="list" allowBlank="1" sqref="C166">
      <formula1>INDIRECT(SUBSTITUTE(B166, " ", "_"))</formula1>
    </dataValidation>
    <dataValidation type="list" allowBlank="1" sqref="C167">
      <formula1>INDIRECT(SUBSTITUTE(B167, " ", "_"))</formula1>
    </dataValidation>
    <dataValidation type="list" allowBlank="1" sqref="C168">
      <formula1>INDIRECT(SUBSTITUTE(B168, " ", "_"))</formula1>
    </dataValidation>
    <dataValidation type="list" allowBlank="1" sqref="C169">
      <formula1>INDIRECT(SUBSTITUTE(B169, " ", "_"))</formula1>
    </dataValidation>
    <dataValidation type="list" allowBlank="1" sqref="C17">
      <formula1>INDIRECT(SUBSTITUTE(B17, " ", "_"))</formula1>
    </dataValidation>
    <dataValidation type="list" allowBlank="1" sqref="C170">
      <formula1>INDIRECT(SUBSTITUTE(B170, " ", "_"))</formula1>
    </dataValidation>
    <dataValidation type="list" allowBlank="1" sqref="C171">
      <formula1>INDIRECT(SUBSTITUTE(B171, " ", "_"))</formula1>
    </dataValidation>
    <dataValidation type="list" allowBlank="1" sqref="C172">
      <formula1>INDIRECT(SUBSTITUTE(B172, " ", "_"))</formula1>
    </dataValidation>
    <dataValidation type="list" allowBlank="1" sqref="C173">
      <formula1>INDIRECT(SUBSTITUTE(B173, " ", "_"))</formula1>
    </dataValidation>
    <dataValidation type="list" allowBlank="1" sqref="C174">
      <formula1>INDIRECT(SUBSTITUTE(B174, " ", "_"))</formula1>
    </dataValidation>
    <dataValidation type="list" allowBlank="1" sqref="C175">
      <formula1>INDIRECT(SUBSTITUTE(B175, " ", "_"))</formula1>
    </dataValidation>
    <dataValidation type="list" allowBlank="1" sqref="C176">
      <formula1>INDIRECT(SUBSTITUTE(B176, " ", "_"))</formula1>
    </dataValidation>
    <dataValidation type="list" allowBlank="1" sqref="C177">
      <formula1>INDIRECT(SUBSTITUTE(B177, " ", "_"))</formula1>
    </dataValidation>
    <dataValidation type="list" allowBlank="1" sqref="C178">
      <formula1>INDIRECT(SUBSTITUTE(B178, " ", "_"))</formula1>
    </dataValidation>
    <dataValidation type="list" allowBlank="1" sqref="C179">
      <formula1>INDIRECT(SUBSTITUTE(B179, " ", "_"))</formula1>
    </dataValidation>
    <dataValidation type="list" allowBlank="1" sqref="C18">
      <formula1>INDIRECT(SUBSTITUTE(B18, " ", "_"))</formula1>
    </dataValidation>
    <dataValidation type="list" allowBlank="1" sqref="C180">
      <formula1>INDIRECT(SUBSTITUTE(B180, " ", "_"))</formula1>
    </dataValidation>
    <dataValidation type="list" allowBlank="1" sqref="C181">
      <formula1>INDIRECT(SUBSTITUTE(B181, " ", "_"))</formula1>
    </dataValidation>
    <dataValidation type="list" allowBlank="1" sqref="C182">
      <formula1>INDIRECT(SUBSTITUTE(B182, " ", "_"))</formula1>
    </dataValidation>
    <dataValidation type="list" allowBlank="1" sqref="C183">
      <formula1>INDIRECT(SUBSTITUTE(B183, " ", "_"))</formula1>
    </dataValidation>
    <dataValidation type="list" allowBlank="1" sqref="C184">
      <formula1>INDIRECT(SUBSTITUTE(B184, " ", "_"))</formula1>
    </dataValidation>
    <dataValidation type="list" allowBlank="1" sqref="C185">
      <formula1>INDIRECT(SUBSTITUTE(B185, " ", "_"))</formula1>
    </dataValidation>
    <dataValidation type="list" allowBlank="1" sqref="C186">
      <formula1>INDIRECT(SUBSTITUTE(B186, " ", "_"))</formula1>
    </dataValidation>
    <dataValidation type="list" allowBlank="1" sqref="C187">
      <formula1>INDIRECT(SUBSTITUTE(B187, " ", "_"))</formula1>
    </dataValidation>
    <dataValidation type="list" allowBlank="1" sqref="C188">
      <formula1>INDIRECT(SUBSTITUTE(B188, " ", "_"))</formula1>
    </dataValidation>
    <dataValidation type="list" allowBlank="1" sqref="C189">
      <formula1>INDIRECT(SUBSTITUTE(B189, " ", "_"))</formula1>
    </dataValidation>
    <dataValidation type="list" allowBlank="1" sqref="C19">
      <formula1>INDIRECT(SUBSTITUTE(B19, " ", "_"))</formula1>
    </dataValidation>
    <dataValidation type="list" allowBlank="1" sqref="C190">
      <formula1>INDIRECT(SUBSTITUTE(B190, " ", "_"))</formula1>
    </dataValidation>
    <dataValidation type="list" allowBlank="1" sqref="C191">
      <formula1>INDIRECT(SUBSTITUTE(B191, " ", "_"))</formula1>
    </dataValidation>
    <dataValidation type="list" allowBlank="1" sqref="C192">
      <formula1>INDIRECT(SUBSTITUTE(B192, " ", "_"))</formula1>
    </dataValidation>
    <dataValidation type="list" allowBlank="1" sqref="C193">
      <formula1>INDIRECT(SUBSTITUTE(B193, " ", "_"))</formula1>
    </dataValidation>
    <dataValidation type="list" allowBlank="1" sqref="C194">
      <formula1>INDIRECT(SUBSTITUTE(B194, " ", "_"))</formula1>
    </dataValidation>
    <dataValidation type="list" allowBlank="1" sqref="C195">
      <formula1>INDIRECT(SUBSTITUTE(B195, " ", "_"))</formula1>
    </dataValidation>
    <dataValidation type="list" allowBlank="1" sqref="C196">
      <formula1>INDIRECT(SUBSTITUTE(B196, " ", "_"))</formula1>
    </dataValidation>
    <dataValidation type="list" allowBlank="1" sqref="C197">
      <formula1>INDIRECT(SUBSTITUTE(B197, " ", "_"))</formula1>
    </dataValidation>
    <dataValidation type="list" allowBlank="1" sqref="C198">
      <formula1>INDIRECT(SUBSTITUTE(B198, " ", "_"))</formula1>
    </dataValidation>
    <dataValidation type="list" allowBlank="1" sqref="C199">
      <formula1>INDIRECT(SUBSTITUTE(B199, " ", "_"))</formula1>
    </dataValidation>
    <dataValidation type="list" allowBlank="1" sqref="C20">
      <formula1>INDIRECT(SUBSTITUTE(B20, " ", "_"))</formula1>
    </dataValidation>
    <dataValidation type="list" allowBlank="1" sqref="C200">
      <formula1>INDIRECT(SUBSTITUTE(B200, " ", "_"))</formula1>
    </dataValidation>
    <dataValidation type="list" allowBlank="1" sqref="C21">
      <formula1>INDIRECT(SUBSTITUTE(B21, " ", "_"))</formula1>
    </dataValidation>
    <dataValidation type="list" allowBlank="1" sqref="C22">
      <formula1>INDIRECT(SUBSTITUTE(B22, " ", "_"))</formula1>
    </dataValidation>
    <dataValidation type="list" allowBlank="1" sqref="C23">
      <formula1>INDIRECT(SUBSTITUTE(B23, " ", "_"))</formula1>
    </dataValidation>
    <dataValidation type="list" allowBlank="1" sqref="C24">
      <formula1>INDIRECT(SUBSTITUTE(B24, " ", "_"))</formula1>
    </dataValidation>
    <dataValidation type="list" allowBlank="1" sqref="C25">
      <formula1>INDIRECT(SUBSTITUTE(B25, " ", "_"))</formula1>
    </dataValidation>
    <dataValidation type="list" allowBlank="1" sqref="C26">
      <formula1>INDIRECT(SUBSTITUTE(B26, " ", "_"))</formula1>
    </dataValidation>
    <dataValidation type="list" allowBlank="1" sqref="C27">
      <formula1>INDIRECT(SUBSTITUTE(B27, " ", "_"))</formula1>
    </dataValidation>
    <dataValidation type="list" allowBlank="1" sqref="C28">
      <formula1>INDIRECT(SUBSTITUTE(B28, " ", "_"))</formula1>
    </dataValidation>
    <dataValidation type="list" allowBlank="1" sqref="C29">
      <formula1>INDIRECT(SUBSTITUTE(B29, " ", "_"))</formula1>
    </dataValidation>
    <dataValidation type="list" allowBlank="1" sqref="C30">
      <formula1>INDIRECT(SUBSTITUTE(B30, " ", "_"))</formula1>
    </dataValidation>
    <dataValidation type="list" allowBlank="1" sqref="C31">
      <formula1>INDIRECT(SUBSTITUTE(B31, " ", "_"))</formula1>
    </dataValidation>
    <dataValidation type="list" allowBlank="1" sqref="C32">
      <formula1>INDIRECT(SUBSTITUTE(B32, " ", "_"))</formula1>
    </dataValidation>
    <dataValidation type="list" allowBlank="1" sqref="C33">
      <formula1>INDIRECT(SUBSTITUTE(B33, " ", "_"))</formula1>
    </dataValidation>
    <dataValidation type="list" allowBlank="1" sqref="C34">
      <formula1>INDIRECT(SUBSTITUTE(B34, " ", "_"))</formula1>
    </dataValidation>
    <dataValidation type="list" allowBlank="1" sqref="C35">
      <formula1>INDIRECT(SUBSTITUTE(B35, " ", "_"))</formula1>
    </dataValidation>
    <dataValidation type="list" allowBlank="1" sqref="C36">
      <formula1>INDIRECT(SUBSTITUTE(B36, " ", "_"))</formula1>
    </dataValidation>
    <dataValidation type="list" allowBlank="1" sqref="C37">
      <formula1>INDIRECT(SUBSTITUTE(B37, " ", "_"))</formula1>
    </dataValidation>
    <dataValidation type="list" allowBlank="1" sqref="C38">
      <formula1>INDIRECT(SUBSTITUTE(B38, " ", "_"))</formula1>
    </dataValidation>
    <dataValidation type="list" allowBlank="1" sqref="C39">
      <formula1>INDIRECT(SUBSTITUTE(B39, " ", "_"))</formula1>
    </dataValidation>
    <dataValidation type="list" allowBlank="1" sqref="C4">
      <formula1>INDIRECT(SUBSTITUTE(B4, " ", "_"))</formula1>
    </dataValidation>
    <dataValidation type="list" allowBlank="1" sqref="C40">
      <formula1>INDIRECT(SUBSTITUTE(B40, " ", "_"))</formula1>
    </dataValidation>
    <dataValidation type="list" allowBlank="1" sqref="C41">
      <formula1>INDIRECT(SUBSTITUTE(B41, " ", "_"))</formula1>
    </dataValidation>
    <dataValidation type="list" allowBlank="1" sqref="C42">
      <formula1>INDIRECT(SUBSTITUTE(B42, " ", "_"))</formula1>
    </dataValidation>
    <dataValidation type="list" allowBlank="1" sqref="C43">
      <formula1>INDIRECT(SUBSTITUTE(B43, " ", "_"))</formula1>
    </dataValidation>
    <dataValidation type="list" allowBlank="1" sqref="C44">
      <formula1>INDIRECT(SUBSTITUTE(B44, " ", "_"))</formula1>
    </dataValidation>
    <dataValidation type="list" allowBlank="1" sqref="C45">
      <formula1>INDIRECT(SUBSTITUTE(B45, " ", "_"))</formula1>
    </dataValidation>
    <dataValidation type="list" allowBlank="1" sqref="C46">
      <formula1>INDIRECT(SUBSTITUTE(B46, " ", "_"))</formula1>
    </dataValidation>
    <dataValidation type="list" allowBlank="1" sqref="C47">
      <formula1>INDIRECT(SUBSTITUTE(B47, " ", "_"))</formula1>
    </dataValidation>
    <dataValidation type="list" allowBlank="1" sqref="C48">
      <formula1>INDIRECT(SUBSTITUTE(B48, " ", "_"))</formula1>
    </dataValidation>
    <dataValidation type="list" allowBlank="1" sqref="C49">
      <formula1>INDIRECT(SUBSTITUTE(B49, " ", "_"))</formula1>
    </dataValidation>
    <dataValidation type="list" allowBlank="1" sqref="C5">
      <formula1>INDIRECT(SUBSTITUTE(B5, " ", "_"))</formula1>
    </dataValidation>
    <dataValidation type="list" allowBlank="1" sqref="C50">
      <formula1>INDIRECT(SUBSTITUTE(B50, " ", "_"))</formula1>
    </dataValidation>
    <dataValidation type="list" allowBlank="1" sqref="C51">
      <formula1>INDIRECT(SUBSTITUTE(B51, " ", "_"))</formula1>
    </dataValidation>
    <dataValidation type="list" allowBlank="1" sqref="C52">
      <formula1>INDIRECT(SUBSTITUTE(B52, " ", "_"))</formula1>
    </dataValidation>
    <dataValidation type="list" allowBlank="1" sqref="C53">
      <formula1>INDIRECT(SUBSTITUTE(B53, " ", "_"))</formula1>
    </dataValidation>
    <dataValidation type="list" allowBlank="1" sqref="C54">
      <formula1>INDIRECT(SUBSTITUTE(B54, " ", "_"))</formula1>
    </dataValidation>
    <dataValidation type="list" allowBlank="1" sqref="C55">
      <formula1>INDIRECT(SUBSTITUTE(B55, " ", "_"))</formula1>
    </dataValidation>
    <dataValidation type="list" allowBlank="1" sqref="C56">
      <formula1>INDIRECT(SUBSTITUTE(B56, " ", "_"))</formula1>
    </dataValidation>
    <dataValidation type="list" allowBlank="1" sqref="C57">
      <formula1>INDIRECT(SUBSTITUTE(B57, " ", "_"))</formula1>
    </dataValidation>
    <dataValidation type="list" allowBlank="1" sqref="C58">
      <formula1>INDIRECT(SUBSTITUTE(B58, " ", "_"))</formula1>
    </dataValidation>
    <dataValidation type="list" allowBlank="1" sqref="C59">
      <formula1>INDIRECT(SUBSTITUTE(B59, " ", "_"))</formula1>
    </dataValidation>
    <dataValidation type="list" allowBlank="1" sqref="C6">
      <formula1>INDIRECT(SUBSTITUTE(B6, " ", "_"))</formula1>
    </dataValidation>
    <dataValidation type="list" allowBlank="1" sqref="C60">
      <formula1>INDIRECT(SUBSTITUTE(B60, " ", "_"))</formula1>
    </dataValidation>
    <dataValidation type="list" allowBlank="1" sqref="C61">
      <formula1>INDIRECT(SUBSTITUTE(B61, " ", "_"))</formula1>
    </dataValidation>
    <dataValidation type="list" allowBlank="1" sqref="C62">
      <formula1>INDIRECT(SUBSTITUTE(B62, " ", "_"))</formula1>
    </dataValidation>
    <dataValidation type="list" allowBlank="1" sqref="C63">
      <formula1>INDIRECT(SUBSTITUTE(B63, " ", "_"))</formula1>
    </dataValidation>
    <dataValidation type="list" allowBlank="1" sqref="C64">
      <formula1>INDIRECT(SUBSTITUTE(B64, " ", "_"))</formula1>
    </dataValidation>
    <dataValidation type="list" allowBlank="1" sqref="C65">
      <formula1>INDIRECT(SUBSTITUTE(B65, " ", "_"))</formula1>
    </dataValidation>
    <dataValidation type="list" allowBlank="1" sqref="C66">
      <formula1>INDIRECT(SUBSTITUTE(B66, " ", "_"))</formula1>
    </dataValidation>
    <dataValidation type="list" allowBlank="1" sqref="C67">
      <formula1>INDIRECT(SUBSTITUTE(B67, " ", "_"))</formula1>
    </dataValidation>
    <dataValidation type="list" allowBlank="1" sqref="C68">
      <formula1>INDIRECT(SUBSTITUTE(B68, " ", "_"))</formula1>
    </dataValidation>
    <dataValidation type="list" allowBlank="1" sqref="C69">
      <formula1>INDIRECT(SUBSTITUTE(B69, " ", "_"))</formula1>
    </dataValidation>
    <dataValidation type="list" allowBlank="1" sqref="C7">
      <formula1>INDIRECT(SUBSTITUTE(B7, " ", "_"))</formula1>
    </dataValidation>
    <dataValidation type="list" allowBlank="1" sqref="C70">
      <formula1>INDIRECT(SUBSTITUTE(B70, " ", "_"))</formula1>
    </dataValidation>
    <dataValidation type="list" allowBlank="1" sqref="C71">
      <formula1>INDIRECT(SUBSTITUTE(B71, " ", "_"))</formula1>
    </dataValidation>
    <dataValidation type="list" allowBlank="1" sqref="C72">
      <formula1>INDIRECT(SUBSTITUTE(B72, " ", "_"))</formula1>
    </dataValidation>
    <dataValidation type="list" allowBlank="1" sqref="C73">
      <formula1>INDIRECT(SUBSTITUTE(B73, " ", "_"))</formula1>
    </dataValidation>
    <dataValidation type="list" allowBlank="1" sqref="C74">
      <formula1>INDIRECT(SUBSTITUTE(B74, " ", "_"))</formula1>
    </dataValidation>
    <dataValidation type="list" allowBlank="1" sqref="C75">
      <formula1>INDIRECT(SUBSTITUTE(B75, " ", "_"))</formula1>
    </dataValidation>
    <dataValidation type="list" allowBlank="1" sqref="C76">
      <formula1>INDIRECT(SUBSTITUTE(B76, " ", "_"))</formula1>
    </dataValidation>
    <dataValidation type="list" allowBlank="1" sqref="C77">
      <formula1>INDIRECT(SUBSTITUTE(B77, " ", "_"))</formula1>
    </dataValidation>
    <dataValidation type="list" allowBlank="1" sqref="C78">
      <formula1>INDIRECT(SUBSTITUTE(B78, " ", "_"))</formula1>
    </dataValidation>
    <dataValidation type="list" allowBlank="1" sqref="C79">
      <formula1>INDIRECT(SUBSTITUTE(B79, " ", "_"))</formula1>
    </dataValidation>
    <dataValidation type="list" allowBlank="1" sqref="C8">
      <formula1>INDIRECT(SUBSTITUTE(B8, " ", "_"))</formula1>
    </dataValidation>
    <dataValidation type="list" allowBlank="1" sqref="C80">
      <formula1>INDIRECT(SUBSTITUTE(B80, " ", "_"))</formula1>
    </dataValidation>
    <dataValidation type="list" allowBlank="1" sqref="C81">
      <formula1>INDIRECT(SUBSTITUTE(B81, " ", "_"))</formula1>
    </dataValidation>
    <dataValidation type="list" allowBlank="1" sqref="C82">
      <formula1>INDIRECT(SUBSTITUTE(B82, " ", "_"))</formula1>
    </dataValidation>
    <dataValidation type="list" allowBlank="1" sqref="C83">
      <formula1>INDIRECT(SUBSTITUTE(B83, " ", "_"))</formula1>
    </dataValidation>
    <dataValidation type="list" allowBlank="1" sqref="C84">
      <formula1>INDIRECT(SUBSTITUTE(B84, " ", "_"))</formula1>
    </dataValidation>
    <dataValidation type="list" allowBlank="1" sqref="C85">
      <formula1>INDIRECT(SUBSTITUTE(B85, " ", "_"))</formula1>
    </dataValidation>
    <dataValidation type="list" allowBlank="1" sqref="C86">
      <formula1>INDIRECT(SUBSTITUTE(B86, " ", "_"))</formula1>
    </dataValidation>
    <dataValidation type="list" allowBlank="1" sqref="C87">
      <formula1>INDIRECT(SUBSTITUTE(B87, " ", "_"))</formula1>
    </dataValidation>
    <dataValidation type="list" allowBlank="1" sqref="C88">
      <formula1>INDIRECT(SUBSTITUTE(B88, " ", "_"))</formula1>
    </dataValidation>
    <dataValidation type="list" allowBlank="1" sqref="C89">
      <formula1>INDIRECT(SUBSTITUTE(B89, " ", "_"))</formula1>
    </dataValidation>
    <dataValidation type="list" allowBlank="1" sqref="C9">
      <formula1>INDIRECT(SUBSTITUTE(B9, " ", "_"))</formula1>
    </dataValidation>
    <dataValidation type="list" allowBlank="1" sqref="C90">
      <formula1>INDIRECT(SUBSTITUTE(B90, " ", "_"))</formula1>
    </dataValidation>
    <dataValidation type="list" allowBlank="1" sqref="C91">
      <formula1>INDIRECT(SUBSTITUTE(B91, " ", "_"))</formula1>
    </dataValidation>
    <dataValidation type="list" allowBlank="1" sqref="C92">
      <formula1>INDIRECT(SUBSTITUTE(B92, " ", "_"))</formula1>
    </dataValidation>
    <dataValidation type="list" allowBlank="1" sqref="C93">
      <formula1>INDIRECT(SUBSTITUTE(B93, " ", "_"))</formula1>
    </dataValidation>
    <dataValidation type="list" allowBlank="1" sqref="C94">
      <formula1>INDIRECT(SUBSTITUTE(B94, " ", "_"))</formula1>
    </dataValidation>
    <dataValidation type="list" allowBlank="1" sqref="C95">
      <formula1>INDIRECT(SUBSTITUTE(B95, " ", "_"))</formula1>
    </dataValidation>
    <dataValidation type="list" allowBlank="1" sqref="C96">
      <formula1>INDIRECT(SUBSTITUTE(B96, " ", "_"))</formula1>
    </dataValidation>
    <dataValidation type="list" allowBlank="1" sqref="C97">
      <formula1>INDIRECT(SUBSTITUTE(B97, " ", "_"))</formula1>
    </dataValidation>
    <dataValidation type="list" allowBlank="1" sqref="C98">
      <formula1>INDIRECT(SUBSTITUTE(B98, " ", "_"))</formula1>
    </dataValidation>
    <dataValidation type="list" allowBlank="1" sqref="C99">
      <formula1>INDIRECT(SUBSTITUTE(B99, " ", "_"))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</vt:lpstr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Enventary</dc:creator>
  <dc:title/>
  <dc:subject/>
  <dc:description/>
  <cp:keywords/>
  <cp:category/>
  <cp:lastModifiedBy>Unknown</cp:lastModifiedBy>
  <dcterms:created xsi:type="dcterms:W3CDTF">2026-02-09T17:08:17Z</dcterms:created>
  <dcterms:modified xsi:type="dcterms:W3CDTF">2026-02-09T17:08:17Z</dcterms:modified>
</cp:coreProperties>
</file>